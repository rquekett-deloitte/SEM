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usdeloitte.sharepoint.com/sites/MacroScenarioModel/Shared Documents/General/Scenario Model/R Model/outputs/"/>
    </mc:Choice>
  </mc:AlternateContent>
  <xr:revisionPtr revIDLastSave="3" documentId="11_EBD468402E6547759BF0CA1B0574DA29245251AF" xr6:coauthVersionLast="47" xr6:coauthVersionMax="47" xr10:uidLastSave="{A31006D5-E7BF-47FD-8BA8-DE74C2677ED4}"/>
  <bookViews>
    <workbookView minimized="1" xWindow="-24330" yWindow="1230" windowWidth="21600" windowHeight="11175" activeTab="1" xr2:uid="{00000000-000D-0000-FFFF-FFFF00000000}"/>
  </bookViews>
  <sheets>
    <sheet name="Comparison" sheetId="1" r:id="rId1"/>
    <sheet name="Forecast" sheetId="2" r:id="rId2"/>
    <sheet name="Coefficients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01" i="1" l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AI89" i="1"/>
  <c r="AG89" i="1"/>
  <c r="AE89" i="1"/>
  <c r="AC89" i="1"/>
  <c r="AA89" i="1"/>
  <c r="Z89" i="1"/>
  <c r="Y89" i="1"/>
  <c r="X89" i="1"/>
  <c r="W89" i="1"/>
  <c r="U89" i="1"/>
  <c r="T89" i="1"/>
  <c r="AB89" i="1" s="1"/>
  <c r="S89" i="1"/>
  <c r="R89" i="1"/>
  <c r="AH89" i="1" s="1"/>
  <c r="Q89" i="1"/>
  <c r="AF89" i="1" s="1"/>
  <c r="P89" i="1"/>
  <c r="O89" i="1"/>
  <c r="AD89" i="1" s="1"/>
  <c r="N89" i="1"/>
  <c r="AJ89" i="1" s="1"/>
  <c r="M89" i="1"/>
  <c r="L89" i="1"/>
  <c r="V89" i="1" s="1"/>
  <c r="AI88" i="1"/>
  <c r="AG88" i="1"/>
  <c r="AE88" i="1"/>
  <c r="AD88" i="1"/>
  <c r="AC88" i="1"/>
  <c r="AA88" i="1"/>
  <c r="Y88" i="1"/>
  <c r="X88" i="1"/>
  <c r="W88" i="1"/>
  <c r="U88" i="1"/>
  <c r="T88" i="1"/>
  <c r="AB88" i="1" s="1"/>
  <c r="S88" i="1"/>
  <c r="Z88" i="1" s="1"/>
  <c r="R88" i="1"/>
  <c r="AH88" i="1" s="1"/>
  <c r="Q88" i="1"/>
  <c r="AF88" i="1" s="1"/>
  <c r="P88" i="1"/>
  <c r="O88" i="1"/>
  <c r="N88" i="1"/>
  <c r="AJ88" i="1" s="1"/>
  <c r="M88" i="1"/>
  <c r="L88" i="1"/>
  <c r="V88" i="1" s="1"/>
  <c r="AI87" i="1"/>
  <c r="AG87" i="1"/>
  <c r="AE87" i="1"/>
  <c r="AC87" i="1"/>
  <c r="AA87" i="1"/>
  <c r="Z87" i="1"/>
  <c r="Y87" i="1"/>
  <c r="W87" i="1"/>
  <c r="V87" i="1"/>
  <c r="U87" i="1"/>
  <c r="T87" i="1"/>
  <c r="AB87" i="1" s="1"/>
  <c r="S87" i="1"/>
  <c r="R87" i="1"/>
  <c r="AH87" i="1" s="1"/>
  <c r="Q87" i="1"/>
  <c r="AF87" i="1" s="1"/>
  <c r="P87" i="1"/>
  <c r="O87" i="1"/>
  <c r="AD87" i="1" s="1"/>
  <c r="N87" i="1"/>
  <c r="AJ87" i="1" s="1"/>
  <c r="M87" i="1"/>
  <c r="X87" i="1" s="1"/>
  <c r="L87" i="1"/>
  <c r="AI86" i="1"/>
  <c r="AG86" i="1"/>
  <c r="AE86" i="1"/>
  <c r="AD86" i="1"/>
  <c r="AC86" i="1"/>
  <c r="AB86" i="1"/>
  <c r="AA86" i="1"/>
  <c r="Y86" i="1"/>
  <c r="W86" i="1"/>
  <c r="V86" i="1"/>
  <c r="U86" i="1"/>
  <c r="T86" i="1"/>
  <c r="S86" i="1"/>
  <c r="Z86" i="1" s="1"/>
  <c r="R86" i="1"/>
  <c r="AH86" i="1" s="1"/>
  <c r="Q86" i="1"/>
  <c r="AF86" i="1" s="1"/>
  <c r="P86" i="1"/>
  <c r="O86" i="1"/>
  <c r="N86" i="1"/>
  <c r="AJ86" i="1" s="1"/>
  <c r="M86" i="1"/>
  <c r="X86" i="1" s="1"/>
  <c r="L86" i="1"/>
  <c r="AJ85" i="1"/>
  <c r="AI85" i="1"/>
  <c r="AG85" i="1"/>
  <c r="AE85" i="1"/>
  <c r="AD85" i="1"/>
  <c r="AC85" i="1"/>
  <c r="AA85" i="1"/>
  <c r="Y85" i="1"/>
  <c r="X85" i="1"/>
  <c r="W85" i="1"/>
  <c r="V85" i="1"/>
  <c r="U85" i="1"/>
  <c r="T85" i="1"/>
  <c r="AB85" i="1" s="1"/>
  <c r="S85" i="1"/>
  <c r="Z85" i="1" s="1"/>
  <c r="R85" i="1"/>
  <c r="AH85" i="1" s="1"/>
  <c r="Q85" i="1"/>
  <c r="AF85" i="1" s="1"/>
  <c r="P85" i="1"/>
  <c r="O85" i="1"/>
  <c r="N85" i="1"/>
  <c r="M85" i="1"/>
  <c r="L85" i="1"/>
  <c r="AJ84" i="1"/>
  <c r="AI84" i="1"/>
  <c r="AH84" i="1"/>
  <c r="AG84" i="1"/>
  <c r="AF84" i="1"/>
  <c r="AE84" i="1"/>
  <c r="AD84" i="1"/>
  <c r="AC84" i="1"/>
  <c r="AA84" i="1"/>
  <c r="Y84" i="1"/>
  <c r="X84" i="1"/>
  <c r="W84" i="1"/>
  <c r="V84" i="1"/>
  <c r="U84" i="1"/>
  <c r="T84" i="1"/>
  <c r="AB84" i="1" s="1"/>
  <c r="S84" i="1"/>
  <c r="Z84" i="1" s="1"/>
  <c r="R84" i="1"/>
  <c r="Q84" i="1"/>
  <c r="P84" i="1"/>
  <c r="O84" i="1"/>
  <c r="N84" i="1"/>
  <c r="M84" i="1"/>
  <c r="L84" i="1"/>
  <c r="AJ83" i="1"/>
  <c r="AI83" i="1"/>
  <c r="AH83" i="1"/>
  <c r="AG83" i="1"/>
  <c r="AF83" i="1"/>
  <c r="AE83" i="1"/>
  <c r="AC83" i="1"/>
  <c r="AA83" i="1"/>
  <c r="Y83" i="1"/>
  <c r="X83" i="1"/>
  <c r="W83" i="1"/>
  <c r="V83" i="1"/>
  <c r="U83" i="1"/>
  <c r="T83" i="1"/>
  <c r="AB83" i="1" s="1"/>
  <c r="S83" i="1"/>
  <c r="Z83" i="1" s="1"/>
  <c r="R83" i="1"/>
  <c r="Q83" i="1"/>
  <c r="P83" i="1"/>
  <c r="O83" i="1"/>
  <c r="AD83" i="1" s="1"/>
  <c r="N83" i="1"/>
  <c r="M83" i="1"/>
  <c r="L83" i="1"/>
  <c r="AJ82" i="1"/>
  <c r="AI82" i="1"/>
  <c r="AH82" i="1"/>
  <c r="AG82" i="1"/>
  <c r="AF82" i="1"/>
  <c r="AE82" i="1"/>
  <c r="AD82" i="1"/>
  <c r="AC82" i="1"/>
  <c r="AA82" i="1"/>
  <c r="Z82" i="1"/>
  <c r="Y82" i="1"/>
  <c r="X82" i="1"/>
  <c r="W82" i="1"/>
  <c r="V82" i="1"/>
  <c r="U82" i="1"/>
  <c r="T82" i="1"/>
  <c r="AB82" i="1" s="1"/>
  <c r="S82" i="1"/>
  <c r="R82" i="1"/>
  <c r="Q82" i="1"/>
  <c r="P82" i="1"/>
  <c r="O82" i="1"/>
  <c r="N82" i="1"/>
  <c r="M82" i="1"/>
  <c r="L82" i="1"/>
  <c r="AJ81" i="1"/>
  <c r="AI81" i="1"/>
  <c r="AH81" i="1"/>
  <c r="AG81" i="1"/>
  <c r="AF81" i="1"/>
  <c r="AE81" i="1"/>
  <c r="AC81" i="1"/>
  <c r="AB81" i="1"/>
  <c r="AA81" i="1"/>
  <c r="Z81" i="1"/>
  <c r="Y81" i="1"/>
  <c r="W81" i="1"/>
  <c r="V81" i="1"/>
  <c r="U81" i="1"/>
  <c r="T81" i="1"/>
  <c r="S81" i="1"/>
  <c r="R81" i="1"/>
  <c r="Q81" i="1"/>
  <c r="P81" i="1"/>
  <c r="O81" i="1"/>
  <c r="AD81" i="1" s="1"/>
  <c r="N81" i="1"/>
  <c r="M81" i="1"/>
  <c r="X81" i="1" s="1"/>
  <c r="L81" i="1"/>
  <c r="AI80" i="1"/>
  <c r="AH80" i="1"/>
  <c r="AG80" i="1"/>
  <c r="AF80" i="1"/>
  <c r="AE80" i="1"/>
  <c r="AC80" i="1"/>
  <c r="AA80" i="1"/>
  <c r="Z80" i="1"/>
  <c r="Y80" i="1"/>
  <c r="X80" i="1"/>
  <c r="W80" i="1"/>
  <c r="U80" i="1"/>
  <c r="T80" i="1"/>
  <c r="AB80" i="1" s="1"/>
  <c r="S80" i="1"/>
  <c r="R80" i="1"/>
  <c r="Q80" i="1"/>
  <c r="P80" i="1"/>
  <c r="O80" i="1"/>
  <c r="AD80" i="1" s="1"/>
  <c r="N80" i="1"/>
  <c r="AJ80" i="1" s="1"/>
  <c r="M80" i="1"/>
  <c r="L80" i="1"/>
  <c r="V80" i="1" s="1"/>
  <c r="AI79" i="1"/>
  <c r="AG79" i="1"/>
  <c r="AE79" i="1"/>
  <c r="AC79" i="1"/>
  <c r="AB79" i="1"/>
  <c r="AA79" i="1"/>
  <c r="Z79" i="1"/>
  <c r="Y79" i="1"/>
  <c r="W79" i="1"/>
  <c r="U79" i="1"/>
  <c r="T79" i="1"/>
  <c r="S79" i="1"/>
  <c r="R79" i="1"/>
  <c r="AH79" i="1" s="1"/>
  <c r="Q79" i="1"/>
  <c r="AF79" i="1" s="1"/>
  <c r="P79" i="1"/>
  <c r="O79" i="1"/>
  <c r="AD79" i="1" s="1"/>
  <c r="N79" i="1"/>
  <c r="AJ79" i="1" s="1"/>
  <c r="M79" i="1"/>
  <c r="X79" i="1" s="1"/>
  <c r="L79" i="1"/>
  <c r="V79" i="1" s="1"/>
  <c r="AI78" i="1"/>
  <c r="AH78" i="1"/>
  <c r="AG78" i="1"/>
  <c r="AE78" i="1"/>
  <c r="AC78" i="1"/>
  <c r="AB78" i="1"/>
  <c r="AA78" i="1"/>
  <c r="Z78" i="1"/>
  <c r="Y78" i="1"/>
  <c r="X78" i="1"/>
  <c r="W78" i="1"/>
  <c r="U78" i="1"/>
  <c r="T78" i="1"/>
  <c r="S78" i="1"/>
  <c r="R78" i="1"/>
  <c r="Q78" i="1"/>
  <c r="AF78" i="1" s="1"/>
  <c r="P78" i="1"/>
  <c r="O78" i="1"/>
  <c r="AD78" i="1" s="1"/>
  <c r="N78" i="1"/>
  <c r="AJ78" i="1" s="1"/>
  <c r="M78" i="1"/>
  <c r="L78" i="1"/>
  <c r="V78" i="1" s="1"/>
  <c r="AI77" i="1"/>
  <c r="AG77" i="1"/>
  <c r="AE77" i="1"/>
  <c r="AC77" i="1"/>
  <c r="AB77" i="1"/>
  <c r="AA77" i="1"/>
  <c r="Z77" i="1"/>
  <c r="Y77" i="1"/>
  <c r="W77" i="1"/>
  <c r="U77" i="1"/>
  <c r="T77" i="1"/>
  <c r="S77" i="1"/>
  <c r="R77" i="1"/>
  <c r="AH77" i="1" s="1"/>
  <c r="Q77" i="1"/>
  <c r="AF77" i="1" s="1"/>
  <c r="P77" i="1"/>
  <c r="O77" i="1"/>
  <c r="AD77" i="1" s="1"/>
  <c r="N77" i="1"/>
  <c r="AJ77" i="1" s="1"/>
  <c r="M77" i="1"/>
  <c r="X77" i="1" s="1"/>
  <c r="L77" i="1"/>
  <c r="V77" i="1" s="1"/>
  <c r="AJ76" i="1"/>
  <c r="AI76" i="1"/>
  <c r="AG76" i="1"/>
  <c r="AE76" i="1"/>
  <c r="AD76" i="1"/>
  <c r="AC76" i="1"/>
  <c r="AB76" i="1"/>
  <c r="AA76" i="1"/>
  <c r="Z76" i="1"/>
  <c r="Y76" i="1"/>
  <c r="X76" i="1"/>
  <c r="W76" i="1"/>
  <c r="U76" i="1"/>
  <c r="T76" i="1"/>
  <c r="S76" i="1"/>
  <c r="R76" i="1"/>
  <c r="AH76" i="1" s="1"/>
  <c r="Q76" i="1"/>
  <c r="AF76" i="1" s="1"/>
  <c r="P76" i="1"/>
  <c r="O76" i="1"/>
  <c r="N76" i="1"/>
  <c r="M76" i="1"/>
  <c r="L76" i="1"/>
  <c r="V76" i="1" s="1"/>
  <c r="AI75" i="1"/>
  <c r="AG75" i="1"/>
  <c r="AE75" i="1"/>
  <c r="AC75" i="1"/>
  <c r="AB75" i="1"/>
  <c r="AA75" i="1"/>
  <c r="Y75" i="1"/>
  <c r="W75" i="1"/>
  <c r="V75" i="1"/>
  <c r="U75" i="1"/>
  <c r="T75" i="1"/>
  <c r="S75" i="1"/>
  <c r="Z75" i="1" s="1"/>
  <c r="R75" i="1"/>
  <c r="AH75" i="1" s="1"/>
  <c r="Q75" i="1"/>
  <c r="AF75" i="1" s="1"/>
  <c r="P75" i="1"/>
  <c r="O75" i="1"/>
  <c r="AD75" i="1" s="1"/>
  <c r="N75" i="1"/>
  <c r="AJ75" i="1" s="1"/>
  <c r="M75" i="1"/>
  <c r="X75" i="1" s="1"/>
  <c r="L75" i="1"/>
  <c r="AI74" i="1"/>
  <c r="AG74" i="1"/>
  <c r="AF74" i="1"/>
  <c r="AE74" i="1"/>
  <c r="AD74" i="1"/>
  <c r="AC74" i="1"/>
  <c r="AA74" i="1"/>
  <c r="Z74" i="1"/>
  <c r="Y74" i="1"/>
  <c r="X74" i="1"/>
  <c r="W74" i="1"/>
  <c r="V74" i="1"/>
  <c r="U74" i="1"/>
  <c r="T74" i="1"/>
  <c r="AB74" i="1" s="1"/>
  <c r="S74" i="1"/>
  <c r="R74" i="1"/>
  <c r="AH74" i="1" s="1"/>
  <c r="Q74" i="1"/>
  <c r="P74" i="1"/>
  <c r="O74" i="1"/>
  <c r="N74" i="1"/>
  <c r="AJ74" i="1" s="1"/>
  <c r="M74" i="1"/>
  <c r="L74" i="1"/>
  <c r="AJ73" i="1"/>
  <c r="AI73" i="1"/>
  <c r="AG73" i="1"/>
  <c r="AF73" i="1"/>
  <c r="AE73" i="1"/>
  <c r="AC73" i="1"/>
  <c r="AA73" i="1"/>
  <c r="Y73" i="1"/>
  <c r="X73" i="1"/>
  <c r="W73" i="1"/>
  <c r="V73" i="1"/>
  <c r="U73" i="1"/>
  <c r="T73" i="1"/>
  <c r="AB73" i="1" s="1"/>
  <c r="S73" i="1"/>
  <c r="Z73" i="1" s="1"/>
  <c r="R73" i="1"/>
  <c r="AH73" i="1" s="1"/>
  <c r="Q73" i="1"/>
  <c r="P73" i="1"/>
  <c r="O73" i="1"/>
  <c r="AD73" i="1" s="1"/>
  <c r="N73" i="1"/>
  <c r="M73" i="1"/>
  <c r="L73" i="1"/>
  <c r="AJ72" i="1"/>
  <c r="AI72" i="1"/>
  <c r="AG72" i="1"/>
  <c r="AF72" i="1"/>
  <c r="AE72" i="1"/>
  <c r="AD72" i="1"/>
  <c r="AC72" i="1"/>
  <c r="AB72" i="1"/>
  <c r="AA72" i="1"/>
  <c r="Y72" i="1"/>
  <c r="X72" i="1"/>
  <c r="W72" i="1"/>
  <c r="V72" i="1"/>
  <c r="U72" i="1"/>
  <c r="T72" i="1"/>
  <c r="S72" i="1"/>
  <c r="Z72" i="1" s="1"/>
  <c r="R72" i="1"/>
  <c r="AH72" i="1" s="1"/>
  <c r="Q72" i="1"/>
  <c r="P72" i="1"/>
  <c r="O72" i="1"/>
  <c r="N72" i="1"/>
  <c r="M72" i="1"/>
  <c r="L72" i="1"/>
  <c r="AJ71" i="1"/>
  <c r="AI71" i="1"/>
  <c r="AH71" i="1"/>
  <c r="AG71" i="1"/>
  <c r="AE71" i="1"/>
  <c r="AC71" i="1"/>
  <c r="AA71" i="1"/>
  <c r="Y71" i="1"/>
  <c r="X71" i="1"/>
  <c r="W71" i="1"/>
  <c r="V71" i="1"/>
  <c r="U71" i="1"/>
  <c r="T71" i="1"/>
  <c r="AB71" i="1" s="1"/>
  <c r="S71" i="1"/>
  <c r="Z71" i="1" s="1"/>
  <c r="R71" i="1"/>
  <c r="Q71" i="1"/>
  <c r="AF71" i="1" s="1"/>
  <c r="P71" i="1"/>
  <c r="O71" i="1"/>
  <c r="AD71" i="1" s="1"/>
  <c r="N71" i="1"/>
  <c r="M71" i="1"/>
  <c r="L71" i="1"/>
  <c r="AJ70" i="1"/>
  <c r="AI70" i="1"/>
  <c r="AH70" i="1"/>
  <c r="AG70" i="1"/>
  <c r="AF70" i="1"/>
  <c r="AE70" i="1"/>
  <c r="AD70" i="1"/>
  <c r="AC70" i="1"/>
  <c r="AA70" i="1"/>
  <c r="Z70" i="1"/>
  <c r="Y70" i="1"/>
  <c r="X70" i="1"/>
  <c r="W70" i="1"/>
  <c r="V70" i="1"/>
  <c r="U70" i="1"/>
  <c r="T70" i="1"/>
  <c r="AB70" i="1" s="1"/>
  <c r="S70" i="1"/>
  <c r="R70" i="1"/>
  <c r="Q70" i="1"/>
  <c r="P70" i="1"/>
  <c r="O70" i="1"/>
  <c r="N70" i="1"/>
  <c r="M70" i="1"/>
  <c r="L70" i="1"/>
  <c r="AJ69" i="1"/>
  <c r="AI69" i="1"/>
  <c r="AH69" i="1"/>
  <c r="AG69" i="1"/>
  <c r="AE69" i="1"/>
  <c r="AC69" i="1"/>
  <c r="AB69" i="1"/>
  <c r="AA69" i="1"/>
  <c r="Y69" i="1"/>
  <c r="X69" i="1"/>
  <c r="W69" i="1"/>
  <c r="V69" i="1"/>
  <c r="U69" i="1"/>
  <c r="T69" i="1"/>
  <c r="S69" i="1"/>
  <c r="Z69" i="1" s="1"/>
  <c r="R69" i="1"/>
  <c r="Q69" i="1"/>
  <c r="AF69" i="1" s="1"/>
  <c r="P69" i="1"/>
  <c r="O69" i="1"/>
  <c r="AD69" i="1" s="1"/>
  <c r="N69" i="1"/>
  <c r="M69" i="1"/>
  <c r="L69" i="1"/>
  <c r="AI68" i="1"/>
  <c r="AH68" i="1"/>
  <c r="AG68" i="1"/>
  <c r="AF68" i="1"/>
  <c r="AE68" i="1"/>
  <c r="AC68" i="1"/>
  <c r="AA68" i="1"/>
  <c r="Z68" i="1"/>
  <c r="Y68" i="1"/>
  <c r="W68" i="1"/>
  <c r="V68" i="1"/>
  <c r="U68" i="1"/>
  <c r="T68" i="1"/>
  <c r="AB68" i="1" s="1"/>
  <c r="S68" i="1"/>
  <c r="R68" i="1"/>
  <c r="Q68" i="1"/>
  <c r="P68" i="1"/>
  <c r="O68" i="1"/>
  <c r="AD68" i="1" s="1"/>
  <c r="N68" i="1"/>
  <c r="AJ68" i="1" s="1"/>
  <c r="M68" i="1"/>
  <c r="X68" i="1" s="1"/>
  <c r="L68" i="1"/>
  <c r="AI67" i="1"/>
  <c r="AG67" i="1"/>
  <c r="AE67" i="1"/>
  <c r="AC67" i="1"/>
  <c r="AB67" i="1"/>
  <c r="AA67" i="1"/>
  <c r="Z67" i="1"/>
  <c r="Y67" i="1"/>
  <c r="X67" i="1"/>
  <c r="W67" i="1"/>
  <c r="U67" i="1"/>
  <c r="T67" i="1"/>
  <c r="S67" i="1"/>
  <c r="R67" i="1"/>
  <c r="AH67" i="1" s="1"/>
  <c r="Q67" i="1"/>
  <c r="AF67" i="1" s="1"/>
  <c r="P67" i="1"/>
  <c r="O67" i="1"/>
  <c r="AD67" i="1" s="1"/>
  <c r="N67" i="1"/>
  <c r="AJ67" i="1" s="1"/>
  <c r="M67" i="1"/>
  <c r="L67" i="1"/>
  <c r="V67" i="1" s="1"/>
  <c r="AI66" i="1"/>
  <c r="AH66" i="1"/>
  <c r="AG66" i="1"/>
  <c r="AE66" i="1"/>
  <c r="AC66" i="1"/>
  <c r="AB66" i="1"/>
  <c r="AA66" i="1"/>
  <c r="Z66" i="1"/>
  <c r="Y66" i="1"/>
  <c r="W66" i="1"/>
  <c r="V66" i="1"/>
  <c r="U66" i="1"/>
  <c r="T66" i="1"/>
  <c r="S66" i="1"/>
  <c r="R66" i="1"/>
  <c r="Q66" i="1"/>
  <c r="AF66" i="1" s="1"/>
  <c r="P66" i="1"/>
  <c r="O66" i="1"/>
  <c r="AD66" i="1" s="1"/>
  <c r="N66" i="1"/>
  <c r="AJ66" i="1" s="1"/>
  <c r="M66" i="1"/>
  <c r="X66" i="1" s="1"/>
  <c r="L66" i="1"/>
  <c r="AI65" i="1"/>
  <c r="AG65" i="1"/>
  <c r="AE65" i="1"/>
  <c r="AC65" i="1"/>
  <c r="AB65" i="1"/>
  <c r="AA65" i="1"/>
  <c r="Z65" i="1"/>
  <c r="Y65" i="1"/>
  <c r="W65" i="1"/>
  <c r="U65" i="1"/>
  <c r="T65" i="1"/>
  <c r="S65" i="1"/>
  <c r="R65" i="1"/>
  <c r="AH65" i="1" s="1"/>
  <c r="Q65" i="1"/>
  <c r="AF65" i="1" s="1"/>
  <c r="P65" i="1"/>
  <c r="O65" i="1"/>
  <c r="AD65" i="1" s="1"/>
  <c r="N65" i="1"/>
  <c r="AJ65" i="1" s="1"/>
  <c r="M65" i="1"/>
  <c r="X65" i="1" s="1"/>
  <c r="L65" i="1"/>
  <c r="V65" i="1" s="1"/>
  <c r="AI64" i="1"/>
  <c r="AG64" i="1"/>
  <c r="AE64" i="1"/>
  <c r="AC64" i="1"/>
  <c r="AB64" i="1"/>
  <c r="AA64" i="1"/>
  <c r="Z64" i="1"/>
  <c r="Y64" i="1"/>
  <c r="X64" i="1"/>
  <c r="W64" i="1"/>
  <c r="U64" i="1"/>
  <c r="T64" i="1"/>
  <c r="S64" i="1"/>
  <c r="R64" i="1"/>
  <c r="AH64" i="1" s="1"/>
  <c r="Q64" i="1"/>
  <c r="AF64" i="1" s="1"/>
  <c r="P64" i="1"/>
  <c r="O64" i="1"/>
  <c r="AD64" i="1" s="1"/>
  <c r="N64" i="1"/>
  <c r="AJ64" i="1" s="1"/>
  <c r="M64" i="1"/>
  <c r="L64" i="1"/>
  <c r="V64" i="1" s="1"/>
  <c r="AI63" i="1"/>
  <c r="AG63" i="1"/>
  <c r="AE63" i="1"/>
  <c r="AC63" i="1"/>
  <c r="AB63" i="1"/>
  <c r="AA63" i="1"/>
  <c r="Y63" i="1"/>
  <c r="W63" i="1"/>
  <c r="V63" i="1"/>
  <c r="U63" i="1"/>
  <c r="T63" i="1"/>
  <c r="S63" i="1"/>
  <c r="Z63" i="1" s="1"/>
  <c r="R63" i="1"/>
  <c r="AH63" i="1" s="1"/>
  <c r="Q63" i="1"/>
  <c r="AF63" i="1" s="1"/>
  <c r="P63" i="1"/>
  <c r="O63" i="1"/>
  <c r="AD63" i="1" s="1"/>
  <c r="N63" i="1"/>
  <c r="AJ63" i="1" s="1"/>
  <c r="M63" i="1"/>
  <c r="X63" i="1" s="1"/>
  <c r="L63" i="1"/>
  <c r="AI62" i="1"/>
  <c r="AG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AH62" i="1" s="1"/>
  <c r="Q62" i="1"/>
  <c r="AF62" i="1" s="1"/>
  <c r="P62" i="1"/>
  <c r="O62" i="1"/>
  <c r="N62" i="1"/>
  <c r="AJ62" i="1" s="1"/>
  <c r="M62" i="1"/>
  <c r="L62" i="1"/>
  <c r="AJ61" i="1"/>
  <c r="AI61" i="1"/>
  <c r="AG61" i="1"/>
  <c r="AE61" i="1"/>
  <c r="AC61" i="1"/>
  <c r="AA61" i="1"/>
  <c r="Y61" i="1"/>
  <c r="X61" i="1"/>
  <c r="W61" i="1"/>
  <c r="V61" i="1"/>
  <c r="U61" i="1"/>
  <c r="T61" i="1"/>
  <c r="AB61" i="1" s="1"/>
  <c r="S61" i="1"/>
  <c r="Z61" i="1" s="1"/>
  <c r="R61" i="1"/>
  <c r="AH61" i="1" s="1"/>
  <c r="Q61" i="1"/>
  <c r="AF61" i="1" s="1"/>
  <c r="P61" i="1"/>
  <c r="O61" i="1"/>
  <c r="AD61" i="1" s="1"/>
  <c r="N61" i="1"/>
  <c r="M61" i="1"/>
  <c r="L61" i="1"/>
  <c r="AJ60" i="1"/>
  <c r="AI60" i="1"/>
  <c r="AH60" i="1"/>
  <c r="AG60" i="1"/>
  <c r="AF60" i="1"/>
  <c r="AE60" i="1"/>
  <c r="AD60" i="1"/>
  <c r="AC60" i="1"/>
  <c r="AB60" i="1"/>
  <c r="AA60" i="1"/>
  <c r="Y60" i="1"/>
  <c r="X60" i="1"/>
  <c r="W60" i="1"/>
  <c r="V60" i="1"/>
  <c r="U60" i="1"/>
  <c r="T60" i="1"/>
  <c r="S60" i="1"/>
  <c r="Z60" i="1" s="1"/>
  <c r="R60" i="1"/>
  <c r="Q60" i="1"/>
  <c r="P60" i="1"/>
  <c r="O60" i="1"/>
  <c r="N60" i="1"/>
  <c r="M60" i="1"/>
  <c r="L60" i="1"/>
  <c r="AJ59" i="1"/>
  <c r="AI59" i="1"/>
  <c r="AH59" i="1"/>
  <c r="AG59" i="1"/>
  <c r="AE59" i="1"/>
  <c r="AC59" i="1"/>
  <c r="AA59" i="1"/>
  <c r="Y59" i="1"/>
  <c r="X59" i="1"/>
  <c r="W59" i="1"/>
  <c r="V59" i="1"/>
  <c r="U59" i="1"/>
  <c r="T59" i="1"/>
  <c r="AB59" i="1" s="1"/>
  <c r="S59" i="1"/>
  <c r="Z59" i="1" s="1"/>
  <c r="R59" i="1"/>
  <c r="Q59" i="1"/>
  <c r="AF59" i="1" s="1"/>
  <c r="P59" i="1"/>
  <c r="O59" i="1"/>
  <c r="AD59" i="1" s="1"/>
  <c r="N59" i="1"/>
  <c r="M59" i="1"/>
  <c r="L59" i="1"/>
  <c r="AJ58" i="1"/>
  <c r="AI58" i="1"/>
  <c r="AH58" i="1"/>
  <c r="AG58" i="1"/>
  <c r="AF58" i="1"/>
  <c r="AE58" i="1"/>
  <c r="AD58" i="1"/>
  <c r="AC58" i="1"/>
  <c r="AA58" i="1"/>
  <c r="Z58" i="1"/>
  <c r="Y58" i="1"/>
  <c r="X58" i="1"/>
  <c r="W58" i="1"/>
  <c r="V58" i="1"/>
  <c r="U58" i="1"/>
  <c r="T58" i="1"/>
  <c r="AB58" i="1" s="1"/>
  <c r="S58" i="1"/>
  <c r="R58" i="1"/>
  <c r="Q58" i="1"/>
  <c r="P58" i="1"/>
  <c r="O58" i="1"/>
  <c r="N58" i="1"/>
  <c r="M58" i="1"/>
  <c r="L58" i="1"/>
  <c r="AJ57" i="1"/>
  <c r="AI57" i="1"/>
  <c r="AH57" i="1"/>
  <c r="AG57" i="1"/>
  <c r="AF57" i="1"/>
  <c r="AE57" i="1"/>
  <c r="AC57" i="1"/>
  <c r="AB57" i="1"/>
  <c r="AA57" i="1"/>
  <c r="Y57" i="1"/>
  <c r="X57" i="1"/>
  <c r="W57" i="1"/>
  <c r="V57" i="1"/>
  <c r="U57" i="1"/>
  <c r="T57" i="1"/>
  <c r="S57" i="1"/>
  <c r="Z57" i="1" s="1"/>
  <c r="R57" i="1"/>
  <c r="Q57" i="1"/>
  <c r="P57" i="1"/>
  <c r="O57" i="1"/>
  <c r="AD57" i="1" s="1"/>
  <c r="N57" i="1"/>
  <c r="M57" i="1"/>
  <c r="L57" i="1"/>
  <c r="AJ56" i="1"/>
  <c r="AI56" i="1"/>
  <c r="AH56" i="1"/>
  <c r="AG56" i="1"/>
  <c r="AF56" i="1"/>
  <c r="AE56" i="1"/>
  <c r="AC56" i="1"/>
  <c r="AA56" i="1"/>
  <c r="Z56" i="1"/>
  <c r="Y56" i="1"/>
  <c r="X56" i="1"/>
  <c r="W56" i="1"/>
  <c r="V56" i="1"/>
  <c r="U56" i="1"/>
  <c r="T56" i="1"/>
  <c r="AB56" i="1" s="1"/>
  <c r="S56" i="1"/>
  <c r="R56" i="1"/>
  <c r="Q56" i="1"/>
  <c r="P56" i="1"/>
  <c r="O56" i="1"/>
  <c r="AD56" i="1" s="1"/>
  <c r="N56" i="1"/>
  <c r="M56" i="1"/>
  <c r="L56" i="1"/>
  <c r="AJ55" i="1"/>
  <c r="AI55" i="1"/>
  <c r="AG55" i="1"/>
  <c r="AE55" i="1"/>
  <c r="AC55" i="1"/>
  <c r="AB55" i="1"/>
  <c r="AA55" i="1"/>
  <c r="Z55" i="1"/>
  <c r="Y55" i="1"/>
  <c r="W55" i="1"/>
  <c r="U55" i="1"/>
  <c r="T55" i="1"/>
  <c r="S55" i="1"/>
  <c r="R55" i="1"/>
  <c r="AH55" i="1" s="1"/>
  <c r="Q55" i="1"/>
  <c r="AF55" i="1" s="1"/>
  <c r="P55" i="1"/>
  <c r="O55" i="1"/>
  <c r="AD55" i="1" s="1"/>
  <c r="N55" i="1"/>
  <c r="M55" i="1"/>
  <c r="X55" i="1" s="1"/>
  <c r="L55" i="1"/>
  <c r="V55" i="1" s="1"/>
  <c r="AI54" i="1"/>
  <c r="AH54" i="1"/>
  <c r="AG54" i="1"/>
  <c r="AE54" i="1"/>
  <c r="AC54" i="1"/>
  <c r="AB54" i="1"/>
  <c r="AA54" i="1"/>
  <c r="Z54" i="1"/>
  <c r="Y54" i="1"/>
  <c r="X54" i="1"/>
  <c r="W54" i="1"/>
  <c r="U54" i="1"/>
  <c r="T54" i="1"/>
  <c r="S54" i="1"/>
  <c r="R54" i="1"/>
  <c r="Q54" i="1"/>
  <c r="AF54" i="1" s="1"/>
  <c r="P54" i="1"/>
  <c r="O54" i="1"/>
  <c r="AD54" i="1" s="1"/>
  <c r="N54" i="1"/>
  <c r="AJ54" i="1" s="1"/>
  <c r="M54" i="1"/>
  <c r="L54" i="1"/>
  <c r="V54" i="1" s="1"/>
  <c r="AI53" i="1"/>
  <c r="AG53" i="1"/>
  <c r="AE53" i="1"/>
  <c r="AC53" i="1"/>
  <c r="AB53" i="1"/>
  <c r="AA53" i="1"/>
  <c r="Z53" i="1"/>
  <c r="Y53" i="1"/>
  <c r="W53" i="1"/>
  <c r="U53" i="1"/>
  <c r="T53" i="1"/>
  <c r="S53" i="1"/>
  <c r="R53" i="1"/>
  <c r="AH53" i="1" s="1"/>
  <c r="Q53" i="1"/>
  <c r="AF53" i="1" s="1"/>
  <c r="P53" i="1"/>
  <c r="O53" i="1"/>
  <c r="AD53" i="1" s="1"/>
  <c r="N53" i="1"/>
  <c r="AJ53" i="1" s="1"/>
  <c r="M53" i="1"/>
  <c r="X53" i="1" s="1"/>
  <c r="L53" i="1"/>
  <c r="V53" i="1" s="1"/>
  <c r="AJ52" i="1"/>
  <c r="AI52" i="1"/>
  <c r="AG52" i="1"/>
  <c r="AE52" i="1"/>
  <c r="AD52" i="1"/>
  <c r="AC52" i="1"/>
  <c r="AB52" i="1"/>
  <c r="AA52" i="1"/>
  <c r="Z52" i="1"/>
  <c r="Y52" i="1"/>
  <c r="X52" i="1"/>
  <c r="W52" i="1"/>
  <c r="U52" i="1"/>
  <c r="T52" i="1"/>
  <c r="S52" i="1"/>
  <c r="R52" i="1"/>
  <c r="AH52" i="1" s="1"/>
  <c r="Q52" i="1"/>
  <c r="AF52" i="1" s="1"/>
  <c r="P52" i="1"/>
  <c r="O52" i="1"/>
  <c r="N52" i="1"/>
  <c r="M52" i="1"/>
  <c r="L52" i="1"/>
  <c r="V52" i="1" s="1"/>
  <c r="AI51" i="1"/>
  <c r="AG51" i="1"/>
  <c r="AE51" i="1"/>
  <c r="AD51" i="1"/>
  <c r="AC51" i="1"/>
  <c r="AB51" i="1"/>
  <c r="AA51" i="1"/>
  <c r="Y51" i="1"/>
  <c r="W51" i="1"/>
  <c r="V51" i="1"/>
  <c r="U51" i="1"/>
  <c r="T51" i="1"/>
  <c r="S51" i="1"/>
  <c r="Z51" i="1" s="1"/>
  <c r="R51" i="1"/>
  <c r="AH51" i="1" s="1"/>
  <c r="Q51" i="1"/>
  <c r="AF51" i="1" s="1"/>
  <c r="P51" i="1"/>
  <c r="O51" i="1"/>
  <c r="N51" i="1"/>
  <c r="AJ51" i="1" s="1"/>
  <c r="M51" i="1"/>
  <c r="X51" i="1" s="1"/>
  <c r="L51" i="1"/>
  <c r="AI50" i="1"/>
  <c r="AG50" i="1"/>
  <c r="AE50" i="1"/>
  <c r="AD50" i="1"/>
  <c r="AC50" i="1"/>
  <c r="AB50" i="1"/>
  <c r="AA50" i="1"/>
  <c r="Y50" i="1"/>
  <c r="X50" i="1"/>
  <c r="W50" i="1"/>
  <c r="V50" i="1"/>
  <c r="U50" i="1"/>
  <c r="T50" i="1"/>
  <c r="S50" i="1"/>
  <c r="Z50" i="1" s="1"/>
  <c r="R50" i="1"/>
  <c r="AH50" i="1" s="1"/>
  <c r="Q50" i="1"/>
  <c r="AF50" i="1" s="1"/>
  <c r="P50" i="1"/>
  <c r="O50" i="1"/>
  <c r="N50" i="1"/>
  <c r="AJ50" i="1" s="1"/>
  <c r="M50" i="1"/>
  <c r="L50" i="1"/>
  <c r="AJ49" i="1"/>
  <c r="AI49" i="1"/>
  <c r="AG49" i="1"/>
  <c r="AE49" i="1"/>
  <c r="AC49" i="1"/>
  <c r="AA49" i="1"/>
  <c r="Y49" i="1"/>
  <c r="X49" i="1"/>
  <c r="W49" i="1"/>
  <c r="V49" i="1"/>
  <c r="U49" i="1"/>
  <c r="T49" i="1"/>
  <c r="AB49" i="1" s="1"/>
  <c r="S49" i="1"/>
  <c r="Z49" i="1" s="1"/>
  <c r="R49" i="1"/>
  <c r="AH49" i="1" s="1"/>
  <c r="Q49" i="1"/>
  <c r="AF49" i="1" s="1"/>
  <c r="P49" i="1"/>
  <c r="O49" i="1"/>
  <c r="AD49" i="1" s="1"/>
  <c r="N49" i="1"/>
  <c r="M49" i="1"/>
  <c r="L49" i="1"/>
  <c r="AJ48" i="1"/>
  <c r="AI48" i="1"/>
  <c r="AH48" i="1"/>
  <c r="AG48" i="1"/>
  <c r="AF48" i="1"/>
  <c r="AE48" i="1"/>
  <c r="AD48" i="1"/>
  <c r="AC48" i="1"/>
  <c r="AB48" i="1"/>
  <c r="AA48" i="1"/>
  <c r="Y48" i="1"/>
  <c r="X48" i="1"/>
  <c r="W48" i="1"/>
  <c r="V48" i="1"/>
  <c r="U48" i="1"/>
  <c r="T48" i="1"/>
  <c r="S48" i="1"/>
  <c r="Z48" i="1" s="1"/>
  <c r="R48" i="1"/>
  <c r="Q48" i="1"/>
  <c r="P48" i="1"/>
  <c r="O48" i="1"/>
  <c r="N48" i="1"/>
  <c r="M48" i="1"/>
  <c r="L48" i="1"/>
  <c r="AJ47" i="1"/>
  <c r="AI47" i="1"/>
  <c r="AH47" i="1"/>
  <c r="AG47" i="1"/>
  <c r="AE47" i="1"/>
  <c r="AC47" i="1"/>
  <c r="AA47" i="1"/>
  <c r="Y47" i="1"/>
  <c r="X47" i="1"/>
  <c r="W47" i="1"/>
  <c r="U47" i="1"/>
  <c r="T47" i="1"/>
  <c r="AB47" i="1" s="1"/>
  <c r="S47" i="1"/>
  <c r="Z47" i="1" s="1"/>
  <c r="R47" i="1"/>
  <c r="Q47" i="1"/>
  <c r="AF47" i="1" s="1"/>
  <c r="P47" i="1"/>
  <c r="O47" i="1"/>
  <c r="AD47" i="1" s="1"/>
  <c r="N47" i="1"/>
  <c r="M47" i="1"/>
  <c r="L47" i="1"/>
  <c r="V47" i="1" s="1"/>
  <c r="AJ46" i="1"/>
  <c r="AI46" i="1"/>
  <c r="AH46" i="1"/>
  <c r="AG46" i="1"/>
  <c r="AF46" i="1"/>
  <c r="AE46" i="1"/>
  <c r="AD46" i="1"/>
  <c r="AC46" i="1"/>
  <c r="AA46" i="1"/>
  <c r="Z46" i="1"/>
  <c r="Y46" i="1"/>
  <c r="X46" i="1"/>
  <c r="W46" i="1"/>
  <c r="U46" i="1"/>
  <c r="T46" i="1"/>
  <c r="AB46" i="1" s="1"/>
  <c r="S46" i="1"/>
  <c r="R46" i="1"/>
  <c r="Q46" i="1"/>
  <c r="P46" i="1"/>
  <c r="O46" i="1"/>
  <c r="N46" i="1"/>
  <c r="M46" i="1"/>
  <c r="L46" i="1"/>
  <c r="V46" i="1" s="1"/>
  <c r="AJ45" i="1"/>
  <c r="AI45" i="1"/>
  <c r="AH45" i="1"/>
  <c r="AG45" i="1"/>
  <c r="AE45" i="1"/>
  <c r="AC45" i="1"/>
  <c r="AB45" i="1"/>
  <c r="AA45" i="1"/>
  <c r="Y45" i="1"/>
  <c r="X45" i="1"/>
  <c r="W45" i="1"/>
  <c r="V45" i="1"/>
  <c r="U45" i="1"/>
  <c r="T45" i="1"/>
  <c r="S45" i="1"/>
  <c r="Z45" i="1" s="1"/>
  <c r="R45" i="1"/>
  <c r="Q45" i="1"/>
  <c r="AF45" i="1" s="1"/>
  <c r="P45" i="1"/>
  <c r="O45" i="1"/>
  <c r="AD45" i="1" s="1"/>
  <c r="N45" i="1"/>
  <c r="M45" i="1"/>
  <c r="L45" i="1"/>
  <c r="AJ44" i="1"/>
  <c r="AI44" i="1"/>
  <c r="AH44" i="1"/>
  <c r="AG44" i="1"/>
  <c r="AF44" i="1"/>
  <c r="AE44" i="1"/>
  <c r="AC44" i="1"/>
  <c r="AA44" i="1"/>
  <c r="Z44" i="1"/>
  <c r="Y44" i="1"/>
  <c r="X44" i="1"/>
  <c r="W44" i="1"/>
  <c r="V44" i="1"/>
  <c r="U44" i="1"/>
  <c r="T44" i="1"/>
  <c r="AB44" i="1" s="1"/>
  <c r="S44" i="1"/>
  <c r="R44" i="1"/>
  <c r="Q44" i="1"/>
  <c r="P44" i="1"/>
  <c r="O44" i="1"/>
  <c r="AD44" i="1" s="1"/>
  <c r="N44" i="1"/>
  <c r="M44" i="1"/>
  <c r="L44" i="1"/>
  <c r="AI43" i="1"/>
  <c r="AG43" i="1"/>
  <c r="AE43" i="1"/>
  <c r="AC43" i="1"/>
  <c r="AB43" i="1"/>
  <c r="AA43" i="1"/>
  <c r="Z43" i="1"/>
  <c r="Y43" i="1"/>
  <c r="X43" i="1"/>
  <c r="W43" i="1"/>
  <c r="U43" i="1"/>
  <c r="T43" i="1"/>
  <c r="S43" i="1"/>
  <c r="R43" i="1"/>
  <c r="AH43" i="1" s="1"/>
  <c r="Q43" i="1"/>
  <c r="AF43" i="1" s="1"/>
  <c r="P43" i="1"/>
  <c r="O43" i="1"/>
  <c r="AD43" i="1" s="1"/>
  <c r="N43" i="1"/>
  <c r="AJ43" i="1" s="1"/>
  <c r="M43" i="1"/>
  <c r="L43" i="1"/>
  <c r="V43" i="1" s="1"/>
  <c r="AI42" i="1"/>
  <c r="AH42" i="1"/>
  <c r="AG42" i="1"/>
  <c r="AE42" i="1"/>
  <c r="AC42" i="1"/>
  <c r="AB42" i="1"/>
  <c r="AA42" i="1"/>
  <c r="Z42" i="1"/>
  <c r="Y42" i="1"/>
  <c r="W42" i="1"/>
  <c r="V42" i="1"/>
  <c r="U42" i="1"/>
  <c r="T42" i="1"/>
  <c r="S42" i="1"/>
  <c r="R42" i="1"/>
  <c r="Q42" i="1"/>
  <c r="AF42" i="1" s="1"/>
  <c r="P42" i="1"/>
  <c r="O42" i="1"/>
  <c r="AD42" i="1" s="1"/>
  <c r="N42" i="1"/>
  <c r="AJ42" i="1" s="1"/>
  <c r="M42" i="1"/>
  <c r="X42" i="1" s="1"/>
  <c r="L42" i="1"/>
  <c r="AB41" i="1"/>
  <c r="AA41" i="1"/>
  <c r="Z41" i="1"/>
  <c r="Y41" i="1"/>
  <c r="U41" i="1"/>
  <c r="T41" i="1"/>
  <c r="S41" i="1"/>
  <c r="R41" i="1"/>
  <c r="Q41" i="1"/>
  <c r="P41" i="1"/>
  <c r="O41" i="1"/>
  <c r="AC41" i="1" s="1"/>
  <c r="N41" i="1"/>
  <c r="AJ41" i="1" s="1"/>
  <c r="M41" i="1"/>
  <c r="X41" i="1" s="1"/>
  <c r="L41" i="1"/>
  <c r="V41" i="1" s="1"/>
  <c r="AJ40" i="1"/>
  <c r="AH40" i="1"/>
  <c r="AF40" i="1"/>
  <c r="AE40" i="1"/>
  <c r="AD40" i="1"/>
  <c r="AB40" i="1"/>
  <c r="AA40" i="1"/>
  <c r="Z40" i="1"/>
  <c r="X40" i="1"/>
  <c r="V40" i="1"/>
  <c r="T40" i="1"/>
  <c r="S40" i="1"/>
  <c r="Y40" i="1" s="1"/>
  <c r="R40" i="1"/>
  <c r="AG40" i="1" s="1"/>
  <c r="Q40" i="1"/>
  <c r="P40" i="1"/>
  <c r="O40" i="1"/>
  <c r="AC40" i="1" s="1"/>
  <c r="N40" i="1"/>
  <c r="AI40" i="1" s="1"/>
  <c r="M40" i="1"/>
  <c r="W40" i="1" s="1"/>
  <c r="L40" i="1"/>
  <c r="U40" i="1" s="1"/>
  <c r="AJ39" i="1"/>
  <c r="AI39" i="1"/>
  <c r="AH39" i="1"/>
  <c r="AF39" i="1"/>
  <c r="AE39" i="1"/>
  <c r="AD39" i="1"/>
  <c r="AB39" i="1"/>
  <c r="AA39" i="1"/>
  <c r="Z39" i="1"/>
  <c r="X39" i="1"/>
  <c r="V39" i="1"/>
  <c r="U39" i="1"/>
  <c r="T39" i="1"/>
  <c r="S39" i="1"/>
  <c r="Y39" i="1" s="1"/>
  <c r="R39" i="1"/>
  <c r="AG39" i="1" s="1"/>
  <c r="Q39" i="1"/>
  <c r="P39" i="1"/>
  <c r="O39" i="1"/>
  <c r="AC39" i="1" s="1"/>
  <c r="N39" i="1"/>
  <c r="M39" i="1"/>
  <c r="W39" i="1" s="1"/>
  <c r="L39" i="1"/>
  <c r="AJ38" i="1"/>
  <c r="AH38" i="1"/>
  <c r="AF38" i="1"/>
  <c r="AD38" i="1"/>
  <c r="AC38" i="1"/>
  <c r="AB38" i="1"/>
  <c r="Z38" i="1"/>
  <c r="X38" i="1"/>
  <c r="W38" i="1"/>
  <c r="V38" i="1"/>
  <c r="U38" i="1"/>
  <c r="T38" i="1"/>
  <c r="AA38" i="1" s="1"/>
  <c r="S38" i="1"/>
  <c r="Y38" i="1" s="1"/>
  <c r="R38" i="1"/>
  <c r="AG38" i="1" s="1"/>
  <c r="Q38" i="1"/>
  <c r="AE38" i="1" s="1"/>
  <c r="P38" i="1"/>
  <c r="O38" i="1"/>
  <c r="N38" i="1"/>
  <c r="AI38" i="1" s="1"/>
  <c r="M38" i="1"/>
  <c r="L38" i="1"/>
  <c r="AJ37" i="1"/>
  <c r="AI37" i="1"/>
  <c r="AH37" i="1"/>
  <c r="AF37" i="1"/>
  <c r="AD37" i="1"/>
  <c r="AC37" i="1"/>
  <c r="AB37" i="1"/>
  <c r="Z37" i="1"/>
  <c r="X37" i="1"/>
  <c r="W37" i="1"/>
  <c r="V37" i="1"/>
  <c r="U37" i="1"/>
  <c r="T37" i="1"/>
  <c r="AA37" i="1" s="1"/>
  <c r="S37" i="1"/>
  <c r="Y37" i="1" s="1"/>
  <c r="R37" i="1"/>
  <c r="AG37" i="1" s="1"/>
  <c r="Q37" i="1"/>
  <c r="AE37" i="1" s="1"/>
  <c r="P37" i="1"/>
  <c r="O37" i="1"/>
  <c r="N37" i="1"/>
  <c r="M37" i="1"/>
  <c r="L37" i="1"/>
  <c r="AJ36" i="1"/>
  <c r="AI36" i="1"/>
  <c r="AH36" i="1"/>
  <c r="AF36" i="1"/>
  <c r="AE36" i="1"/>
  <c r="AD36" i="1"/>
  <c r="AC36" i="1"/>
  <c r="AB36" i="1"/>
  <c r="Z36" i="1"/>
  <c r="X36" i="1"/>
  <c r="W36" i="1"/>
  <c r="V36" i="1"/>
  <c r="U36" i="1"/>
  <c r="T36" i="1"/>
  <c r="AA36" i="1" s="1"/>
  <c r="S36" i="1"/>
  <c r="Y36" i="1" s="1"/>
  <c r="R36" i="1"/>
  <c r="AG36" i="1" s="1"/>
  <c r="Q36" i="1"/>
  <c r="P36" i="1"/>
  <c r="O36" i="1"/>
  <c r="N36" i="1"/>
  <c r="M36" i="1"/>
  <c r="L36" i="1"/>
  <c r="AJ35" i="1"/>
  <c r="AI35" i="1"/>
  <c r="AH35" i="1"/>
  <c r="AG35" i="1"/>
  <c r="AF35" i="1"/>
  <c r="AD35" i="1"/>
  <c r="AC35" i="1"/>
  <c r="AB35" i="1"/>
  <c r="Z35" i="1"/>
  <c r="X35" i="1"/>
  <c r="W35" i="1"/>
  <c r="V35" i="1"/>
  <c r="T35" i="1"/>
  <c r="AA35" i="1" s="1"/>
  <c r="S35" i="1"/>
  <c r="Y35" i="1" s="1"/>
  <c r="R35" i="1"/>
  <c r="Q35" i="1"/>
  <c r="AE35" i="1" s="1"/>
  <c r="P35" i="1"/>
  <c r="O35" i="1"/>
  <c r="N35" i="1"/>
  <c r="M35" i="1"/>
  <c r="L35" i="1"/>
  <c r="U35" i="1" s="1"/>
  <c r="AJ34" i="1"/>
  <c r="AI34" i="1"/>
  <c r="AH34" i="1"/>
  <c r="AF34" i="1"/>
  <c r="AE34" i="1"/>
  <c r="AD34" i="1"/>
  <c r="AB34" i="1"/>
  <c r="Z34" i="1"/>
  <c r="Y34" i="1"/>
  <c r="X34" i="1"/>
  <c r="V34" i="1"/>
  <c r="U34" i="1"/>
  <c r="T34" i="1"/>
  <c r="AA34" i="1" s="1"/>
  <c r="S34" i="1"/>
  <c r="R34" i="1"/>
  <c r="AG34" i="1" s="1"/>
  <c r="Q34" i="1"/>
  <c r="P34" i="1"/>
  <c r="O34" i="1"/>
  <c r="AC34" i="1" s="1"/>
  <c r="N34" i="1"/>
  <c r="M34" i="1"/>
  <c r="W34" i="1" s="1"/>
  <c r="L34" i="1"/>
  <c r="AJ33" i="1"/>
  <c r="AH33" i="1"/>
  <c r="AG33" i="1"/>
  <c r="AF33" i="1"/>
  <c r="AE33" i="1"/>
  <c r="AD33" i="1"/>
  <c r="AB33" i="1"/>
  <c r="AA33" i="1"/>
  <c r="Z33" i="1"/>
  <c r="Y33" i="1"/>
  <c r="X33" i="1"/>
  <c r="V33" i="1"/>
  <c r="U33" i="1"/>
  <c r="T33" i="1"/>
  <c r="S33" i="1"/>
  <c r="R33" i="1"/>
  <c r="Q33" i="1"/>
  <c r="P33" i="1"/>
  <c r="O33" i="1"/>
  <c r="AC33" i="1" s="1"/>
  <c r="N33" i="1"/>
  <c r="AI33" i="1" s="1"/>
  <c r="M33" i="1"/>
  <c r="W33" i="1" s="1"/>
  <c r="L33" i="1"/>
  <c r="AJ32" i="1"/>
  <c r="AI32" i="1"/>
  <c r="AH32" i="1"/>
  <c r="AF32" i="1"/>
  <c r="AD32" i="1"/>
  <c r="AB32" i="1"/>
  <c r="AA32" i="1"/>
  <c r="Z32" i="1"/>
  <c r="Y32" i="1"/>
  <c r="X32" i="1"/>
  <c r="W32" i="1"/>
  <c r="V32" i="1"/>
  <c r="T32" i="1"/>
  <c r="S32" i="1"/>
  <c r="R32" i="1"/>
  <c r="AG32" i="1" s="1"/>
  <c r="Q32" i="1"/>
  <c r="AE32" i="1" s="1"/>
  <c r="P32" i="1"/>
  <c r="O32" i="1"/>
  <c r="AC32" i="1" s="1"/>
  <c r="N32" i="1"/>
  <c r="M32" i="1"/>
  <c r="L32" i="1"/>
  <c r="U32" i="1" s="1"/>
  <c r="AJ31" i="1"/>
  <c r="AI31" i="1"/>
  <c r="AH31" i="1"/>
  <c r="AG31" i="1"/>
  <c r="AF31" i="1"/>
  <c r="AD31" i="1"/>
  <c r="AB31" i="1"/>
  <c r="AA31" i="1"/>
  <c r="Z31" i="1"/>
  <c r="Y31" i="1"/>
  <c r="X31" i="1"/>
  <c r="W31" i="1"/>
  <c r="V31" i="1"/>
  <c r="U31" i="1"/>
  <c r="T31" i="1"/>
  <c r="S31" i="1"/>
  <c r="R31" i="1"/>
  <c r="Q31" i="1"/>
  <c r="AE31" i="1" s="1"/>
  <c r="P31" i="1"/>
  <c r="O31" i="1"/>
  <c r="AC31" i="1" s="1"/>
  <c r="N31" i="1"/>
  <c r="M31" i="1"/>
  <c r="L31" i="1"/>
  <c r="AJ30" i="1"/>
  <c r="AH30" i="1"/>
  <c r="AF30" i="1"/>
  <c r="AD30" i="1"/>
  <c r="AB30" i="1"/>
  <c r="AA30" i="1"/>
  <c r="Z30" i="1"/>
  <c r="Y30" i="1"/>
  <c r="X30" i="1"/>
  <c r="V30" i="1"/>
  <c r="T30" i="1"/>
  <c r="S30" i="1"/>
  <c r="R30" i="1"/>
  <c r="AG30" i="1" s="1"/>
  <c r="Q30" i="1"/>
  <c r="AE30" i="1" s="1"/>
  <c r="P30" i="1"/>
  <c r="O30" i="1"/>
  <c r="AC30" i="1" s="1"/>
  <c r="N30" i="1"/>
  <c r="AI30" i="1" s="1"/>
  <c r="M30" i="1"/>
  <c r="W30" i="1" s="1"/>
  <c r="L30" i="1"/>
  <c r="U30" i="1" s="1"/>
  <c r="AJ29" i="1"/>
  <c r="AI29" i="1"/>
  <c r="AH29" i="1"/>
  <c r="AF29" i="1"/>
  <c r="AD29" i="1"/>
  <c r="AC29" i="1"/>
  <c r="AB29" i="1"/>
  <c r="AA29" i="1"/>
  <c r="Z29" i="1"/>
  <c r="Y29" i="1"/>
  <c r="X29" i="1"/>
  <c r="V29" i="1"/>
  <c r="U29" i="1"/>
  <c r="T29" i="1"/>
  <c r="S29" i="1"/>
  <c r="R29" i="1"/>
  <c r="AG29" i="1" s="1"/>
  <c r="Q29" i="1"/>
  <c r="AE29" i="1" s="1"/>
  <c r="P29" i="1"/>
  <c r="O29" i="1"/>
  <c r="N29" i="1"/>
  <c r="M29" i="1"/>
  <c r="W29" i="1" s="1"/>
  <c r="L29" i="1"/>
  <c r="AJ28" i="1"/>
  <c r="AH28" i="1"/>
  <c r="AF28" i="1"/>
  <c r="AE28" i="1"/>
  <c r="AD28" i="1"/>
  <c r="AC28" i="1"/>
  <c r="AB28" i="1"/>
  <c r="AA28" i="1"/>
  <c r="Z28" i="1"/>
  <c r="X28" i="1"/>
  <c r="V28" i="1"/>
  <c r="T28" i="1"/>
  <c r="S28" i="1"/>
  <c r="Y28" i="1" s="1"/>
  <c r="R28" i="1"/>
  <c r="AG28" i="1" s="1"/>
  <c r="Q28" i="1"/>
  <c r="P28" i="1"/>
  <c r="O28" i="1"/>
  <c r="N28" i="1"/>
  <c r="AI28" i="1" s="1"/>
  <c r="M28" i="1"/>
  <c r="W28" i="1" s="1"/>
  <c r="L28" i="1"/>
  <c r="U28" i="1" s="1"/>
  <c r="AJ27" i="1"/>
  <c r="AI27" i="1"/>
  <c r="AH27" i="1"/>
  <c r="AF27" i="1"/>
  <c r="AD27" i="1"/>
  <c r="AB27" i="1"/>
  <c r="AA27" i="1"/>
  <c r="Z27" i="1"/>
  <c r="Y27" i="1"/>
  <c r="X27" i="1"/>
  <c r="V27" i="1"/>
  <c r="U27" i="1"/>
  <c r="T27" i="1"/>
  <c r="S27" i="1"/>
  <c r="R27" i="1"/>
  <c r="AG27" i="1" s="1"/>
  <c r="Q27" i="1"/>
  <c r="AE27" i="1" s="1"/>
  <c r="P27" i="1"/>
  <c r="O27" i="1"/>
  <c r="AC27" i="1" s="1"/>
  <c r="N27" i="1"/>
  <c r="M27" i="1"/>
  <c r="W27" i="1" s="1"/>
  <c r="L27" i="1"/>
  <c r="AJ26" i="1"/>
  <c r="AH26" i="1"/>
  <c r="AF26" i="1"/>
  <c r="AD26" i="1"/>
  <c r="AC26" i="1"/>
  <c r="AB26" i="1"/>
  <c r="Z26" i="1"/>
  <c r="X26" i="1"/>
  <c r="W26" i="1"/>
  <c r="V26" i="1"/>
  <c r="U26" i="1"/>
  <c r="T26" i="1"/>
  <c r="AA26" i="1" s="1"/>
  <c r="S26" i="1"/>
  <c r="Y26" i="1" s="1"/>
  <c r="R26" i="1"/>
  <c r="AG26" i="1" s="1"/>
  <c r="Q26" i="1"/>
  <c r="AE26" i="1" s="1"/>
  <c r="P26" i="1"/>
  <c r="O26" i="1"/>
  <c r="N26" i="1"/>
  <c r="AI26" i="1" s="1"/>
  <c r="M26" i="1"/>
  <c r="L26" i="1"/>
  <c r="AJ25" i="1"/>
  <c r="AI25" i="1"/>
  <c r="AH25" i="1"/>
  <c r="AF25" i="1"/>
  <c r="AD25" i="1"/>
  <c r="AB25" i="1"/>
  <c r="Z25" i="1"/>
  <c r="X25" i="1"/>
  <c r="W25" i="1"/>
  <c r="V25" i="1"/>
  <c r="U25" i="1"/>
  <c r="T25" i="1"/>
  <c r="AA25" i="1" s="1"/>
  <c r="S25" i="1"/>
  <c r="Y25" i="1" s="1"/>
  <c r="R25" i="1"/>
  <c r="AG25" i="1" s="1"/>
  <c r="Q25" i="1"/>
  <c r="AE25" i="1" s="1"/>
  <c r="P25" i="1"/>
  <c r="O25" i="1"/>
  <c r="AC25" i="1" s="1"/>
  <c r="N25" i="1"/>
  <c r="M25" i="1"/>
  <c r="L25" i="1"/>
  <c r="AJ24" i="1"/>
  <c r="AI24" i="1"/>
  <c r="AH24" i="1"/>
  <c r="AG24" i="1"/>
  <c r="AF24" i="1"/>
  <c r="AE24" i="1"/>
  <c r="AD24" i="1"/>
  <c r="AC24" i="1"/>
  <c r="AB24" i="1"/>
  <c r="Z24" i="1"/>
  <c r="X24" i="1"/>
  <c r="W24" i="1"/>
  <c r="V24" i="1"/>
  <c r="U24" i="1"/>
  <c r="T24" i="1"/>
  <c r="AA24" i="1" s="1"/>
  <c r="S24" i="1"/>
  <c r="Y24" i="1" s="1"/>
  <c r="R24" i="1"/>
  <c r="Q24" i="1"/>
  <c r="P24" i="1"/>
  <c r="O24" i="1"/>
  <c r="N24" i="1"/>
  <c r="M24" i="1"/>
  <c r="L24" i="1"/>
  <c r="AJ23" i="1"/>
  <c r="AI23" i="1"/>
  <c r="AH23" i="1"/>
  <c r="AG23" i="1"/>
  <c r="AF23" i="1"/>
  <c r="AD23" i="1"/>
  <c r="AC23" i="1"/>
  <c r="AB23" i="1"/>
  <c r="Z23" i="1"/>
  <c r="X23" i="1"/>
  <c r="W23" i="1"/>
  <c r="V23" i="1"/>
  <c r="U23" i="1"/>
  <c r="T23" i="1"/>
  <c r="AA23" i="1" s="1"/>
  <c r="S23" i="1"/>
  <c r="Y23" i="1" s="1"/>
  <c r="R23" i="1"/>
  <c r="Q23" i="1"/>
  <c r="AE23" i="1" s="1"/>
  <c r="P23" i="1"/>
  <c r="O23" i="1"/>
  <c r="N23" i="1"/>
  <c r="M23" i="1"/>
  <c r="L23" i="1"/>
  <c r="AJ22" i="1"/>
  <c r="AI22" i="1"/>
  <c r="AH22" i="1"/>
  <c r="AF22" i="1"/>
  <c r="AE22" i="1"/>
  <c r="AD22" i="1"/>
  <c r="AB22" i="1"/>
  <c r="Z22" i="1"/>
  <c r="Y22" i="1"/>
  <c r="X22" i="1"/>
  <c r="W22" i="1"/>
  <c r="V22" i="1"/>
  <c r="U22" i="1"/>
  <c r="T22" i="1"/>
  <c r="AA22" i="1" s="1"/>
  <c r="S22" i="1"/>
  <c r="R22" i="1"/>
  <c r="AG22" i="1" s="1"/>
  <c r="Q22" i="1"/>
  <c r="P22" i="1"/>
  <c r="O22" i="1"/>
  <c r="AC22" i="1" s="1"/>
  <c r="N22" i="1"/>
  <c r="M22" i="1"/>
  <c r="L22" i="1"/>
  <c r="AJ21" i="1"/>
  <c r="AH21" i="1"/>
  <c r="AG21" i="1"/>
  <c r="AF21" i="1"/>
  <c r="AE21" i="1"/>
  <c r="AD21" i="1"/>
  <c r="AB21" i="1"/>
  <c r="AA21" i="1"/>
  <c r="Z21" i="1"/>
  <c r="X21" i="1"/>
  <c r="W21" i="1"/>
  <c r="V21" i="1"/>
  <c r="U21" i="1"/>
  <c r="T21" i="1"/>
  <c r="S21" i="1"/>
  <c r="Y21" i="1" s="1"/>
  <c r="R21" i="1"/>
  <c r="Q21" i="1"/>
  <c r="P21" i="1"/>
  <c r="O21" i="1"/>
  <c r="AC21" i="1" s="1"/>
  <c r="N21" i="1"/>
  <c r="AI21" i="1" s="1"/>
  <c r="M21" i="1"/>
  <c r="L21" i="1"/>
  <c r="AJ20" i="1"/>
  <c r="AH20" i="1"/>
  <c r="AF20" i="1"/>
  <c r="AD20" i="1"/>
  <c r="AB20" i="1"/>
  <c r="AA20" i="1"/>
  <c r="Z20" i="1"/>
  <c r="Y20" i="1"/>
  <c r="X20" i="1"/>
  <c r="V20" i="1"/>
  <c r="T20" i="1"/>
  <c r="S20" i="1"/>
  <c r="R20" i="1"/>
  <c r="AG20" i="1" s="1"/>
  <c r="Q20" i="1"/>
  <c r="AE20" i="1" s="1"/>
  <c r="P20" i="1"/>
  <c r="O20" i="1"/>
  <c r="AC20" i="1" s="1"/>
  <c r="N20" i="1"/>
  <c r="AI20" i="1" s="1"/>
  <c r="M20" i="1"/>
  <c r="W20" i="1" s="1"/>
  <c r="L20" i="1"/>
  <c r="U20" i="1" s="1"/>
  <c r="AJ19" i="1"/>
  <c r="AH19" i="1"/>
  <c r="AG19" i="1"/>
  <c r="AF19" i="1"/>
  <c r="AD19" i="1"/>
  <c r="AB19" i="1"/>
  <c r="AA19" i="1"/>
  <c r="Z19" i="1"/>
  <c r="Y19" i="1"/>
  <c r="X19" i="1"/>
  <c r="W19" i="1"/>
  <c r="V19" i="1"/>
  <c r="T19" i="1"/>
  <c r="S19" i="1"/>
  <c r="R19" i="1"/>
  <c r="Q19" i="1"/>
  <c r="AE19" i="1" s="1"/>
  <c r="P19" i="1"/>
  <c r="O19" i="1"/>
  <c r="AC19" i="1" s="1"/>
  <c r="N19" i="1"/>
  <c r="AI19" i="1" s="1"/>
  <c r="M19" i="1"/>
  <c r="L19" i="1"/>
  <c r="U19" i="1" s="1"/>
  <c r="AJ18" i="1"/>
  <c r="AH18" i="1"/>
  <c r="AF18" i="1"/>
  <c r="AD18" i="1"/>
  <c r="AB18" i="1"/>
  <c r="AA18" i="1"/>
  <c r="Z18" i="1"/>
  <c r="Y18" i="1"/>
  <c r="X18" i="1"/>
  <c r="V18" i="1"/>
  <c r="T18" i="1"/>
  <c r="S18" i="1"/>
  <c r="R18" i="1"/>
  <c r="AG18" i="1" s="1"/>
  <c r="Q18" i="1"/>
  <c r="AE18" i="1" s="1"/>
  <c r="P18" i="1"/>
  <c r="O18" i="1"/>
  <c r="AC18" i="1" s="1"/>
  <c r="N18" i="1"/>
  <c r="AI18" i="1" s="1"/>
  <c r="M18" i="1"/>
  <c r="W18" i="1" s="1"/>
  <c r="L18" i="1"/>
  <c r="U18" i="1" s="1"/>
  <c r="AJ17" i="1"/>
  <c r="AI17" i="1"/>
  <c r="AH17" i="1"/>
  <c r="AF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AG17" i="1" s="1"/>
  <c r="Q17" i="1"/>
  <c r="AE17" i="1" s="1"/>
  <c r="P17" i="1"/>
  <c r="O17" i="1"/>
  <c r="N17" i="1"/>
  <c r="M17" i="1"/>
  <c r="L17" i="1"/>
  <c r="AJ16" i="1"/>
  <c r="AH16" i="1"/>
  <c r="AF16" i="1"/>
  <c r="AD16" i="1"/>
  <c r="AC16" i="1"/>
  <c r="AB16" i="1"/>
  <c r="AA16" i="1"/>
  <c r="Z16" i="1"/>
  <c r="X16" i="1"/>
  <c r="V16" i="1"/>
  <c r="T16" i="1"/>
  <c r="S16" i="1"/>
  <c r="Y16" i="1" s="1"/>
  <c r="R16" i="1"/>
  <c r="AG16" i="1" s="1"/>
  <c r="Q16" i="1"/>
  <c r="AE16" i="1" s="1"/>
  <c r="P16" i="1"/>
  <c r="O16" i="1"/>
  <c r="N16" i="1"/>
  <c r="AI16" i="1" s="1"/>
  <c r="M16" i="1"/>
  <c r="W16" i="1" s="1"/>
  <c r="L16" i="1"/>
  <c r="U16" i="1" s="1"/>
  <c r="AJ15" i="1"/>
  <c r="AI15" i="1"/>
  <c r="AH15" i="1"/>
  <c r="AF15" i="1"/>
  <c r="AD15" i="1"/>
  <c r="AC15" i="1"/>
  <c r="AB15" i="1"/>
  <c r="Z15" i="1"/>
  <c r="Y15" i="1"/>
  <c r="X15" i="1"/>
  <c r="V15" i="1"/>
  <c r="U15" i="1"/>
  <c r="T15" i="1"/>
  <c r="AA15" i="1" s="1"/>
  <c r="S15" i="1"/>
  <c r="R15" i="1"/>
  <c r="AG15" i="1" s="1"/>
  <c r="Q15" i="1"/>
  <c r="AE15" i="1" s="1"/>
  <c r="P15" i="1"/>
  <c r="O15" i="1"/>
  <c r="N15" i="1"/>
  <c r="M15" i="1"/>
  <c r="W15" i="1" s="1"/>
  <c r="L15" i="1"/>
  <c r="AJ14" i="1"/>
  <c r="AH14" i="1"/>
  <c r="AF14" i="1"/>
  <c r="AD14" i="1"/>
  <c r="AC14" i="1"/>
  <c r="AB14" i="1"/>
  <c r="Z14" i="1"/>
  <c r="X14" i="1"/>
  <c r="W14" i="1"/>
  <c r="V14" i="1"/>
  <c r="U14" i="1"/>
  <c r="T14" i="1"/>
  <c r="AA14" i="1" s="1"/>
  <c r="S14" i="1"/>
  <c r="Y14" i="1" s="1"/>
  <c r="R14" i="1"/>
  <c r="AG14" i="1" s="1"/>
  <c r="Q14" i="1"/>
  <c r="AE14" i="1" s="1"/>
  <c r="P14" i="1"/>
  <c r="O14" i="1"/>
  <c r="N14" i="1"/>
  <c r="AI14" i="1" s="1"/>
  <c r="M14" i="1"/>
  <c r="L14" i="1"/>
  <c r="AJ13" i="1"/>
  <c r="AI13" i="1"/>
  <c r="AH13" i="1"/>
  <c r="AF13" i="1"/>
  <c r="AD13" i="1"/>
  <c r="AB13" i="1"/>
  <c r="AA13" i="1"/>
  <c r="Z13" i="1"/>
  <c r="X13" i="1"/>
  <c r="W13" i="1"/>
  <c r="V13" i="1"/>
  <c r="U13" i="1"/>
  <c r="T13" i="1"/>
  <c r="S13" i="1"/>
  <c r="Y13" i="1" s="1"/>
  <c r="R13" i="1"/>
  <c r="AG13" i="1" s="1"/>
  <c r="Q13" i="1"/>
  <c r="AE13" i="1" s="1"/>
  <c r="P13" i="1"/>
  <c r="O13" i="1"/>
  <c r="AC13" i="1" s="1"/>
  <c r="N13" i="1"/>
  <c r="M13" i="1"/>
  <c r="L13" i="1"/>
  <c r="AJ12" i="1"/>
  <c r="AI12" i="1"/>
  <c r="AH12" i="1"/>
  <c r="AF12" i="1"/>
  <c r="AE12" i="1"/>
  <c r="AD12" i="1"/>
  <c r="AC12" i="1"/>
  <c r="AB12" i="1"/>
  <c r="Z12" i="1"/>
  <c r="X12" i="1"/>
  <c r="W12" i="1"/>
  <c r="V12" i="1"/>
  <c r="U12" i="1"/>
  <c r="T12" i="1"/>
  <c r="AA12" i="1" s="1"/>
  <c r="S12" i="1"/>
  <c r="Y12" i="1" s="1"/>
  <c r="R12" i="1"/>
  <c r="AG12" i="1" s="1"/>
  <c r="Q12" i="1"/>
  <c r="P12" i="1"/>
  <c r="O12" i="1"/>
  <c r="N12" i="1"/>
  <c r="M12" i="1"/>
  <c r="L12" i="1"/>
  <c r="AJ11" i="1"/>
  <c r="AI11" i="1"/>
  <c r="AH11" i="1"/>
  <c r="AG11" i="1"/>
  <c r="AF11" i="1"/>
  <c r="AD11" i="1"/>
  <c r="AC11" i="1"/>
  <c r="AB11" i="1"/>
  <c r="Z11" i="1"/>
  <c r="X11" i="1"/>
  <c r="W11" i="1"/>
  <c r="V11" i="1"/>
  <c r="T11" i="1"/>
  <c r="AA11" i="1" s="1"/>
  <c r="S11" i="1"/>
  <c r="Y11" i="1" s="1"/>
  <c r="R11" i="1"/>
  <c r="Q11" i="1"/>
  <c r="AE11" i="1" s="1"/>
  <c r="P11" i="1"/>
  <c r="O11" i="1"/>
  <c r="N11" i="1"/>
  <c r="M11" i="1"/>
  <c r="L11" i="1"/>
  <c r="U11" i="1" s="1"/>
  <c r="AJ10" i="1"/>
  <c r="AI10" i="1"/>
  <c r="AH10" i="1"/>
  <c r="AG10" i="1"/>
  <c r="AF10" i="1"/>
  <c r="AE10" i="1"/>
  <c r="AD10" i="1"/>
  <c r="AB10" i="1"/>
  <c r="Z10" i="1"/>
  <c r="Y10" i="1"/>
  <c r="X10" i="1"/>
  <c r="W10" i="1"/>
  <c r="V10" i="1"/>
  <c r="T10" i="1"/>
  <c r="AA10" i="1" s="1"/>
  <c r="S10" i="1"/>
  <c r="R10" i="1"/>
  <c r="Q10" i="1"/>
  <c r="P10" i="1"/>
  <c r="O10" i="1"/>
  <c r="AC10" i="1" s="1"/>
  <c r="N10" i="1"/>
  <c r="M10" i="1"/>
  <c r="L10" i="1"/>
  <c r="U10" i="1" s="1"/>
  <c r="AJ9" i="1"/>
  <c r="AH9" i="1"/>
  <c r="AG9" i="1"/>
  <c r="AF9" i="1"/>
  <c r="AE9" i="1"/>
  <c r="AD9" i="1"/>
  <c r="AB9" i="1"/>
  <c r="AA9" i="1"/>
  <c r="Z9" i="1"/>
  <c r="X9" i="1"/>
  <c r="W9" i="1"/>
  <c r="V9" i="1"/>
  <c r="T9" i="1"/>
  <c r="S9" i="1"/>
  <c r="Y9" i="1" s="1"/>
  <c r="R9" i="1"/>
  <c r="Q9" i="1"/>
  <c r="P9" i="1"/>
  <c r="O9" i="1"/>
  <c r="AC9" i="1" s="1"/>
  <c r="N9" i="1"/>
  <c r="AI9" i="1" s="1"/>
  <c r="M9" i="1"/>
  <c r="L9" i="1"/>
  <c r="U9" i="1" s="1"/>
  <c r="AJ8" i="1"/>
  <c r="AI8" i="1"/>
  <c r="AH8" i="1"/>
  <c r="AF8" i="1"/>
  <c r="AD8" i="1"/>
  <c r="AB8" i="1"/>
  <c r="Z8" i="1"/>
  <c r="Y8" i="1"/>
  <c r="X8" i="1"/>
  <c r="W8" i="1"/>
  <c r="V8" i="1"/>
  <c r="T8" i="1"/>
  <c r="AA8" i="1" s="1"/>
  <c r="S8" i="1"/>
  <c r="R8" i="1"/>
  <c r="AG8" i="1" s="1"/>
  <c r="Q8" i="1"/>
  <c r="AE8" i="1" s="1"/>
  <c r="P8" i="1"/>
  <c r="O8" i="1"/>
  <c r="AC8" i="1" s="1"/>
  <c r="N8" i="1"/>
  <c r="M8" i="1"/>
  <c r="L8" i="1"/>
  <c r="U8" i="1" s="1"/>
  <c r="AJ7" i="1"/>
  <c r="AI7" i="1"/>
  <c r="AH7" i="1"/>
  <c r="AG7" i="1"/>
  <c r="AF7" i="1"/>
  <c r="AD7" i="1"/>
  <c r="AB7" i="1"/>
  <c r="AA7" i="1"/>
  <c r="Z7" i="1"/>
  <c r="Y7" i="1"/>
  <c r="X7" i="1"/>
  <c r="W7" i="1"/>
  <c r="V7" i="1"/>
  <c r="U7" i="1"/>
  <c r="T7" i="1"/>
  <c r="S7" i="1"/>
  <c r="R7" i="1"/>
  <c r="Q7" i="1"/>
  <c r="AE7" i="1" s="1"/>
  <c r="P7" i="1"/>
  <c r="O7" i="1"/>
  <c r="AC7" i="1" s="1"/>
  <c r="N7" i="1"/>
  <c r="M7" i="1"/>
  <c r="L7" i="1"/>
  <c r="AJ6" i="1"/>
  <c r="AH6" i="1"/>
  <c r="AF6" i="1"/>
  <c r="AD6" i="1"/>
  <c r="AB6" i="1"/>
  <c r="AA6" i="1"/>
  <c r="Z6" i="1"/>
  <c r="Y6" i="1"/>
  <c r="X6" i="1"/>
  <c r="V6" i="1"/>
  <c r="T6" i="1"/>
  <c r="S6" i="1"/>
  <c r="R6" i="1"/>
  <c r="AG6" i="1" s="1"/>
  <c r="Q6" i="1"/>
  <c r="AE6" i="1" s="1"/>
  <c r="P6" i="1"/>
  <c r="O6" i="1"/>
  <c r="AC6" i="1" s="1"/>
  <c r="N6" i="1"/>
  <c r="AI6" i="1" s="1"/>
  <c r="M6" i="1"/>
  <c r="W6" i="1" s="1"/>
  <c r="L6" i="1"/>
  <c r="U6" i="1" s="1"/>
  <c r="AJ5" i="1"/>
  <c r="AH5" i="1"/>
  <c r="AF5" i="1"/>
  <c r="AD5" i="1"/>
  <c r="AB5" i="1"/>
  <c r="AA5" i="1"/>
  <c r="Z5" i="1"/>
  <c r="Y5" i="1"/>
  <c r="X5" i="1"/>
  <c r="W5" i="1"/>
  <c r="V5" i="1"/>
  <c r="U5" i="1"/>
  <c r="T5" i="1"/>
  <c r="S5" i="1"/>
  <c r="R5" i="1"/>
  <c r="AG5" i="1" s="1"/>
  <c r="Q5" i="1"/>
  <c r="AE5" i="1" s="1"/>
  <c r="P5" i="1"/>
  <c r="O5" i="1"/>
  <c r="AC5" i="1" s="1"/>
  <c r="N5" i="1"/>
  <c r="AI5" i="1" s="1"/>
  <c r="M5" i="1"/>
  <c r="L5" i="1"/>
  <c r="AJ4" i="1"/>
  <c r="AH4" i="1"/>
  <c r="AF4" i="1"/>
  <c r="AE4" i="1"/>
  <c r="AD4" i="1"/>
  <c r="AC4" i="1"/>
  <c r="AB4" i="1"/>
  <c r="AA4" i="1"/>
  <c r="Z4" i="1"/>
  <c r="X4" i="1"/>
  <c r="V4" i="1"/>
  <c r="T4" i="1"/>
  <c r="S4" i="1"/>
  <c r="Y4" i="1" s="1"/>
  <c r="R4" i="1"/>
  <c r="AG4" i="1" s="1"/>
  <c r="Q4" i="1"/>
  <c r="P4" i="1"/>
  <c r="O4" i="1"/>
  <c r="N4" i="1"/>
  <c r="AI4" i="1" s="1"/>
  <c r="M4" i="1"/>
  <c r="W4" i="1" s="1"/>
  <c r="L4" i="1"/>
  <c r="U4" i="1" s="1"/>
  <c r="AJ3" i="1"/>
  <c r="AI3" i="1"/>
  <c r="AH3" i="1"/>
  <c r="AF3" i="1"/>
  <c r="AD3" i="1"/>
  <c r="AB3" i="1"/>
  <c r="Z3" i="1"/>
  <c r="Y3" i="1"/>
  <c r="X3" i="1"/>
  <c r="V3" i="1"/>
  <c r="U3" i="1"/>
  <c r="T3" i="1"/>
  <c r="AA3" i="1" s="1"/>
  <c r="S3" i="1"/>
  <c r="R3" i="1"/>
  <c r="AG3" i="1" s="1"/>
  <c r="Q3" i="1"/>
  <c r="AE3" i="1" s="1"/>
  <c r="P3" i="1"/>
  <c r="O3" i="1"/>
  <c r="AC3" i="1" s="1"/>
  <c r="N3" i="1"/>
  <c r="M3" i="1"/>
  <c r="W3" i="1" s="1"/>
  <c r="L3" i="1"/>
  <c r="AJ2" i="1"/>
  <c r="AH2" i="1"/>
  <c r="AG2" i="1"/>
  <c r="AF2" i="1"/>
  <c r="AD2" i="1"/>
  <c r="AC2" i="1"/>
  <c r="AB2" i="1"/>
  <c r="Z2" i="1"/>
  <c r="X2" i="1"/>
  <c r="W2" i="1"/>
  <c r="V2" i="1"/>
  <c r="U2" i="1"/>
  <c r="T2" i="1"/>
  <c r="AA2" i="1" s="1"/>
  <c r="S2" i="1"/>
  <c r="Y2" i="1" s="1"/>
  <c r="R2" i="1"/>
  <c r="Q2" i="1"/>
  <c r="AE2" i="1" s="1"/>
  <c r="P2" i="1"/>
  <c r="O2" i="1"/>
  <c r="N2" i="1"/>
  <c r="AI2" i="1" s="1"/>
  <c r="M2" i="1"/>
  <c r="L2" i="1"/>
  <c r="AD41" i="1" l="1"/>
  <c r="AF41" i="1"/>
  <c r="AE41" i="1"/>
  <c r="AI41" i="1"/>
  <c r="AH41" i="1"/>
  <c r="AG41" i="1"/>
  <c r="W41" i="1"/>
</calcChain>
</file>

<file path=xl/sharedStrings.xml><?xml version="1.0" encoding="utf-8"?>
<sst xmlns="http://schemas.openxmlformats.org/spreadsheetml/2006/main" count="866" uniqueCount="252">
  <si>
    <t>date</t>
  </si>
  <si>
    <t>Ygdp</t>
  </si>
  <si>
    <t>Cpr</t>
  </si>
  <si>
    <t>Pcpi</t>
  </si>
  <si>
    <t>Lemp</t>
  </si>
  <si>
    <t>Lhrs</t>
  </si>
  <si>
    <t>Lur</t>
  </si>
  <si>
    <t>Lpar</t>
  </si>
  <si>
    <t>R90d</t>
  </si>
  <si>
    <t>R10y</t>
  </si>
  <si>
    <t>period</t>
  </si>
  <si>
    <t>GDP_annual_growth</t>
  </si>
  <si>
    <t>Consumption_annual_growth</t>
  </si>
  <si>
    <t>CPI_inflation</t>
  </si>
  <si>
    <t>Unemployment_rate</t>
  </si>
  <si>
    <t>Participation_rate</t>
  </si>
  <si>
    <t>Cash_rate</t>
  </si>
  <si>
    <t>Ten_year_rate</t>
  </si>
  <si>
    <t>Employment_index</t>
  </si>
  <si>
    <t>Hours_index</t>
  </si>
  <si>
    <t>GDP_annual_growth_actual</t>
  </si>
  <si>
    <t>GDP_annual_growth_forecast</t>
  </si>
  <si>
    <t>Consumption_annual_growth_actual</t>
  </si>
  <si>
    <t>Consumption_annual_growth_forecast</t>
  </si>
  <si>
    <t>Employment_index_actual</t>
  </si>
  <si>
    <t>Employment_index_forecast</t>
  </si>
  <si>
    <t>Hours_index_actual</t>
  </si>
  <si>
    <t>Hours_index_forecast</t>
  </si>
  <si>
    <t>Unemployment_rate_actual</t>
  </si>
  <si>
    <t>Unemployment_rate_forecast</t>
  </si>
  <si>
    <t>Cash_rate_actual</t>
  </si>
  <si>
    <t>Cash_rate_forecast</t>
  </si>
  <si>
    <t>Ten_year_rate_actual</t>
  </si>
  <si>
    <t>Ten_year_rate_forecast</t>
  </si>
  <si>
    <t>CPI_inflation_actual</t>
  </si>
  <si>
    <t>CPI_inflation_forecast</t>
  </si>
  <si>
    <t>Idwell</t>
  </si>
  <si>
    <t>Imin</t>
  </si>
  <si>
    <t>IvtNonfarm</t>
  </si>
  <si>
    <t>Tcit</t>
  </si>
  <si>
    <t>Tprl</t>
  </si>
  <si>
    <t>Toth</t>
  </si>
  <si>
    <t>Ytsf</t>
  </si>
  <si>
    <t>Xmin</t>
  </si>
  <si>
    <t>LavhMkt</t>
  </si>
  <si>
    <t>LempNonmkt</t>
  </si>
  <si>
    <t>Lwge</t>
  </si>
  <si>
    <t>Piret</t>
  </si>
  <si>
    <t>Pxagr</t>
  </si>
  <si>
    <t>Pmgs</t>
  </si>
  <si>
    <t>Rmort</t>
  </si>
  <si>
    <t>Peq</t>
  </si>
  <si>
    <t>Rtwi</t>
  </si>
  <si>
    <t>Rusd</t>
  </si>
  <si>
    <t>Whh</t>
  </si>
  <si>
    <t>Ygdw</t>
  </si>
  <si>
    <t>PhouseSa</t>
  </si>
  <si>
    <t>Pimin</t>
  </si>
  <si>
    <t>Pinonmin</t>
  </si>
  <si>
    <t>Pgov</t>
  </si>
  <si>
    <t>Pidwell</t>
  </si>
  <si>
    <t>Pxsvc</t>
  </si>
  <si>
    <t>Tpit</t>
  </si>
  <si>
    <t>GovDebt</t>
  </si>
  <si>
    <t>PcpiRent</t>
  </si>
  <si>
    <t>Inonmin</t>
  </si>
  <si>
    <t>Ynli</t>
  </si>
  <si>
    <t>EqEarn</t>
  </si>
  <si>
    <t>Tgst</t>
  </si>
  <si>
    <t>Xoth</t>
  </si>
  <si>
    <t>Pxmin</t>
  </si>
  <si>
    <t>Pxoth</t>
  </si>
  <si>
    <t>PconsExrent</t>
  </si>
  <si>
    <t>Ppcd</t>
  </si>
  <si>
    <t>Xsvc</t>
  </si>
  <si>
    <t>Mtot</t>
  </si>
  <si>
    <t>GapAvh</t>
  </si>
  <si>
    <t>Ivt</t>
  </si>
  <si>
    <t>Iotc</t>
  </si>
  <si>
    <t>Xagr</t>
  </si>
  <si>
    <t>Xtot</t>
  </si>
  <si>
    <t>CprNom</t>
  </si>
  <si>
    <t>CgovNom</t>
  </si>
  <si>
    <t>IdwellNom</t>
  </si>
  <si>
    <t>IotcNom</t>
  </si>
  <si>
    <t>IminNom</t>
  </si>
  <si>
    <t>InonminNom</t>
  </si>
  <si>
    <t>YgovIvtNom</t>
  </si>
  <si>
    <t>XminNom</t>
  </si>
  <si>
    <t>XagrNom</t>
  </si>
  <si>
    <t>XothNom</t>
  </si>
  <si>
    <t>XsvcNom</t>
  </si>
  <si>
    <t>XtotNom</t>
  </si>
  <si>
    <t>MtotNom</t>
  </si>
  <si>
    <t>YgdpNom</t>
  </si>
  <si>
    <t>Ygne</t>
  </si>
  <si>
    <t>Pgne</t>
  </si>
  <si>
    <t>Pgdp</t>
  </si>
  <si>
    <t>Pxtot</t>
  </si>
  <si>
    <t>Ptot</t>
  </si>
  <si>
    <t>CconsRent</t>
  </si>
  <si>
    <t>PconsRent</t>
  </si>
  <si>
    <t>CconsRentNom</t>
  </si>
  <si>
    <t>LempMkt</t>
  </si>
  <si>
    <t>Lsup</t>
  </si>
  <si>
    <t>Lune</t>
  </si>
  <si>
    <t>Lhh</t>
  </si>
  <si>
    <t>Ywss</t>
  </si>
  <si>
    <t>Yhdi</t>
  </si>
  <si>
    <t>Ygoa</t>
  </si>
  <si>
    <t>SavHh</t>
  </si>
  <si>
    <t>Wfor</t>
  </si>
  <si>
    <t>EqYield</t>
  </si>
  <si>
    <t>PeRatio</t>
  </si>
  <si>
    <t>KMin</t>
  </si>
  <si>
    <t>KNbiz</t>
  </si>
  <si>
    <t>KDwell</t>
  </si>
  <si>
    <t>KBiz</t>
  </si>
  <si>
    <t>KTotal</t>
  </si>
  <si>
    <t>R90dReal</t>
  </si>
  <si>
    <t>R10yReal</t>
  </si>
  <si>
    <t>RmortReal</t>
  </si>
  <si>
    <t>PcpiExGst</t>
  </si>
  <si>
    <t>RmortRealExgst</t>
  </si>
  <si>
    <t>Fr10y</t>
  </si>
  <si>
    <t>Fr10yReal</t>
  </si>
  <si>
    <t>Rdif10y</t>
  </si>
  <si>
    <t>RtwiNom</t>
  </si>
  <si>
    <t>PhouseReal</t>
  </si>
  <si>
    <t>Rbiz</t>
  </si>
  <si>
    <t>RbizReal</t>
  </si>
  <si>
    <t>KdepAllow</t>
  </si>
  <si>
    <t>CostCap</t>
  </si>
  <si>
    <t>GovDem</t>
  </si>
  <si>
    <t>Pulc</t>
  </si>
  <si>
    <t>UlcDom</t>
  </si>
  <si>
    <t>UlcExp</t>
  </si>
  <si>
    <t>YgdpHpf</t>
  </si>
  <si>
    <t>CprHpf</t>
  </si>
  <si>
    <t>PhouseHpf</t>
  </si>
  <si>
    <t>RmortRealHpf</t>
  </si>
  <si>
    <t>LparHpf</t>
  </si>
  <si>
    <t>PpcdHpf</t>
  </si>
  <si>
    <t>LurHpf</t>
  </si>
  <si>
    <t>InflExp</t>
  </si>
  <si>
    <t>Lpop</t>
  </si>
  <si>
    <t>Lpop15Plus</t>
  </si>
  <si>
    <t>Ustar</t>
  </si>
  <si>
    <t>Cgov</t>
  </si>
  <si>
    <t>Igov</t>
  </si>
  <si>
    <t>Ipubent</t>
  </si>
  <si>
    <t>GovDef</t>
  </si>
  <si>
    <t>IvtFar</t>
  </si>
  <si>
    <t>Lnom</t>
  </si>
  <si>
    <t>IntStu</t>
  </si>
  <si>
    <t>Fpcpi</t>
  </si>
  <si>
    <t>Fpoil</t>
  </si>
  <si>
    <t>Fpcom</t>
  </si>
  <si>
    <t>Fpagr</t>
  </si>
  <si>
    <t>FcGdp</t>
  </si>
  <si>
    <t>FcPpp</t>
  </si>
  <si>
    <t>Fr10yUs</t>
  </si>
  <si>
    <t>Fr10yJp</t>
  </si>
  <si>
    <t>Fr10yDe</t>
  </si>
  <si>
    <t>Fr10yUk</t>
  </si>
  <si>
    <t>equation</t>
  </si>
  <si>
    <t>term</t>
  </si>
  <si>
    <t>estimate</t>
  </si>
  <si>
    <t>std_error</t>
  </si>
  <si>
    <t>Macro scenario model</t>
  </si>
  <si>
    <t>Metric</t>
  </si>
  <si>
    <t>Value</t>
  </si>
  <si>
    <t>Forecast origin</t>
  </si>
  <si>
    <t>Forecast horizon</t>
  </si>
  <si>
    <t>2025Q1 unemployment</t>
  </si>
  <si>
    <t>2025Q1 90-day rate</t>
  </si>
  <si>
    <t>Terminal unemployment</t>
  </si>
  <si>
    <t>Terminal 90-day rate</t>
  </si>
  <si>
    <t>Actual</t>
  </si>
  <si>
    <t>Forecast</t>
  </si>
  <si>
    <t>Cpr</t>
  </si>
  <si>
    <t>c1</t>
  </si>
  <si>
    <t>c2</t>
  </si>
  <si>
    <t>c3</t>
  </si>
  <si>
    <t>c6</t>
  </si>
  <si>
    <t>c8</t>
  </si>
  <si>
    <t>c9</t>
  </si>
  <si>
    <t>c10</t>
  </si>
  <si>
    <t>c11</t>
  </si>
  <si>
    <t>c12</t>
  </si>
  <si>
    <t>Idwell</t>
  </si>
  <si>
    <t>c4</t>
  </si>
  <si>
    <t>c5</t>
  </si>
  <si>
    <t>c7</t>
  </si>
  <si>
    <t>c13</t>
  </si>
  <si>
    <t>c14</t>
  </si>
  <si>
    <t>Imin</t>
  </si>
  <si>
    <t>IvtNonfarm</t>
  </si>
  <si>
    <t>Tcit</t>
  </si>
  <si>
    <t>Tprl</t>
  </si>
  <si>
    <t>Toth</t>
  </si>
  <si>
    <t>Ytsf</t>
  </si>
  <si>
    <t>Xmin</t>
  </si>
  <si>
    <t>Lavh</t>
  </si>
  <si>
    <t>rho</t>
  </si>
  <si>
    <t>LempNonmkt</t>
  </si>
  <si>
    <t>Lpar</t>
  </si>
  <si>
    <t>Lwge</t>
  </si>
  <si>
    <t>Pcpi</t>
  </si>
  <si>
    <t>Piret</t>
  </si>
  <si>
    <t>Pxagr</t>
  </si>
  <si>
    <t>Pmgs</t>
  </si>
  <si>
    <t>Rmort</t>
  </si>
  <si>
    <t>Peq</t>
  </si>
  <si>
    <t>Rtwi</t>
  </si>
  <si>
    <t>Rusd</t>
  </si>
  <si>
    <t>Whh</t>
  </si>
  <si>
    <t>Ygdw</t>
  </si>
  <si>
    <t>Lhrs</t>
  </si>
  <si>
    <t>Phouse</t>
  </si>
  <si>
    <t>Pimin</t>
  </si>
  <si>
    <t>Pinonmin</t>
  </si>
  <si>
    <t>Pgov</t>
  </si>
  <si>
    <t>Pidwell</t>
  </si>
  <si>
    <t>Pxsvc</t>
  </si>
  <si>
    <t>Tpit</t>
  </si>
  <si>
    <t>GovDebt</t>
  </si>
  <si>
    <t>x</t>
  </si>
  <si>
    <t>PcpiRent</t>
  </si>
  <si>
    <t>Inonmin</t>
  </si>
  <si>
    <t>Ynli</t>
  </si>
  <si>
    <t>rm</t>
  </si>
  <si>
    <t>pe</t>
  </si>
  <si>
    <t>pe1</t>
  </si>
  <si>
    <t>pe2</t>
  </si>
  <si>
    <t>pe3</t>
  </si>
  <si>
    <t>l_r</t>
  </si>
  <si>
    <t>EqEarn</t>
  </si>
  <si>
    <t>Tgst</t>
  </si>
  <si>
    <t>Xoth</t>
  </si>
  <si>
    <t>Pxmin</t>
  </si>
  <si>
    <t>Pxoth</t>
  </si>
  <si>
    <t>PconsExrent</t>
  </si>
  <si>
    <t>Ppcd</t>
  </si>
  <si>
    <t>Xsvc</t>
  </si>
  <si>
    <t>Mtot</t>
  </si>
  <si>
    <t>Rcash</t>
  </si>
  <si>
    <t>log_sig_state</t>
  </si>
  <si>
    <t>log_sig_obs</t>
  </si>
  <si>
    <t>R10y</t>
  </si>
  <si>
    <t>d_rat</t>
  </si>
  <si>
    <t>d_r90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</si>
</sst>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rgb="FF0D1C24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1C2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7" fontId="1" fillId="0" borderId="0" xfId="0" applyNumberFormat="1" applyFont="1"/>
    <xf numFmtId="14" fontId="1" fillId="0" borderId="0" xfId="0" applyNumberFormat="1" applyFont="1"/>
    <xf numFmtId="0" fontId="2" fillId="0" borderId="0" xfId="0" applyFont="1"/>
    <xf numFmtId="0" fontId="3" fillId="2" borderId="1" xfId="0" applyFont="1" applyFill="1" applyBorder="1"/>
    <xf numFmtId="10" fontId="1" fillId="0" borderId="0" xfId="0" applyNumberFormat="1" applyFont="1"/>
  </cellXfs>
  <cellStyles count="1">
    <cellStyle name="Normal" xfId="0" builtinId="0"/>
  </cellStyles>
  <dxfs count="1">
    <dxf>
      <numFmt numFmtId="19" formatCode="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Annual growth in activity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GDP - Actual</c:v>
          </c:tx>
          <c:spPr>
            <a:ln w="25400">
              <a:solidFill>
                <a:srgbClr val="86BC25"/>
              </a:solidFill>
              <a:prstDash val="solid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  <c:pt idx="0">
                  <c:v>42064</c:v>
                </c:pt>
                <c:pt idx="1">
                  <c:v>42156</c:v>
                </c:pt>
                <c:pt idx="2">
                  <c:v>42248</c:v>
                </c:pt>
                <c:pt idx="3">
                  <c:v>42339</c:v>
                </c:pt>
                <c:pt idx="4">
                  <c:v>42430</c:v>
                </c:pt>
                <c:pt idx="5">
                  <c:v>42522</c:v>
                </c:pt>
                <c:pt idx="6">
                  <c:v>42614</c:v>
                </c:pt>
                <c:pt idx="7">
                  <c:v>42705</c:v>
                </c:pt>
                <c:pt idx="8">
                  <c:v>42795</c:v>
                </c:pt>
                <c:pt idx="9">
                  <c:v>42887</c:v>
                </c:pt>
                <c:pt idx="10">
                  <c:v>42979</c:v>
                </c:pt>
                <c:pt idx="11">
                  <c:v>43070</c:v>
                </c:pt>
                <c:pt idx="12">
                  <c:v>43160</c:v>
                </c:pt>
                <c:pt idx="13">
                  <c:v>43252</c:v>
                </c:pt>
                <c:pt idx="14">
                  <c:v>43344</c:v>
                </c:pt>
                <c:pt idx="15">
                  <c:v>43435</c:v>
                </c:pt>
                <c:pt idx="16">
                  <c:v>43525</c:v>
                </c:pt>
                <c:pt idx="17">
                  <c:v>43617</c:v>
                </c:pt>
                <c:pt idx="18">
                  <c:v>43709</c:v>
                </c:pt>
                <c:pt idx="19">
                  <c:v>43800</c:v>
                </c:pt>
                <c:pt idx="20">
                  <c:v>43891</c:v>
                </c:pt>
                <c:pt idx="21">
                  <c:v>43983</c:v>
                </c:pt>
                <c:pt idx="22">
                  <c:v>44075</c:v>
                </c:pt>
                <c:pt idx="23">
                  <c:v>44166</c:v>
                </c:pt>
                <c:pt idx="24">
                  <c:v>44256</c:v>
                </c:pt>
                <c:pt idx="25">
                  <c:v>44348</c:v>
                </c:pt>
                <c:pt idx="26">
                  <c:v>44440</c:v>
                </c:pt>
                <c:pt idx="27">
                  <c:v>44531</c:v>
                </c:pt>
                <c:pt idx="28">
                  <c:v>44621</c:v>
                </c:pt>
                <c:pt idx="29">
                  <c:v>44713</c:v>
                </c:pt>
                <c:pt idx="30">
                  <c:v>44805</c:v>
                </c:pt>
                <c:pt idx="31">
                  <c:v>44896</c:v>
                </c:pt>
                <c:pt idx="32">
                  <c:v>44986</c:v>
                </c:pt>
                <c:pt idx="33">
                  <c:v>45078</c:v>
                </c:pt>
                <c:pt idx="34">
                  <c:v>45170</c:v>
                </c:pt>
                <c:pt idx="35">
                  <c:v>45261</c:v>
                </c:pt>
                <c:pt idx="36">
                  <c:v>45352</c:v>
                </c:pt>
                <c:pt idx="37">
                  <c:v>45444</c:v>
                </c:pt>
                <c:pt idx="38">
                  <c:v>45536</c:v>
                </c:pt>
                <c:pt idx="39">
                  <c:v>45627</c:v>
                </c:pt>
                <c:pt idx="40">
                  <c:v>45717</c:v>
                </c:pt>
                <c:pt idx="41">
                  <c:v>45809</c:v>
                </c:pt>
                <c:pt idx="42">
                  <c:v>45901</c:v>
                </c:pt>
                <c:pt idx="43">
                  <c:v>45992</c:v>
                </c:pt>
                <c:pt idx="44">
                  <c:v>46082</c:v>
                </c:pt>
                <c:pt idx="45">
                  <c:v>46174</c:v>
                </c:pt>
                <c:pt idx="46">
                  <c:v>46266</c:v>
                </c:pt>
                <c:pt idx="47">
                  <c:v>46357</c:v>
                </c:pt>
                <c:pt idx="48">
                  <c:v>46447</c:v>
                </c:pt>
                <c:pt idx="49">
                  <c:v>46539</c:v>
                </c:pt>
                <c:pt idx="50">
                  <c:v>46631</c:v>
                </c:pt>
                <c:pt idx="51">
                  <c:v>46722</c:v>
                </c:pt>
                <c:pt idx="52">
                  <c:v>46813</c:v>
                </c:pt>
                <c:pt idx="53">
                  <c:v>46905</c:v>
                </c:pt>
                <c:pt idx="54">
                  <c:v>46997</c:v>
                </c:pt>
                <c:pt idx="55">
                  <c:v>47088</c:v>
                </c:pt>
                <c:pt idx="56">
                  <c:v>47178</c:v>
                </c:pt>
                <c:pt idx="57">
                  <c:v>47270</c:v>
                </c:pt>
                <c:pt idx="58">
                  <c:v>47362</c:v>
                </c:pt>
                <c:pt idx="59">
                  <c:v>47453</c:v>
                </c:pt>
                <c:pt idx="60">
                  <c:v>47543</c:v>
                </c:pt>
                <c:pt idx="61">
                  <c:v>47635</c:v>
                </c:pt>
                <c:pt idx="62">
                  <c:v>47727</c:v>
                </c:pt>
                <c:pt idx="63">
                  <c:v>47818</c:v>
                </c:pt>
                <c:pt idx="64">
                  <c:v>47908</c:v>
                </c:pt>
                <c:pt idx="65">
                  <c:v>48000</c:v>
                </c:pt>
                <c:pt idx="66">
                  <c:v>48092</c:v>
                </c:pt>
                <c:pt idx="67">
                  <c:v>48183</c:v>
                </c:pt>
                <c:pt idx="68">
                  <c:v>48274</c:v>
                </c:pt>
                <c:pt idx="69">
                  <c:v>48366</c:v>
                </c:pt>
                <c:pt idx="70">
                  <c:v>48458</c:v>
                </c:pt>
                <c:pt idx="71">
                  <c:v>48549</c:v>
                </c:pt>
                <c:pt idx="72">
                  <c:v>48639</c:v>
                </c:pt>
                <c:pt idx="73">
                  <c:v>48731</c:v>
                </c:pt>
                <c:pt idx="74">
                  <c:v>48823</c:v>
                </c:pt>
                <c:pt idx="75">
                  <c:v>48914</c:v>
                </c:pt>
                <c:pt idx="76">
                  <c:v>49004</c:v>
                </c:pt>
                <c:pt idx="77">
                  <c:v>49096</c:v>
                </c:pt>
                <c:pt idx="78">
                  <c:v>49188</c:v>
                </c:pt>
                <c:pt idx="79">
                  <c:v>49279</c:v>
                </c:pt>
                <c:pt idx="80">
                  <c:v>49369</c:v>
                </c:pt>
                <c:pt idx="81">
                  <c:v>49461</c:v>
                </c:pt>
                <c:pt idx="82">
                  <c:v>49553</c:v>
                </c:pt>
                <c:pt idx="83">
                  <c:v>49644</c:v>
                </c:pt>
                <c:pt idx="84">
                  <c:v>49735</c:v>
                </c:pt>
                <c:pt idx="85">
                  <c:v>49827</c:v>
                </c:pt>
                <c:pt idx="86">
                  <c:v>49919</c:v>
                </c:pt>
                <c:pt idx="87">
                  <c:v>50010</c:v>
                </c:pt>
              </c:numCache>
            </c:numRef>
          </c:cat>
          <c:val>
            <c:numRef>
              <c:f>Comparison!$U$2:$U$201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2.6533244303785786</c:v>
                </c:pt>
                <c:pt idx="5">
                  <c:v>3.2074930428792614</c:v>
                </c:pt>
                <c:pt idx="6">
                  <c:v>2.202083555761436</c:v>
                </c:pt>
                <c:pt idx="7">
                  <c:v>2.7559019716101085</c:v>
                </c:pt>
                <c:pt idx="8">
                  <c:v>2.140289660850514</c:v>
                </c:pt>
                <c:pt idx="9">
                  <c:v>2.0791912682464719</c:v>
                </c:pt>
                <c:pt idx="10">
                  <c:v>3.0562234632123486</c:v>
                </c:pt>
                <c:pt idx="11">
                  <c:v>2.2752451576657284</c:v>
                </c:pt>
                <c:pt idx="12">
                  <c:v>3.0086417319056702</c:v>
                </c:pt>
                <c:pt idx="13">
                  <c:v>3.1558554855449117</c:v>
                </c:pt>
                <c:pt idx="14">
                  <c:v>2.5731775830995396</c:v>
                </c:pt>
                <c:pt idx="15">
                  <c:v>2.4257016566643808</c:v>
                </c:pt>
                <c:pt idx="16">
                  <c:v>2.1155399877708536</c:v>
                </c:pt>
                <c:pt idx="17">
                  <c:v>1.6730696481862983</c:v>
                </c:pt>
                <c:pt idx="18">
                  <c:v>1.8821815014572474</c:v>
                </c:pt>
                <c:pt idx="19">
                  <c:v>2.2234028689716023</c:v>
                </c:pt>
                <c:pt idx="20">
                  <c:v>1.2650879192148468</c:v>
                </c:pt>
                <c:pt idx="21">
                  <c:v>-5.8509142983764528</c:v>
                </c:pt>
                <c:pt idx="22">
                  <c:v>-3.1448877694790212</c:v>
                </c:pt>
                <c:pt idx="23">
                  <c:v>-0.43572771104029018</c:v>
                </c:pt>
                <c:pt idx="24">
                  <c:v>1.9401811600137542</c:v>
                </c:pt>
                <c:pt idx="25">
                  <c:v>10.207712736061158</c:v>
                </c:pt>
                <c:pt idx="26">
                  <c:v>4.6825138170312641</c:v>
                </c:pt>
                <c:pt idx="27">
                  <c:v>4.909354152439982</c:v>
                </c:pt>
                <c:pt idx="28">
                  <c:v>3.6429369089988839</c:v>
                </c:pt>
                <c:pt idx="29">
                  <c:v>3.8179265324856937</c:v>
                </c:pt>
                <c:pt idx="30">
                  <c:v>6.1346102082975307</c:v>
                </c:pt>
                <c:pt idx="31">
                  <c:v>3.2635414987849831</c:v>
                </c:pt>
                <c:pt idx="32">
                  <c:v>2.8022082796534065</c:v>
                </c:pt>
                <c:pt idx="33">
                  <c:v>2.2570795665449284</c:v>
                </c:pt>
                <c:pt idx="34">
                  <c:v>2.1784531897633075</c:v>
                </c:pt>
                <c:pt idx="35">
                  <c:v>1.3343475546558237</c:v>
                </c:pt>
                <c:pt idx="36">
                  <c:v>1.0987751507309573</c:v>
                </c:pt>
                <c:pt idx="37">
                  <c:v>0.89413318921516272</c:v>
                </c:pt>
                <c:pt idx="38">
                  <c:v>0.79604549002252334</c:v>
                </c:pt>
                <c:pt idx="39">
                  <c:v>1.2445533036063994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39-4ED4-BDB8-874CF0EC1F1C}"/>
            </c:ext>
          </c:extLst>
        </c:ser>
        <c:ser>
          <c:idx val="1"/>
          <c:order val="1"/>
          <c:tx>
            <c:v>GDP - Forecast</c:v>
          </c:tx>
          <c:spPr>
            <a:ln w="25400">
              <a:solidFill>
                <a:srgbClr val="86BC25"/>
              </a:solidFill>
              <a:prstDash val="dash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  <c:pt idx="0">
                  <c:v>42064</c:v>
                </c:pt>
                <c:pt idx="1">
                  <c:v>42156</c:v>
                </c:pt>
                <c:pt idx="2">
                  <c:v>42248</c:v>
                </c:pt>
                <c:pt idx="3">
                  <c:v>42339</c:v>
                </c:pt>
                <c:pt idx="4">
                  <c:v>42430</c:v>
                </c:pt>
                <c:pt idx="5">
                  <c:v>42522</c:v>
                </c:pt>
                <c:pt idx="6">
                  <c:v>42614</c:v>
                </c:pt>
                <c:pt idx="7">
                  <c:v>42705</c:v>
                </c:pt>
                <c:pt idx="8">
                  <c:v>42795</c:v>
                </c:pt>
                <c:pt idx="9">
                  <c:v>42887</c:v>
                </c:pt>
                <c:pt idx="10">
                  <c:v>42979</c:v>
                </c:pt>
                <c:pt idx="11">
                  <c:v>43070</c:v>
                </c:pt>
                <c:pt idx="12">
                  <c:v>43160</c:v>
                </c:pt>
                <c:pt idx="13">
                  <c:v>43252</c:v>
                </c:pt>
                <c:pt idx="14">
                  <c:v>43344</c:v>
                </c:pt>
                <c:pt idx="15">
                  <c:v>43435</c:v>
                </c:pt>
                <c:pt idx="16">
                  <c:v>43525</c:v>
                </c:pt>
                <c:pt idx="17">
                  <c:v>43617</c:v>
                </c:pt>
                <c:pt idx="18">
                  <c:v>43709</c:v>
                </c:pt>
                <c:pt idx="19">
                  <c:v>43800</c:v>
                </c:pt>
                <c:pt idx="20">
                  <c:v>43891</c:v>
                </c:pt>
                <c:pt idx="21">
                  <c:v>43983</c:v>
                </c:pt>
                <c:pt idx="22">
                  <c:v>44075</c:v>
                </c:pt>
                <c:pt idx="23">
                  <c:v>44166</c:v>
                </c:pt>
                <c:pt idx="24">
                  <c:v>44256</c:v>
                </c:pt>
                <c:pt idx="25">
                  <c:v>44348</c:v>
                </c:pt>
                <c:pt idx="26">
                  <c:v>44440</c:v>
                </c:pt>
                <c:pt idx="27">
                  <c:v>44531</c:v>
                </c:pt>
                <c:pt idx="28">
                  <c:v>44621</c:v>
                </c:pt>
                <c:pt idx="29">
                  <c:v>44713</c:v>
                </c:pt>
                <c:pt idx="30">
                  <c:v>44805</c:v>
                </c:pt>
                <c:pt idx="31">
                  <c:v>44896</c:v>
                </c:pt>
                <c:pt idx="32">
                  <c:v>44986</c:v>
                </c:pt>
                <c:pt idx="33">
                  <c:v>45078</c:v>
                </c:pt>
                <c:pt idx="34">
                  <c:v>45170</c:v>
                </c:pt>
                <c:pt idx="35">
                  <c:v>45261</c:v>
                </c:pt>
                <c:pt idx="36">
                  <c:v>45352</c:v>
                </c:pt>
                <c:pt idx="37">
                  <c:v>45444</c:v>
                </c:pt>
                <c:pt idx="38">
                  <c:v>45536</c:v>
                </c:pt>
                <c:pt idx="39">
                  <c:v>45627</c:v>
                </c:pt>
                <c:pt idx="40">
                  <c:v>45717</c:v>
                </c:pt>
                <c:pt idx="41">
                  <c:v>45809</c:v>
                </c:pt>
                <c:pt idx="42">
                  <c:v>45901</c:v>
                </c:pt>
                <c:pt idx="43">
                  <c:v>45992</c:v>
                </c:pt>
                <c:pt idx="44">
                  <c:v>46082</c:v>
                </c:pt>
                <c:pt idx="45">
                  <c:v>46174</c:v>
                </c:pt>
                <c:pt idx="46">
                  <c:v>46266</c:v>
                </c:pt>
                <c:pt idx="47">
                  <c:v>46357</c:v>
                </c:pt>
                <c:pt idx="48">
                  <c:v>46447</c:v>
                </c:pt>
                <c:pt idx="49">
                  <c:v>46539</c:v>
                </c:pt>
                <c:pt idx="50">
                  <c:v>46631</c:v>
                </c:pt>
                <c:pt idx="51">
                  <c:v>46722</c:v>
                </c:pt>
                <c:pt idx="52">
                  <c:v>46813</c:v>
                </c:pt>
                <c:pt idx="53">
                  <c:v>46905</c:v>
                </c:pt>
                <c:pt idx="54">
                  <c:v>46997</c:v>
                </c:pt>
                <c:pt idx="55">
                  <c:v>47088</c:v>
                </c:pt>
                <c:pt idx="56">
                  <c:v>47178</c:v>
                </c:pt>
                <c:pt idx="57">
                  <c:v>47270</c:v>
                </c:pt>
                <c:pt idx="58">
                  <c:v>47362</c:v>
                </c:pt>
                <c:pt idx="59">
                  <c:v>47453</c:v>
                </c:pt>
                <c:pt idx="60">
                  <c:v>47543</c:v>
                </c:pt>
                <c:pt idx="61">
                  <c:v>47635</c:v>
                </c:pt>
                <c:pt idx="62">
                  <c:v>47727</c:v>
                </c:pt>
                <c:pt idx="63">
                  <c:v>47818</c:v>
                </c:pt>
                <c:pt idx="64">
                  <c:v>47908</c:v>
                </c:pt>
                <c:pt idx="65">
                  <c:v>48000</c:v>
                </c:pt>
                <c:pt idx="66">
                  <c:v>48092</c:v>
                </c:pt>
                <c:pt idx="67">
                  <c:v>48183</c:v>
                </c:pt>
                <c:pt idx="68">
                  <c:v>48274</c:v>
                </c:pt>
                <c:pt idx="69">
                  <c:v>48366</c:v>
                </c:pt>
                <c:pt idx="70">
                  <c:v>48458</c:v>
                </c:pt>
                <c:pt idx="71">
                  <c:v>48549</c:v>
                </c:pt>
                <c:pt idx="72">
                  <c:v>48639</c:v>
                </c:pt>
                <c:pt idx="73">
                  <c:v>48731</c:v>
                </c:pt>
                <c:pt idx="74">
                  <c:v>48823</c:v>
                </c:pt>
                <c:pt idx="75">
                  <c:v>48914</c:v>
                </c:pt>
                <c:pt idx="76">
                  <c:v>49004</c:v>
                </c:pt>
                <c:pt idx="77">
                  <c:v>49096</c:v>
                </c:pt>
                <c:pt idx="78">
                  <c:v>49188</c:v>
                </c:pt>
                <c:pt idx="79">
                  <c:v>49279</c:v>
                </c:pt>
                <c:pt idx="80">
                  <c:v>49369</c:v>
                </c:pt>
                <c:pt idx="81">
                  <c:v>49461</c:v>
                </c:pt>
                <c:pt idx="82">
                  <c:v>49553</c:v>
                </c:pt>
                <c:pt idx="83">
                  <c:v>49644</c:v>
                </c:pt>
                <c:pt idx="84">
                  <c:v>49735</c:v>
                </c:pt>
                <c:pt idx="85">
                  <c:v>49827</c:v>
                </c:pt>
                <c:pt idx="86">
                  <c:v>49919</c:v>
                </c:pt>
                <c:pt idx="87">
                  <c:v>50010</c:v>
                </c:pt>
              </c:numCache>
            </c:numRef>
          </c:cat>
          <c:val>
            <c:numRef>
              <c:f>Comparison!$V$2:$V$201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1.2445533036063994</c:v>
                </c:pt>
                <c:pt idx="40">
                  <c:v>1.2598563608765545</c:v>
                </c:pt>
                <c:pt idx="41">
                  <c:v>1.5945074925359792</c:v>
                </c:pt>
                <c:pt idx="42">
                  <c:v>1.831977685980446</c:v>
                </c:pt>
                <c:pt idx="43">
                  <c:v>2.15197116752599</c:v>
                </c:pt>
                <c:pt idx="44">
                  <c:v>2.8818656705648538</c:v>
                </c:pt>
                <c:pt idx="45">
                  <c:v>3.3430985670322766</c:v>
                </c:pt>
                <c:pt idx="46">
                  <c:v>3.9239944531979987</c:v>
                </c:pt>
                <c:pt idx="47">
                  <c:v>4.2623752152685768</c:v>
                </c:pt>
                <c:pt idx="48">
                  <c:v>4.3248440448906855</c:v>
                </c:pt>
                <c:pt idx="49">
                  <c:v>4.2924989080108888</c:v>
                </c:pt>
                <c:pt idx="50">
                  <c:v>4.0338398473545034</c:v>
                </c:pt>
                <c:pt idx="51">
                  <c:v>3.8615366895981662</c:v>
                </c:pt>
                <c:pt idx="52">
                  <c:v>3.7082210384550507</c:v>
                </c:pt>
                <c:pt idx="53">
                  <c:v>3.6124507509837533</c:v>
                </c:pt>
                <c:pt idx="54">
                  <c:v>3.4759102840240086</c:v>
                </c:pt>
                <c:pt idx="55">
                  <c:v>3.3543022638324427</c:v>
                </c:pt>
                <c:pt idx="56">
                  <c:v>3.2447977586609111</c:v>
                </c:pt>
                <c:pt idx="57">
                  <c:v>3.0620041209098225</c:v>
                </c:pt>
                <c:pt idx="58">
                  <c:v>3.0934272108955385</c:v>
                </c:pt>
                <c:pt idx="59">
                  <c:v>3.0381714837677931</c:v>
                </c:pt>
                <c:pt idx="60">
                  <c:v>2.9991590975638305</c:v>
                </c:pt>
                <c:pt idx="61">
                  <c:v>2.9488963607422702</c:v>
                </c:pt>
                <c:pt idx="62">
                  <c:v>2.9142211603098156</c:v>
                </c:pt>
                <c:pt idx="63">
                  <c:v>2.8744664474475323</c:v>
                </c:pt>
                <c:pt idx="64">
                  <c:v>2.8410739205062763</c:v>
                </c:pt>
                <c:pt idx="65">
                  <c:v>2.8391795338305714</c:v>
                </c:pt>
                <c:pt idx="66">
                  <c:v>2.8110064515843414</c:v>
                </c:pt>
                <c:pt idx="67">
                  <c:v>2.8114601534273032</c:v>
                </c:pt>
                <c:pt idx="68">
                  <c:v>2.8156786473104045</c:v>
                </c:pt>
                <c:pt idx="69">
                  <c:v>2.7774210996258653</c:v>
                </c:pt>
                <c:pt idx="70">
                  <c:v>2.8159241373846511</c:v>
                </c:pt>
                <c:pt idx="71">
                  <c:v>2.8135956518140492</c:v>
                </c:pt>
                <c:pt idx="72">
                  <c:v>2.8241864409317197</c:v>
                </c:pt>
                <c:pt idx="73">
                  <c:v>2.8906303989169935</c:v>
                </c:pt>
                <c:pt idx="74">
                  <c:v>2.8918017930806617</c:v>
                </c:pt>
                <c:pt idx="75">
                  <c:v>2.9454291905206098</c:v>
                </c:pt>
                <c:pt idx="76">
                  <c:v>2.9937866963453574</c:v>
                </c:pt>
                <c:pt idx="77">
                  <c:v>3.0509051845513113</c:v>
                </c:pt>
                <c:pt idx="78">
                  <c:v>3.1141557903742401</c:v>
                </c:pt>
                <c:pt idx="79">
                  <c:v>3.1820879017322667</c:v>
                </c:pt>
                <c:pt idx="80">
                  <c:v>3.2543059257958307</c:v>
                </c:pt>
                <c:pt idx="81">
                  <c:v>3.3315180581075188</c:v>
                </c:pt>
                <c:pt idx="82">
                  <c:v>3.4106526882367483</c:v>
                </c:pt>
                <c:pt idx="83">
                  <c:v>3.4941502877607</c:v>
                </c:pt>
                <c:pt idx="84">
                  <c:v>3.5814328958184483</c:v>
                </c:pt>
                <c:pt idx="85">
                  <c:v>3.6050466764303568</c:v>
                </c:pt>
                <c:pt idx="86">
                  <c:v>3.7114044660887302</c:v>
                </c:pt>
                <c:pt idx="87">
                  <c:v>3.767645647383433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39-4ED4-BDB8-874CF0EC1F1C}"/>
            </c:ext>
          </c:extLst>
        </c:ser>
        <c:ser>
          <c:idx val="2"/>
          <c:order val="2"/>
          <c:tx>
            <c:v>Consumption - Actual</c:v>
          </c:tx>
          <c:spPr>
            <a:ln w="25400">
              <a:solidFill>
                <a:srgbClr val="00A3E0"/>
              </a:solidFill>
              <a:prstDash val="solid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  <c:pt idx="0">
                  <c:v>42064</c:v>
                </c:pt>
                <c:pt idx="1">
                  <c:v>42156</c:v>
                </c:pt>
                <c:pt idx="2">
                  <c:v>42248</c:v>
                </c:pt>
                <c:pt idx="3">
                  <c:v>42339</c:v>
                </c:pt>
                <c:pt idx="4">
                  <c:v>42430</c:v>
                </c:pt>
                <c:pt idx="5">
                  <c:v>42522</c:v>
                </c:pt>
                <c:pt idx="6">
                  <c:v>42614</c:v>
                </c:pt>
                <c:pt idx="7">
                  <c:v>42705</c:v>
                </c:pt>
                <c:pt idx="8">
                  <c:v>42795</c:v>
                </c:pt>
                <c:pt idx="9">
                  <c:v>42887</c:v>
                </c:pt>
                <c:pt idx="10">
                  <c:v>42979</c:v>
                </c:pt>
                <c:pt idx="11">
                  <c:v>43070</c:v>
                </c:pt>
                <c:pt idx="12">
                  <c:v>43160</c:v>
                </c:pt>
                <c:pt idx="13">
                  <c:v>43252</c:v>
                </c:pt>
                <c:pt idx="14">
                  <c:v>43344</c:v>
                </c:pt>
                <c:pt idx="15">
                  <c:v>43435</c:v>
                </c:pt>
                <c:pt idx="16">
                  <c:v>43525</c:v>
                </c:pt>
                <c:pt idx="17">
                  <c:v>43617</c:v>
                </c:pt>
                <c:pt idx="18">
                  <c:v>43709</c:v>
                </c:pt>
                <c:pt idx="19">
                  <c:v>43800</c:v>
                </c:pt>
                <c:pt idx="20">
                  <c:v>43891</c:v>
                </c:pt>
                <c:pt idx="21">
                  <c:v>43983</c:v>
                </c:pt>
                <c:pt idx="22">
                  <c:v>44075</c:v>
                </c:pt>
                <c:pt idx="23">
                  <c:v>44166</c:v>
                </c:pt>
                <c:pt idx="24">
                  <c:v>44256</c:v>
                </c:pt>
                <c:pt idx="25">
                  <c:v>44348</c:v>
                </c:pt>
                <c:pt idx="26">
                  <c:v>44440</c:v>
                </c:pt>
                <c:pt idx="27">
                  <c:v>44531</c:v>
                </c:pt>
                <c:pt idx="28">
                  <c:v>44621</c:v>
                </c:pt>
                <c:pt idx="29">
                  <c:v>44713</c:v>
                </c:pt>
                <c:pt idx="30">
                  <c:v>44805</c:v>
                </c:pt>
                <c:pt idx="31">
                  <c:v>44896</c:v>
                </c:pt>
                <c:pt idx="32">
                  <c:v>44986</c:v>
                </c:pt>
                <c:pt idx="33">
                  <c:v>45078</c:v>
                </c:pt>
                <c:pt idx="34">
                  <c:v>45170</c:v>
                </c:pt>
                <c:pt idx="35">
                  <c:v>45261</c:v>
                </c:pt>
                <c:pt idx="36">
                  <c:v>45352</c:v>
                </c:pt>
                <c:pt idx="37">
                  <c:v>45444</c:v>
                </c:pt>
                <c:pt idx="38">
                  <c:v>45536</c:v>
                </c:pt>
                <c:pt idx="39">
                  <c:v>45627</c:v>
                </c:pt>
                <c:pt idx="40">
                  <c:v>45717</c:v>
                </c:pt>
                <c:pt idx="41">
                  <c:v>45809</c:v>
                </c:pt>
                <c:pt idx="42">
                  <c:v>45901</c:v>
                </c:pt>
                <c:pt idx="43">
                  <c:v>45992</c:v>
                </c:pt>
                <c:pt idx="44">
                  <c:v>46082</c:v>
                </c:pt>
                <c:pt idx="45">
                  <c:v>46174</c:v>
                </c:pt>
                <c:pt idx="46">
                  <c:v>46266</c:v>
                </c:pt>
                <c:pt idx="47">
                  <c:v>46357</c:v>
                </c:pt>
                <c:pt idx="48">
                  <c:v>46447</c:v>
                </c:pt>
                <c:pt idx="49">
                  <c:v>46539</c:v>
                </c:pt>
                <c:pt idx="50">
                  <c:v>46631</c:v>
                </c:pt>
                <c:pt idx="51">
                  <c:v>46722</c:v>
                </c:pt>
                <c:pt idx="52">
                  <c:v>46813</c:v>
                </c:pt>
                <c:pt idx="53">
                  <c:v>46905</c:v>
                </c:pt>
                <c:pt idx="54">
                  <c:v>46997</c:v>
                </c:pt>
                <c:pt idx="55">
                  <c:v>47088</c:v>
                </c:pt>
                <c:pt idx="56">
                  <c:v>47178</c:v>
                </c:pt>
                <c:pt idx="57">
                  <c:v>47270</c:v>
                </c:pt>
                <c:pt idx="58">
                  <c:v>47362</c:v>
                </c:pt>
                <c:pt idx="59">
                  <c:v>47453</c:v>
                </c:pt>
                <c:pt idx="60">
                  <c:v>47543</c:v>
                </c:pt>
                <c:pt idx="61">
                  <c:v>47635</c:v>
                </c:pt>
                <c:pt idx="62">
                  <c:v>47727</c:v>
                </c:pt>
                <c:pt idx="63">
                  <c:v>47818</c:v>
                </c:pt>
                <c:pt idx="64">
                  <c:v>47908</c:v>
                </c:pt>
                <c:pt idx="65">
                  <c:v>48000</c:v>
                </c:pt>
                <c:pt idx="66">
                  <c:v>48092</c:v>
                </c:pt>
                <c:pt idx="67">
                  <c:v>48183</c:v>
                </c:pt>
                <c:pt idx="68">
                  <c:v>48274</c:v>
                </c:pt>
                <c:pt idx="69">
                  <c:v>48366</c:v>
                </c:pt>
                <c:pt idx="70">
                  <c:v>48458</c:v>
                </c:pt>
                <c:pt idx="71">
                  <c:v>48549</c:v>
                </c:pt>
                <c:pt idx="72">
                  <c:v>48639</c:v>
                </c:pt>
                <c:pt idx="73">
                  <c:v>48731</c:v>
                </c:pt>
                <c:pt idx="74">
                  <c:v>48823</c:v>
                </c:pt>
                <c:pt idx="75">
                  <c:v>48914</c:v>
                </c:pt>
                <c:pt idx="76">
                  <c:v>49004</c:v>
                </c:pt>
                <c:pt idx="77">
                  <c:v>49096</c:v>
                </c:pt>
                <c:pt idx="78">
                  <c:v>49188</c:v>
                </c:pt>
                <c:pt idx="79">
                  <c:v>49279</c:v>
                </c:pt>
                <c:pt idx="80">
                  <c:v>49369</c:v>
                </c:pt>
                <c:pt idx="81">
                  <c:v>49461</c:v>
                </c:pt>
                <c:pt idx="82">
                  <c:v>49553</c:v>
                </c:pt>
                <c:pt idx="83">
                  <c:v>49644</c:v>
                </c:pt>
                <c:pt idx="84">
                  <c:v>49735</c:v>
                </c:pt>
                <c:pt idx="85">
                  <c:v>49827</c:v>
                </c:pt>
                <c:pt idx="86">
                  <c:v>49919</c:v>
                </c:pt>
                <c:pt idx="87">
                  <c:v>50010</c:v>
                </c:pt>
              </c:numCache>
            </c:numRef>
          </c:cat>
          <c:val>
            <c:numRef>
              <c:f>Comparison!$W$2:$W$201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2.9046597981277067</c:v>
                </c:pt>
                <c:pt idx="5">
                  <c:v>2.7658040998489231</c:v>
                </c:pt>
                <c:pt idx="6">
                  <c:v>2.4614761303081822</c:v>
                </c:pt>
                <c:pt idx="7">
                  <c:v>2.6611228031814482</c:v>
                </c:pt>
                <c:pt idx="8">
                  <c:v>2.3418918094773478</c:v>
                </c:pt>
                <c:pt idx="9">
                  <c:v>2.4263431542461023</c:v>
                </c:pt>
                <c:pt idx="10">
                  <c:v>2.5052192066805867</c:v>
                </c:pt>
                <c:pt idx="11">
                  <c:v>2.790488709918959</c:v>
                </c:pt>
                <c:pt idx="12">
                  <c:v>2.9408259340921283</c:v>
                </c:pt>
                <c:pt idx="13">
                  <c:v>3.0443685108007879</c:v>
                </c:pt>
                <c:pt idx="14">
                  <c:v>2.4923747846469224</c:v>
                </c:pt>
                <c:pt idx="15">
                  <c:v>1.7687052805387404</c:v>
                </c:pt>
                <c:pt idx="16">
                  <c:v>1.4497927259512267</c:v>
                </c:pt>
                <c:pt idx="17">
                  <c:v>1.0833104382439673</c:v>
                </c:pt>
                <c:pt idx="18">
                  <c:v>0.76710353824513966</c:v>
                </c:pt>
                <c:pt idx="19">
                  <c:v>0.82937521672874492</c:v>
                </c:pt>
                <c:pt idx="20">
                  <c:v>-0.86226299655411953</c:v>
                </c:pt>
                <c:pt idx="21">
                  <c:v>-13.759232395634823</c:v>
                </c:pt>
                <c:pt idx="22">
                  <c:v>-7.060287032875201</c:v>
                </c:pt>
                <c:pt idx="23">
                  <c:v>-3.0769230769230771</c:v>
                </c:pt>
                <c:pt idx="24">
                  <c:v>-0.3549399000412512</c:v>
                </c:pt>
                <c:pt idx="25">
                  <c:v>15.371394437786989</c:v>
                </c:pt>
                <c:pt idx="26">
                  <c:v>2.1759639257944885</c:v>
                </c:pt>
                <c:pt idx="27">
                  <c:v>3.964347565660109</c:v>
                </c:pt>
                <c:pt idx="28">
                  <c:v>4.991351618482831</c:v>
                </c:pt>
                <c:pt idx="29">
                  <c:v>5.9277941185812866</c:v>
                </c:pt>
                <c:pt idx="30">
                  <c:v>12.349419678273099</c:v>
                </c:pt>
                <c:pt idx="31">
                  <c:v>6.5511043755440479</c:v>
                </c:pt>
                <c:pt idx="32">
                  <c:v>4.7549767248519892</c:v>
                </c:pt>
                <c:pt idx="33">
                  <c:v>3.2130477024384874</c:v>
                </c:pt>
                <c:pt idx="34">
                  <c:v>1.9946299565352765</c:v>
                </c:pt>
                <c:pt idx="35">
                  <c:v>1.0673312018055325</c:v>
                </c:pt>
                <c:pt idx="36">
                  <c:v>0.9228839027806135</c:v>
                </c:pt>
                <c:pt idx="37">
                  <c:v>0.18187153361863828</c:v>
                </c:pt>
                <c:pt idx="38">
                  <c:v>0.40927575353861823</c:v>
                </c:pt>
                <c:pt idx="39">
                  <c:v>1.0002326122354077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39-4ED4-BDB8-874CF0EC1F1C}"/>
            </c:ext>
          </c:extLst>
        </c:ser>
        <c:ser>
          <c:idx val="3"/>
          <c:order val="3"/>
          <c:tx>
            <c:v>Consumption - Forecast</c:v>
          </c:tx>
          <c:spPr>
            <a:ln w="25400">
              <a:solidFill>
                <a:srgbClr val="00A3E0"/>
              </a:solidFill>
              <a:prstDash val="dash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  <c:pt idx="0">
                  <c:v>42064</c:v>
                </c:pt>
                <c:pt idx="1">
                  <c:v>42156</c:v>
                </c:pt>
                <c:pt idx="2">
                  <c:v>42248</c:v>
                </c:pt>
                <c:pt idx="3">
                  <c:v>42339</c:v>
                </c:pt>
                <c:pt idx="4">
                  <c:v>42430</c:v>
                </c:pt>
                <c:pt idx="5">
                  <c:v>42522</c:v>
                </c:pt>
                <c:pt idx="6">
                  <c:v>42614</c:v>
                </c:pt>
                <c:pt idx="7">
                  <c:v>42705</c:v>
                </c:pt>
                <c:pt idx="8">
                  <c:v>42795</c:v>
                </c:pt>
                <c:pt idx="9">
                  <c:v>42887</c:v>
                </c:pt>
                <c:pt idx="10">
                  <c:v>42979</c:v>
                </c:pt>
                <c:pt idx="11">
                  <c:v>43070</c:v>
                </c:pt>
                <c:pt idx="12">
                  <c:v>43160</c:v>
                </c:pt>
                <c:pt idx="13">
                  <c:v>43252</c:v>
                </c:pt>
                <c:pt idx="14">
                  <c:v>43344</c:v>
                </c:pt>
                <c:pt idx="15">
                  <c:v>43435</c:v>
                </c:pt>
                <c:pt idx="16">
                  <c:v>43525</c:v>
                </c:pt>
                <c:pt idx="17">
                  <c:v>43617</c:v>
                </c:pt>
                <c:pt idx="18">
                  <c:v>43709</c:v>
                </c:pt>
                <c:pt idx="19">
                  <c:v>43800</c:v>
                </c:pt>
                <c:pt idx="20">
                  <c:v>43891</c:v>
                </c:pt>
                <c:pt idx="21">
                  <c:v>43983</c:v>
                </c:pt>
                <c:pt idx="22">
                  <c:v>44075</c:v>
                </c:pt>
                <c:pt idx="23">
                  <c:v>44166</c:v>
                </c:pt>
                <c:pt idx="24">
                  <c:v>44256</c:v>
                </c:pt>
                <c:pt idx="25">
                  <c:v>44348</c:v>
                </c:pt>
                <c:pt idx="26">
                  <c:v>44440</c:v>
                </c:pt>
                <c:pt idx="27">
                  <c:v>44531</c:v>
                </c:pt>
                <c:pt idx="28">
                  <c:v>44621</c:v>
                </c:pt>
                <c:pt idx="29">
                  <c:v>44713</c:v>
                </c:pt>
                <c:pt idx="30">
                  <c:v>44805</c:v>
                </c:pt>
                <c:pt idx="31">
                  <c:v>44896</c:v>
                </c:pt>
                <c:pt idx="32">
                  <c:v>44986</c:v>
                </c:pt>
                <c:pt idx="33">
                  <c:v>45078</c:v>
                </c:pt>
                <c:pt idx="34">
                  <c:v>45170</c:v>
                </c:pt>
                <c:pt idx="35">
                  <c:v>45261</c:v>
                </c:pt>
                <c:pt idx="36">
                  <c:v>45352</c:v>
                </c:pt>
                <c:pt idx="37">
                  <c:v>45444</c:v>
                </c:pt>
                <c:pt idx="38">
                  <c:v>45536</c:v>
                </c:pt>
                <c:pt idx="39">
                  <c:v>45627</c:v>
                </c:pt>
                <c:pt idx="40">
                  <c:v>45717</c:v>
                </c:pt>
                <c:pt idx="41">
                  <c:v>45809</c:v>
                </c:pt>
                <c:pt idx="42">
                  <c:v>45901</c:v>
                </c:pt>
                <c:pt idx="43">
                  <c:v>45992</c:v>
                </c:pt>
                <c:pt idx="44">
                  <c:v>46082</c:v>
                </c:pt>
                <c:pt idx="45">
                  <c:v>46174</c:v>
                </c:pt>
                <c:pt idx="46">
                  <c:v>46266</c:v>
                </c:pt>
                <c:pt idx="47">
                  <c:v>46357</c:v>
                </c:pt>
                <c:pt idx="48">
                  <c:v>46447</c:v>
                </c:pt>
                <c:pt idx="49">
                  <c:v>46539</c:v>
                </c:pt>
                <c:pt idx="50">
                  <c:v>46631</c:v>
                </c:pt>
                <c:pt idx="51">
                  <c:v>46722</c:v>
                </c:pt>
                <c:pt idx="52">
                  <c:v>46813</c:v>
                </c:pt>
                <c:pt idx="53">
                  <c:v>46905</c:v>
                </c:pt>
                <c:pt idx="54">
                  <c:v>46997</c:v>
                </c:pt>
                <c:pt idx="55">
                  <c:v>47088</c:v>
                </c:pt>
                <c:pt idx="56">
                  <c:v>47178</c:v>
                </c:pt>
                <c:pt idx="57">
                  <c:v>47270</c:v>
                </c:pt>
                <c:pt idx="58">
                  <c:v>47362</c:v>
                </c:pt>
                <c:pt idx="59">
                  <c:v>47453</c:v>
                </c:pt>
                <c:pt idx="60">
                  <c:v>47543</c:v>
                </c:pt>
                <c:pt idx="61">
                  <c:v>47635</c:v>
                </c:pt>
                <c:pt idx="62">
                  <c:v>47727</c:v>
                </c:pt>
                <c:pt idx="63">
                  <c:v>47818</c:v>
                </c:pt>
                <c:pt idx="64">
                  <c:v>47908</c:v>
                </c:pt>
                <c:pt idx="65">
                  <c:v>48000</c:v>
                </c:pt>
                <c:pt idx="66">
                  <c:v>48092</c:v>
                </c:pt>
                <c:pt idx="67">
                  <c:v>48183</c:v>
                </c:pt>
                <c:pt idx="68">
                  <c:v>48274</c:v>
                </c:pt>
                <c:pt idx="69">
                  <c:v>48366</c:v>
                </c:pt>
                <c:pt idx="70">
                  <c:v>48458</c:v>
                </c:pt>
                <c:pt idx="71">
                  <c:v>48549</c:v>
                </c:pt>
                <c:pt idx="72">
                  <c:v>48639</c:v>
                </c:pt>
                <c:pt idx="73">
                  <c:v>48731</c:v>
                </c:pt>
                <c:pt idx="74">
                  <c:v>48823</c:v>
                </c:pt>
                <c:pt idx="75">
                  <c:v>48914</c:v>
                </c:pt>
                <c:pt idx="76">
                  <c:v>49004</c:v>
                </c:pt>
                <c:pt idx="77">
                  <c:v>49096</c:v>
                </c:pt>
                <c:pt idx="78">
                  <c:v>49188</c:v>
                </c:pt>
                <c:pt idx="79">
                  <c:v>49279</c:v>
                </c:pt>
                <c:pt idx="80">
                  <c:v>49369</c:v>
                </c:pt>
                <c:pt idx="81">
                  <c:v>49461</c:v>
                </c:pt>
                <c:pt idx="82">
                  <c:v>49553</c:v>
                </c:pt>
                <c:pt idx="83">
                  <c:v>49644</c:v>
                </c:pt>
                <c:pt idx="84">
                  <c:v>49735</c:v>
                </c:pt>
                <c:pt idx="85">
                  <c:v>49827</c:v>
                </c:pt>
                <c:pt idx="86">
                  <c:v>49919</c:v>
                </c:pt>
                <c:pt idx="87">
                  <c:v>50010</c:v>
                </c:pt>
              </c:numCache>
            </c:numRef>
          </c:cat>
          <c:val>
            <c:numRef>
              <c:f>Comparison!$X$2:$X$201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1.0002326122354077</c:v>
                </c:pt>
                <c:pt idx="40">
                  <c:v>0.33898712921858198</c:v>
                </c:pt>
                <c:pt idx="41">
                  <c:v>0.99310396650911237</c:v>
                </c:pt>
                <c:pt idx="42">
                  <c:v>1.604875330987432</c:v>
                </c:pt>
                <c:pt idx="43">
                  <c:v>1.9032618573681548</c:v>
                </c:pt>
                <c:pt idx="44">
                  <c:v>3.1973970632222848</c:v>
                </c:pt>
                <c:pt idx="45">
                  <c:v>4.1334344301182435</c:v>
                </c:pt>
                <c:pt idx="46">
                  <c:v>4.843257260052547</c:v>
                </c:pt>
                <c:pt idx="47">
                  <c:v>5.3150359840220096</c:v>
                </c:pt>
                <c:pt idx="48">
                  <c:v>5.4054839789312359</c:v>
                </c:pt>
                <c:pt idx="49">
                  <c:v>5.2731317001316613</c:v>
                </c:pt>
                <c:pt idx="50">
                  <c:v>4.8833089963057574</c:v>
                </c:pt>
                <c:pt idx="51">
                  <c:v>4.477672556326695</c:v>
                </c:pt>
                <c:pt idx="52">
                  <c:v>4.1377018631997275</c:v>
                </c:pt>
                <c:pt idx="53">
                  <c:v>3.8567471817310572</c:v>
                </c:pt>
                <c:pt idx="54">
                  <c:v>3.6009577291151063</c:v>
                </c:pt>
                <c:pt idx="55">
                  <c:v>3.3871150830912411</c:v>
                </c:pt>
                <c:pt idx="56">
                  <c:v>3.2154418050123423</c:v>
                </c:pt>
                <c:pt idx="57">
                  <c:v>3.0528843196959254</c:v>
                </c:pt>
                <c:pt idx="58">
                  <c:v>2.9788555916693049</c:v>
                </c:pt>
                <c:pt idx="59">
                  <c:v>2.9130668449319774</c:v>
                </c:pt>
                <c:pt idx="60">
                  <c:v>2.8641162220465644</c:v>
                </c:pt>
                <c:pt idx="61">
                  <c:v>2.8251282496003283</c:v>
                </c:pt>
                <c:pt idx="62">
                  <c:v>2.7952319425328165</c:v>
                </c:pt>
                <c:pt idx="63">
                  <c:v>2.7801658481463987</c:v>
                </c:pt>
                <c:pt idx="64">
                  <c:v>2.7769505695325991</c:v>
                </c:pt>
                <c:pt idx="65">
                  <c:v>2.7911451455438163</c:v>
                </c:pt>
                <c:pt idx="66">
                  <c:v>2.8077707293837628</c:v>
                </c:pt>
                <c:pt idx="67">
                  <c:v>2.8362019834918373</c:v>
                </c:pt>
                <c:pt idx="68">
                  <c:v>2.8757206107279831</c:v>
                </c:pt>
                <c:pt idx="69">
                  <c:v>2.909657545587141</c:v>
                </c:pt>
                <c:pt idx="70">
                  <c:v>2.9658375276968796</c:v>
                </c:pt>
                <c:pt idx="71">
                  <c:v>3.0182975980691085</c:v>
                </c:pt>
                <c:pt idx="72">
                  <c:v>3.0674232290858638</c:v>
                </c:pt>
                <c:pt idx="73">
                  <c:v>3.1287120142783564</c:v>
                </c:pt>
                <c:pt idx="74">
                  <c:v>3.1786166068132005</c:v>
                </c:pt>
                <c:pt idx="75">
                  <c:v>3.2350380548418434</c:v>
                </c:pt>
                <c:pt idx="76">
                  <c:v>3.292032283799684</c:v>
                </c:pt>
                <c:pt idx="77">
                  <c:v>3.3518176880624528</c:v>
                </c:pt>
                <c:pt idx="78">
                  <c:v>3.4144265937165796</c:v>
                </c:pt>
                <c:pt idx="79">
                  <c:v>3.476079954292155</c:v>
                </c:pt>
                <c:pt idx="80">
                  <c:v>3.5364326819873781</c:v>
                </c:pt>
                <c:pt idx="81">
                  <c:v>3.5962563533203484</c:v>
                </c:pt>
                <c:pt idx="82">
                  <c:v>3.6494979634218883</c:v>
                </c:pt>
                <c:pt idx="83">
                  <c:v>3.7017228463278373</c:v>
                </c:pt>
                <c:pt idx="84">
                  <c:v>3.7527424409647292</c:v>
                </c:pt>
                <c:pt idx="85">
                  <c:v>3.7906577208179026</c:v>
                </c:pt>
                <c:pt idx="86">
                  <c:v>3.8356781264667461</c:v>
                </c:pt>
                <c:pt idx="87">
                  <c:v>3.8741683794530912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39-4ED4-BDB8-874CF0EC1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dateAx>
        <c:axId val="5001000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crossAx val="50010002"/>
        <c:crosses val="autoZero"/>
        <c:auto val="1"/>
        <c:lblOffset val="100"/>
        <c:baseTimeUnit val="months"/>
      </c:dateAx>
      <c:valAx>
        <c:axId val="5001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Labour market volumes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956730952109249"/>
          <c:y val="0.17369477422133378"/>
          <c:w val="0.86386264216972874"/>
          <c:h val="0.55174406604747162"/>
        </c:manualLayout>
      </c:layout>
      <c:lineChart>
        <c:grouping val="standard"/>
        <c:varyColors val="0"/>
        <c:ser>
          <c:idx val="0"/>
          <c:order val="0"/>
          <c:tx>
            <c:v>Employment - Actual</c:v>
          </c:tx>
          <c:spPr>
            <a:ln w="25400">
              <a:solidFill>
                <a:srgbClr val="86BC25"/>
              </a:solidFill>
              <a:prstDash val="solid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  <c:pt idx="0">
                  <c:v>42064</c:v>
                </c:pt>
                <c:pt idx="1">
                  <c:v>42156</c:v>
                </c:pt>
                <c:pt idx="2">
                  <c:v>42248</c:v>
                </c:pt>
                <c:pt idx="3">
                  <c:v>42339</c:v>
                </c:pt>
                <c:pt idx="4">
                  <c:v>42430</c:v>
                </c:pt>
                <c:pt idx="5">
                  <c:v>42522</c:v>
                </c:pt>
                <c:pt idx="6">
                  <c:v>42614</c:v>
                </c:pt>
                <c:pt idx="7">
                  <c:v>42705</c:v>
                </c:pt>
                <c:pt idx="8">
                  <c:v>42795</c:v>
                </c:pt>
                <c:pt idx="9">
                  <c:v>42887</c:v>
                </c:pt>
                <c:pt idx="10">
                  <c:v>42979</c:v>
                </c:pt>
                <c:pt idx="11">
                  <c:v>43070</c:v>
                </c:pt>
                <c:pt idx="12">
                  <c:v>43160</c:v>
                </c:pt>
                <c:pt idx="13">
                  <c:v>43252</c:v>
                </c:pt>
                <c:pt idx="14">
                  <c:v>43344</c:v>
                </c:pt>
                <c:pt idx="15">
                  <c:v>43435</c:v>
                </c:pt>
                <c:pt idx="16">
                  <c:v>43525</c:v>
                </c:pt>
                <c:pt idx="17">
                  <c:v>43617</c:v>
                </c:pt>
                <c:pt idx="18">
                  <c:v>43709</c:v>
                </c:pt>
                <c:pt idx="19">
                  <c:v>43800</c:v>
                </c:pt>
                <c:pt idx="20">
                  <c:v>43891</c:v>
                </c:pt>
                <c:pt idx="21">
                  <c:v>43983</c:v>
                </c:pt>
                <c:pt idx="22">
                  <c:v>44075</c:v>
                </c:pt>
                <c:pt idx="23">
                  <c:v>44166</c:v>
                </c:pt>
                <c:pt idx="24">
                  <c:v>44256</c:v>
                </c:pt>
                <c:pt idx="25">
                  <c:v>44348</c:v>
                </c:pt>
                <c:pt idx="26">
                  <c:v>44440</c:v>
                </c:pt>
                <c:pt idx="27">
                  <c:v>44531</c:v>
                </c:pt>
                <c:pt idx="28">
                  <c:v>44621</c:v>
                </c:pt>
                <c:pt idx="29">
                  <c:v>44713</c:v>
                </c:pt>
                <c:pt idx="30">
                  <c:v>44805</c:v>
                </c:pt>
                <c:pt idx="31">
                  <c:v>44896</c:v>
                </c:pt>
                <c:pt idx="32">
                  <c:v>44986</c:v>
                </c:pt>
                <c:pt idx="33">
                  <c:v>45078</c:v>
                </c:pt>
                <c:pt idx="34">
                  <c:v>45170</c:v>
                </c:pt>
                <c:pt idx="35">
                  <c:v>45261</c:v>
                </c:pt>
                <c:pt idx="36">
                  <c:v>45352</c:v>
                </c:pt>
                <c:pt idx="37">
                  <c:v>45444</c:v>
                </c:pt>
                <c:pt idx="38">
                  <c:v>45536</c:v>
                </c:pt>
                <c:pt idx="39">
                  <c:v>45627</c:v>
                </c:pt>
                <c:pt idx="40">
                  <c:v>45717</c:v>
                </c:pt>
                <c:pt idx="41">
                  <c:v>45809</c:v>
                </c:pt>
                <c:pt idx="42">
                  <c:v>45901</c:v>
                </c:pt>
                <c:pt idx="43">
                  <c:v>45992</c:v>
                </c:pt>
                <c:pt idx="44">
                  <c:v>46082</c:v>
                </c:pt>
                <c:pt idx="45">
                  <c:v>46174</c:v>
                </c:pt>
                <c:pt idx="46">
                  <c:v>46266</c:v>
                </c:pt>
                <c:pt idx="47">
                  <c:v>46357</c:v>
                </c:pt>
                <c:pt idx="48">
                  <c:v>46447</c:v>
                </c:pt>
                <c:pt idx="49">
                  <c:v>46539</c:v>
                </c:pt>
                <c:pt idx="50">
                  <c:v>46631</c:v>
                </c:pt>
                <c:pt idx="51">
                  <c:v>46722</c:v>
                </c:pt>
                <c:pt idx="52">
                  <c:v>46813</c:v>
                </c:pt>
                <c:pt idx="53">
                  <c:v>46905</c:v>
                </c:pt>
                <c:pt idx="54">
                  <c:v>46997</c:v>
                </c:pt>
                <c:pt idx="55">
                  <c:v>47088</c:v>
                </c:pt>
                <c:pt idx="56">
                  <c:v>47178</c:v>
                </c:pt>
                <c:pt idx="57">
                  <c:v>47270</c:v>
                </c:pt>
                <c:pt idx="58">
                  <c:v>47362</c:v>
                </c:pt>
                <c:pt idx="59">
                  <c:v>47453</c:v>
                </c:pt>
                <c:pt idx="60">
                  <c:v>47543</c:v>
                </c:pt>
                <c:pt idx="61">
                  <c:v>47635</c:v>
                </c:pt>
                <c:pt idx="62">
                  <c:v>47727</c:v>
                </c:pt>
                <c:pt idx="63">
                  <c:v>47818</c:v>
                </c:pt>
                <c:pt idx="64">
                  <c:v>47908</c:v>
                </c:pt>
                <c:pt idx="65">
                  <c:v>48000</c:v>
                </c:pt>
                <c:pt idx="66">
                  <c:v>48092</c:v>
                </c:pt>
                <c:pt idx="67">
                  <c:v>48183</c:v>
                </c:pt>
                <c:pt idx="68">
                  <c:v>48274</c:v>
                </c:pt>
                <c:pt idx="69">
                  <c:v>48366</c:v>
                </c:pt>
                <c:pt idx="70">
                  <c:v>48458</c:v>
                </c:pt>
                <c:pt idx="71">
                  <c:v>48549</c:v>
                </c:pt>
                <c:pt idx="72">
                  <c:v>48639</c:v>
                </c:pt>
                <c:pt idx="73">
                  <c:v>48731</c:v>
                </c:pt>
                <c:pt idx="74">
                  <c:v>48823</c:v>
                </c:pt>
                <c:pt idx="75">
                  <c:v>48914</c:v>
                </c:pt>
                <c:pt idx="76">
                  <c:v>49004</c:v>
                </c:pt>
                <c:pt idx="77">
                  <c:v>49096</c:v>
                </c:pt>
                <c:pt idx="78">
                  <c:v>49188</c:v>
                </c:pt>
                <c:pt idx="79">
                  <c:v>49279</c:v>
                </c:pt>
                <c:pt idx="80">
                  <c:v>49369</c:v>
                </c:pt>
                <c:pt idx="81">
                  <c:v>49461</c:v>
                </c:pt>
                <c:pt idx="82">
                  <c:v>49553</c:v>
                </c:pt>
                <c:pt idx="83">
                  <c:v>49644</c:v>
                </c:pt>
                <c:pt idx="84">
                  <c:v>49735</c:v>
                </c:pt>
                <c:pt idx="85">
                  <c:v>49827</c:v>
                </c:pt>
                <c:pt idx="86">
                  <c:v>49919</c:v>
                </c:pt>
                <c:pt idx="87">
                  <c:v>50010</c:v>
                </c:pt>
              </c:numCache>
            </c:numRef>
          </c:cat>
          <c:val>
            <c:numRef>
              <c:f>Comparison!$Y$2:$Y$201</c:f>
              <c:numCache>
                <c:formatCode>General</c:formatCode>
                <c:ptCount val="200"/>
                <c:pt idx="0">
                  <c:v>80.550418807557278</c:v>
                </c:pt>
                <c:pt idx="1">
                  <c:v>80.958544930385912</c:v>
                </c:pt>
                <c:pt idx="2">
                  <c:v>81.318140212688647</c:v>
                </c:pt>
                <c:pt idx="3">
                  <c:v>82.131374128004069</c:v>
                </c:pt>
                <c:pt idx="4">
                  <c:v>82.404397930609676</c:v>
                </c:pt>
                <c:pt idx="5">
                  <c:v>82.569827967937812</c:v>
                </c:pt>
                <c:pt idx="6">
                  <c:v>82.666000380708667</c:v>
                </c:pt>
                <c:pt idx="7">
                  <c:v>82.831645608386253</c:v>
                </c:pt>
                <c:pt idx="8">
                  <c:v>83.208942614930066</c:v>
                </c:pt>
                <c:pt idx="9">
                  <c:v>84.04803856741789</c:v>
                </c:pt>
                <c:pt idx="10">
                  <c:v>84.836234201901561</c:v>
                </c:pt>
                <c:pt idx="11">
                  <c:v>85.42428452994811</c:v>
                </c:pt>
                <c:pt idx="12">
                  <c:v>85.907005040836964</c:v>
                </c:pt>
                <c:pt idx="13">
                  <c:v>86.211622284122186</c:v>
                </c:pt>
                <c:pt idx="14">
                  <c:v>86.849104169328811</c:v>
                </c:pt>
                <c:pt idx="15">
                  <c:v>87.377146769120657</c:v>
                </c:pt>
                <c:pt idx="16">
                  <c:v>87.949738731973781</c:v>
                </c:pt>
                <c:pt idx="17">
                  <c:v>88.392477088732505</c:v>
                </c:pt>
                <c:pt idx="18">
                  <c:v>88.951983777321743</c:v>
                </c:pt>
                <c:pt idx="19">
                  <c:v>89.01883273607281</c:v>
                </c:pt>
                <c:pt idx="20">
                  <c:v>89.328494440218108</c:v>
                </c:pt>
                <c:pt idx="21">
                  <c:v>84.467123645356153</c:v>
                </c:pt>
                <c:pt idx="22">
                  <c:v>86.339337086346404</c:v>
                </c:pt>
                <c:pt idx="23">
                  <c:v>87.973729595577709</c:v>
                </c:pt>
                <c:pt idx="24">
                  <c:v>89.098595478698499</c:v>
                </c:pt>
                <c:pt idx="25">
                  <c:v>89.917733027182408</c:v>
                </c:pt>
                <c:pt idx="26">
                  <c:v>89.509655723945684</c:v>
                </c:pt>
                <c:pt idx="27">
                  <c:v>90.164092115892132</c:v>
                </c:pt>
                <c:pt idx="28">
                  <c:v>92.229388790842449</c:v>
                </c:pt>
                <c:pt idx="29">
                  <c:v>93.314157034483742</c:v>
                </c:pt>
                <c:pt idx="30">
                  <c:v>94.274272298930327</c:v>
                </c:pt>
                <c:pt idx="31">
                  <c:v>95.055805848572646</c:v>
                </c:pt>
                <c:pt idx="32">
                  <c:v>95.734348168018244</c:v>
                </c:pt>
                <c:pt idx="33">
                  <c:v>96.665695620848055</c:v>
                </c:pt>
                <c:pt idx="34">
                  <c:v>97.248949938717288</c:v>
                </c:pt>
                <c:pt idx="35">
                  <c:v>97.880929574026226</c:v>
                </c:pt>
                <c:pt idx="36">
                  <c:v>98.167949793338607</c:v>
                </c:pt>
                <c:pt idx="37">
                  <c:v>98.763254494414298</c:v>
                </c:pt>
                <c:pt idx="38">
                  <c:v>99.56853628824517</c:v>
                </c:pt>
                <c:pt idx="39">
                  <c:v>100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83-4701-991B-173EB1CC12E7}"/>
            </c:ext>
          </c:extLst>
        </c:ser>
        <c:ser>
          <c:idx val="1"/>
          <c:order val="1"/>
          <c:tx>
            <c:v>Employment - Forecast</c:v>
          </c:tx>
          <c:spPr>
            <a:ln w="25400">
              <a:solidFill>
                <a:srgbClr val="86BC25"/>
              </a:solidFill>
              <a:prstDash val="dash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  <c:pt idx="0">
                  <c:v>42064</c:v>
                </c:pt>
                <c:pt idx="1">
                  <c:v>42156</c:v>
                </c:pt>
                <c:pt idx="2">
                  <c:v>42248</c:v>
                </c:pt>
                <c:pt idx="3">
                  <c:v>42339</c:v>
                </c:pt>
                <c:pt idx="4">
                  <c:v>42430</c:v>
                </c:pt>
                <c:pt idx="5">
                  <c:v>42522</c:v>
                </c:pt>
                <c:pt idx="6">
                  <c:v>42614</c:v>
                </c:pt>
                <c:pt idx="7">
                  <c:v>42705</c:v>
                </c:pt>
                <c:pt idx="8">
                  <c:v>42795</c:v>
                </c:pt>
                <c:pt idx="9">
                  <c:v>42887</c:v>
                </c:pt>
                <c:pt idx="10">
                  <c:v>42979</c:v>
                </c:pt>
                <c:pt idx="11">
                  <c:v>43070</c:v>
                </c:pt>
                <c:pt idx="12">
                  <c:v>43160</c:v>
                </c:pt>
                <c:pt idx="13">
                  <c:v>43252</c:v>
                </c:pt>
                <c:pt idx="14">
                  <c:v>43344</c:v>
                </c:pt>
                <c:pt idx="15">
                  <c:v>43435</c:v>
                </c:pt>
                <c:pt idx="16">
                  <c:v>43525</c:v>
                </c:pt>
                <c:pt idx="17">
                  <c:v>43617</c:v>
                </c:pt>
                <c:pt idx="18">
                  <c:v>43709</c:v>
                </c:pt>
                <c:pt idx="19">
                  <c:v>43800</c:v>
                </c:pt>
                <c:pt idx="20">
                  <c:v>43891</c:v>
                </c:pt>
                <c:pt idx="21">
                  <c:v>43983</c:v>
                </c:pt>
                <c:pt idx="22">
                  <c:v>44075</c:v>
                </c:pt>
                <c:pt idx="23">
                  <c:v>44166</c:v>
                </c:pt>
                <c:pt idx="24">
                  <c:v>44256</c:v>
                </c:pt>
                <c:pt idx="25">
                  <c:v>44348</c:v>
                </c:pt>
                <c:pt idx="26">
                  <c:v>44440</c:v>
                </c:pt>
                <c:pt idx="27">
                  <c:v>44531</c:v>
                </c:pt>
                <c:pt idx="28">
                  <c:v>44621</c:v>
                </c:pt>
                <c:pt idx="29">
                  <c:v>44713</c:v>
                </c:pt>
                <c:pt idx="30">
                  <c:v>44805</c:v>
                </c:pt>
                <c:pt idx="31">
                  <c:v>44896</c:v>
                </c:pt>
                <c:pt idx="32">
                  <c:v>44986</c:v>
                </c:pt>
                <c:pt idx="33">
                  <c:v>45078</c:v>
                </c:pt>
                <c:pt idx="34">
                  <c:v>45170</c:v>
                </c:pt>
                <c:pt idx="35">
                  <c:v>45261</c:v>
                </c:pt>
                <c:pt idx="36">
                  <c:v>45352</c:v>
                </c:pt>
                <c:pt idx="37">
                  <c:v>45444</c:v>
                </c:pt>
                <c:pt idx="38">
                  <c:v>45536</c:v>
                </c:pt>
                <c:pt idx="39">
                  <c:v>45627</c:v>
                </c:pt>
                <c:pt idx="40">
                  <c:v>45717</c:v>
                </c:pt>
                <c:pt idx="41">
                  <c:v>45809</c:v>
                </c:pt>
                <c:pt idx="42">
                  <c:v>45901</c:v>
                </c:pt>
                <c:pt idx="43">
                  <c:v>45992</c:v>
                </c:pt>
                <c:pt idx="44">
                  <c:v>46082</c:v>
                </c:pt>
                <c:pt idx="45">
                  <c:v>46174</c:v>
                </c:pt>
                <c:pt idx="46">
                  <c:v>46266</c:v>
                </c:pt>
                <c:pt idx="47">
                  <c:v>46357</c:v>
                </c:pt>
                <c:pt idx="48">
                  <c:v>46447</c:v>
                </c:pt>
                <c:pt idx="49">
                  <c:v>46539</c:v>
                </c:pt>
                <c:pt idx="50">
                  <c:v>46631</c:v>
                </c:pt>
                <c:pt idx="51">
                  <c:v>46722</c:v>
                </c:pt>
                <c:pt idx="52">
                  <c:v>46813</c:v>
                </c:pt>
                <c:pt idx="53">
                  <c:v>46905</c:v>
                </c:pt>
                <c:pt idx="54">
                  <c:v>46997</c:v>
                </c:pt>
                <c:pt idx="55">
                  <c:v>47088</c:v>
                </c:pt>
                <c:pt idx="56">
                  <c:v>47178</c:v>
                </c:pt>
                <c:pt idx="57">
                  <c:v>47270</c:v>
                </c:pt>
                <c:pt idx="58">
                  <c:v>47362</c:v>
                </c:pt>
                <c:pt idx="59">
                  <c:v>47453</c:v>
                </c:pt>
                <c:pt idx="60">
                  <c:v>47543</c:v>
                </c:pt>
                <c:pt idx="61">
                  <c:v>47635</c:v>
                </c:pt>
                <c:pt idx="62">
                  <c:v>47727</c:v>
                </c:pt>
                <c:pt idx="63">
                  <c:v>47818</c:v>
                </c:pt>
                <c:pt idx="64">
                  <c:v>47908</c:v>
                </c:pt>
                <c:pt idx="65">
                  <c:v>48000</c:v>
                </c:pt>
                <c:pt idx="66">
                  <c:v>48092</c:v>
                </c:pt>
                <c:pt idx="67">
                  <c:v>48183</c:v>
                </c:pt>
                <c:pt idx="68">
                  <c:v>48274</c:v>
                </c:pt>
                <c:pt idx="69">
                  <c:v>48366</c:v>
                </c:pt>
                <c:pt idx="70">
                  <c:v>48458</c:v>
                </c:pt>
                <c:pt idx="71">
                  <c:v>48549</c:v>
                </c:pt>
                <c:pt idx="72">
                  <c:v>48639</c:v>
                </c:pt>
                <c:pt idx="73">
                  <c:v>48731</c:v>
                </c:pt>
                <c:pt idx="74">
                  <c:v>48823</c:v>
                </c:pt>
                <c:pt idx="75">
                  <c:v>48914</c:v>
                </c:pt>
                <c:pt idx="76">
                  <c:v>49004</c:v>
                </c:pt>
                <c:pt idx="77">
                  <c:v>49096</c:v>
                </c:pt>
                <c:pt idx="78">
                  <c:v>49188</c:v>
                </c:pt>
                <c:pt idx="79">
                  <c:v>49279</c:v>
                </c:pt>
                <c:pt idx="80">
                  <c:v>49369</c:v>
                </c:pt>
                <c:pt idx="81">
                  <c:v>49461</c:v>
                </c:pt>
                <c:pt idx="82">
                  <c:v>49553</c:v>
                </c:pt>
                <c:pt idx="83">
                  <c:v>49644</c:v>
                </c:pt>
                <c:pt idx="84">
                  <c:v>49735</c:v>
                </c:pt>
                <c:pt idx="85">
                  <c:v>49827</c:v>
                </c:pt>
                <c:pt idx="86">
                  <c:v>49919</c:v>
                </c:pt>
                <c:pt idx="87">
                  <c:v>50010</c:v>
                </c:pt>
              </c:numCache>
            </c:numRef>
          </c:cat>
          <c:val>
            <c:numRef>
              <c:f>Comparison!$Z$2:$Z$201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100</c:v>
                </c:pt>
                <c:pt idx="40">
                  <c:v>99.807395116540974</c:v>
                </c:pt>
                <c:pt idx="41">
                  <c:v>99.782024554420644</c:v>
                </c:pt>
                <c:pt idx="42">
                  <c:v>99.78844195246954</c:v>
                </c:pt>
                <c:pt idx="43">
                  <c:v>100.00188791274807</c:v>
                </c:pt>
                <c:pt idx="44">
                  <c:v>100.47871056022706</c:v>
                </c:pt>
                <c:pt idx="45">
                  <c:v>101.15173829805175</c:v>
                </c:pt>
                <c:pt idx="46">
                  <c:v>101.96431381864664</c:v>
                </c:pt>
                <c:pt idx="47">
                  <c:v>102.84277684219855</c:v>
                </c:pt>
                <c:pt idx="48">
                  <c:v>103.7123537943032</c:v>
                </c:pt>
                <c:pt idx="49">
                  <c:v>104.55250639606417</c:v>
                </c:pt>
                <c:pt idx="50">
                  <c:v>105.30661725226592</c:v>
                </c:pt>
                <c:pt idx="51">
                  <c:v>106.02013503640272</c:v>
                </c:pt>
                <c:pt idx="52">
                  <c:v>106.69221402539654</c:v>
                </c:pt>
                <c:pt idx="53">
                  <c:v>107.33434241862832</c:v>
                </c:pt>
                <c:pt idx="54">
                  <c:v>107.87968886374588</c:v>
                </c:pt>
                <c:pt idx="55">
                  <c:v>108.38914308793025</c:v>
                </c:pt>
                <c:pt idx="56">
                  <c:v>108.87068969240816</c:v>
                </c:pt>
                <c:pt idx="57">
                  <c:v>109.31938418283815</c:v>
                </c:pt>
                <c:pt idx="58">
                  <c:v>109.74050118080979</c:v>
                </c:pt>
                <c:pt idx="59">
                  <c:v>110.1457659441775</c:v>
                </c:pt>
                <c:pt idx="60">
                  <c:v>110.53883463221442</c:v>
                </c:pt>
                <c:pt idx="61">
                  <c:v>110.90822853285835</c:v>
                </c:pt>
                <c:pt idx="62">
                  <c:v>111.26917505748077</c:v>
                </c:pt>
                <c:pt idx="63">
                  <c:v>111.61992003840078</c:v>
                </c:pt>
                <c:pt idx="64">
                  <c:v>111.96531169786975</c:v>
                </c:pt>
                <c:pt idx="65">
                  <c:v>112.2989812740249</c:v>
                </c:pt>
                <c:pt idx="66">
                  <c:v>112.61059421078708</c:v>
                </c:pt>
                <c:pt idx="67">
                  <c:v>112.92127293464688</c:v>
                </c:pt>
                <c:pt idx="68">
                  <c:v>113.23757341287742</c:v>
                </c:pt>
                <c:pt idx="69">
                  <c:v>113.5396826193615</c:v>
                </c:pt>
                <c:pt idx="70">
                  <c:v>113.84723545519132</c:v>
                </c:pt>
                <c:pt idx="71">
                  <c:v>114.15853147272168</c:v>
                </c:pt>
                <c:pt idx="72">
                  <c:v>114.47844571754409</c:v>
                </c:pt>
                <c:pt idx="73">
                  <c:v>114.79964146111604</c:v>
                </c:pt>
                <c:pt idx="74">
                  <c:v>115.12509082576615</c:v>
                </c:pt>
                <c:pt idx="75">
                  <c:v>115.46237907857024</c:v>
                </c:pt>
                <c:pt idx="76">
                  <c:v>115.81364163921759</c:v>
                </c:pt>
                <c:pt idx="77">
                  <c:v>116.17120410654421</c:v>
                </c:pt>
                <c:pt idx="78">
                  <c:v>116.5349877229722</c:v>
                </c:pt>
                <c:pt idx="79">
                  <c:v>116.91438118617918</c:v>
                </c:pt>
                <c:pt idx="80">
                  <c:v>117.30990430436174</c:v>
                </c:pt>
                <c:pt idx="81">
                  <c:v>117.71337881110487</c:v>
                </c:pt>
                <c:pt idx="82">
                  <c:v>118.12870449752465</c:v>
                </c:pt>
                <c:pt idx="83">
                  <c:v>118.55871828371173</c:v>
                </c:pt>
                <c:pt idx="84">
                  <c:v>119.00358427692464</c:v>
                </c:pt>
                <c:pt idx="85">
                  <c:v>119.44072655491921</c:v>
                </c:pt>
                <c:pt idx="86">
                  <c:v>119.89257965153936</c:v>
                </c:pt>
                <c:pt idx="87">
                  <c:v>120.35120839157578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83-4701-991B-173EB1CC12E7}"/>
            </c:ext>
          </c:extLst>
        </c:ser>
        <c:ser>
          <c:idx val="2"/>
          <c:order val="2"/>
          <c:tx>
            <c:v>Market hours - Actual</c:v>
          </c:tx>
          <c:spPr>
            <a:ln w="25400">
              <a:solidFill>
                <a:srgbClr val="00A3E0"/>
              </a:solidFill>
              <a:prstDash val="solid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  <c:pt idx="0">
                  <c:v>42064</c:v>
                </c:pt>
                <c:pt idx="1">
                  <c:v>42156</c:v>
                </c:pt>
                <c:pt idx="2">
                  <c:v>42248</c:v>
                </c:pt>
                <c:pt idx="3">
                  <c:v>42339</c:v>
                </c:pt>
                <c:pt idx="4">
                  <c:v>42430</c:v>
                </c:pt>
                <c:pt idx="5">
                  <c:v>42522</c:v>
                </c:pt>
                <c:pt idx="6">
                  <c:v>42614</c:v>
                </c:pt>
                <c:pt idx="7">
                  <c:v>42705</c:v>
                </c:pt>
                <c:pt idx="8">
                  <c:v>42795</c:v>
                </c:pt>
                <c:pt idx="9">
                  <c:v>42887</c:v>
                </c:pt>
                <c:pt idx="10">
                  <c:v>42979</c:v>
                </c:pt>
                <c:pt idx="11">
                  <c:v>43070</c:v>
                </c:pt>
                <c:pt idx="12">
                  <c:v>43160</c:v>
                </c:pt>
                <c:pt idx="13">
                  <c:v>43252</c:v>
                </c:pt>
                <c:pt idx="14">
                  <c:v>43344</c:v>
                </c:pt>
                <c:pt idx="15">
                  <c:v>43435</c:v>
                </c:pt>
                <c:pt idx="16">
                  <c:v>43525</c:v>
                </c:pt>
                <c:pt idx="17">
                  <c:v>43617</c:v>
                </c:pt>
                <c:pt idx="18">
                  <c:v>43709</c:v>
                </c:pt>
                <c:pt idx="19">
                  <c:v>43800</c:v>
                </c:pt>
                <c:pt idx="20">
                  <c:v>43891</c:v>
                </c:pt>
                <c:pt idx="21">
                  <c:v>43983</c:v>
                </c:pt>
                <c:pt idx="22">
                  <c:v>44075</c:v>
                </c:pt>
                <c:pt idx="23">
                  <c:v>44166</c:v>
                </c:pt>
                <c:pt idx="24">
                  <c:v>44256</c:v>
                </c:pt>
                <c:pt idx="25">
                  <c:v>44348</c:v>
                </c:pt>
                <c:pt idx="26">
                  <c:v>44440</c:v>
                </c:pt>
                <c:pt idx="27">
                  <c:v>44531</c:v>
                </c:pt>
                <c:pt idx="28">
                  <c:v>44621</c:v>
                </c:pt>
                <c:pt idx="29">
                  <c:v>44713</c:v>
                </c:pt>
                <c:pt idx="30">
                  <c:v>44805</c:v>
                </c:pt>
                <c:pt idx="31">
                  <c:v>44896</c:v>
                </c:pt>
                <c:pt idx="32">
                  <c:v>44986</c:v>
                </c:pt>
                <c:pt idx="33">
                  <c:v>45078</c:v>
                </c:pt>
                <c:pt idx="34">
                  <c:v>45170</c:v>
                </c:pt>
                <c:pt idx="35">
                  <c:v>45261</c:v>
                </c:pt>
                <c:pt idx="36">
                  <c:v>45352</c:v>
                </c:pt>
                <c:pt idx="37">
                  <c:v>45444</c:v>
                </c:pt>
                <c:pt idx="38">
                  <c:v>45536</c:v>
                </c:pt>
                <c:pt idx="39">
                  <c:v>45627</c:v>
                </c:pt>
                <c:pt idx="40">
                  <c:v>45717</c:v>
                </c:pt>
                <c:pt idx="41">
                  <c:v>45809</c:v>
                </c:pt>
                <c:pt idx="42">
                  <c:v>45901</c:v>
                </c:pt>
                <c:pt idx="43">
                  <c:v>45992</c:v>
                </c:pt>
                <c:pt idx="44">
                  <c:v>46082</c:v>
                </c:pt>
                <c:pt idx="45">
                  <c:v>46174</c:v>
                </c:pt>
                <c:pt idx="46">
                  <c:v>46266</c:v>
                </c:pt>
                <c:pt idx="47">
                  <c:v>46357</c:v>
                </c:pt>
                <c:pt idx="48">
                  <c:v>46447</c:v>
                </c:pt>
                <c:pt idx="49">
                  <c:v>46539</c:v>
                </c:pt>
                <c:pt idx="50">
                  <c:v>46631</c:v>
                </c:pt>
                <c:pt idx="51">
                  <c:v>46722</c:v>
                </c:pt>
                <c:pt idx="52">
                  <c:v>46813</c:v>
                </c:pt>
                <c:pt idx="53">
                  <c:v>46905</c:v>
                </c:pt>
                <c:pt idx="54">
                  <c:v>46997</c:v>
                </c:pt>
                <c:pt idx="55">
                  <c:v>47088</c:v>
                </c:pt>
                <c:pt idx="56">
                  <c:v>47178</c:v>
                </c:pt>
                <c:pt idx="57">
                  <c:v>47270</c:v>
                </c:pt>
                <c:pt idx="58">
                  <c:v>47362</c:v>
                </c:pt>
                <c:pt idx="59">
                  <c:v>47453</c:v>
                </c:pt>
                <c:pt idx="60">
                  <c:v>47543</c:v>
                </c:pt>
                <c:pt idx="61">
                  <c:v>47635</c:v>
                </c:pt>
                <c:pt idx="62">
                  <c:v>47727</c:v>
                </c:pt>
                <c:pt idx="63">
                  <c:v>47818</c:v>
                </c:pt>
                <c:pt idx="64">
                  <c:v>47908</c:v>
                </c:pt>
                <c:pt idx="65">
                  <c:v>48000</c:v>
                </c:pt>
                <c:pt idx="66">
                  <c:v>48092</c:v>
                </c:pt>
                <c:pt idx="67">
                  <c:v>48183</c:v>
                </c:pt>
                <c:pt idx="68">
                  <c:v>48274</c:v>
                </c:pt>
                <c:pt idx="69">
                  <c:v>48366</c:v>
                </c:pt>
                <c:pt idx="70">
                  <c:v>48458</c:v>
                </c:pt>
                <c:pt idx="71">
                  <c:v>48549</c:v>
                </c:pt>
                <c:pt idx="72">
                  <c:v>48639</c:v>
                </c:pt>
                <c:pt idx="73">
                  <c:v>48731</c:v>
                </c:pt>
                <c:pt idx="74">
                  <c:v>48823</c:v>
                </c:pt>
                <c:pt idx="75">
                  <c:v>48914</c:v>
                </c:pt>
                <c:pt idx="76">
                  <c:v>49004</c:v>
                </c:pt>
                <c:pt idx="77">
                  <c:v>49096</c:v>
                </c:pt>
                <c:pt idx="78">
                  <c:v>49188</c:v>
                </c:pt>
                <c:pt idx="79">
                  <c:v>49279</c:v>
                </c:pt>
                <c:pt idx="80">
                  <c:v>49369</c:v>
                </c:pt>
                <c:pt idx="81">
                  <c:v>49461</c:v>
                </c:pt>
                <c:pt idx="82">
                  <c:v>49553</c:v>
                </c:pt>
                <c:pt idx="83">
                  <c:v>49644</c:v>
                </c:pt>
                <c:pt idx="84">
                  <c:v>49735</c:v>
                </c:pt>
                <c:pt idx="85">
                  <c:v>49827</c:v>
                </c:pt>
                <c:pt idx="86">
                  <c:v>49919</c:v>
                </c:pt>
                <c:pt idx="87">
                  <c:v>50010</c:v>
                </c:pt>
              </c:numCache>
            </c:numRef>
          </c:cat>
          <c:val>
            <c:numRef>
              <c:f>Comparison!$AA$2:$AA$201</c:f>
              <c:numCache>
                <c:formatCode>General</c:formatCode>
                <c:ptCount val="200"/>
                <c:pt idx="0">
                  <c:v>87.698866021783246</c:v>
                </c:pt>
                <c:pt idx="1">
                  <c:v>87.57668089940816</c:v>
                </c:pt>
                <c:pt idx="2">
                  <c:v>88.320907321713847</c:v>
                </c:pt>
                <c:pt idx="3">
                  <c:v>88.577833137365957</c:v>
                </c:pt>
                <c:pt idx="4">
                  <c:v>88.855523155749594</c:v>
                </c:pt>
                <c:pt idx="5">
                  <c:v>88.300742110597398</c:v>
                </c:pt>
                <c:pt idx="6">
                  <c:v>88.130734291859611</c:v>
                </c:pt>
                <c:pt idx="7">
                  <c:v>88.515497374157491</c:v>
                </c:pt>
                <c:pt idx="8">
                  <c:v>89.613166799687221</c:v>
                </c:pt>
                <c:pt idx="9">
                  <c:v>90.489748954916905</c:v>
                </c:pt>
                <c:pt idx="10">
                  <c:v>91.007614570801991</c:v>
                </c:pt>
                <c:pt idx="11">
                  <c:v>91.808628312419899</c:v>
                </c:pt>
                <c:pt idx="12">
                  <c:v>91.283955037264676</c:v>
                </c:pt>
                <c:pt idx="13">
                  <c:v>91.778986947683009</c:v>
                </c:pt>
                <c:pt idx="14">
                  <c:v>92.496890960220554</c:v>
                </c:pt>
                <c:pt idx="15">
                  <c:v>92.298243662681855</c:v>
                </c:pt>
                <c:pt idx="16">
                  <c:v>93.841427801865365</c:v>
                </c:pt>
                <c:pt idx="17">
                  <c:v>92.664644093144901</c:v>
                </c:pt>
                <c:pt idx="18">
                  <c:v>93.475783686626215</c:v>
                </c:pt>
                <c:pt idx="19">
                  <c:v>93.487923794345519</c:v>
                </c:pt>
                <c:pt idx="20">
                  <c:v>92.051534050044026</c:v>
                </c:pt>
                <c:pt idx="21">
                  <c:v>82.528889210877267</c:v>
                </c:pt>
                <c:pt idx="22">
                  <c:v>87.023024031402315</c:v>
                </c:pt>
                <c:pt idx="23">
                  <c:v>89.454379863665366</c:v>
                </c:pt>
                <c:pt idx="24">
                  <c:v>90.845007343343951</c:v>
                </c:pt>
                <c:pt idx="25">
                  <c:v>92.755881376644297</c:v>
                </c:pt>
                <c:pt idx="26">
                  <c:v>88.821102064788107</c:v>
                </c:pt>
                <c:pt idx="27">
                  <c:v>91.036732258572258</c:v>
                </c:pt>
                <c:pt idx="28">
                  <c:v>92.187004225315604</c:v>
                </c:pt>
                <c:pt idx="29">
                  <c:v>95.378804303734654</c:v>
                </c:pt>
                <c:pt idx="30">
                  <c:v>97.148352690856427</c:v>
                </c:pt>
                <c:pt idx="31">
                  <c:v>99.066230098289068</c:v>
                </c:pt>
                <c:pt idx="32">
                  <c:v>99.10681435819869</c:v>
                </c:pt>
                <c:pt idx="33">
                  <c:v>100.3643466904208</c:v>
                </c:pt>
                <c:pt idx="34">
                  <c:v>99.573000224795578</c:v>
                </c:pt>
                <c:pt idx="35">
                  <c:v>99.136320617806376</c:v>
                </c:pt>
                <c:pt idx="36">
                  <c:v>98.349224442041375</c:v>
                </c:pt>
                <c:pt idx="37">
                  <c:v>99.017658120765702</c:v>
                </c:pt>
                <c:pt idx="38">
                  <c:v>99.812906205298447</c:v>
                </c:pt>
                <c:pt idx="39">
                  <c:v>100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83-4701-991B-173EB1CC12E7}"/>
            </c:ext>
          </c:extLst>
        </c:ser>
        <c:ser>
          <c:idx val="3"/>
          <c:order val="3"/>
          <c:tx>
            <c:v>Market hours - Forecast</c:v>
          </c:tx>
          <c:spPr>
            <a:ln w="25400">
              <a:solidFill>
                <a:srgbClr val="00A3E0"/>
              </a:solidFill>
              <a:prstDash val="dash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  <c:pt idx="0">
                  <c:v>42064</c:v>
                </c:pt>
                <c:pt idx="1">
                  <c:v>42156</c:v>
                </c:pt>
                <c:pt idx="2">
                  <c:v>42248</c:v>
                </c:pt>
                <c:pt idx="3">
                  <c:v>42339</c:v>
                </c:pt>
                <c:pt idx="4">
                  <c:v>42430</c:v>
                </c:pt>
                <c:pt idx="5">
                  <c:v>42522</c:v>
                </c:pt>
                <c:pt idx="6">
                  <c:v>42614</c:v>
                </c:pt>
                <c:pt idx="7">
                  <c:v>42705</c:v>
                </c:pt>
                <c:pt idx="8">
                  <c:v>42795</c:v>
                </c:pt>
                <c:pt idx="9">
                  <c:v>42887</c:v>
                </c:pt>
                <c:pt idx="10">
                  <c:v>42979</c:v>
                </c:pt>
                <c:pt idx="11">
                  <c:v>43070</c:v>
                </c:pt>
                <c:pt idx="12">
                  <c:v>43160</c:v>
                </c:pt>
                <c:pt idx="13">
                  <c:v>43252</c:v>
                </c:pt>
                <c:pt idx="14">
                  <c:v>43344</c:v>
                </c:pt>
                <c:pt idx="15">
                  <c:v>43435</c:v>
                </c:pt>
                <c:pt idx="16">
                  <c:v>43525</c:v>
                </c:pt>
                <c:pt idx="17">
                  <c:v>43617</c:v>
                </c:pt>
                <c:pt idx="18">
                  <c:v>43709</c:v>
                </c:pt>
                <c:pt idx="19">
                  <c:v>43800</c:v>
                </c:pt>
                <c:pt idx="20">
                  <c:v>43891</c:v>
                </c:pt>
                <c:pt idx="21">
                  <c:v>43983</c:v>
                </c:pt>
                <c:pt idx="22">
                  <c:v>44075</c:v>
                </c:pt>
                <c:pt idx="23">
                  <c:v>44166</c:v>
                </c:pt>
                <c:pt idx="24">
                  <c:v>44256</c:v>
                </c:pt>
                <c:pt idx="25">
                  <c:v>44348</c:v>
                </c:pt>
                <c:pt idx="26">
                  <c:v>44440</c:v>
                </c:pt>
                <c:pt idx="27">
                  <c:v>44531</c:v>
                </c:pt>
                <c:pt idx="28">
                  <c:v>44621</c:v>
                </c:pt>
                <c:pt idx="29">
                  <c:v>44713</c:v>
                </c:pt>
                <c:pt idx="30">
                  <c:v>44805</c:v>
                </c:pt>
                <c:pt idx="31">
                  <c:v>44896</c:v>
                </c:pt>
                <c:pt idx="32">
                  <c:v>44986</c:v>
                </c:pt>
                <c:pt idx="33">
                  <c:v>45078</c:v>
                </c:pt>
                <c:pt idx="34">
                  <c:v>45170</c:v>
                </c:pt>
                <c:pt idx="35">
                  <c:v>45261</c:v>
                </c:pt>
                <c:pt idx="36">
                  <c:v>45352</c:v>
                </c:pt>
                <c:pt idx="37">
                  <c:v>45444</c:v>
                </c:pt>
                <c:pt idx="38">
                  <c:v>45536</c:v>
                </c:pt>
                <c:pt idx="39">
                  <c:v>45627</c:v>
                </c:pt>
                <c:pt idx="40">
                  <c:v>45717</c:v>
                </c:pt>
                <c:pt idx="41">
                  <c:v>45809</c:v>
                </c:pt>
                <c:pt idx="42">
                  <c:v>45901</c:v>
                </c:pt>
                <c:pt idx="43">
                  <c:v>45992</c:v>
                </c:pt>
                <c:pt idx="44">
                  <c:v>46082</c:v>
                </c:pt>
                <c:pt idx="45">
                  <c:v>46174</c:v>
                </c:pt>
                <c:pt idx="46">
                  <c:v>46266</c:v>
                </c:pt>
                <c:pt idx="47">
                  <c:v>46357</c:v>
                </c:pt>
                <c:pt idx="48">
                  <c:v>46447</c:v>
                </c:pt>
                <c:pt idx="49">
                  <c:v>46539</c:v>
                </c:pt>
                <c:pt idx="50">
                  <c:v>46631</c:v>
                </c:pt>
                <c:pt idx="51">
                  <c:v>46722</c:v>
                </c:pt>
                <c:pt idx="52">
                  <c:v>46813</c:v>
                </c:pt>
                <c:pt idx="53">
                  <c:v>46905</c:v>
                </c:pt>
                <c:pt idx="54">
                  <c:v>46997</c:v>
                </c:pt>
                <c:pt idx="55">
                  <c:v>47088</c:v>
                </c:pt>
                <c:pt idx="56">
                  <c:v>47178</c:v>
                </c:pt>
                <c:pt idx="57">
                  <c:v>47270</c:v>
                </c:pt>
                <c:pt idx="58">
                  <c:v>47362</c:v>
                </c:pt>
                <c:pt idx="59">
                  <c:v>47453</c:v>
                </c:pt>
                <c:pt idx="60">
                  <c:v>47543</c:v>
                </c:pt>
                <c:pt idx="61">
                  <c:v>47635</c:v>
                </c:pt>
                <c:pt idx="62">
                  <c:v>47727</c:v>
                </c:pt>
                <c:pt idx="63">
                  <c:v>47818</c:v>
                </c:pt>
                <c:pt idx="64">
                  <c:v>47908</c:v>
                </c:pt>
                <c:pt idx="65">
                  <c:v>48000</c:v>
                </c:pt>
                <c:pt idx="66">
                  <c:v>48092</c:v>
                </c:pt>
                <c:pt idx="67">
                  <c:v>48183</c:v>
                </c:pt>
                <c:pt idx="68">
                  <c:v>48274</c:v>
                </c:pt>
                <c:pt idx="69">
                  <c:v>48366</c:v>
                </c:pt>
                <c:pt idx="70">
                  <c:v>48458</c:v>
                </c:pt>
                <c:pt idx="71">
                  <c:v>48549</c:v>
                </c:pt>
                <c:pt idx="72">
                  <c:v>48639</c:v>
                </c:pt>
                <c:pt idx="73">
                  <c:v>48731</c:v>
                </c:pt>
                <c:pt idx="74">
                  <c:v>48823</c:v>
                </c:pt>
                <c:pt idx="75">
                  <c:v>48914</c:v>
                </c:pt>
                <c:pt idx="76">
                  <c:v>49004</c:v>
                </c:pt>
                <c:pt idx="77">
                  <c:v>49096</c:v>
                </c:pt>
                <c:pt idx="78">
                  <c:v>49188</c:v>
                </c:pt>
                <c:pt idx="79">
                  <c:v>49279</c:v>
                </c:pt>
                <c:pt idx="80">
                  <c:v>49369</c:v>
                </c:pt>
                <c:pt idx="81">
                  <c:v>49461</c:v>
                </c:pt>
                <c:pt idx="82">
                  <c:v>49553</c:v>
                </c:pt>
                <c:pt idx="83">
                  <c:v>49644</c:v>
                </c:pt>
                <c:pt idx="84">
                  <c:v>49735</c:v>
                </c:pt>
                <c:pt idx="85">
                  <c:v>49827</c:v>
                </c:pt>
                <c:pt idx="86">
                  <c:v>49919</c:v>
                </c:pt>
                <c:pt idx="87">
                  <c:v>50010</c:v>
                </c:pt>
              </c:numCache>
            </c:numRef>
          </c:cat>
          <c:val>
            <c:numRef>
              <c:f>Comparison!$AB$2:$AB$201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100</c:v>
                </c:pt>
                <c:pt idx="40">
                  <c:v>98.732924820823698</c:v>
                </c:pt>
                <c:pt idx="41">
                  <c:v>97.929107973483966</c:v>
                </c:pt>
                <c:pt idx="42">
                  <c:v>97.452154665224796</c:v>
                </c:pt>
                <c:pt idx="43">
                  <c:v>97.321182346539345</c:v>
                </c:pt>
                <c:pt idx="44">
                  <c:v>97.613931442510491</c:v>
                </c:pt>
                <c:pt idx="45">
                  <c:v>98.221932232157926</c:v>
                </c:pt>
                <c:pt idx="46">
                  <c:v>99.089881827432265</c:v>
                </c:pt>
                <c:pt idx="47">
                  <c:v>100.08713072508264</c:v>
                </c:pt>
                <c:pt idx="48">
                  <c:v>101.090965216548</c:v>
                </c:pt>
                <c:pt idx="49">
                  <c:v>102.07077045112329</c:v>
                </c:pt>
                <c:pt idx="50">
                  <c:v>102.92816120282428</c:v>
                </c:pt>
                <c:pt idx="51">
                  <c:v>103.73473403271113</c:v>
                </c:pt>
                <c:pt idx="52">
                  <c:v>104.47157804639578</c:v>
                </c:pt>
                <c:pt idx="53">
                  <c:v>105.16326749629911</c:v>
                </c:pt>
                <c:pt idx="54">
                  <c:v>105.68587078319472</c:v>
                </c:pt>
                <c:pt idx="55">
                  <c:v>106.14739804994434</c:v>
                </c:pt>
                <c:pt idx="56">
                  <c:v>106.54998170437882</c:v>
                </c:pt>
                <c:pt idx="57">
                  <c:v>106.87334139757914</c:v>
                </c:pt>
                <c:pt idx="58">
                  <c:v>107.15581174283848</c:v>
                </c:pt>
                <c:pt idx="59">
                  <c:v>107.39726542167001</c:v>
                </c:pt>
                <c:pt idx="60">
                  <c:v>107.61225565853162</c:v>
                </c:pt>
                <c:pt idx="61">
                  <c:v>107.76295894534553</c:v>
                </c:pt>
                <c:pt idx="62">
                  <c:v>107.8954379371086</c:v>
                </c:pt>
                <c:pt idx="63">
                  <c:v>108.00359727151627</c:v>
                </c:pt>
                <c:pt idx="64">
                  <c:v>108.10124693364202</c:v>
                </c:pt>
                <c:pt idx="65">
                  <c:v>108.16842427926808</c:v>
                </c:pt>
                <c:pt idx="66">
                  <c:v>108.22379464291222</c:v>
                </c:pt>
                <c:pt idx="67">
                  <c:v>108.28162652919235</c:v>
                </c:pt>
                <c:pt idx="68">
                  <c:v>108.35613366580664</c:v>
                </c:pt>
                <c:pt idx="69">
                  <c:v>108.39072997124737</c:v>
                </c:pt>
                <c:pt idx="70">
                  <c:v>108.46070042467133</c:v>
                </c:pt>
                <c:pt idx="71">
                  <c:v>108.53503742638961</c:v>
                </c:pt>
                <c:pt idx="72">
                  <c:v>108.63059518142659</c:v>
                </c:pt>
                <c:pt idx="73">
                  <c:v>108.72544008443413</c:v>
                </c:pt>
                <c:pt idx="74">
                  <c:v>108.83733984083351</c:v>
                </c:pt>
                <c:pt idx="75">
                  <c:v>108.97616491857694</c:v>
                </c:pt>
                <c:pt idx="76">
                  <c:v>109.14552720026204</c:v>
                </c:pt>
                <c:pt idx="77">
                  <c:v>109.32494651056963</c:v>
                </c:pt>
                <c:pt idx="78">
                  <c:v>109.53145088209446</c:v>
                </c:pt>
                <c:pt idx="79">
                  <c:v>109.77256856321144</c:v>
                </c:pt>
                <c:pt idx="80">
                  <c:v>110.05071076259493</c:v>
                </c:pt>
                <c:pt idx="81">
                  <c:v>110.34430180521957</c:v>
                </c:pt>
                <c:pt idx="82">
                  <c:v>110.66718897746763</c:v>
                </c:pt>
                <c:pt idx="83">
                  <c:v>111.02881962564264</c:v>
                </c:pt>
                <c:pt idx="84">
                  <c:v>111.43069118744596</c:v>
                </c:pt>
                <c:pt idx="85">
                  <c:v>111.80711018865593</c:v>
                </c:pt>
                <c:pt idx="86">
                  <c:v>112.23815464256039</c:v>
                </c:pt>
                <c:pt idx="87">
                  <c:v>112.69020986379961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83-4701-991B-173EB1CC1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dateAx>
        <c:axId val="5002000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crossAx val="50020002"/>
        <c:crosses val="autoZero"/>
        <c:auto val="1"/>
        <c:lblOffset val="100"/>
        <c:baseTimeUnit val="months"/>
      </c:dateAx>
      <c:valAx>
        <c:axId val="50020002"/>
        <c:scaling>
          <c:orientation val="minMax"/>
        </c:scaling>
        <c:delete val="0"/>
        <c:axPos val="l"/>
        <c:title>
          <c:tx>
            <c:rich>
              <a:bodyPr rot="0" vert="horz" anchor="t" anchorCtr="1"/>
              <a:lstStyle/>
              <a:p>
                <a:pPr>
                  <a:defRPr/>
                </a:pPr>
                <a:r>
                  <a:rPr lang="en-US"/>
                  <a:t>2024Q4 = 100</a:t>
                </a:r>
              </a:p>
            </c:rich>
          </c:tx>
          <c:layout>
            <c:manualLayout>
              <c:xMode val="edge"/>
              <c:yMode val="edge"/>
              <c:x val="3.6231884057971016E-2"/>
              <c:y val="5.7575063179022133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Unemployment and interest rates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Unemployment - Actual</c:v>
          </c:tx>
          <c:spPr>
            <a:ln w="25400">
              <a:solidFill>
                <a:srgbClr val="86BC25"/>
              </a:solidFill>
              <a:prstDash val="solid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  <c:pt idx="0">
                  <c:v>42064</c:v>
                </c:pt>
                <c:pt idx="1">
                  <c:v>42156</c:v>
                </c:pt>
                <c:pt idx="2">
                  <c:v>42248</c:v>
                </c:pt>
                <c:pt idx="3">
                  <c:v>42339</c:v>
                </c:pt>
                <c:pt idx="4">
                  <c:v>42430</c:v>
                </c:pt>
                <c:pt idx="5">
                  <c:v>42522</c:v>
                </c:pt>
                <c:pt idx="6">
                  <c:v>42614</c:v>
                </c:pt>
                <c:pt idx="7">
                  <c:v>42705</c:v>
                </c:pt>
                <c:pt idx="8">
                  <c:v>42795</c:v>
                </c:pt>
                <c:pt idx="9">
                  <c:v>42887</c:v>
                </c:pt>
                <c:pt idx="10">
                  <c:v>42979</c:v>
                </c:pt>
                <c:pt idx="11">
                  <c:v>43070</c:v>
                </c:pt>
                <c:pt idx="12">
                  <c:v>43160</c:v>
                </c:pt>
                <c:pt idx="13">
                  <c:v>43252</c:v>
                </c:pt>
                <c:pt idx="14">
                  <c:v>43344</c:v>
                </c:pt>
                <c:pt idx="15">
                  <c:v>43435</c:v>
                </c:pt>
                <c:pt idx="16">
                  <c:v>43525</c:v>
                </c:pt>
                <c:pt idx="17">
                  <c:v>43617</c:v>
                </c:pt>
                <c:pt idx="18">
                  <c:v>43709</c:v>
                </c:pt>
                <c:pt idx="19">
                  <c:v>43800</c:v>
                </c:pt>
                <c:pt idx="20">
                  <c:v>43891</c:v>
                </c:pt>
                <c:pt idx="21">
                  <c:v>43983</c:v>
                </c:pt>
                <c:pt idx="22">
                  <c:v>44075</c:v>
                </c:pt>
                <c:pt idx="23">
                  <c:v>44166</c:v>
                </c:pt>
                <c:pt idx="24">
                  <c:v>44256</c:v>
                </c:pt>
                <c:pt idx="25">
                  <c:v>44348</c:v>
                </c:pt>
                <c:pt idx="26">
                  <c:v>44440</c:v>
                </c:pt>
                <c:pt idx="27">
                  <c:v>44531</c:v>
                </c:pt>
                <c:pt idx="28">
                  <c:v>44621</c:v>
                </c:pt>
                <c:pt idx="29">
                  <c:v>44713</c:v>
                </c:pt>
                <c:pt idx="30">
                  <c:v>44805</c:v>
                </c:pt>
                <c:pt idx="31">
                  <c:v>44896</c:v>
                </c:pt>
                <c:pt idx="32">
                  <c:v>44986</c:v>
                </c:pt>
                <c:pt idx="33">
                  <c:v>45078</c:v>
                </c:pt>
                <c:pt idx="34">
                  <c:v>45170</c:v>
                </c:pt>
                <c:pt idx="35">
                  <c:v>45261</c:v>
                </c:pt>
                <c:pt idx="36">
                  <c:v>45352</c:v>
                </c:pt>
                <c:pt idx="37">
                  <c:v>45444</c:v>
                </c:pt>
                <c:pt idx="38">
                  <c:v>45536</c:v>
                </c:pt>
                <c:pt idx="39">
                  <c:v>45627</c:v>
                </c:pt>
                <c:pt idx="40">
                  <c:v>45717</c:v>
                </c:pt>
                <c:pt idx="41">
                  <c:v>45809</c:v>
                </c:pt>
                <c:pt idx="42">
                  <c:v>45901</c:v>
                </c:pt>
                <c:pt idx="43">
                  <c:v>45992</c:v>
                </c:pt>
                <c:pt idx="44">
                  <c:v>46082</c:v>
                </c:pt>
                <c:pt idx="45">
                  <c:v>46174</c:v>
                </c:pt>
                <c:pt idx="46">
                  <c:v>46266</c:v>
                </c:pt>
                <c:pt idx="47">
                  <c:v>46357</c:v>
                </c:pt>
                <c:pt idx="48">
                  <c:v>46447</c:v>
                </c:pt>
                <c:pt idx="49">
                  <c:v>46539</c:v>
                </c:pt>
                <c:pt idx="50">
                  <c:v>46631</c:v>
                </c:pt>
                <c:pt idx="51">
                  <c:v>46722</c:v>
                </c:pt>
                <c:pt idx="52">
                  <c:v>46813</c:v>
                </c:pt>
                <c:pt idx="53">
                  <c:v>46905</c:v>
                </c:pt>
                <c:pt idx="54">
                  <c:v>46997</c:v>
                </c:pt>
                <c:pt idx="55">
                  <c:v>47088</c:v>
                </c:pt>
                <c:pt idx="56">
                  <c:v>47178</c:v>
                </c:pt>
                <c:pt idx="57">
                  <c:v>47270</c:v>
                </c:pt>
                <c:pt idx="58">
                  <c:v>47362</c:v>
                </c:pt>
                <c:pt idx="59">
                  <c:v>47453</c:v>
                </c:pt>
                <c:pt idx="60">
                  <c:v>47543</c:v>
                </c:pt>
                <c:pt idx="61">
                  <c:v>47635</c:v>
                </c:pt>
                <c:pt idx="62">
                  <c:v>47727</c:v>
                </c:pt>
                <c:pt idx="63">
                  <c:v>47818</c:v>
                </c:pt>
                <c:pt idx="64">
                  <c:v>47908</c:v>
                </c:pt>
                <c:pt idx="65">
                  <c:v>48000</c:v>
                </c:pt>
                <c:pt idx="66">
                  <c:v>48092</c:v>
                </c:pt>
                <c:pt idx="67">
                  <c:v>48183</c:v>
                </c:pt>
                <c:pt idx="68">
                  <c:v>48274</c:v>
                </c:pt>
                <c:pt idx="69">
                  <c:v>48366</c:v>
                </c:pt>
                <c:pt idx="70">
                  <c:v>48458</c:v>
                </c:pt>
                <c:pt idx="71">
                  <c:v>48549</c:v>
                </c:pt>
                <c:pt idx="72">
                  <c:v>48639</c:v>
                </c:pt>
                <c:pt idx="73">
                  <c:v>48731</c:v>
                </c:pt>
                <c:pt idx="74">
                  <c:v>48823</c:v>
                </c:pt>
                <c:pt idx="75">
                  <c:v>48914</c:v>
                </c:pt>
                <c:pt idx="76">
                  <c:v>49004</c:v>
                </c:pt>
                <c:pt idx="77">
                  <c:v>49096</c:v>
                </c:pt>
                <c:pt idx="78">
                  <c:v>49188</c:v>
                </c:pt>
                <c:pt idx="79">
                  <c:v>49279</c:v>
                </c:pt>
                <c:pt idx="80">
                  <c:v>49369</c:v>
                </c:pt>
                <c:pt idx="81">
                  <c:v>49461</c:v>
                </c:pt>
                <c:pt idx="82">
                  <c:v>49553</c:v>
                </c:pt>
                <c:pt idx="83">
                  <c:v>49644</c:v>
                </c:pt>
                <c:pt idx="84">
                  <c:v>49735</c:v>
                </c:pt>
                <c:pt idx="85">
                  <c:v>49827</c:v>
                </c:pt>
                <c:pt idx="86">
                  <c:v>49919</c:v>
                </c:pt>
                <c:pt idx="87">
                  <c:v>50010</c:v>
                </c:pt>
              </c:numCache>
            </c:numRef>
          </c:cat>
          <c:val>
            <c:numRef>
              <c:f>Comparison!$AC$2:$AC$201</c:f>
              <c:numCache>
                <c:formatCode>General</c:formatCode>
                <c:ptCount val="200"/>
                <c:pt idx="0">
                  <c:v>6.2024317367717199</c:v>
                </c:pt>
                <c:pt idx="1">
                  <c:v>6.0167980054752599</c:v>
                </c:pt>
                <c:pt idx="2">
                  <c:v>6.1786636586927202</c:v>
                </c:pt>
                <c:pt idx="3">
                  <c:v>5.8348282090176404</c:v>
                </c:pt>
                <c:pt idx="4">
                  <c:v>5.79634872433593</c:v>
                </c:pt>
                <c:pt idx="5">
                  <c:v>5.6870950228277701</c:v>
                </c:pt>
                <c:pt idx="6">
                  <c:v>5.6577998528858897</c:v>
                </c:pt>
                <c:pt idx="7">
                  <c:v>5.7342796322901997</c:v>
                </c:pt>
                <c:pt idx="8">
                  <c:v>5.8074379108148495</c:v>
                </c:pt>
                <c:pt idx="9">
                  <c:v>5.5925305988705505</c:v>
                </c:pt>
                <c:pt idx="10">
                  <c:v>5.5327854618660002</c:v>
                </c:pt>
                <c:pt idx="11">
                  <c:v>5.4926167739918004</c:v>
                </c:pt>
                <c:pt idx="12">
                  <c:v>5.5449224827403105</c:v>
                </c:pt>
                <c:pt idx="13">
                  <c:v>5.4399618648124299</c:v>
                </c:pt>
                <c:pt idx="14">
                  <c:v>5.1859554356506701</c:v>
                </c:pt>
                <c:pt idx="15">
                  <c:v>5.0439910689907101</c:v>
                </c:pt>
                <c:pt idx="16">
                  <c:v>5.0430775441034497</c:v>
                </c:pt>
                <c:pt idx="17">
                  <c:v>5.2238297614294096</c:v>
                </c:pt>
                <c:pt idx="18">
                  <c:v>5.25426238659941</c:v>
                </c:pt>
                <c:pt idx="19">
                  <c:v>5.1726678477257195</c:v>
                </c:pt>
                <c:pt idx="20">
                  <c:v>5.1860208002241599</c:v>
                </c:pt>
                <c:pt idx="21">
                  <c:v>6.9028193492877294</c:v>
                </c:pt>
                <c:pt idx="22">
                  <c:v>7.0532384214558697</c:v>
                </c:pt>
                <c:pt idx="23">
                  <c:v>6.7750888312120301</c:v>
                </c:pt>
                <c:pt idx="24">
                  <c:v>5.9312749896581796</c:v>
                </c:pt>
                <c:pt idx="25">
                  <c:v>5.1967041086977206</c:v>
                </c:pt>
                <c:pt idx="26">
                  <c:v>4.6685263432663504</c:v>
                </c:pt>
                <c:pt idx="27">
                  <c:v>4.6908913496814604</c:v>
                </c:pt>
                <c:pt idx="28">
                  <c:v>4.0591999056974792</c:v>
                </c:pt>
                <c:pt idx="29">
                  <c:v>3.7958804675848801</c:v>
                </c:pt>
                <c:pt idx="30">
                  <c:v>3.5268422345481296</c:v>
                </c:pt>
                <c:pt idx="31">
                  <c:v>3.4945715068553498</c:v>
                </c:pt>
                <c:pt idx="32">
                  <c:v>3.6209224092878598</c:v>
                </c:pt>
                <c:pt idx="33">
                  <c:v>3.5996186053415098</c:v>
                </c:pt>
                <c:pt idx="34">
                  <c:v>3.6538645605188105</c:v>
                </c:pt>
                <c:pt idx="35">
                  <c:v>3.9009383037343102</c:v>
                </c:pt>
                <c:pt idx="36">
                  <c:v>3.9083783438332604</c:v>
                </c:pt>
                <c:pt idx="37">
                  <c:v>4.0347055130737601</c:v>
                </c:pt>
                <c:pt idx="38">
                  <c:v>4.1169677887682798</c:v>
                </c:pt>
                <c:pt idx="39">
                  <c:v>4.01043172136999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84-4AB2-893E-821CEF93DF40}"/>
            </c:ext>
          </c:extLst>
        </c:ser>
        <c:ser>
          <c:idx val="1"/>
          <c:order val="1"/>
          <c:tx>
            <c:v>Unemployment - Forecast</c:v>
          </c:tx>
          <c:spPr>
            <a:ln w="25400">
              <a:solidFill>
                <a:srgbClr val="86BC25"/>
              </a:solidFill>
              <a:prstDash val="dash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  <c:pt idx="0">
                  <c:v>42064</c:v>
                </c:pt>
                <c:pt idx="1">
                  <c:v>42156</c:v>
                </c:pt>
                <c:pt idx="2">
                  <c:v>42248</c:v>
                </c:pt>
                <c:pt idx="3">
                  <c:v>42339</c:v>
                </c:pt>
                <c:pt idx="4">
                  <c:v>42430</c:v>
                </c:pt>
                <c:pt idx="5">
                  <c:v>42522</c:v>
                </c:pt>
                <c:pt idx="6">
                  <c:v>42614</c:v>
                </c:pt>
                <c:pt idx="7">
                  <c:v>42705</c:v>
                </c:pt>
                <c:pt idx="8">
                  <c:v>42795</c:v>
                </c:pt>
                <c:pt idx="9">
                  <c:v>42887</c:v>
                </c:pt>
                <c:pt idx="10">
                  <c:v>42979</c:v>
                </c:pt>
                <c:pt idx="11">
                  <c:v>43070</c:v>
                </c:pt>
                <c:pt idx="12">
                  <c:v>43160</c:v>
                </c:pt>
                <c:pt idx="13">
                  <c:v>43252</c:v>
                </c:pt>
                <c:pt idx="14">
                  <c:v>43344</c:v>
                </c:pt>
                <c:pt idx="15">
                  <c:v>43435</c:v>
                </c:pt>
                <c:pt idx="16">
                  <c:v>43525</c:v>
                </c:pt>
                <c:pt idx="17">
                  <c:v>43617</c:v>
                </c:pt>
                <c:pt idx="18">
                  <c:v>43709</c:v>
                </c:pt>
                <c:pt idx="19">
                  <c:v>43800</c:v>
                </c:pt>
                <c:pt idx="20">
                  <c:v>43891</c:v>
                </c:pt>
                <c:pt idx="21">
                  <c:v>43983</c:v>
                </c:pt>
                <c:pt idx="22">
                  <c:v>44075</c:v>
                </c:pt>
                <c:pt idx="23">
                  <c:v>44166</c:v>
                </c:pt>
                <c:pt idx="24">
                  <c:v>44256</c:v>
                </c:pt>
                <c:pt idx="25">
                  <c:v>44348</c:v>
                </c:pt>
                <c:pt idx="26">
                  <c:v>44440</c:v>
                </c:pt>
                <c:pt idx="27">
                  <c:v>44531</c:v>
                </c:pt>
                <c:pt idx="28">
                  <c:v>44621</c:v>
                </c:pt>
                <c:pt idx="29">
                  <c:v>44713</c:v>
                </c:pt>
                <c:pt idx="30">
                  <c:v>44805</c:v>
                </c:pt>
                <c:pt idx="31">
                  <c:v>44896</c:v>
                </c:pt>
                <c:pt idx="32">
                  <c:v>44986</c:v>
                </c:pt>
                <c:pt idx="33">
                  <c:v>45078</c:v>
                </c:pt>
                <c:pt idx="34">
                  <c:v>45170</c:v>
                </c:pt>
                <c:pt idx="35">
                  <c:v>45261</c:v>
                </c:pt>
                <c:pt idx="36">
                  <c:v>45352</c:v>
                </c:pt>
                <c:pt idx="37">
                  <c:v>45444</c:v>
                </c:pt>
                <c:pt idx="38">
                  <c:v>45536</c:v>
                </c:pt>
                <c:pt idx="39">
                  <c:v>45627</c:v>
                </c:pt>
                <c:pt idx="40">
                  <c:v>45717</c:v>
                </c:pt>
                <c:pt idx="41">
                  <c:v>45809</c:v>
                </c:pt>
                <c:pt idx="42">
                  <c:v>45901</c:v>
                </c:pt>
                <c:pt idx="43">
                  <c:v>45992</c:v>
                </c:pt>
                <c:pt idx="44">
                  <c:v>46082</c:v>
                </c:pt>
                <c:pt idx="45">
                  <c:v>46174</c:v>
                </c:pt>
                <c:pt idx="46">
                  <c:v>46266</c:v>
                </c:pt>
                <c:pt idx="47">
                  <c:v>46357</c:v>
                </c:pt>
                <c:pt idx="48">
                  <c:v>46447</c:v>
                </c:pt>
                <c:pt idx="49">
                  <c:v>46539</c:v>
                </c:pt>
                <c:pt idx="50">
                  <c:v>46631</c:v>
                </c:pt>
                <c:pt idx="51">
                  <c:v>46722</c:v>
                </c:pt>
                <c:pt idx="52">
                  <c:v>46813</c:v>
                </c:pt>
                <c:pt idx="53">
                  <c:v>46905</c:v>
                </c:pt>
                <c:pt idx="54">
                  <c:v>46997</c:v>
                </c:pt>
                <c:pt idx="55">
                  <c:v>47088</c:v>
                </c:pt>
                <c:pt idx="56">
                  <c:v>47178</c:v>
                </c:pt>
                <c:pt idx="57">
                  <c:v>47270</c:v>
                </c:pt>
                <c:pt idx="58">
                  <c:v>47362</c:v>
                </c:pt>
                <c:pt idx="59">
                  <c:v>47453</c:v>
                </c:pt>
                <c:pt idx="60">
                  <c:v>47543</c:v>
                </c:pt>
                <c:pt idx="61">
                  <c:v>47635</c:v>
                </c:pt>
                <c:pt idx="62">
                  <c:v>47727</c:v>
                </c:pt>
                <c:pt idx="63">
                  <c:v>47818</c:v>
                </c:pt>
                <c:pt idx="64">
                  <c:v>47908</c:v>
                </c:pt>
                <c:pt idx="65">
                  <c:v>48000</c:v>
                </c:pt>
                <c:pt idx="66">
                  <c:v>48092</c:v>
                </c:pt>
                <c:pt idx="67">
                  <c:v>48183</c:v>
                </c:pt>
                <c:pt idx="68">
                  <c:v>48274</c:v>
                </c:pt>
                <c:pt idx="69">
                  <c:v>48366</c:v>
                </c:pt>
                <c:pt idx="70">
                  <c:v>48458</c:v>
                </c:pt>
                <c:pt idx="71">
                  <c:v>48549</c:v>
                </c:pt>
                <c:pt idx="72">
                  <c:v>48639</c:v>
                </c:pt>
                <c:pt idx="73">
                  <c:v>48731</c:v>
                </c:pt>
                <c:pt idx="74">
                  <c:v>48823</c:v>
                </c:pt>
                <c:pt idx="75">
                  <c:v>48914</c:v>
                </c:pt>
                <c:pt idx="76">
                  <c:v>49004</c:v>
                </c:pt>
                <c:pt idx="77">
                  <c:v>49096</c:v>
                </c:pt>
                <c:pt idx="78">
                  <c:v>49188</c:v>
                </c:pt>
                <c:pt idx="79">
                  <c:v>49279</c:v>
                </c:pt>
                <c:pt idx="80">
                  <c:v>49369</c:v>
                </c:pt>
                <c:pt idx="81">
                  <c:v>49461</c:v>
                </c:pt>
                <c:pt idx="82">
                  <c:v>49553</c:v>
                </c:pt>
                <c:pt idx="83">
                  <c:v>49644</c:v>
                </c:pt>
                <c:pt idx="84">
                  <c:v>49735</c:v>
                </c:pt>
                <c:pt idx="85">
                  <c:v>49827</c:v>
                </c:pt>
                <c:pt idx="86">
                  <c:v>49919</c:v>
                </c:pt>
                <c:pt idx="87">
                  <c:v>50010</c:v>
                </c:pt>
              </c:numCache>
            </c:numRef>
          </c:cat>
          <c:val>
            <c:numRef>
              <c:f>Comparison!$AD$2:$AD$201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4.01043172136999</c:v>
                </c:pt>
                <c:pt idx="40">
                  <c:v>4.81368593224032</c:v>
                </c:pt>
                <c:pt idx="41">
                  <c:v>5.2776712485239701</c:v>
                </c:pt>
                <c:pt idx="42">
                  <c:v>5.49683356062281</c:v>
                </c:pt>
                <c:pt idx="43">
                  <c:v>5.5897668714865603</c:v>
                </c:pt>
                <c:pt idx="44">
                  <c:v>5.5102010976520104</c:v>
                </c:pt>
                <c:pt idx="45">
                  <c:v>5.3120403476897806</c:v>
                </c:pt>
                <c:pt idx="46">
                  <c:v>4.9702159945268196</c:v>
                </c:pt>
                <c:pt idx="47">
                  <c:v>4.6131640766525699</c:v>
                </c:pt>
                <c:pt idx="48">
                  <c:v>4.2894177820695196</c:v>
                </c:pt>
                <c:pt idx="49">
                  <c:v>4.0001715635202899</c:v>
                </c:pt>
                <c:pt idx="50">
                  <c:v>3.7724899319681602</c:v>
                </c:pt>
                <c:pt idx="51">
                  <c:v>3.57099149927781</c:v>
                </c:pt>
                <c:pt idx="52">
                  <c:v>3.4019618042071595</c:v>
                </c:pt>
                <c:pt idx="53">
                  <c:v>3.2527865564396201</c:v>
                </c:pt>
                <c:pt idx="54">
                  <c:v>3.17739617652507</c:v>
                </c:pt>
                <c:pt idx="55">
                  <c:v>3.1142738026332402</c:v>
                </c:pt>
                <c:pt idx="56">
                  <c:v>3.06572680634084</c:v>
                </c:pt>
                <c:pt idx="57">
                  <c:v>3.0375059169655003</c:v>
                </c:pt>
                <c:pt idx="58">
                  <c:v>3.0127486566633497</c:v>
                </c:pt>
                <c:pt idx="59">
                  <c:v>2.9982823269738401</c:v>
                </c:pt>
                <c:pt idx="60">
                  <c:v>2.9890125198490098</c:v>
                </c:pt>
                <c:pt idx="61">
                  <c:v>2.9964056476215704</c:v>
                </c:pt>
                <c:pt idx="62">
                  <c:v>3.0065823972452201</c:v>
                </c:pt>
                <c:pt idx="63">
                  <c:v>3.0222688979500201</c:v>
                </c:pt>
                <c:pt idx="64">
                  <c:v>3.03968513331096</c:v>
                </c:pt>
                <c:pt idx="65">
                  <c:v>3.0651806357905897</c:v>
                </c:pt>
                <c:pt idx="66">
                  <c:v>3.0958412506315698</c:v>
                </c:pt>
                <c:pt idx="67">
                  <c:v>3.1246703640460902</c:v>
                </c:pt>
                <c:pt idx="68">
                  <c:v>3.14808626976057</c:v>
                </c:pt>
                <c:pt idx="69">
                  <c:v>3.1837962294241495</c:v>
                </c:pt>
                <c:pt idx="70">
                  <c:v>3.2039909218195599</c:v>
                </c:pt>
                <c:pt idx="71">
                  <c:v>3.2238263488798804</c:v>
                </c:pt>
                <c:pt idx="72">
                  <c:v>3.23707063221031</c:v>
                </c:pt>
                <c:pt idx="73">
                  <c:v>3.2510450984969701</c:v>
                </c:pt>
                <c:pt idx="74">
                  <c:v>3.2579112694295302</c:v>
                </c:pt>
                <c:pt idx="75">
                  <c:v>3.2568073462261502</c:v>
                </c:pt>
                <c:pt idx="76">
                  <c:v>3.2471288914616898</c:v>
                </c:pt>
                <c:pt idx="77">
                  <c:v>3.23541677723752</c:v>
                </c:pt>
                <c:pt idx="78">
                  <c:v>3.2126642695411505</c:v>
                </c:pt>
                <c:pt idx="79">
                  <c:v>3.18093537071229</c:v>
                </c:pt>
                <c:pt idx="80">
                  <c:v>3.1398902521903298</c:v>
                </c:pt>
                <c:pt idx="81">
                  <c:v>3.0963618444055001</c:v>
                </c:pt>
                <c:pt idx="82">
                  <c:v>3.0462554845344498</c:v>
                </c:pt>
                <c:pt idx="83">
                  <c:v>2.9873658674919801</c:v>
                </c:pt>
                <c:pt idx="84">
                  <c:v>2.92030616767522</c:v>
                </c:pt>
                <c:pt idx="85">
                  <c:v>2.86295536837474</c:v>
                </c:pt>
                <c:pt idx="86">
                  <c:v>2.7925847152733598</c:v>
                </c:pt>
                <c:pt idx="87">
                  <c:v>2.7205280893899801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84-4AB2-893E-821CEF93DF40}"/>
            </c:ext>
          </c:extLst>
        </c:ser>
        <c:ser>
          <c:idx val="2"/>
          <c:order val="2"/>
          <c:tx>
            <c:v>90-day rate - Actual</c:v>
          </c:tx>
          <c:spPr>
            <a:ln w="25400">
              <a:solidFill>
                <a:srgbClr val="00A3E0"/>
              </a:solidFill>
              <a:prstDash val="solid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  <c:pt idx="0">
                  <c:v>42064</c:v>
                </c:pt>
                <c:pt idx="1">
                  <c:v>42156</c:v>
                </c:pt>
                <c:pt idx="2">
                  <c:v>42248</c:v>
                </c:pt>
                <c:pt idx="3">
                  <c:v>42339</c:v>
                </c:pt>
                <c:pt idx="4">
                  <c:v>42430</c:v>
                </c:pt>
                <c:pt idx="5">
                  <c:v>42522</c:v>
                </c:pt>
                <c:pt idx="6">
                  <c:v>42614</c:v>
                </c:pt>
                <c:pt idx="7">
                  <c:v>42705</c:v>
                </c:pt>
                <c:pt idx="8">
                  <c:v>42795</c:v>
                </c:pt>
                <c:pt idx="9">
                  <c:v>42887</c:v>
                </c:pt>
                <c:pt idx="10">
                  <c:v>42979</c:v>
                </c:pt>
                <c:pt idx="11">
                  <c:v>43070</c:v>
                </c:pt>
                <c:pt idx="12">
                  <c:v>43160</c:v>
                </c:pt>
                <c:pt idx="13">
                  <c:v>43252</c:v>
                </c:pt>
                <c:pt idx="14">
                  <c:v>43344</c:v>
                </c:pt>
                <c:pt idx="15">
                  <c:v>43435</c:v>
                </c:pt>
                <c:pt idx="16">
                  <c:v>43525</c:v>
                </c:pt>
                <c:pt idx="17">
                  <c:v>43617</c:v>
                </c:pt>
                <c:pt idx="18">
                  <c:v>43709</c:v>
                </c:pt>
                <c:pt idx="19">
                  <c:v>43800</c:v>
                </c:pt>
                <c:pt idx="20">
                  <c:v>43891</c:v>
                </c:pt>
                <c:pt idx="21">
                  <c:v>43983</c:v>
                </c:pt>
                <c:pt idx="22">
                  <c:v>44075</c:v>
                </c:pt>
                <c:pt idx="23">
                  <c:v>44166</c:v>
                </c:pt>
                <c:pt idx="24">
                  <c:v>44256</c:v>
                </c:pt>
                <c:pt idx="25">
                  <c:v>44348</c:v>
                </c:pt>
                <c:pt idx="26">
                  <c:v>44440</c:v>
                </c:pt>
                <c:pt idx="27">
                  <c:v>44531</c:v>
                </c:pt>
                <c:pt idx="28">
                  <c:v>44621</c:v>
                </c:pt>
                <c:pt idx="29">
                  <c:v>44713</c:v>
                </c:pt>
                <c:pt idx="30">
                  <c:v>44805</c:v>
                </c:pt>
                <c:pt idx="31">
                  <c:v>44896</c:v>
                </c:pt>
                <c:pt idx="32">
                  <c:v>44986</c:v>
                </c:pt>
                <c:pt idx="33">
                  <c:v>45078</c:v>
                </c:pt>
                <c:pt idx="34">
                  <c:v>45170</c:v>
                </c:pt>
                <c:pt idx="35">
                  <c:v>45261</c:v>
                </c:pt>
                <c:pt idx="36">
                  <c:v>45352</c:v>
                </c:pt>
                <c:pt idx="37">
                  <c:v>45444</c:v>
                </c:pt>
                <c:pt idx="38">
                  <c:v>45536</c:v>
                </c:pt>
                <c:pt idx="39">
                  <c:v>45627</c:v>
                </c:pt>
                <c:pt idx="40">
                  <c:v>45717</c:v>
                </c:pt>
                <c:pt idx="41">
                  <c:v>45809</c:v>
                </c:pt>
                <c:pt idx="42">
                  <c:v>45901</c:v>
                </c:pt>
                <c:pt idx="43">
                  <c:v>45992</c:v>
                </c:pt>
                <c:pt idx="44">
                  <c:v>46082</c:v>
                </c:pt>
                <c:pt idx="45">
                  <c:v>46174</c:v>
                </c:pt>
                <c:pt idx="46">
                  <c:v>46266</c:v>
                </c:pt>
                <c:pt idx="47">
                  <c:v>46357</c:v>
                </c:pt>
                <c:pt idx="48">
                  <c:v>46447</c:v>
                </c:pt>
                <c:pt idx="49">
                  <c:v>46539</c:v>
                </c:pt>
                <c:pt idx="50">
                  <c:v>46631</c:v>
                </c:pt>
                <c:pt idx="51">
                  <c:v>46722</c:v>
                </c:pt>
                <c:pt idx="52">
                  <c:v>46813</c:v>
                </c:pt>
                <c:pt idx="53">
                  <c:v>46905</c:v>
                </c:pt>
                <c:pt idx="54">
                  <c:v>46997</c:v>
                </c:pt>
                <c:pt idx="55">
                  <c:v>47088</c:v>
                </c:pt>
                <c:pt idx="56">
                  <c:v>47178</c:v>
                </c:pt>
                <c:pt idx="57">
                  <c:v>47270</c:v>
                </c:pt>
                <c:pt idx="58">
                  <c:v>47362</c:v>
                </c:pt>
                <c:pt idx="59">
                  <c:v>47453</c:v>
                </c:pt>
                <c:pt idx="60">
                  <c:v>47543</c:v>
                </c:pt>
                <c:pt idx="61">
                  <c:v>47635</c:v>
                </c:pt>
                <c:pt idx="62">
                  <c:v>47727</c:v>
                </c:pt>
                <c:pt idx="63">
                  <c:v>47818</c:v>
                </c:pt>
                <c:pt idx="64">
                  <c:v>47908</c:v>
                </c:pt>
                <c:pt idx="65">
                  <c:v>48000</c:v>
                </c:pt>
                <c:pt idx="66">
                  <c:v>48092</c:v>
                </c:pt>
                <c:pt idx="67">
                  <c:v>48183</c:v>
                </c:pt>
                <c:pt idx="68">
                  <c:v>48274</c:v>
                </c:pt>
                <c:pt idx="69">
                  <c:v>48366</c:v>
                </c:pt>
                <c:pt idx="70">
                  <c:v>48458</c:v>
                </c:pt>
                <c:pt idx="71">
                  <c:v>48549</c:v>
                </c:pt>
                <c:pt idx="72">
                  <c:v>48639</c:v>
                </c:pt>
                <c:pt idx="73">
                  <c:v>48731</c:v>
                </c:pt>
                <c:pt idx="74">
                  <c:v>48823</c:v>
                </c:pt>
                <c:pt idx="75">
                  <c:v>48914</c:v>
                </c:pt>
                <c:pt idx="76">
                  <c:v>49004</c:v>
                </c:pt>
                <c:pt idx="77">
                  <c:v>49096</c:v>
                </c:pt>
                <c:pt idx="78">
                  <c:v>49188</c:v>
                </c:pt>
                <c:pt idx="79">
                  <c:v>49279</c:v>
                </c:pt>
                <c:pt idx="80">
                  <c:v>49369</c:v>
                </c:pt>
                <c:pt idx="81">
                  <c:v>49461</c:v>
                </c:pt>
                <c:pt idx="82">
                  <c:v>49553</c:v>
                </c:pt>
                <c:pt idx="83">
                  <c:v>49644</c:v>
                </c:pt>
                <c:pt idx="84">
                  <c:v>49735</c:v>
                </c:pt>
                <c:pt idx="85">
                  <c:v>49827</c:v>
                </c:pt>
                <c:pt idx="86">
                  <c:v>49919</c:v>
                </c:pt>
                <c:pt idx="87">
                  <c:v>50010</c:v>
                </c:pt>
              </c:numCache>
            </c:numRef>
          </c:cat>
          <c:val>
            <c:numRef>
              <c:f>Comparison!$AE$2:$AE$201</c:f>
              <c:numCache>
                <c:formatCode>General</c:formatCode>
                <c:ptCount val="200"/>
                <c:pt idx="0">
                  <c:v>2.4533</c:v>
                </c:pt>
                <c:pt idx="1">
                  <c:v>2.1833</c:v>
                </c:pt>
                <c:pt idx="2">
                  <c:v>2.15</c:v>
                </c:pt>
                <c:pt idx="3">
                  <c:v>2.2367000000000004</c:v>
                </c:pt>
                <c:pt idx="4">
                  <c:v>2.2967</c:v>
                </c:pt>
                <c:pt idx="5">
                  <c:v>2.0832999999999999</c:v>
                </c:pt>
                <c:pt idx="6">
                  <c:v>1.8067</c:v>
                </c:pt>
                <c:pt idx="7">
                  <c:v>1.76</c:v>
                </c:pt>
                <c:pt idx="8">
                  <c:v>1.7833000000000001</c:v>
                </c:pt>
                <c:pt idx="9">
                  <c:v>1.7399999999999998</c:v>
                </c:pt>
                <c:pt idx="10">
                  <c:v>1.7066999999999999</c:v>
                </c:pt>
                <c:pt idx="11">
                  <c:v>1.73</c:v>
                </c:pt>
                <c:pt idx="12">
                  <c:v>1.83</c:v>
                </c:pt>
                <c:pt idx="13">
                  <c:v>2.0299999999999998</c:v>
                </c:pt>
                <c:pt idx="14">
                  <c:v>1.97</c:v>
                </c:pt>
                <c:pt idx="15">
                  <c:v>1.9633</c:v>
                </c:pt>
                <c:pt idx="16">
                  <c:v>1.9532999999999998</c:v>
                </c:pt>
                <c:pt idx="17">
                  <c:v>1.5032999999999999</c:v>
                </c:pt>
                <c:pt idx="18">
                  <c:v>1.0233000000000001</c:v>
                </c:pt>
                <c:pt idx="19">
                  <c:v>0.89669999999999994</c:v>
                </c:pt>
                <c:pt idx="20">
                  <c:v>0.77</c:v>
                </c:pt>
                <c:pt idx="21">
                  <c:v>0.12329999999999999</c:v>
                </c:pt>
                <c:pt idx="22">
                  <c:v>9.6699999999999994E-2</c:v>
                </c:pt>
                <c:pt idx="23">
                  <c:v>3.6699999999999997E-2</c:v>
                </c:pt>
                <c:pt idx="24">
                  <c:v>1.67E-2</c:v>
                </c:pt>
                <c:pt idx="25">
                  <c:v>3.6699999999999997E-2</c:v>
                </c:pt>
                <c:pt idx="26">
                  <c:v>1.3300000000000001E-2</c:v>
                </c:pt>
                <c:pt idx="27">
                  <c:v>4.6700000000000005E-2</c:v>
                </c:pt>
                <c:pt idx="28">
                  <c:v>0.1033</c:v>
                </c:pt>
                <c:pt idx="29">
                  <c:v>1.0033000000000001</c:v>
                </c:pt>
                <c:pt idx="30">
                  <c:v>2.3800000000000003</c:v>
                </c:pt>
                <c:pt idx="31">
                  <c:v>3.06</c:v>
                </c:pt>
                <c:pt idx="32">
                  <c:v>3.4733000000000001</c:v>
                </c:pt>
                <c:pt idx="33">
                  <c:v>3.9367000000000001</c:v>
                </c:pt>
                <c:pt idx="34">
                  <c:v>4.1932999999999998</c:v>
                </c:pt>
                <c:pt idx="35">
                  <c:v>4.3132999999999999</c:v>
                </c:pt>
                <c:pt idx="36">
                  <c:v>4.3467000000000002</c:v>
                </c:pt>
                <c:pt idx="37">
                  <c:v>4.3733000000000004</c:v>
                </c:pt>
                <c:pt idx="38">
                  <c:v>4.42</c:v>
                </c:pt>
                <c:pt idx="39">
                  <c:v>4.4233000000000002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84-4AB2-893E-821CEF93DF40}"/>
            </c:ext>
          </c:extLst>
        </c:ser>
        <c:ser>
          <c:idx val="3"/>
          <c:order val="3"/>
          <c:tx>
            <c:v>90-day rate - Forecast</c:v>
          </c:tx>
          <c:spPr>
            <a:ln w="25400">
              <a:solidFill>
                <a:srgbClr val="00A3E0"/>
              </a:solidFill>
              <a:prstDash val="dash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  <c:pt idx="0">
                  <c:v>42064</c:v>
                </c:pt>
                <c:pt idx="1">
                  <c:v>42156</c:v>
                </c:pt>
                <c:pt idx="2">
                  <c:v>42248</c:v>
                </c:pt>
                <c:pt idx="3">
                  <c:v>42339</c:v>
                </c:pt>
                <c:pt idx="4">
                  <c:v>42430</c:v>
                </c:pt>
                <c:pt idx="5">
                  <c:v>42522</c:v>
                </c:pt>
                <c:pt idx="6">
                  <c:v>42614</c:v>
                </c:pt>
                <c:pt idx="7">
                  <c:v>42705</c:v>
                </c:pt>
                <c:pt idx="8">
                  <c:v>42795</c:v>
                </c:pt>
                <c:pt idx="9">
                  <c:v>42887</c:v>
                </c:pt>
                <c:pt idx="10">
                  <c:v>42979</c:v>
                </c:pt>
                <c:pt idx="11">
                  <c:v>43070</c:v>
                </c:pt>
                <c:pt idx="12">
                  <c:v>43160</c:v>
                </c:pt>
                <c:pt idx="13">
                  <c:v>43252</c:v>
                </c:pt>
                <c:pt idx="14">
                  <c:v>43344</c:v>
                </c:pt>
                <c:pt idx="15">
                  <c:v>43435</c:v>
                </c:pt>
                <c:pt idx="16">
                  <c:v>43525</c:v>
                </c:pt>
                <c:pt idx="17">
                  <c:v>43617</c:v>
                </c:pt>
                <c:pt idx="18">
                  <c:v>43709</c:v>
                </c:pt>
                <c:pt idx="19">
                  <c:v>43800</c:v>
                </c:pt>
                <c:pt idx="20">
                  <c:v>43891</c:v>
                </c:pt>
                <c:pt idx="21">
                  <c:v>43983</c:v>
                </c:pt>
                <c:pt idx="22">
                  <c:v>44075</c:v>
                </c:pt>
                <c:pt idx="23">
                  <c:v>44166</c:v>
                </c:pt>
                <c:pt idx="24">
                  <c:v>44256</c:v>
                </c:pt>
                <c:pt idx="25">
                  <c:v>44348</c:v>
                </c:pt>
                <c:pt idx="26">
                  <c:v>44440</c:v>
                </c:pt>
                <c:pt idx="27">
                  <c:v>44531</c:v>
                </c:pt>
                <c:pt idx="28">
                  <c:v>44621</c:v>
                </c:pt>
                <c:pt idx="29">
                  <c:v>44713</c:v>
                </c:pt>
                <c:pt idx="30">
                  <c:v>44805</c:v>
                </c:pt>
                <c:pt idx="31">
                  <c:v>44896</c:v>
                </c:pt>
                <c:pt idx="32">
                  <c:v>44986</c:v>
                </c:pt>
                <c:pt idx="33">
                  <c:v>45078</c:v>
                </c:pt>
                <c:pt idx="34">
                  <c:v>45170</c:v>
                </c:pt>
                <c:pt idx="35">
                  <c:v>45261</c:v>
                </c:pt>
                <c:pt idx="36">
                  <c:v>45352</c:v>
                </c:pt>
                <c:pt idx="37">
                  <c:v>45444</c:v>
                </c:pt>
                <c:pt idx="38">
                  <c:v>45536</c:v>
                </c:pt>
                <c:pt idx="39">
                  <c:v>45627</c:v>
                </c:pt>
                <c:pt idx="40">
                  <c:v>45717</c:v>
                </c:pt>
                <c:pt idx="41">
                  <c:v>45809</c:v>
                </c:pt>
                <c:pt idx="42">
                  <c:v>45901</c:v>
                </c:pt>
                <c:pt idx="43">
                  <c:v>45992</c:v>
                </c:pt>
                <c:pt idx="44">
                  <c:v>46082</c:v>
                </c:pt>
                <c:pt idx="45">
                  <c:v>46174</c:v>
                </c:pt>
                <c:pt idx="46">
                  <c:v>46266</c:v>
                </c:pt>
                <c:pt idx="47">
                  <c:v>46357</c:v>
                </c:pt>
                <c:pt idx="48">
                  <c:v>46447</c:v>
                </c:pt>
                <c:pt idx="49">
                  <c:v>46539</c:v>
                </c:pt>
                <c:pt idx="50">
                  <c:v>46631</c:v>
                </c:pt>
                <c:pt idx="51">
                  <c:v>46722</c:v>
                </c:pt>
                <c:pt idx="52">
                  <c:v>46813</c:v>
                </c:pt>
                <c:pt idx="53">
                  <c:v>46905</c:v>
                </c:pt>
                <c:pt idx="54">
                  <c:v>46997</c:v>
                </c:pt>
                <c:pt idx="55">
                  <c:v>47088</c:v>
                </c:pt>
                <c:pt idx="56">
                  <c:v>47178</c:v>
                </c:pt>
                <c:pt idx="57">
                  <c:v>47270</c:v>
                </c:pt>
                <c:pt idx="58">
                  <c:v>47362</c:v>
                </c:pt>
                <c:pt idx="59">
                  <c:v>47453</c:v>
                </c:pt>
                <c:pt idx="60">
                  <c:v>47543</c:v>
                </c:pt>
                <c:pt idx="61">
                  <c:v>47635</c:v>
                </c:pt>
                <c:pt idx="62">
                  <c:v>47727</c:v>
                </c:pt>
                <c:pt idx="63">
                  <c:v>47818</c:v>
                </c:pt>
                <c:pt idx="64">
                  <c:v>47908</c:v>
                </c:pt>
                <c:pt idx="65">
                  <c:v>48000</c:v>
                </c:pt>
                <c:pt idx="66">
                  <c:v>48092</c:v>
                </c:pt>
                <c:pt idx="67">
                  <c:v>48183</c:v>
                </c:pt>
                <c:pt idx="68">
                  <c:v>48274</c:v>
                </c:pt>
                <c:pt idx="69">
                  <c:v>48366</c:v>
                </c:pt>
                <c:pt idx="70">
                  <c:v>48458</c:v>
                </c:pt>
                <c:pt idx="71">
                  <c:v>48549</c:v>
                </c:pt>
                <c:pt idx="72">
                  <c:v>48639</c:v>
                </c:pt>
                <c:pt idx="73">
                  <c:v>48731</c:v>
                </c:pt>
                <c:pt idx="74">
                  <c:v>48823</c:v>
                </c:pt>
                <c:pt idx="75">
                  <c:v>48914</c:v>
                </c:pt>
                <c:pt idx="76">
                  <c:v>49004</c:v>
                </c:pt>
                <c:pt idx="77">
                  <c:v>49096</c:v>
                </c:pt>
                <c:pt idx="78">
                  <c:v>49188</c:v>
                </c:pt>
                <c:pt idx="79">
                  <c:v>49279</c:v>
                </c:pt>
                <c:pt idx="80">
                  <c:v>49369</c:v>
                </c:pt>
                <c:pt idx="81">
                  <c:v>49461</c:v>
                </c:pt>
                <c:pt idx="82">
                  <c:v>49553</c:v>
                </c:pt>
                <c:pt idx="83">
                  <c:v>49644</c:v>
                </c:pt>
                <c:pt idx="84">
                  <c:v>49735</c:v>
                </c:pt>
                <c:pt idx="85">
                  <c:v>49827</c:v>
                </c:pt>
                <c:pt idx="86">
                  <c:v>49919</c:v>
                </c:pt>
                <c:pt idx="87">
                  <c:v>50010</c:v>
                </c:pt>
              </c:numCache>
            </c:numRef>
          </c:cat>
          <c:val>
            <c:numRef>
              <c:f>Comparison!$AF$2:$AF$201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4.4233000000000002</c:v>
                </c:pt>
                <c:pt idx="40">
                  <c:v>3.4119946689521798</c:v>
                </c:pt>
                <c:pt idx="41">
                  <c:v>2.6016158634047297</c:v>
                </c:pt>
                <c:pt idx="42">
                  <c:v>2.01666635817858</c:v>
                </c:pt>
                <c:pt idx="43">
                  <c:v>1.5821666966947201</c:v>
                </c:pt>
                <c:pt idx="44">
                  <c:v>1.328702460073</c:v>
                </c:pt>
                <c:pt idx="45">
                  <c:v>1.23029338455714</c:v>
                </c:pt>
                <c:pt idx="46">
                  <c:v>1.3328203665014999</c:v>
                </c:pt>
                <c:pt idx="47">
                  <c:v>1.53642145702425</c:v>
                </c:pt>
                <c:pt idx="48">
                  <c:v>1.7896527097720198</c:v>
                </c:pt>
                <c:pt idx="49">
                  <c:v>2.0789067194939204</c:v>
                </c:pt>
                <c:pt idx="50">
                  <c:v>2.36536488575168</c:v>
                </c:pt>
                <c:pt idx="51">
                  <c:v>2.6670678427348102</c:v>
                </c:pt>
                <c:pt idx="52">
                  <c:v>2.96980827715059</c:v>
                </c:pt>
                <c:pt idx="53">
                  <c:v>3.2768088441588303</c:v>
                </c:pt>
                <c:pt idx="54">
                  <c:v>3.5287856999049501</c:v>
                </c:pt>
                <c:pt idx="55">
                  <c:v>3.7691515665046795</c:v>
                </c:pt>
                <c:pt idx="56">
                  <c:v>3.9927262902835401</c:v>
                </c:pt>
                <c:pt idx="57">
                  <c:v>4.1904510130589898</c:v>
                </c:pt>
                <c:pt idx="58">
                  <c:v>4.3756484794373005</c:v>
                </c:pt>
                <c:pt idx="59">
                  <c:v>4.5412994372696307</c:v>
                </c:pt>
                <c:pt idx="60">
                  <c:v>4.6908953241603806</c:v>
                </c:pt>
                <c:pt idx="61">
                  <c:v>4.8128099978330097</c:v>
                </c:pt>
                <c:pt idx="62">
                  <c:v>4.9178314414562507</c:v>
                </c:pt>
                <c:pt idx="63">
                  <c:v>5.0036761784637998</c:v>
                </c:pt>
                <c:pt idx="64">
                  <c:v>5.0738248275286502</c:v>
                </c:pt>
                <c:pt idx="65">
                  <c:v>5.1227624016730902</c:v>
                </c:pt>
                <c:pt idx="66">
                  <c:v>5.1524976371569995</c:v>
                </c:pt>
                <c:pt idx="67">
                  <c:v>5.1698870678522102</c:v>
                </c:pt>
                <c:pt idx="68">
                  <c:v>5.1799259422319697</c:v>
                </c:pt>
                <c:pt idx="69">
                  <c:v>5.1673487066756403</c:v>
                </c:pt>
                <c:pt idx="70">
                  <c:v>5.1580064670643804</c:v>
                </c:pt>
                <c:pt idx="71">
                  <c:v>5.14129361941922</c:v>
                </c:pt>
                <c:pt idx="72">
                  <c:v>5.1241755186544999</c:v>
                </c:pt>
                <c:pt idx="73">
                  <c:v>5.1017142283163803</c:v>
                </c:pt>
                <c:pt idx="74">
                  <c:v>5.08191159077895</c:v>
                </c:pt>
                <c:pt idx="75">
                  <c:v>5.0677413690668498</c:v>
                </c:pt>
                <c:pt idx="76">
                  <c:v>5.0618693431931403</c:v>
                </c:pt>
                <c:pt idx="77">
                  <c:v>5.0599862379934901</c:v>
                </c:pt>
                <c:pt idx="78">
                  <c:v>5.0715226018037898</c:v>
                </c:pt>
                <c:pt idx="79">
                  <c:v>5.0968590408871099</c:v>
                </c:pt>
                <c:pt idx="80">
                  <c:v>5.1381375355933701</c:v>
                </c:pt>
                <c:pt idx="81">
                  <c:v>5.1904274116274305</c:v>
                </c:pt>
                <c:pt idx="82">
                  <c:v>5.2578734381269898</c:v>
                </c:pt>
                <c:pt idx="83">
                  <c:v>5.3436829905902101</c:v>
                </c:pt>
                <c:pt idx="84">
                  <c:v>5.44867478317245</c:v>
                </c:pt>
                <c:pt idx="85">
                  <c:v>5.5563958535424298</c:v>
                </c:pt>
                <c:pt idx="86">
                  <c:v>5.6865660142107606</c:v>
                </c:pt>
                <c:pt idx="87">
                  <c:v>5.8302682654574403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84-4AB2-893E-821CEF93DF40}"/>
            </c:ext>
          </c:extLst>
        </c:ser>
        <c:ser>
          <c:idx val="4"/>
          <c:order val="4"/>
          <c:tx>
            <c:v>10-year rate - Actual</c:v>
          </c:tx>
          <c:spPr>
            <a:ln w="25400">
              <a:solidFill>
                <a:srgbClr val="ED8B00"/>
              </a:solidFill>
              <a:prstDash val="solid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  <c:pt idx="0">
                  <c:v>42064</c:v>
                </c:pt>
                <c:pt idx="1">
                  <c:v>42156</c:v>
                </c:pt>
                <c:pt idx="2">
                  <c:v>42248</c:v>
                </c:pt>
                <c:pt idx="3">
                  <c:v>42339</c:v>
                </c:pt>
                <c:pt idx="4">
                  <c:v>42430</c:v>
                </c:pt>
                <c:pt idx="5">
                  <c:v>42522</c:v>
                </c:pt>
                <c:pt idx="6">
                  <c:v>42614</c:v>
                </c:pt>
                <c:pt idx="7">
                  <c:v>42705</c:v>
                </c:pt>
                <c:pt idx="8">
                  <c:v>42795</c:v>
                </c:pt>
                <c:pt idx="9">
                  <c:v>42887</c:v>
                </c:pt>
                <c:pt idx="10">
                  <c:v>42979</c:v>
                </c:pt>
                <c:pt idx="11">
                  <c:v>43070</c:v>
                </c:pt>
                <c:pt idx="12">
                  <c:v>43160</c:v>
                </c:pt>
                <c:pt idx="13">
                  <c:v>43252</c:v>
                </c:pt>
                <c:pt idx="14">
                  <c:v>43344</c:v>
                </c:pt>
                <c:pt idx="15">
                  <c:v>43435</c:v>
                </c:pt>
                <c:pt idx="16">
                  <c:v>43525</c:v>
                </c:pt>
                <c:pt idx="17">
                  <c:v>43617</c:v>
                </c:pt>
                <c:pt idx="18">
                  <c:v>43709</c:v>
                </c:pt>
                <c:pt idx="19">
                  <c:v>43800</c:v>
                </c:pt>
                <c:pt idx="20">
                  <c:v>43891</c:v>
                </c:pt>
                <c:pt idx="21">
                  <c:v>43983</c:v>
                </c:pt>
                <c:pt idx="22">
                  <c:v>44075</c:v>
                </c:pt>
                <c:pt idx="23">
                  <c:v>44166</c:v>
                </c:pt>
                <c:pt idx="24">
                  <c:v>44256</c:v>
                </c:pt>
                <c:pt idx="25">
                  <c:v>44348</c:v>
                </c:pt>
                <c:pt idx="26">
                  <c:v>44440</c:v>
                </c:pt>
                <c:pt idx="27">
                  <c:v>44531</c:v>
                </c:pt>
                <c:pt idx="28">
                  <c:v>44621</c:v>
                </c:pt>
                <c:pt idx="29">
                  <c:v>44713</c:v>
                </c:pt>
                <c:pt idx="30">
                  <c:v>44805</c:v>
                </c:pt>
                <c:pt idx="31">
                  <c:v>44896</c:v>
                </c:pt>
                <c:pt idx="32">
                  <c:v>44986</c:v>
                </c:pt>
                <c:pt idx="33">
                  <c:v>45078</c:v>
                </c:pt>
                <c:pt idx="34">
                  <c:v>45170</c:v>
                </c:pt>
                <c:pt idx="35">
                  <c:v>45261</c:v>
                </c:pt>
                <c:pt idx="36">
                  <c:v>45352</c:v>
                </c:pt>
                <c:pt idx="37">
                  <c:v>45444</c:v>
                </c:pt>
                <c:pt idx="38">
                  <c:v>45536</c:v>
                </c:pt>
                <c:pt idx="39">
                  <c:v>45627</c:v>
                </c:pt>
                <c:pt idx="40">
                  <c:v>45717</c:v>
                </c:pt>
                <c:pt idx="41">
                  <c:v>45809</c:v>
                </c:pt>
                <c:pt idx="42">
                  <c:v>45901</c:v>
                </c:pt>
                <c:pt idx="43">
                  <c:v>45992</c:v>
                </c:pt>
                <c:pt idx="44">
                  <c:v>46082</c:v>
                </c:pt>
                <c:pt idx="45">
                  <c:v>46174</c:v>
                </c:pt>
                <c:pt idx="46">
                  <c:v>46266</c:v>
                </c:pt>
                <c:pt idx="47">
                  <c:v>46357</c:v>
                </c:pt>
                <c:pt idx="48">
                  <c:v>46447</c:v>
                </c:pt>
                <c:pt idx="49">
                  <c:v>46539</c:v>
                </c:pt>
                <c:pt idx="50">
                  <c:v>46631</c:v>
                </c:pt>
                <c:pt idx="51">
                  <c:v>46722</c:v>
                </c:pt>
                <c:pt idx="52">
                  <c:v>46813</c:v>
                </c:pt>
                <c:pt idx="53">
                  <c:v>46905</c:v>
                </c:pt>
                <c:pt idx="54">
                  <c:v>46997</c:v>
                </c:pt>
                <c:pt idx="55">
                  <c:v>47088</c:v>
                </c:pt>
                <c:pt idx="56">
                  <c:v>47178</c:v>
                </c:pt>
                <c:pt idx="57">
                  <c:v>47270</c:v>
                </c:pt>
                <c:pt idx="58">
                  <c:v>47362</c:v>
                </c:pt>
                <c:pt idx="59">
                  <c:v>47453</c:v>
                </c:pt>
                <c:pt idx="60">
                  <c:v>47543</c:v>
                </c:pt>
                <c:pt idx="61">
                  <c:v>47635</c:v>
                </c:pt>
                <c:pt idx="62">
                  <c:v>47727</c:v>
                </c:pt>
                <c:pt idx="63">
                  <c:v>47818</c:v>
                </c:pt>
                <c:pt idx="64">
                  <c:v>47908</c:v>
                </c:pt>
                <c:pt idx="65">
                  <c:v>48000</c:v>
                </c:pt>
                <c:pt idx="66">
                  <c:v>48092</c:v>
                </c:pt>
                <c:pt idx="67">
                  <c:v>48183</c:v>
                </c:pt>
                <c:pt idx="68">
                  <c:v>48274</c:v>
                </c:pt>
                <c:pt idx="69">
                  <c:v>48366</c:v>
                </c:pt>
                <c:pt idx="70">
                  <c:v>48458</c:v>
                </c:pt>
                <c:pt idx="71">
                  <c:v>48549</c:v>
                </c:pt>
                <c:pt idx="72">
                  <c:v>48639</c:v>
                </c:pt>
                <c:pt idx="73">
                  <c:v>48731</c:v>
                </c:pt>
                <c:pt idx="74">
                  <c:v>48823</c:v>
                </c:pt>
                <c:pt idx="75">
                  <c:v>48914</c:v>
                </c:pt>
                <c:pt idx="76">
                  <c:v>49004</c:v>
                </c:pt>
                <c:pt idx="77">
                  <c:v>49096</c:v>
                </c:pt>
                <c:pt idx="78">
                  <c:v>49188</c:v>
                </c:pt>
                <c:pt idx="79">
                  <c:v>49279</c:v>
                </c:pt>
                <c:pt idx="80">
                  <c:v>49369</c:v>
                </c:pt>
                <c:pt idx="81">
                  <c:v>49461</c:v>
                </c:pt>
                <c:pt idx="82">
                  <c:v>49553</c:v>
                </c:pt>
                <c:pt idx="83">
                  <c:v>49644</c:v>
                </c:pt>
                <c:pt idx="84">
                  <c:v>49735</c:v>
                </c:pt>
                <c:pt idx="85">
                  <c:v>49827</c:v>
                </c:pt>
                <c:pt idx="86">
                  <c:v>49919</c:v>
                </c:pt>
                <c:pt idx="87">
                  <c:v>50010</c:v>
                </c:pt>
              </c:numCache>
            </c:numRef>
          </c:cat>
          <c:val>
            <c:numRef>
              <c:f>Comparison!$AG$2:$AG$201</c:f>
              <c:numCache>
                <c:formatCode>General</c:formatCode>
                <c:ptCount val="200"/>
                <c:pt idx="0">
                  <c:v>2.5289999999999999</c:v>
                </c:pt>
                <c:pt idx="1">
                  <c:v>2.7589999999999999</c:v>
                </c:pt>
                <c:pt idx="2">
                  <c:v>2.7946666666666697</c:v>
                </c:pt>
                <c:pt idx="3">
                  <c:v>2.7993333333333301</c:v>
                </c:pt>
                <c:pt idx="4">
                  <c:v>2.5780000000000003</c:v>
                </c:pt>
                <c:pt idx="5">
                  <c:v>2.3196666666666701</c:v>
                </c:pt>
                <c:pt idx="6">
                  <c:v>1.944</c:v>
                </c:pt>
                <c:pt idx="7">
                  <c:v>2.5216666666666701</c:v>
                </c:pt>
                <c:pt idx="8">
                  <c:v>2.7509999999999999</c:v>
                </c:pt>
                <c:pt idx="9">
                  <c:v>2.5086666666666702</c:v>
                </c:pt>
                <c:pt idx="10">
                  <c:v>2.6666666666666701</c:v>
                </c:pt>
                <c:pt idx="11">
                  <c:v>2.63866666666667</c:v>
                </c:pt>
                <c:pt idx="12">
                  <c:v>2.76833333333333</c:v>
                </c:pt>
                <c:pt idx="13">
                  <c:v>2.74033333333333</c:v>
                </c:pt>
                <c:pt idx="14">
                  <c:v>2.61933333333333</c:v>
                </c:pt>
                <c:pt idx="15">
                  <c:v>2.59866666666667</c:v>
                </c:pt>
                <c:pt idx="16">
                  <c:v>2.1179999999999999</c:v>
                </c:pt>
                <c:pt idx="17">
                  <c:v>1.63533333333333</c:v>
                </c:pt>
                <c:pt idx="18">
                  <c:v>1.10466666666667</c:v>
                </c:pt>
                <c:pt idx="19">
                  <c:v>1.1303333333333301</c:v>
                </c:pt>
                <c:pt idx="20">
                  <c:v>1.0089999999999999</c:v>
                </c:pt>
                <c:pt idx="21">
                  <c:v>0.89500000000000002</c:v>
                </c:pt>
                <c:pt idx="22">
                  <c:v>0.89866666666666706</c:v>
                </c:pt>
                <c:pt idx="23">
                  <c:v>0.878</c:v>
                </c:pt>
                <c:pt idx="24">
                  <c:v>1.36466666666667</c:v>
                </c:pt>
                <c:pt idx="25">
                  <c:v>1.6223333333333301</c:v>
                </c:pt>
                <c:pt idx="26">
                  <c:v>1.22366666666667</c:v>
                </c:pt>
                <c:pt idx="27">
                  <c:v>1.7083333333333302</c:v>
                </c:pt>
                <c:pt idx="28">
                  <c:v>2.1663333333333297</c:v>
                </c:pt>
                <c:pt idx="29">
                  <c:v>3.38533333333333</c:v>
                </c:pt>
                <c:pt idx="30">
                  <c:v>3.5123333333333298</c:v>
                </c:pt>
                <c:pt idx="31">
                  <c:v>3.7220000000000004</c:v>
                </c:pt>
                <c:pt idx="32">
                  <c:v>3.5913333333333295</c:v>
                </c:pt>
                <c:pt idx="33">
                  <c:v>3.5863333333333305</c:v>
                </c:pt>
                <c:pt idx="34">
                  <c:v>4.125</c:v>
                </c:pt>
                <c:pt idx="35">
                  <c:v>4.4660000000000002</c:v>
                </c:pt>
                <c:pt idx="36">
                  <c:v>4.11133333333333</c:v>
                </c:pt>
                <c:pt idx="37">
                  <c:v>4.2783333333333298</c:v>
                </c:pt>
                <c:pt idx="38">
                  <c:v>4.07466666666667</c:v>
                </c:pt>
                <c:pt idx="39">
                  <c:v>4.3746666666666698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84-4AB2-893E-821CEF93DF40}"/>
            </c:ext>
          </c:extLst>
        </c:ser>
        <c:ser>
          <c:idx val="5"/>
          <c:order val="5"/>
          <c:tx>
            <c:v>10-year rate - Forecast</c:v>
          </c:tx>
          <c:spPr>
            <a:ln w="25400">
              <a:solidFill>
                <a:srgbClr val="ED8B00"/>
              </a:solidFill>
              <a:prstDash val="dash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  <c:pt idx="0">
                  <c:v>42064</c:v>
                </c:pt>
                <c:pt idx="1">
                  <c:v>42156</c:v>
                </c:pt>
                <c:pt idx="2">
                  <c:v>42248</c:v>
                </c:pt>
                <c:pt idx="3">
                  <c:v>42339</c:v>
                </c:pt>
                <c:pt idx="4">
                  <c:v>42430</c:v>
                </c:pt>
                <c:pt idx="5">
                  <c:v>42522</c:v>
                </c:pt>
                <c:pt idx="6">
                  <c:v>42614</c:v>
                </c:pt>
                <c:pt idx="7">
                  <c:v>42705</c:v>
                </c:pt>
                <c:pt idx="8">
                  <c:v>42795</c:v>
                </c:pt>
                <c:pt idx="9">
                  <c:v>42887</c:v>
                </c:pt>
                <c:pt idx="10">
                  <c:v>42979</c:v>
                </c:pt>
                <c:pt idx="11">
                  <c:v>43070</c:v>
                </c:pt>
                <c:pt idx="12">
                  <c:v>43160</c:v>
                </c:pt>
                <c:pt idx="13">
                  <c:v>43252</c:v>
                </c:pt>
                <c:pt idx="14">
                  <c:v>43344</c:v>
                </c:pt>
                <c:pt idx="15">
                  <c:v>43435</c:v>
                </c:pt>
                <c:pt idx="16">
                  <c:v>43525</c:v>
                </c:pt>
                <c:pt idx="17">
                  <c:v>43617</c:v>
                </c:pt>
                <c:pt idx="18">
                  <c:v>43709</c:v>
                </c:pt>
                <c:pt idx="19">
                  <c:v>43800</c:v>
                </c:pt>
                <c:pt idx="20">
                  <c:v>43891</c:v>
                </c:pt>
                <c:pt idx="21">
                  <c:v>43983</c:v>
                </c:pt>
                <c:pt idx="22">
                  <c:v>44075</c:v>
                </c:pt>
                <c:pt idx="23">
                  <c:v>44166</c:v>
                </c:pt>
                <c:pt idx="24">
                  <c:v>44256</c:v>
                </c:pt>
                <c:pt idx="25">
                  <c:v>44348</c:v>
                </c:pt>
                <c:pt idx="26">
                  <c:v>44440</c:v>
                </c:pt>
                <c:pt idx="27">
                  <c:v>44531</c:v>
                </c:pt>
                <c:pt idx="28">
                  <c:v>44621</c:v>
                </c:pt>
                <c:pt idx="29">
                  <c:v>44713</c:v>
                </c:pt>
                <c:pt idx="30">
                  <c:v>44805</c:v>
                </c:pt>
                <c:pt idx="31">
                  <c:v>44896</c:v>
                </c:pt>
                <c:pt idx="32">
                  <c:v>44986</c:v>
                </c:pt>
                <c:pt idx="33">
                  <c:v>45078</c:v>
                </c:pt>
                <c:pt idx="34">
                  <c:v>45170</c:v>
                </c:pt>
                <c:pt idx="35">
                  <c:v>45261</c:v>
                </c:pt>
                <c:pt idx="36">
                  <c:v>45352</c:v>
                </c:pt>
                <c:pt idx="37">
                  <c:v>45444</c:v>
                </c:pt>
                <c:pt idx="38">
                  <c:v>45536</c:v>
                </c:pt>
                <c:pt idx="39">
                  <c:v>45627</c:v>
                </c:pt>
                <c:pt idx="40">
                  <c:v>45717</c:v>
                </c:pt>
                <c:pt idx="41">
                  <c:v>45809</c:v>
                </c:pt>
                <c:pt idx="42">
                  <c:v>45901</c:v>
                </c:pt>
                <c:pt idx="43">
                  <c:v>45992</c:v>
                </c:pt>
                <c:pt idx="44">
                  <c:v>46082</c:v>
                </c:pt>
                <c:pt idx="45">
                  <c:v>46174</c:v>
                </c:pt>
                <c:pt idx="46">
                  <c:v>46266</c:v>
                </c:pt>
                <c:pt idx="47">
                  <c:v>46357</c:v>
                </c:pt>
                <c:pt idx="48">
                  <c:v>46447</c:v>
                </c:pt>
                <c:pt idx="49">
                  <c:v>46539</c:v>
                </c:pt>
                <c:pt idx="50">
                  <c:v>46631</c:v>
                </c:pt>
                <c:pt idx="51">
                  <c:v>46722</c:v>
                </c:pt>
                <c:pt idx="52">
                  <c:v>46813</c:v>
                </c:pt>
                <c:pt idx="53">
                  <c:v>46905</c:v>
                </c:pt>
                <c:pt idx="54">
                  <c:v>46997</c:v>
                </c:pt>
                <c:pt idx="55">
                  <c:v>47088</c:v>
                </c:pt>
                <c:pt idx="56">
                  <c:v>47178</c:v>
                </c:pt>
                <c:pt idx="57">
                  <c:v>47270</c:v>
                </c:pt>
                <c:pt idx="58">
                  <c:v>47362</c:v>
                </c:pt>
                <c:pt idx="59">
                  <c:v>47453</c:v>
                </c:pt>
                <c:pt idx="60">
                  <c:v>47543</c:v>
                </c:pt>
                <c:pt idx="61">
                  <c:v>47635</c:v>
                </c:pt>
                <c:pt idx="62">
                  <c:v>47727</c:v>
                </c:pt>
                <c:pt idx="63">
                  <c:v>47818</c:v>
                </c:pt>
                <c:pt idx="64">
                  <c:v>47908</c:v>
                </c:pt>
                <c:pt idx="65">
                  <c:v>48000</c:v>
                </c:pt>
                <c:pt idx="66">
                  <c:v>48092</c:v>
                </c:pt>
                <c:pt idx="67">
                  <c:v>48183</c:v>
                </c:pt>
                <c:pt idx="68">
                  <c:v>48274</c:v>
                </c:pt>
                <c:pt idx="69">
                  <c:v>48366</c:v>
                </c:pt>
                <c:pt idx="70">
                  <c:v>48458</c:v>
                </c:pt>
                <c:pt idx="71">
                  <c:v>48549</c:v>
                </c:pt>
                <c:pt idx="72">
                  <c:v>48639</c:v>
                </c:pt>
                <c:pt idx="73">
                  <c:v>48731</c:v>
                </c:pt>
                <c:pt idx="74">
                  <c:v>48823</c:v>
                </c:pt>
                <c:pt idx="75">
                  <c:v>48914</c:v>
                </c:pt>
                <c:pt idx="76">
                  <c:v>49004</c:v>
                </c:pt>
                <c:pt idx="77">
                  <c:v>49096</c:v>
                </c:pt>
                <c:pt idx="78">
                  <c:v>49188</c:v>
                </c:pt>
                <c:pt idx="79">
                  <c:v>49279</c:v>
                </c:pt>
                <c:pt idx="80">
                  <c:v>49369</c:v>
                </c:pt>
                <c:pt idx="81">
                  <c:v>49461</c:v>
                </c:pt>
                <c:pt idx="82">
                  <c:v>49553</c:v>
                </c:pt>
                <c:pt idx="83">
                  <c:v>49644</c:v>
                </c:pt>
                <c:pt idx="84">
                  <c:v>49735</c:v>
                </c:pt>
                <c:pt idx="85">
                  <c:v>49827</c:v>
                </c:pt>
                <c:pt idx="86">
                  <c:v>49919</c:v>
                </c:pt>
                <c:pt idx="87">
                  <c:v>50010</c:v>
                </c:pt>
              </c:numCache>
            </c:numRef>
          </c:cat>
          <c:val>
            <c:numRef>
              <c:f>Comparison!$AH$2:$AH$201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4.3746666666666698</c:v>
                </c:pt>
                <c:pt idx="40">
                  <c:v>4.4647855758787101</c:v>
                </c:pt>
                <c:pt idx="41">
                  <c:v>4.4989210609206705</c:v>
                </c:pt>
                <c:pt idx="42">
                  <c:v>4.4971133909827303</c:v>
                </c:pt>
                <c:pt idx="43">
                  <c:v>4.4725321457063494</c:v>
                </c:pt>
                <c:pt idx="44">
                  <c:v>4.4380654618739701</c:v>
                </c:pt>
                <c:pt idx="45">
                  <c:v>4.4033618914544093</c:v>
                </c:pt>
                <c:pt idx="46">
                  <c:v>4.3791081830513399</c:v>
                </c:pt>
                <c:pt idx="47">
                  <c:v>4.3691527883123999</c:v>
                </c:pt>
                <c:pt idx="48">
                  <c:v>4.3740608079156802</c:v>
                </c:pt>
                <c:pt idx="49">
                  <c:v>4.3935942995731194</c:v>
                </c:pt>
                <c:pt idx="50">
                  <c:v>4.4254917543638799</c:v>
                </c:pt>
                <c:pt idx="51">
                  <c:v>4.4687748519700197</c:v>
                </c:pt>
                <c:pt idx="52">
                  <c:v>4.5218534399248096</c:v>
                </c:pt>
                <c:pt idx="53">
                  <c:v>4.58353798017116</c:v>
                </c:pt>
                <c:pt idx="54">
                  <c:v>4.64966791344904</c:v>
                </c:pt>
                <c:pt idx="55">
                  <c:v>4.7189853579033203</c:v>
                </c:pt>
                <c:pt idx="56">
                  <c:v>4.7901395645595297</c:v>
                </c:pt>
                <c:pt idx="57">
                  <c:v>4.8614947085479798</c:v>
                </c:pt>
                <c:pt idx="58">
                  <c:v>4.9323576297425396</c:v>
                </c:pt>
                <c:pt idx="59">
                  <c:v>5.0017632033153996</c:v>
                </c:pt>
                <c:pt idx="60">
                  <c:v>5.0690708556456601</c:v>
                </c:pt>
                <c:pt idx="61">
                  <c:v>5.1331162181210903</c:v>
                </c:pt>
                <c:pt idx="62">
                  <c:v>5.19347508535673</c:v>
                </c:pt>
                <c:pt idx="63">
                  <c:v>5.2496634896624501</c:v>
                </c:pt>
                <c:pt idx="64">
                  <c:v>5.3014519168143597</c:v>
                </c:pt>
                <c:pt idx="65">
                  <c:v>5.3483516418007602</c:v>
                </c:pt>
                <c:pt idx="66">
                  <c:v>5.3900510494030005</c:v>
                </c:pt>
                <c:pt idx="67">
                  <c:v>5.4266470463986796</c:v>
                </c:pt>
                <c:pt idx="68">
                  <c:v>5.4584873576303599</c:v>
                </c:pt>
                <c:pt idx="69">
                  <c:v>5.4850601685472897</c:v>
                </c:pt>
                <c:pt idx="70">
                  <c:v>5.5072981014390505</c:v>
                </c:pt>
                <c:pt idx="71">
                  <c:v>5.52543676999161</c:v>
                </c:pt>
                <c:pt idx="72">
                  <c:v>5.5400470078422899</c:v>
                </c:pt>
                <c:pt idx="73">
                  <c:v>5.5513553846392405</c:v>
                </c:pt>
                <c:pt idx="74">
                  <c:v>5.5599799456290695</c:v>
                </c:pt>
                <c:pt idx="75">
                  <c:v>5.566607084898</c:v>
                </c:pt>
                <c:pt idx="76">
                  <c:v>5.5719653418360302</c:v>
                </c:pt>
                <c:pt idx="77">
                  <c:v>5.5764495325038599</c:v>
                </c:pt>
                <c:pt idx="78">
                  <c:v>5.58089738011126</c:v>
                </c:pt>
                <c:pt idx="79">
                  <c:v>5.5860457397740504</c:v>
                </c:pt>
                <c:pt idx="80">
                  <c:v>5.5926385516452202</c:v>
                </c:pt>
                <c:pt idx="81">
                  <c:v>5.6010508640851597</c:v>
                </c:pt>
                <c:pt idx="82">
                  <c:v>5.6118232660923999</c:v>
                </c:pt>
                <c:pt idx="83">
                  <c:v>5.6255882722889501</c:v>
                </c:pt>
                <c:pt idx="84">
                  <c:v>5.6429304066140693</c:v>
                </c:pt>
                <c:pt idx="85">
                  <c:v>5.6634774877816403</c:v>
                </c:pt>
                <c:pt idx="86">
                  <c:v>5.6879565479062899</c:v>
                </c:pt>
                <c:pt idx="87">
                  <c:v>5.7165168374580002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84-4AB2-893E-821CEF93D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dateAx>
        <c:axId val="5003000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crossAx val="50030002"/>
        <c:crosses val="autoZero"/>
        <c:auto val="1"/>
        <c:lblOffset val="100"/>
        <c:baseTimeUnit val="months"/>
      </c:dateAx>
      <c:valAx>
        <c:axId val="5003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Consumer price inflation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Annual CPI inflation - Actual</c:v>
          </c:tx>
          <c:spPr>
            <a:ln w="25400">
              <a:solidFill>
                <a:srgbClr val="86BC25"/>
              </a:solidFill>
              <a:prstDash val="solid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  <c:pt idx="0">
                  <c:v>42064</c:v>
                </c:pt>
                <c:pt idx="1">
                  <c:v>42156</c:v>
                </c:pt>
                <c:pt idx="2">
                  <c:v>42248</c:v>
                </c:pt>
                <c:pt idx="3">
                  <c:v>42339</c:v>
                </c:pt>
                <c:pt idx="4">
                  <c:v>42430</c:v>
                </c:pt>
                <c:pt idx="5">
                  <c:v>42522</c:v>
                </c:pt>
                <c:pt idx="6">
                  <c:v>42614</c:v>
                </c:pt>
                <c:pt idx="7">
                  <c:v>42705</c:v>
                </c:pt>
                <c:pt idx="8">
                  <c:v>42795</c:v>
                </c:pt>
                <c:pt idx="9">
                  <c:v>42887</c:v>
                </c:pt>
                <c:pt idx="10">
                  <c:v>42979</c:v>
                </c:pt>
                <c:pt idx="11">
                  <c:v>43070</c:v>
                </c:pt>
                <c:pt idx="12">
                  <c:v>43160</c:v>
                </c:pt>
                <c:pt idx="13">
                  <c:v>43252</c:v>
                </c:pt>
                <c:pt idx="14">
                  <c:v>43344</c:v>
                </c:pt>
                <c:pt idx="15">
                  <c:v>43435</c:v>
                </c:pt>
                <c:pt idx="16">
                  <c:v>43525</c:v>
                </c:pt>
                <c:pt idx="17">
                  <c:v>43617</c:v>
                </c:pt>
                <c:pt idx="18">
                  <c:v>43709</c:v>
                </c:pt>
                <c:pt idx="19">
                  <c:v>43800</c:v>
                </c:pt>
                <c:pt idx="20">
                  <c:v>43891</c:v>
                </c:pt>
                <c:pt idx="21">
                  <c:v>43983</c:v>
                </c:pt>
                <c:pt idx="22">
                  <c:v>44075</c:v>
                </c:pt>
                <c:pt idx="23">
                  <c:v>44166</c:v>
                </c:pt>
                <c:pt idx="24">
                  <c:v>44256</c:v>
                </c:pt>
                <c:pt idx="25">
                  <c:v>44348</c:v>
                </c:pt>
                <c:pt idx="26">
                  <c:v>44440</c:v>
                </c:pt>
                <c:pt idx="27">
                  <c:v>44531</c:v>
                </c:pt>
                <c:pt idx="28">
                  <c:v>44621</c:v>
                </c:pt>
                <c:pt idx="29">
                  <c:v>44713</c:v>
                </c:pt>
                <c:pt idx="30">
                  <c:v>44805</c:v>
                </c:pt>
                <c:pt idx="31">
                  <c:v>44896</c:v>
                </c:pt>
                <c:pt idx="32">
                  <c:v>44986</c:v>
                </c:pt>
                <c:pt idx="33">
                  <c:v>45078</c:v>
                </c:pt>
                <c:pt idx="34">
                  <c:v>45170</c:v>
                </c:pt>
                <c:pt idx="35">
                  <c:v>45261</c:v>
                </c:pt>
                <c:pt idx="36">
                  <c:v>45352</c:v>
                </c:pt>
                <c:pt idx="37">
                  <c:v>45444</c:v>
                </c:pt>
                <c:pt idx="38">
                  <c:v>45536</c:v>
                </c:pt>
                <c:pt idx="39">
                  <c:v>45627</c:v>
                </c:pt>
                <c:pt idx="40">
                  <c:v>45717</c:v>
                </c:pt>
                <c:pt idx="41">
                  <c:v>45809</c:v>
                </c:pt>
                <c:pt idx="42">
                  <c:v>45901</c:v>
                </c:pt>
                <c:pt idx="43">
                  <c:v>45992</c:v>
                </c:pt>
                <c:pt idx="44">
                  <c:v>46082</c:v>
                </c:pt>
                <c:pt idx="45">
                  <c:v>46174</c:v>
                </c:pt>
                <c:pt idx="46">
                  <c:v>46266</c:v>
                </c:pt>
                <c:pt idx="47">
                  <c:v>46357</c:v>
                </c:pt>
                <c:pt idx="48">
                  <c:v>46447</c:v>
                </c:pt>
                <c:pt idx="49">
                  <c:v>46539</c:v>
                </c:pt>
                <c:pt idx="50">
                  <c:v>46631</c:v>
                </c:pt>
                <c:pt idx="51">
                  <c:v>46722</c:v>
                </c:pt>
                <c:pt idx="52">
                  <c:v>46813</c:v>
                </c:pt>
                <c:pt idx="53">
                  <c:v>46905</c:v>
                </c:pt>
                <c:pt idx="54">
                  <c:v>46997</c:v>
                </c:pt>
                <c:pt idx="55">
                  <c:v>47088</c:v>
                </c:pt>
                <c:pt idx="56">
                  <c:v>47178</c:v>
                </c:pt>
                <c:pt idx="57">
                  <c:v>47270</c:v>
                </c:pt>
                <c:pt idx="58">
                  <c:v>47362</c:v>
                </c:pt>
                <c:pt idx="59">
                  <c:v>47453</c:v>
                </c:pt>
                <c:pt idx="60">
                  <c:v>47543</c:v>
                </c:pt>
                <c:pt idx="61">
                  <c:v>47635</c:v>
                </c:pt>
                <c:pt idx="62">
                  <c:v>47727</c:v>
                </c:pt>
                <c:pt idx="63">
                  <c:v>47818</c:v>
                </c:pt>
                <c:pt idx="64">
                  <c:v>47908</c:v>
                </c:pt>
                <c:pt idx="65">
                  <c:v>48000</c:v>
                </c:pt>
                <c:pt idx="66">
                  <c:v>48092</c:v>
                </c:pt>
                <c:pt idx="67">
                  <c:v>48183</c:v>
                </c:pt>
                <c:pt idx="68">
                  <c:v>48274</c:v>
                </c:pt>
                <c:pt idx="69">
                  <c:v>48366</c:v>
                </c:pt>
                <c:pt idx="70">
                  <c:v>48458</c:v>
                </c:pt>
                <c:pt idx="71">
                  <c:v>48549</c:v>
                </c:pt>
                <c:pt idx="72">
                  <c:v>48639</c:v>
                </c:pt>
                <c:pt idx="73">
                  <c:v>48731</c:v>
                </c:pt>
                <c:pt idx="74">
                  <c:v>48823</c:v>
                </c:pt>
                <c:pt idx="75">
                  <c:v>48914</c:v>
                </c:pt>
                <c:pt idx="76">
                  <c:v>49004</c:v>
                </c:pt>
                <c:pt idx="77">
                  <c:v>49096</c:v>
                </c:pt>
                <c:pt idx="78">
                  <c:v>49188</c:v>
                </c:pt>
                <c:pt idx="79">
                  <c:v>49279</c:v>
                </c:pt>
                <c:pt idx="80">
                  <c:v>49369</c:v>
                </c:pt>
                <c:pt idx="81">
                  <c:v>49461</c:v>
                </c:pt>
                <c:pt idx="82">
                  <c:v>49553</c:v>
                </c:pt>
                <c:pt idx="83">
                  <c:v>49644</c:v>
                </c:pt>
                <c:pt idx="84">
                  <c:v>49735</c:v>
                </c:pt>
                <c:pt idx="85">
                  <c:v>49827</c:v>
                </c:pt>
                <c:pt idx="86">
                  <c:v>49919</c:v>
                </c:pt>
                <c:pt idx="87">
                  <c:v>50010</c:v>
                </c:pt>
              </c:numCache>
            </c:numRef>
          </c:cat>
          <c:val>
            <c:numRef>
              <c:f>Comparison!$AI$2:$AI$201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1.3108614232209881</c:v>
                </c:pt>
                <c:pt idx="5">
                  <c:v>1.021355617455888</c:v>
                </c:pt>
                <c:pt idx="6">
                  <c:v>1.3914656771799594</c:v>
                </c:pt>
                <c:pt idx="7">
                  <c:v>1.3850415512465464</c:v>
                </c:pt>
                <c:pt idx="8">
                  <c:v>2.1256931608133023</c:v>
                </c:pt>
                <c:pt idx="9">
                  <c:v>1.9301470588235281</c:v>
                </c:pt>
                <c:pt idx="10">
                  <c:v>1.8298261665141702</c:v>
                </c:pt>
                <c:pt idx="11">
                  <c:v>2.0947176684881663</c:v>
                </c:pt>
                <c:pt idx="12">
                  <c:v>1.9909502262443368</c:v>
                </c:pt>
                <c:pt idx="13">
                  <c:v>2.0739404869251521</c:v>
                </c:pt>
                <c:pt idx="14">
                  <c:v>1.9766397124887813</c:v>
                </c:pt>
                <c:pt idx="15">
                  <c:v>1.6949152542372836</c:v>
                </c:pt>
                <c:pt idx="16">
                  <c:v>1.2422360248447228</c:v>
                </c:pt>
                <c:pt idx="17">
                  <c:v>1.5017667844523075</c:v>
                </c:pt>
                <c:pt idx="18">
                  <c:v>1.6740088105726914</c:v>
                </c:pt>
                <c:pt idx="19">
                  <c:v>1.8421052631578894</c:v>
                </c:pt>
                <c:pt idx="20">
                  <c:v>2.2787028921998242</c:v>
                </c:pt>
                <c:pt idx="21">
                  <c:v>-0.34812880765884291</c:v>
                </c:pt>
                <c:pt idx="22">
                  <c:v>0.69324090121316573</c:v>
                </c:pt>
                <c:pt idx="23">
                  <c:v>0.94745908699398473</c:v>
                </c:pt>
                <c:pt idx="24">
                  <c:v>0.9425878320479919</c:v>
                </c:pt>
                <c:pt idx="25">
                  <c:v>3.7554585152838493</c:v>
                </c:pt>
                <c:pt idx="26">
                  <c:v>3.0120481927710774</c:v>
                </c:pt>
                <c:pt idx="27">
                  <c:v>3.5836177474402708</c:v>
                </c:pt>
                <c:pt idx="28">
                  <c:v>5.1782682512733436</c:v>
                </c:pt>
                <c:pt idx="29">
                  <c:v>6.1447811447811418</c:v>
                </c:pt>
                <c:pt idx="30">
                  <c:v>7.268170426065157</c:v>
                </c:pt>
                <c:pt idx="31">
                  <c:v>7.9077429983525516</c:v>
                </c:pt>
                <c:pt idx="32">
                  <c:v>7.1025020177562403</c:v>
                </c:pt>
                <c:pt idx="33">
                  <c:v>6.1062648691514898</c:v>
                </c:pt>
                <c:pt idx="34">
                  <c:v>5.2959501557632294</c:v>
                </c:pt>
                <c:pt idx="35">
                  <c:v>4.0458015267175629</c:v>
                </c:pt>
                <c:pt idx="36">
                  <c:v>3.6171816126601364</c:v>
                </c:pt>
                <c:pt idx="37">
                  <c:v>3.811659192825112</c:v>
                </c:pt>
                <c:pt idx="38">
                  <c:v>2.8846153846153966</c:v>
                </c:pt>
                <c:pt idx="39">
                  <c:v>2.4211298606016118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CC-46AB-8E10-1B2A3540EA4A}"/>
            </c:ext>
          </c:extLst>
        </c:ser>
        <c:ser>
          <c:idx val="1"/>
          <c:order val="1"/>
          <c:tx>
            <c:v>Annual CPI inflation - Forecast</c:v>
          </c:tx>
          <c:spPr>
            <a:ln w="25400">
              <a:solidFill>
                <a:srgbClr val="86BC25"/>
              </a:solidFill>
              <a:prstDash val="dash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  <c:pt idx="0">
                  <c:v>42064</c:v>
                </c:pt>
                <c:pt idx="1">
                  <c:v>42156</c:v>
                </c:pt>
                <c:pt idx="2">
                  <c:v>42248</c:v>
                </c:pt>
                <c:pt idx="3">
                  <c:v>42339</c:v>
                </c:pt>
                <c:pt idx="4">
                  <c:v>42430</c:v>
                </c:pt>
                <c:pt idx="5">
                  <c:v>42522</c:v>
                </c:pt>
                <c:pt idx="6">
                  <c:v>42614</c:v>
                </c:pt>
                <c:pt idx="7">
                  <c:v>42705</c:v>
                </c:pt>
                <c:pt idx="8">
                  <c:v>42795</c:v>
                </c:pt>
                <c:pt idx="9">
                  <c:v>42887</c:v>
                </c:pt>
                <c:pt idx="10">
                  <c:v>42979</c:v>
                </c:pt>
                <c:pt idx="11">
                  <c:v>43070</c:v>
                </c:pt>
                <c:pt idx="12">
                  <c:v>43160</c:v>
                </c:pt>
                <c:pt idx="13">
                  <c:v>43252</c:v>
                </c:pt>
                <c:pt idx="14">
                  <c:v>43344</c:v>
                </c:pt>
                <c:pt idx="15">
                  <c:v>43435</c:v>
                </c:pt>
                <c:pt idx="16">
                  <c:v>43525</c:v>
                </c:pt>
                <c:pt idx="17">
                  <c:v>43617</c:v>
                </c:pt>
                <c:pt idx="18">
                  <c:v>43709</c:v>
                </c:pt>
                <c:pt idx="19">
                  <c:v>43800</c:v>
                </c:pt>
                <c:pt idx="20">
                  <c:v>43891</c:v>
                </c:pt>
                <c:pt idx="21">
                  <c:v>43983</c:v>
                </c:pt>
                <c:pt idx="22">
                  <c:v>44075</c:v>
                </c:pt>
                <c:pt idx="23">
                  <c:v>44166</c:v>
                </c:pt>
                <c:pt idx="24">
                  <c:v>44256</c:v>
                </c:pt>
                <c:pt idx="25">
                  <c:v>44348</c:v>
                </c:pt>
                <c:pt idx="26">
                  <c:v>44440</c:v>
                </c:pt>
                <c:pt idx="27">
                  <c:v>44531</c:v>
                </c:pt>
                <c:pt idx="28">
                  <c:v>44621</c:v>
                </c:pt>
                <c:pt idx="29">
                  <c:v>44713</c:v>
                </c:pt>
                <c:pt idx="30">
                  <c:v>44805</c:v>
                </c:pt>
                <c:pt idx="31">
                  <c:v>44896</c:v>
                </c:pt>
                <c:pt idx="32">
                  <c:v>44986</c:v>
                </c:pt>
                <c:pt idx="33">
                  <c:v>45078</c:v>
                </c:pt>
                <c:pt idx="34">
                  <c:v>45170</c:v>
                </c:pt>
                <c:pt idx="35">
                  <c:v>45261</c:v>
                </c:pt>
                <c:pt idx="36">
                  <c:v>45352</c:v>
                </c:pt>
                <c:pt idx="37">
                  <c:v>45444</c:v>
                </c:pt>
                <c:pt idx="38">
                  <c:v>45536</c:v>
                </c:pt>
                <c:pt idx="39">
                  <c:v>45627</c:v>
                </c:pt>
                <c:pt idx="40">
                  <c:v>45717</c:v>
                </c:pt>
                <c:pt idx="41">
                  <c:v>45809</c:v>
                </c:pt>
                <c:pt idx="42">
                  <c:v>45901</c:v>
                </c:pt>
                <c:pt idx="43">
                  <c:v>45992</c:v>
                </c:pt>
                <c:pt idx="44">
                  <c:v>46082</c:v>
                </c:pt>
                <c:pt idx="45">
                  <c:v>46174</c:v>
                </c:pt>
                <c:pt idx="46">
                  <c:v>46266</c:v>
                </c:pt>
                <c:pt idx="47">
                  <c:v>46357</c:v>
                </c:pt>
                <c:pt idx="48">
                  <c:v>46447</c:v>
                </c:pt>
                <c:pt idx="49">
                  <c:v>46539</c:v>
                </c:pt>
                <c:pt idx="50">
                  <c:v>46631</c:v>
                </c:pt>
                <c:pt idx="51">
                  <c:v>46722</c:v>
                </c:pt>
                <c:pt idx="52">
                  <c:v>46813</c:v>
                </c:pt>
                <c:pt idx="53">
                  <c:v>46905</c:v>
                </c:pt>
                <c:pt idx="54">
                  <c:v>46997</c:v>
                </c:pt>
                <c:pt idx="55">
                  <c:v>47088</c:v>
                </c:pt>
                <c:pt idx="56">
                  <c:v>47178</c:v>
                </c:pt>
                <c:pt idx="57">
                  <c:v>47270</c:v>
                </c:pt>
                <c:pt idx="58">
                  <c:v>47362</c:v>
                </c:pt>
                <c:pt idx="59">
                  <c:v>47453</c:v>
                </c:pt>
                <c:pt idx="60">
                  <c:v>47543</c:v>
                </c:pt>
                <c:pt idx="61">
                  <c:v>47635</c:v>
                </c:pt>
                <c:pt idx="62">
                  <c:v>47727</c:v>
                </c:pt>
                <c:pt idx="63">
                  <c:v>47818</c:v>
                </c:pt>
                <c:pt idx="64">
                  <c:v>47908</c:v>
                </c:pt>
                <c:pt idx="65">
                  <c:v>48000</c:v>
                </c:pt>
                <c:pt idx="66">
                  <c:v>48092</c:v>
                </c:pt>
                <c:pt idx="67">
                  <c:v>48183</c:v>
                </c:pt>
                <c:pt idx="68">
                  <c:v>48274</c:v>
                </c:pt>
                <c:pt idx="69">
                  <c:v>48366</c:v>
                </c:pt>
                <c:pt idx="70">
                  <c:v>48458</c:v>
                </c:pt>
                <c:pt idx="71">
                  <c:v>48549</c:v>
                </c:pt>
                <c:pt idx="72">
                  <c:v>48639</c:v>
                </c:pt>
                <c:pt idx="73">
                  <c:v>48731</c:v>
                </c:pt>
                <c:pt idx="74">
                  <c:v>48823</c:v>
                </c:pt>
                <c:pt idx="75">
                  <c:v>48914</c:v>
                </c:pt>
                <c:pt idx="76">
                  <c:v>49004</c:v>
                </c:pt>
                <c:pt idx="77">
                  <c:v>49096</c:v>
                </c:pt>
                <c:pt idx="78">
                  <c:v>49188</c:v>
                </c:pt>
                <c:pt idx="79">
                  <c:v>49279</c:v>
                </c:pt>
                <c:pt idx="80">
                  <c:v>49369</c:v>
                </c:pt>
                <c:pt idx="81">
                  <c:v>49461</c:v>
                </c:pt>
                <c:pt idx="82">
                  <c:v>49553</c:v>
                </c:pt>
                <c:pt idx="83">
                  <c:v>49644</c:v>
                </c:pt>
                <c:pt idx="84">
                  <c:v>49735</c:v>
                </c:pt>
                <c:pt idx="85">
                  <c:v>49827</c:v>
                </c:pt>
                <c:pt idx="86">
                  <c:v>49919</c:v>
                </c:pt>
                <c:pt idx="87">
                  <c:v>50010</c:v>
                </c:pt>
              </c:numCache>
            </c:numRef>
          </c:cat>
          <c:val>
            <c:numRef>
              <c:f>Comparison!$AJ$2:$AJ$201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2.4211298606016118</c:v>
                </c:pt>
                <c:pt idx="40">
                  <c:v>2.7865664747389163</c:v>
                </c:pt>
                <c:pt idx="41">
                  <c:v>3.1747483243923735</c:v>
                </c:pt>
                <c:pt idx="42">
                  <c:v>4.4591072531416476</c:v>
                </c:pt>
                <c:pt idx="43">
                  <c:v>5.5008558720508693</c:v>
                </c:pt>
                <c:pt idx="44">
                  <c:v>5.6268275517179278</c:v>
                </c:pt>
                <c:pt idx="45">
                  <c:v>5.571389262251647</c:v>
                </c:pt>
                <c:pt idx="46">
                  <c:v>5.5192695846085549</c:v>
                </c:pt>
                <c:pt idx="47">
                  <c:v>5.4887841809504678</c:v>
                </c:pt>
                <c:pt idx="48">
                  <c:v>5.4448636687853602</c:v>
                </c:pt>
                <c:pt idx="49">
                  <c:v>5.4158530567793628</c:v>
                </c:pt>
                <c:pt idx="50">
                  <c:v>5.3865884583721435</c:v>
                </c:pt>
                <c:pt idx="51">
                  <c:v>5.3672151461814588</c:v>
                </c:pt>
                <c:pt idx="52">
                  <c:v>5.3572635286352366</c:v>
                </c:pt>
                <c:pt idx="53">
                  <c:v>5.3479246548840287</c:v>
                </c:pt>
                <c:pt idx="54">
                  <c:v>5.3212732546279451</c:v>
                </c:pt>
                <c:pt idx="55">
                  <c:v>5.2868541332037111</c:v>
                </c:pt>
                <c:pt idx="56">
                  <c:v>5.2431145449470584</c:v>
                </c:pt>
                <c:pt idx="57">
                  <c:v>5.1837179069815109</c:v>
                </c:pt>
                <c:pt idx="58">
                  <c:v>5.1372504674649377</c:v>
                </c:pt>
                <c:pt idx="59">
                  <c:v>5.0827456993480791</c:v>
                </c:pt>
                <c:pt idx="60">
                  <c:v>5.025679127560867</c:v>
                </c:pt>
                <c:pt idx="61">
                  <c:v>4.9639337544646001</c:v>
                </c:pt>
                <c:pt idx="62">
                  <c:v>4.8964870128379134</c:v>
                </c:pt>
                <c:pt idx="63">
                  <c:v>4.8259222669450264</c:v>
                </c:pt>
                <c:pt idx="64">
                  <c:v>4.7520562530196875</c:v>
                </c:pt>
                <c:pt idx="65">
                  <c:v>4.67761894633274</c:v>
                </c:pt>
                <c:pt idx="66">
                  <c:v>4.5983397876885324</c:v>
                </c:pt>
                <c:pt idx="67">
                  <c:v>4.5189754120230408</c:v>
                </c:pt>
                <c:pt idx="68">
                  <c:v>4.4406668962062579</c:v>
                </c:pt>
                <c:pt idx="69">
                  <c:v>4.3616140735726283</c:v>
                </c:pt>
                <c:pt idx="70">
                  <c:v>4.2916403800917102</c:v>
                </c:pt>
                <c:pt idx="71">
                  <c:v>4.2246816211309657</c:v>
                </c:pt>
                <c:pt idx="72">
                  <c:v>4.1628330545184777</c:v>
                </c:pt>
                <c:pt idx="73">
                  <c:v>4.1092995579962155</c:v>
                </c:pt>
                <c:pt idx="74">
                  <c:v>4.0590775530704004</c:v>
                </c:pt>
                <c:pt idx="75">
                  <c:v>4.0172790207154474</c:v>
                </c:pt>
                <c:pt idx="76">
                  <c:v>3.9822284653866946</c:v>
                </c:pt>
                <c:pt idx="77">
                  <c:v>3.9549246853101128</c:v>
                </c:pt>
                <c:pt idx="78">
                  <c:v>3.9363678320980977</c:v>
                </c:pt>
                <c:pt idx="79">
                  <c:v>3.9259865471302335</c:v>
                </c:pt>
                <c:pt idx="80">
                  <c:v>3.9241798555842644</c:v>
                </c:pt>
                <c:pt idx="81">
                  <c:v>3.9310649070630088</c:v>
                </c:pt>
                <c:pt idx="82">
                  <c:v>3.9448790829052616</c:v>
                </c:pt>
                <c:pt idx="83">
                  <c:v>3.9676102174734273</c:v>
                </c:pt>
                <c:pt idx="84">
                  <c:v>3.999142275324008</c:v>
                </c:pt>
                <c:pt idx="85">
                  <c:v>4.0354993565347552</c:v>
                </c:pt>
                <c:pt idx="86">
                  <c:v>4.0819769290175056</c:v>
                </c:pt>
                <c:pt idx="87">
                  <c:v>4.1341683218371506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CC-46AB-8E10-1B2A3540E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40001"/>
        <c:axId val="50040002"/>
      </c:lineChart>
      <c:dateAx>
        <c:axId val="5004000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crossAx val="50040002"/>
        <c:crosses val="autoZero"/>
        <c:auto val="1"/>
        <c:lblOffset val="100"/>
        <c:baseTimeUnit val="months"/>
      </c:dateAx>
      <c:valAx>
        <c:axId val="5004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11</xdr:col>
      <xdr:colOff>381000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3</xdr:row>
      <xdr:rowOff>0</xdr:rowOff>
    </xdr:from>
    <xdr:to>
      <xdr:col>21</xdr:col>
      <xdr:colOff>381000</xdr:colOff>
      <xdr:row>19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21</xdr:row>
      <xdr:rowOff>0</xdr:rowOff>
    </xdr:from>
    <xdr:to>
      <xdr:col>11</xdr:col>
      <xdr:colOff>381000</xdr:colOff>
      <xdr:row>37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21</xdr:row>
      <xdr:rowOff>0</xdr:rowOff>
    </xdr:from>
    <xdr:to>
      <xdr:col>21</xdr:col>
      <xdr:colOff>381000</xdr:colOff>
      <xdr:row>37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ComparisonTable" displayName="ComparisonTable" ref="A1:AJ201" totalsRowShown="0">
  <autoFilter ref="A1:AJ201" xr:uid="{00000000-0009-0000-0100-000001000000}"/>
  <tableColumns count="36">
    <tableColumn id="1" xr3:uid="{00000000-0010-0000-0000-000001000000}" name="date" dataDxfId="0"/>
    <tableColumn id="2" xr3:uid="{00000000-0010-0000-0000-000002000000}" name="Ygdp"/>
    <tableColumn id="3" xr3:uid="{00000000-0010-0000-0000-000003000000}" name="Cpr"/>
    <tableColumn id="4" xr3:uid="{00000000-0010-0000-0000-000004000000}" name="Pcpi"/>
    <tableColumn id="5" xr3:uid="{00000000-0010-0000-0000-000005000000}" name="Lemp"/>
    <tableColumn id="6" xr3:uid="{00000000-0010-0000-0000-000006000000}" name="Lhrs"/>
    <tableColumn id="7" xr3:uid="{00000000-0010-0000-0000-000007000000}" name="Lur"/>
    <tableColumn id="8" xr3:uid="{00000000-0010-0000-0000-000008000000}" name="Lpar"/>
    <tableColumn id="9" xr3:uid="{00000000-0010-0000-0000-000009000000}" name="R90d"/>
    <tableColumn id="10" xr3:uid="{00000000-0010-0000-0000-00000A000000}" name="R10y"/>
    <tableColumn id="11" xr3:uid="{00000000-0010-0000-0000-00000B000000}" name="period"/>
    <tableColumn id="12" xr3:uid="{00000000-0010-0000-0000-00000C000000}" name="GDP_annual_growth"/>
    <tableColumn id="13" xr3:uid="{00000000-0010-0000-0000-00000D000000}" name="Consumption_annual_growth"/>
    <tableColumn id="14" xr3:uid="{00000000-0010-0000-0000-00000E000000}" name="CPI_inflation"/>
    <tableColumn id="15" xr3:uid="{00000000-0010-0000-0000-00000F000000}" name="Unemployment_rate"/>
    <tableColumn id="16" xr3:uid="{00000000-0010-0000-0000-000010000000}" name="Participation_rate"/>
    <tableColumn id="17" xr3:uid="{00000000-0010-0000-0000-000011000000}" name="Cash_rate"/>
    <tableColumn id="18" xr3:uid="{00000000-0010-0000-0000-000012000000}" name="Ten_year_rate"/>
    <tableColumn id="19" xr3:uid="{00000000-0010-0000-0000-000013000000}" name="Employment_index"/>
    <tableColumn id="20" xr3:uid="{00000000-0010-0000-0000-000014000000}" name="Hours_index"/>
    <tableColumn id="21" xr3:uid="{00000000-0010-0000-0000-000015000000}" name="GDP_annual_growth_actual"/>
    <tableColumn id="22" xr3:uid="{00000000-0010-0000-0000-000016000000}" name="GDP_annual_growth_forecast"/>
    <tableColumn id="23" xr3:uid="{00000000-0010-0000-0000-000017000000}" name="Consumption_annual_growth_actual"/>
    <tableColumn id="24" xr3:uid="{00000000-0010-0000-0000-000018000000}" name="Consumption_annual_growth_forecast"/>
    <tableColumn id="25" xr3:uid="{00000000-0010-0000-0000-000019000000}" name="Employment_index_actual"/>
    <tableColumn id="26" xr3:uid="{00000000-0010-0000-0000-00001A000000}" name="Employment_index_forecast"/>
    <tableColumn id="27" xr3:uid="{00000000-0010-0000-0000-00001B000000}" name="Hours_index_actual"/>
    <tableColumn id="28" xr3:uid="{00000000-0010-0000-0000-00001C000000}" name="Hours_index_forecast"/>
    <tableColumn id="29" xr3:uid="{00000000-0010-0000-0000-00001D000000}" name="Unemployment_rate_actual"/>
    <tableColumn id="30" xr3:uid="{00000000-0010-0000-0000-00001E000000}" name="Unemployment_rate_forecast"/>
    <tableColumn id="31" xr3:uid="{00000000-0010-0000-0000-00001F000000}" name="Cash_rate_actual"/>
    <tableColumn id="32" xr3:uid="{00000000-0010-0000-0000-000020000000}" name="Cash_rate_forecast"/>
    <tableColumn id="33" xr3:uid="{00000000-0010-0000-0000-000021000000}" name="Ten_year_rate_actual"/>
    <tableColumn id="34" xr3:uid="{00000000-0010-0000-0000-000022000000}" name="Ten_year_rate_forecast"/>
    <tableColumn id="35" xr3:uid="{00000000-0010-0000-0000-000023000000}" name="CPI_inflation_actual"/>
    <tableColumn id="36" xr3:uid="{00000000-0010-0000-0000-000024000000}" name="CPI_inflation_foreca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ForecastTable" displayName="ForecastTable" ref="A1:EI51" totalsRowShown="0">
  <autoFilter ref="A1:EI51" xr:uid="{00000000-0009-0000-0100-000002000000}"/>
  <tableColumns count="139">
    <tableColumn id="1" xr3:uid="{00000000-0010-0000-0100-000001000000}" name="date"/>
    <tableColumn id="2" xr3:uid="{00000000-0010-0000-0100-000002000000}" name="Cpr"/>
    <tableColumn id="3" xr3:uid="{00000000-0010-0000-0100-000003000000}" name="Idwell"/>
    <tableColumn id="4" xr3:uid="{00000000-0010-0000-0100-000004000000}" name="Imin"/>
    <tableColumn id="5" xr3:uid="{00000000-0010-0000-0100-000005000000}" name="IvtNonfarm"/>
    <tableColumn id="6" xr3:uid="{00000000-0010-0000-0100-000006000000}" name="Tcit"/>
    <tableColumn id="7" xr3:uid="{00000000-0010-0000-0100-000007000000}" name="Tprl"/>
    <tableColumn id="8" xr3:uid="{00000000-0010-0000-0100-000008000000}" name="Toth"/>
    <tableColumn id="9" xr3:uid="{00000000-0010-0000-0100-000009000000}" name="Ytsf"/>
    <tableColumn id="10" xr3:uid="{00000000-0010-0000-0100-00000A000000}" name="Xmin"/>
    <tableColumn id="11" xr3:uid="{00000000-0010-0000-0100-00000B000000}" name="LavhMkt"/>
    <tableColumn id="12" xr3:uid="{00000000-0010-0000-0100-00000C000000}" name="LempNonmkt"/>
    <tableColumn id="13" xr3:uid="{00000000-0010-0000-0100-00000D000000}" name="Lpar"/>
    <tableColumn id="14" xr3:uid="{00000000-0010-0000-0100-00000E000000}" name="Lwge"/>
    <tableColumn id="15" xr3:uid="{00000000-0010-0000-0100-00000F000000}" name="Pcpi"/>
    <tableColumn id="16" xr3:uid="{00000000-0010-0000-0100-000010000000}" name="Piret"/>
    <tableColumn id="17" xr3:uid="{00000000-0010-0000-0100-000011000000}" name="Pxagr"/>
    <tableColumn id="18" xr3:uid="{00000000-0010-0000-0100-000012000000}" name="Pmgs"/>
    <tableColumn id="19" xr3:uid="{00000000-0010-0000-0100-000013000000}" name="Rmort"/>
    <tableColumn id="20" xr3:uid="{00000000-0010-0000-0100-000014000000}" name="Peq"/>
    <tableColumn id="21" xr3:uid="{00000000-0010-0000-0100-000015000000}" name="Rtwi"/>
    <tableColumn id="22" xr3:uid="{00000000-0010-0000-0100-000016000000}" name="Rusd"/>
    <tableColumn id="23" xr3:uid="{00000000-0010-0000-0100-000017000000}" name="Whh"/>
    <tableColumn id="24" xr3:uid="{00000000-0010-0000-0100-000018000000}" name="Ygdw"/>
    <tableColumn id="25" xr3:uid="{00000000-0010-0000-0100-000019000000}" name="Lhrs"/>
    <tableColumn id="26" xr3:uid="{00000000-0010-0000-0100-00001A000000}" name="PhouseSa"/>
    <tableColumn id="27" xr3:uid="{00000000-0010-0000-0100-00001B000000}" name="Pimin"/>
    <tableColumn id="28" xr3:uid="{00000000-0010-0000-0100-00001C000000}" name="Pinonmin"/>
    <tableColumn id="29" xr3:uid="{00000000-0010-0000-0100-00001D000000}" name="Pgov"/>
    <tableColumn id="30" xr3:uid="{00000000-0010-0000-0100-00001E000000}" name="Pidwell"/>
    <tableColumn id="31" xr3:uid="{00000000-0010-0000-0100-00001F000000}" name="Pxsvc"/>
    <tableColumn id="32" xr3:uid="{00000000-0010-0000-0100-000020000000}" name="Tpit"/>
    <tableColumn id="33" xr3:uid="{00000000-0010-0000-0100-000021000000}" name="GovDebt"/>
    <tableColumn id="34" xr3:uid="{00000000-0010-0000-0100-000022000000}" name="PcpiRent"/>
    <tableColumn id="35" xr3:uid="{00000000-0010-0000-0100-000023000000}" name="Inonmin"/>
    <tableColumn id="36" xr3:uid="{00000000-0010-0000-0100-000024000000}" name="Ynli"/>
    <tableColumn id="37" xr3:uid="{00000000-0010-0000-0100-000025000000}" name="EqEarn"/>
    <tableColumn id="38" xr3:uid="{00000000-0010-0000-0100-000026000000}" name="Tgst"/>
    <tableColumn id="39" xr3:uid="{00000000-0010-0000-0100-000027000000}" name="Xoth"/>
    <tableColumn id="40" xr3:uid="{00000000-0010-0000-0100-000028000000}" name="Pxmin"/>
    <tableColumn id="41" xr3:uid="{00000000-0010-0000-0100-000029000000}" name="Pxoth"/>
    <tableColumn id="42" xr3:uid="{00000000-0010-0000-0100-00002A000000}" name="PconsExrent"/>
    <tableColumn id="43" xr3:uid="{00000000-0010-0000-0100-00002B000000}" name="Ppcd"/>
    <tableColumn id="44" xr3:uid="{00000000-0010-0000-0100-00002C000000}" name="Xsvc"/>
    <tableColumn id="45" xr3:uid="{00000000-0010-0000-0100-00002D000000}" name="Mtot"/>
    <tableColumn id="46" xr3:uid="{00000000-0010-0000-0100-00002E000000}" name="R90d"/>
    <tableColumn id="47" xr3:uid="{00000000-0010-0000-0100-00002F000000}" name="R10y"/>
    <tableColumn id="48" xr3:uid="{00000000-0010-0000-0100-000030000000}" name="GapAvh"/>
    <tableColumn id="49" xr3:uid="{00000000-0010-0000-0100-000031000000}" name="Ivt"/>
    <tableColumn id="50" xr3:uid="{00000000-0010-0000-0100-000032000000}" name="Iotc"/>
    <tableColumn id="51" xr3:uid="{00000000-0010-0000-0100-000033000000}" name="Xagr"/>
    <tableColumn id="52" xr3:uid="{00000000-0010-0000-0100-000034000000}" name="Xtot"/>
    <tableColumn id="53" xr3:uid="{00000000-0010-0000-0100-000035000000}" name="CprNom"/>
    <tableColumn id="54" xr3:uid="{00000000-0010-0000-0100-000036000000}" name="CgovNom"/>
    <tableColumn id="55" xr3:uid="{00000000-0010-0000-0100-000037000000}" name="IdwellNom"/>
    <tableColumn id="56" xr3:uid="{00000000-0010-0000-0100-000038000000}" name="IotcNom"/>
    <tableColumn id="57" xr3:uid="{00000000-0010-0000-0100-000039000000}" name="IminNom"/>
    <tableColumn id="58" xr3:uid="{00000000-0010-0000-0100-00003A000000}" name="InonminNom"/>
    <tableColumn id="59" xr3:uid="{00000000-0010-0000-0100-00003B000000}" name="YgovIvtNom"/>
    <tableColumn id="60" xr3:uid="{00000000-0010-0000-0100-00003C000000}" name="XminNom"/>
    <tableColumn id="61" xr3:uid="{00000000-0010-0000-0100-00003D000000}" name="XagrNom"/>
    <tableColumn id="62" xr3:uid="{00000000-0010-0000-0100-00003E000000}" name="XothNom"/>
    <tableColumn id="63" xr3:uid="{00000000-0010-0000-0100-00003F000000}" name="XsvcNom"/>
    <tableColumn id="64" xr3:uid="{00000000-0010-0000-0100-000040000000}" name="XtotNom"/>
    <tableColumn id="65" xr3:uid="{00000000-0010-0000-0100-000041000000}" name="MtotNom"/>
    <tableColumn id="66" xr3:uid="{00000000-0010-0000-0100-000042000000}" name="YgdpNom"/>
    <tableColumn id="67" xr3:uid="{00000000-0010-0000-0100-000043000000}" name="Ygdp"/>
    <tableColumn id="68" xr3:uid="{00000000-0010-0000-0100-000044000000}" name="Ygne"/>
    <tableColumn id="69" xr3:uid="{00000000-0010-0000-0100-000045000000}" name="Pgne"/>
    <tableColumn id="70" xr3:uid="{00000000-0010-0000-0100-000046000000}" name="Pgdp"/>
    <tableColumn id="71" xr3:uid="{00000000-0010-0000-0100-000047000000}" name="Pxtot"/>
    <tableColumn id="72" xr3:uid="{00000000-0010-0000-0100-000048000000}" name="Ptot"/>
    <tableColumn id="73" xr3:uid="{00000000-0010-0000-0100-000049000000}" name="CconsRent"/>
    <tableColumn id="74" xr3:uid="{00000000-0010-0000-0100-00004A000000}" name="PconsRent"/>
    <tableColumn id="75" xr3:uid="{00000000-0010-0000-0100-00004B000000}" name="CconsRentNom"/>
    <tableColumn id="76" xr3:uid="{00000000-0010-0000-0100-00004C000000}" name="LempMkt"/>
    <tableColumn id="77" xr3:uid="{00000000-0010-0000-0100-00004D000000}" name="Lemp"/>
    <tableColumn id="78" xr3:uid="{00000000-0010-0000-0100-00004E000000}" name="Lsup"/>
    <tableColumn id="79" xr3:uid="{00000000-0010-0000-0100-00004F000000}" name="Lune"/>
    <tableColumn id="80" xr3:uid="{00000000-0010-0000-0100-000050000000}" name="Lur"/>
    <tableColumn id="81" xr3:uid="{00000000-0010-0000-0100-000051000000}" name="Lhh"/>
    <tableColumn id="82" xr3:uid="{00000000-0010-0000-0100-000052000000}" name="Ywss"/>
    <tableColumn id="83" xr3:uid="{00000000-0010-0000-0100-000053000000}" name="Yhdi"/>
    <tableColumn id="84" xr3:uid="{00000000-0010-0000-0100-000054000000}" name="Ygoa"/>
    <tableColumn id="85" xr3:uid="{00000000-0010-0000-0100-000055000000}" name="SavHh"/>
    <tableColumn id="86" xr3:uid="{00000000-0010-0000-0100-000056000000}" name="Wfor"/>
    <tableColumn id="87" xr3:uid="{00000000-0010-0000-0100-000057000000}" name="EqYield"/>
    <tableColumn id="88" xr3:uid="{00000000-0010-0000-0100-000058000000}" name="PeRatio"/>
    <tableColumn id="89" xr3:uid="{00000000-0010-0000-0100-000059000000}" name="KMin"/>
    <tableColumn id="90" xr3:uid="{00000000-0010-0000-0100-00005A000000}" name="KNbiz"/>
    <tableColumn id="91" xr3:uid="{00000000-0010-0000-0100-00005B000000}" name="KDwell"/>
    <tableColumn id="92" xr3:uid="{00000000-0010-0000-0100-00005C000000}" name="KBiz"/>
    <tableColumn id="93" xr3:uid="{00000000-0010-0000-0100-00005D000000}" name="KTotal"/>
    <tableColumn id="94" xr3:uid="{00000000-0010-0000-0100-00005E000000}" name="R90dReal"/>
    <tableColumn id="95" xr3:uid="{00000000-0010-0000-0100-00005F000000}" name="R10yReal"/>
    <tableColumn id="96" xr3:uid="{00000000-0010-0000-0100-000060000000}" name="RmortReal"/>
    <tableColumn id="97" xr3:uid="{00000000-0010-0000-0100-000061000000}" name="PcpiExGst"/>
    <tableColumn id="98" xr3:uid="{00000000-0010-0000-0100-000062000000}" name="RmortRealExgst"/>
    <tableColumn id="99" xr3:uid="{00000000-0010-0000-0100-000063000000}" name="Fr10y"/>
    <tableColumn id="100" xr3:uid="{00000000-0010-0000-0100-000064000000}" name="Fr10yReal"/>
    <tableColumn id="101" xr3:uid="{00000000-0010-0000-0100-000065000000}" name="Rdif10y"/>
    <tableColumn id="102" xr3:uid="{00000000-0010-0000-0100-000066000000}" name="RtwiNom"/>
    <tableColumn id="103" xr3:uid="{00000000-0010-0000-0100-000067000000}" name="PhouseReal"/>
    <tableColumn id="104" xr3:uid="{00000000-0010-0000-0100-000068000000}" name="Rbiz"/>
    <tableColumn id="105" xr3:uid="{00000000-0010-0000-0100-000069000000}" name="RbizReal"/>
    <tableColumn id="106" xr3:uid="{00000000-0010-0000-0100-00006A000000}" name="KdepAllow"/>
    <tableColumn id="107" xr3:uid="{00000000-0010-0000-0100-00006B000000}" name="CostCap"/>
    <tableColumn id="108" xr3:uid="{00000000-0010-0000-0100-00006C000000}" name="GovDem"/>
    <tableColumn id="109" xr3:uid="{00000000-0010-0000-0100-00006D000000}" name="Pulc"/>
    <tableColumn id="110" xr3:uid="{00000000-0010-0000-0100-00006E000000}" name="UlcDom"/>
    <tableColumn id="111" xr3:uid="{00000000-0010-0000-0100-00006F000000}" name="UlcExp"/>
    <tableColumn id="112" xr3:uid="{00000000-0010-0000-0100-000070000000}" name="YgdpHpf"/>
    <tableColumn id="113" xr3:uid="{00000000-0010-0000-0100-000071000000}" name="CprHpf"/>
    <tableColumn id="114" xr3:uid="{00000000-0010-0000-0100-000072000000}" name="PhouseHpf"/>
    <tableColumn id="115" xr3:uid="{00000000-0010-0000-0100-000073000000}" name="RmortRealHpf"/>
    <tableColumn id="116" xr3:uid="{00000000-0010-0000-0100-000074000000}" name="LparHpf"/>
    <tableColumn id="117" xr3:uid="{00000000-0010-0000-0100-000075000000}" name="PpcdHpf"/>
    <tableColumn id="118" xr3:uid="{00000000-0010-0000-0100-000076000000}" name="LurHpf"/>
    <tableColumn id="119" xr3:uid="{00000000-0010-0000-0100-000077000000}" name="InflExp"/>
    <tableColumn id="120" xr3:uid="{00000000-0010-0000-0100-000078000000}" name="Lpop"/>
    <tableColumn id="121" xr3:uid="{00000000-0010-0000-0100-000079000000}" name="Lpop15Plus"/>
    <tableColumn id="122" xr3:uid="{00000000-0010-0000-0100-00007A000000}" name="Ustar"/>
    <tableColumn id="123" xr3:uid="{00000000-0010-0000-0100-00007B000000}" name="Cgov"/>
    <tableColumn id="124" xr3:uid="{00000000-0010-0000-0100-00007C000000}" name="Igov"/>
    <tableColumn id="125" xr3:uid="{00000000-0010-0000-0100-00007D000000}" name="Ipubent"/>
    <tableColumn id="126" xr3:uid="{00000000-0010-0000-0100-00007E000000}" name="GovDef"/>
    <tableColumn id="127" xr3:uid="{00000000-0010-0000-0100-00007F000000}" name="IvtFar"/>
    <tableColumn id="128" xr3:uid="{00000000-0010-0000-0100-000080000000}" name="Lnom"/>
    <tableColumn id="129" xr3:uid="{00000000-0010-0000-0100-000081000000}" name="IntStu"/>
    <tableColumn id="130" xr3:uid="{00000000-0010-0000-0100-000082000000}" name="Fpcpi"/>
    <tableColumn id="131" xr3:uid="{00000000-0010-0000-0100-000083000000}" name="Fpoil"/>
    <tableColumn id="132" xr3:uid="{00000000-0010-0000-0100-000084000000}" name="Fpcom"/>
    <tableColumn id="133" xr3:uid="{00000000-0010-0000-0100-000085000000}" name="Fpagr"/>
    <tableColumn id="134" xr3:uid="{00000000-0010-0000-0100-000086000000}" name="FcGdp"/>
    <tableColumn id="135" xr3:uid="{00000000-0010-0000-0100-000087000000}" name="FcPpp"/>
    <tableColumn id="136" xr3:uid="{00000000-0010-0000-0100-000088000000}" name="Fr10yUs"/>
    <tableColumn id="137" xr3:uid="{00000000-0010-0000-0100-000089000000}" name="Fr10yJp"/>
    <tableColumn id="138" xr3:uid="{00000000-0010-0000-0100-00008A000000}" name="Fr10yDe"/>
    <tableColumn id="139" xr3:uid="{00000000-0010-0000-0100-00008B000000}" name="Fr10yU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CoefficientsTable" displayName="CoefficientsTable" ref="A1:D301" totalsRowShown="0">
  <autoFilter ref="A1:D301" xr:uid="{00000000-0009-0000-0100-000003000000}"/>
  <tableColumns count="4">
    <tableColumn id="1" xr3:uid="{00000000-0010-0000-0200-000001000000}" name="equation"/>
    <tableColumn id="2" xr3:uid="{00000000-0010-0000-0200-000002000000}" name="term"/>
    <tableColumn id="3" xr3:uid="{00000000-0010-0000-0200-000003000000}" name="estimate"/>
    <tableColumn id="4" xr3:uid="{00000000-0010-0000-0200-000004000000}" name="std_err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0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7" sqref="H17"/>
    </sheetView>
  </sheetViews>
  <sheetFormatPr defaultColWidth="11.42578125" defaultRowHeight="15" x14ac:dyDescent="0.25"/>
  <cols>
    <col min="1" max="1" width="13.7109375" customWidth="1"/>
    <col min="2" max="36" width="15.7109375" customWidth="1"/>
  </cols>
  <sheetData>
    <row r="1" spans="1:3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s="2">
        <v>42064</v>
      </c>
      <c r="B2">
        <v>546635</v>
      </c>
      <c r="C2">
        <v>286815</v>
      </c>
      <c r="D2">
        <v>106.8</v>
      </c>
      <c r="E2">
        <v>11658.623867</v>
      </c>
      <c r="F2">
        <v>3785969.0309394798</v>
      </c>
      <c r="G2">
        <v>6.2024317367717199E-2</v>
      </c>
      <c r="H2">
        <v>0.64843399999999995</v>
      </c>
      <c r="I2">
        <v>2.4532999999999999E-2</v>
      </c>
      <c r="J2">
        <v>2.529E-2</v>
      </c>
      <c r="K2" t="s">
        <v>178</v>
      </c>
      <c r="L2" t="e">
        <f t="shared" ref="L2:L33" si="0">IF(ROW()&lt;=5,NA(),IFERROR(100*(B2/INDEX(B:B,ROW()-4)-1),NA()))</f>
        <v>#N/A</v>
      </c>
      <c r="M2" t="e">
        <f t="shared" ref="M2:M33" si="1">IF(ROW()&lt;=5,NA(),IFERROR(100*(C2/INDEX(C:C,ROW()-4)-1),NA()))</f>
        <v>#N/A</v>
      </c>
      <c r="N2" t="e">
        <f t="shared" ref="N2:N33" si="2">IF(ROW()&lt;=5,NA(),IFERROR(100*(D2/INDEX(D:D,ROW()-4)-1),NA()))</f>
        <v>#N/A</v>
      </c>
      <c r="O2">
        <f t="shared" ref="O2:O33" si="3">100*G2</f>
        <v>6.2024317367717199</v>
      </c>
      <c r="P2">
        <f t="shared" ref="P2:P33" si="4">100*H2</f>
        <v>64.843400000000003</v>
      </c>
      <c r="Q2">
        <f t="shared" ref="Q2:Q33" si="5">100*I2</f>
        <v>2.4533</v>
      </c>
      <c r="R2">
        <f t="shared" ref="R2:R33" si="6">100*J2</f>
        <v>2.5289999999999999</v>
      </c>
      <c r="S2">
        <f t="shared" ref="S2:S33" si="7">IFERROR(100*E2/INDEX(E:E,MATCH(DATE(2024,12,1),A:A,0)),NA())</f>
        <v>80.550418807557278</v>
      </c>
      <c r="T2">
        <f t="shared" ref="T2:T33" si="8">IFERROR(100*F2/INDEX(F:F,MATCH(DATE(2024,12,1),A:A,0)),NA())</f>
        <v>87.698866021783246</v>
      </c>
      <c r="U2" t="e">
        <f t="shared" ref="U2:U33" si="9">IF($K2="Actual",L2,NA())</f>
        <v>#N/A</v>
      </c>
      <c r="V2" t="e">
        <f t="shared" ref="V2:V33" si="10">IF($A2&gt;=DATE(2024,12,1),L2,NA())</f>
        <v>#N/A</v>
      </c>
      <c r="W2" t="e">
        <f t="shared" ref="W2:W33" si="11">IF($K2="Actual",M2,NA())</f>
        <v>#N/A</v>
      </c>
      <c r="X2" t="e">
        <f t="shared" ref="X2:X33" si="12">IF($A2&gt;=DATE(2024,12,1),M2,NA())</f>
        <v>#N/A</v>
      </c>
      <c r="Y2">
        <f t="shared" ref="Y2:Y33" si="13">IF($K2="Actual",S2,NA())</f>
        <v>80.550418807557278</v>
      </c>
      <c r="Z2" t="e">
        <f t="shared" ref="Z2:Z33" si="14">IF($A2&gt;=DATE(2024,12,1),S2,NA())</f>
        <v>#N/A</v>
      </c>
      <c r="AA2">
        <f t="shared" ref="AA2:AA33" si="15">IF($K2="Actual",T2,NA())</f>
        <v>87.698866021783246</v>
      </c>
      <c r="AB2" t="e">
        <f t="shared" ref="AB2:AB33" si="16">IF($A2&gt;=DATE(2024,12,1),T2,NA())</f>
        <v>#N/A</v>
      </c>
      <c r="AC2">
        <f t="shared" ref="AC2:AC33" si="17">IF($K2="Actual",O2,NA())</f>
        <v>6.2024317367717199</v>
      </c>
      <c r="AD2" t="e">
        <f t="shared" ref="AD2:AD33" si="18">IF($A2&gt;=DATE(2024,12,1),O2,NA())</f>
        <v>#N/A</v>
      </c>
      <c r="AE2">
        <f t="shared" ref="AE2:AE33" si="19">IF($K2="Actual",Q2,NA())</f>
        <v>2.4533</v>
      </c>
      <c r="AF2" t="e">
        <f t="shared" ref="AF2:AF33" si="20">IF($A2&gt;=DATE(2024,12,1),Q2,NA())</f>
        <v>#N/A</v>
      </c>
      <c r="AG2">
        <f t="shared" ref="AG2:AG33" si="21">IF($K2="Actual",R2,NA())</f>
        <v>2.5289999999999999</v>
      </c>
      <c r="AH2" t="e">
        <f t="shared" ref="AH2:AH33" si="22">IF($A2&gt;=DATE(2024,12,1),R2,NA())</f>
        <v>#N/A</v>
      </c>
      <c r="AI2" t="e">
        <f t="shared" ref="AI2:AI33" si="23">IF($K2="Actual",N2,NA())</f>
        <v>#N/A</v>
      </c>
      <c r="AJ2" t="e">
        <f t="shared" ref="AJ2:AJ33" si="24">IF($A2&gt;=DATE(2024,12,1),N2,NA())</f>
        <v>#N/A</v>
      </c>
    </row>
    <row r="3" spans="1:36" x14ac:dyDescent="0.25">
      <c r="A3" s="2">
        <v>42156</v>
      </c>
      <c r="B3">
        <v>547281</v>
      </c>
      <c r="C3">
        <v>288596</v>
      </c>
      <c r="D3">
        <v>107.7</v>
      </c>
      <c r="E3">
        <v>11717.694807</v>
      </c>
      <c r="F3">
        <v>3780694.2866886398</v>
      </c>
      <c r="G3">
        <v>6.0167980054752601E-2</v>
      </c>
      <c r="H3">
        <v>0.64812599999999998</v>
      </c>
      <c r="I3">
        <v>2.1833000000000002E-2</v>
      </c>
      <c r="J3">
        <v>2.759E-2</v>
      </c>
      <c r="K3" t="s">
        <v>178</v>
      </c>
      <c r="L3" t="e">
        <f t="shared" si="0"/>
        <v>#N/A</v>
      </c>
      <c r="M3" t="e">
        <f t="shared" si="1"/>
        <v>#N/A</v>
      </c>
      <c r="N3" t="e">
        <f t="shared" si="2"/>
        <v>#N/A</v>
      </c>
      <c r="O3">
        <f t="shared" si="3"/>
        <v>6.0167980054752599</v>
      </c>
      <c r="P3">
        <f t="shared" si="4"/>
        <v>64.812600000000003</v>
      </c>
      <c r="Q3">
        <f t="shared" si="5"/>
        <v>2.1833</v>
      </c>
      <c r="R3">
        <f t="shared" si="6"/>
        <v>2.7589999999999999</v>
      </c>
      <c r="S3">
        <f t="shared" si="7"/>
        <v>80.958544930385912</v>
      </c>
      <c r="T3">
        <f t="shared" si="8"/>
        <v>87.57668089940816</v>
      </c>
      <c r="U3" t="e">
        <f t="shared" si="9"/>
        <v>#N/A</v>
      </c>
      <c r="V3" t="e">
        <f t="shared" si="10"/>
        <v>#N/A</v>
      </c>
      <c r="W3" t="e">
        <f t="shared" si="11"/>
        <v>#N/A</v>
      </c>
      <c r="X3" t="e">
        <f t="shared" si="12"/>
        <v>#N/A</v>
      </c>
      <c r="Y3">
        <f t="shared" si="13"/>
        <v>80.958544930385912</v>
      </c>
      <c r="Z3" t="e">
        <f t="shared" si="14"/>
        <v>#N/A</v>
      </c>
      <c r="AA3">
        <f t="shared" si="15"/>
        <v>87.57668089940816</v>
      </c>
      <c r="AB3" t="e">
        <f t="shared" si="16"/>
        <v>#N/A</v>
      </c>
      <c r="AC3">
        <f t="shared" si="17"/>
        <v>6.0167980054752599</v>
      </c>
      <c r="AD3" t="e">
        <f t="shared" si="18"/>
        <v>#N/A</v>
      </c>
      <c r="AE3">
        <f t="shared" si="19"/>
        <v>2.1833</v>
      </c>
      <c r="AF3" t="e">
        <f t="shared" si="20"/>
        <v>#N/A</v>
      </c>
      <c r="AG3">
        <f t="shared" si="21"/>
        <v>2.7589999999999999</v>
      </c>
      <c r="AH3" t="e">
        <f t="shared" si="22"/>
        <v>#N/A</v>
      </c>
      <c r="AI3" t="e">
        <f t="shared" si="23"/>
        <v>#N/A</v>
      </c>
      <c r="AJ3" t="e">
        <f t="shared" si="24"/>
        <v>#N/A</v>
      </c>
    </row>
    <row r="4" spans="1:36" x14ac:dyDescent="0.25">
      <c r="A4" s="2">
        <v>42248</v>
      </c>
      <c r="B4">
        <v>552613</v>
      </c>
      <c r="C4">
        <v>291248</v>
      </c>
      <c r="D4">
        <v>107.8</v>
      </c>
      <c r="E4">
        <v>11769.741540000001</v>
      </c>
      <c r="F4">
        <v>3812822.6175858299</v>
      </c>
      <c r="G4">
        <v>6.17866365869272E-2</v>
      </c>
      <c r="H4">
        <v>0.64988900000000005</v>
      </c>
      <c r="I4">
        <v>2.1499999999999998E-2</v>
      </c>
      <c r="J4">
        <v>2.7946666666666699E-2</v>
      </c>
      <c r="K4" t="s">
        <v>178</v>
      </c>
      <c r="L4" t="e">
        <f t="shared" si="0"/>
        <v>#N/A</v>
      </c>
      <c r="M4" t="e">
        <f t="shared" si="1"/>
        <v>#N/A</v>
      </c>
      <c r="N4" t="e">
        <f t="shared" si="2"/>
        <v>#N/A</v>
      </c>
      <c r="O4">
        <f t="shared" si="3"/>
        <v>6.1786636586927202</v>
      </c>
      <c r="P4">
        <f t="shared" si="4"/>
        <v>64.988900000000001</v>
      </c>
      <c r="Q4">
        <f t="shared" si="5"/>
        <v>2.15</v>
      </c>
      <c r="R4">
        <f t="shared" si="6"/>
        <v>2.7946666666666697</v>
      </c>
      <c r="S4">
        <f t="shared" si="7"/>
        <v>81.318140212688647</v>
      </c>
      <c r="T4">
        <f t="shared" si="8"/>
        <v>88.320907321713847</v>
      </c>
      <c r="U4" t="e">
        <f t="shared" si="9"/>
        <v>#N/A</v>
      </c>
      <c r="V4" t="e">
        <f t="shared" si="10"/>
        <v>#N/A</v>
      </c>
      <c r="W4" t="e">
        <f t="shared" si="11"/>
        <v>#N/A</v>
      </c>
      <c r="X4" t="e">
        <f t="shared" si="12"/>
        <v>#N/A</v>
      </c>
      <c r="Y4">
        <f t="shared" si="13"/>
        <v>81.318140212688647</v>
      </c>
      <c r="Z4" t="e">
        <f t="shared" si="14"/>
        <v>#N/A</v>
      </c>
      <c r="AA4">
        <f t="shared" si="15"/>
        <v>88.320907321713847</v>
      </c>
      <c r="AB4" t="e">
        <f t="shared" si="16"/>
        <v>#N/A</v>
      </c>
      <c r="AC4">
        <f t="shared" si="17"/>
        <v>6.1786636586927202</v>
      </c>
      <c r="AD4" t="e">
        <f t="shared" si="18"/>
        <v>#N/A</v>
      </c>
      <c r="AE4">
        <f t="shared" si="19"/>
        <v>2.15</v>
      </c>
      <c r="AF4" t="e">
        <f t="shared" si="20"/>
        <v>#N/A</v>
      </c>
      <c r="AG4">
        <f t="shared" si="21"/>
        <v>2.7946666666666697</v>
      </c>
      <c r="AH4" t="e">
        <f t="shared" si="22"/>
        <v>#N/A</v>
      </c>
      <c r="AI4" t="e">
        <f t="shared" si="23"/>
        <v>#N/A</v>
      </c>
      <c r="AJ4" t="e">
        <f t="shared" si="24"/>
        <v>#N/A</v>
      </c>
    </row>
    <row r="5" spans="1:36" x14ac:dyDescent="0.25">
      <c r="A5" s="2">
        <v>42339</v>
      </c>
      <c r="B5">
        <v>556043</v>
      </c>
      <c r="C5">
        <v>292696</v>
      </c>
      <c r="D5">
        <v>108.3</v>
      </c>
      <c r="E5">
        <v>11887.446556000001</v>
      </c>
      <c r="F5">
        <v>3823914.1313696699</v>
      </c>
      <c r="G5">
        <v>5.8348282090176402E-2</v>
      </c>
      <c r="H5">
        <v>0.65173499999999995</v>
      </c>
      <c r="I5">
        <v>2.2367000000000001E-2</v>
      </c>
      <c r="J5">
        <v>2.7993333333333301E-2</v>
      </c>
      <c r="K5" t="s">
        <v>178</v>
      </c>
      <c r="L5" t="e">
        <f t="shared" si="0"/>
        <v>#N/A</v>
      </c>
      <c r="M5" t="e">
        <f t="shared" si="1"/>
        <v>#N/A</v>
      </c>
      <c r="N5" t="e">
        <f t="shared" si="2"/>
        <v>#N/A</v>
      </c>
      <c r="O5">
        <f t="shared" si="3"/>
        <v>5.8348282090176404</v>
      </c>
      <c r="P5">
        <f t="shared" si="4"/>
        <v>65.17349999999999</v>
      </c>
      <c r="Q5">
        <f t="shared" si="5"/>
        <v>2.2367000000000004</v>
      </c>
      <c r="R5">
        <f t="shared" si="6"/>
        <v>2.7993333333333301</v>
      </c>
      <c r="S5">
        <f t="shared" si="7"/>
        <v>82.131374128004069</v>
      </c>
      <c r="T5">
        <f t="shared" si="8"/>
        <v>88.577833137365957</v>
      </c>
      <c r="U5" t="e">
        <f t="shared" si="9"/>
        <v>#N/A</v>
      </c>
      <c r="V5" t="e">
        <f t="shared" si="10"/>
        <v>#N/A</v>
      </c>
      <c r="W5" t="e">
        <f t="shared" si="11"/>
        <v>#N/A</v>
      </c>
      <c r="X5" t="e">
        <f t="shared" si="12"/>
        <v>#N/A</v>
      </c>
      <c r="Y5">
        <f t="shared" si="13"/>
        <v>82.131374128004069</v>
      </c>
      <c r="Z5" t="e">
        <f t="shared" si="14"/>
        <v>#N/A</v>
      </c>
      <c r="AA5">
        <f t="shared" si="15"/>
        <v>88.577833137365957</v>
      </c>
      <c r="AB5" t="e">
        <f t="shared" si="16"/>
        <v>#N/A</v>
      </c>
      <c r="AC5">
        <f t="shared" si="17"/>
        <v>5.8348282090176404</v>
      </c>
      <c r="AD5" t="e">
        <f t="shared" si="18"/>
        <v>#N/A</v>
      </c>
      <c r="AE5">
        <f t="shared" si="19"/>
        <v>2.2367000000000004</v>
      </c>
      <c r="AF5" t="e">
        <f t="shared" si="20"/>
        <v>#N/A</v>
      </c>
      <c r="AG5">
        <f t="shared" si="21"/>
        <v>2.7993333333333301</v>
      </c>
      <c r="AH5" t="e">
        <f t="shared" si="22"/>
        <v>#N/A</v>
      </c>
      <c r="AI5" t="e">
        <f t="shared" si="23"/>
        <v>#N/A</v>
      </c>
      <c r="AJ5" t="e">
        <f t="shared" si="24"/>
        <v>#N/A</v>
      </c>
    </row>
    <row r="6" spans="1:36" x14ac:dyDescent="0.25">
      <c r="A6" s="2">
        <v>42430</v>
      </c>
      <c r="B6">
        <v>561139</v>
      </c>
      <c r="C6">
        <v>295146</v>
      </c>
      <c r="D6">
        <v>108.2</v>
      </c>
      <c r="E6">
        <v>11926.963195</v>
      </c>
      <c r="F6">
        <v>3835902.0379127301</v>
      </c>
      <c r="G6">
        <v>5.7963487243359299E-2</v>
      </c>
      <c r="H6">
        <v>0.65071500000000004</v>
      </c>
      <c r="I6">
        <v>2.2967000000000001E-2</v>
      </c>
      <c r="J6">
        <v>2.5780000000000001E-2</v>
      </c>
      <c r="K6" t="s">
        <v>178</v>
      </c>
      <c r="L6">
        <f t="shared" si="0"/>
        <v>2.6533244303785786</v>
      </c>
      <c r="M6">
        <f t="shared" si="1"/>
        <v>2.9046597981277067</v>
      </c>
      <c r="N6">
        <f t="shared" si="2"/>
        <v>1.3108614232209881</v>
      </c>
      <c r="O6">
        <f t="shared" si="3"/>
        <v>5.79634872433593</v>
      </c>
      <c r="P6">
        <f t="shared" si="4"/>
        <v>65.0715</v>
      </c>
      <c r="Q6">
        <f t="shared" si="5"/>
        <v>2.2967</v>
      </c>
      <c r="R6">
        <f t="shared" si="6"/>
        <v>2.5780000000000003</v>
      </c>
      <c r="S6">
        <f t="shared" si="7"/>
        <v>82.404397930609676</v>
      </c>
      <c r="T6">
        <f t="shared" si="8"/>
        <v>88.855523155749594</v>
      </c>
      <c r="U6">
        <f t="shared" si="9"/>
        <v>2.6533244303785786</v>
      </c>
      <c r="V6" t="e">
        <f t="shared" si="10"/>
        <v>#N/A</v>
      </c>
      <c r="W6">
        <f t="shared" si="11"/>
        <v>2.9046597981277067</v>
      </c>
      <c r="X6" t="e">
        <f t="shared" si="12"/>
        <v>#N/A</v>
      </c>
      <c r="Y6">
        <f t="shared" si="13"/>
        <v>82.404397930609676</v>
      </c>
      <c r="Z6" t="e">
        <f t="shared" si="14"/>
        <v>#N/A</v>
      </c>
      <c r="AA6">
        <f t="shared" si="15"/>
        <v>88.855523155749594</v>
      </c>
      <c r="AB6" t="e">
        <f t="shared" si="16"/>
        <v>#N/A</v>
      </c>
      <c r="AC6">
        <f t="shared" si="17"/>
        <v>5.79634872433593</v>
      </c>
      <c r="AD6" t="e">
        <f t="shared" si="18"/>
        <v>#N/A</v>
      </c>
      <c r="AE6">
        <f t="shared" si="19"/>
        <v>2.2967</v>
      </c>
      <c r="AF6" t="e">
        <f t="shared" si="20"/>
        <v>#N/A</v>
      </c>
      <c r="AG6">
        <f t="shared" si="21"/>
        <v>2.5780000000000003</v>
      </c>
      <c r="AH6" t="e">
        <f t="shared" si="22"/>
        <v>#N/A</v>
      </c>
      <c r="AI6">
        <f t="shared" si="23"/>
        <v>1.3108614232209881</v>
      </c>
      <c r="AJ6" t="e">
        <f t="shared" si="24"/>
        <v>#N/A</v>
      </c>
    </row>
    <row r="7" spans="1:36" x14ac:dyDescent="0.25">
      <c r="A7" s="2">
        <v>42522</v>
      </c>
      <c r="B7">
        <v>564835</v>
      </c>
      <c r="C7">
        <v>296578</v>
      </c>
      <c r="D7">
        <v>108.8</v>
      </c>
      <c r="E7">
        <v>11950.907037999999</v>
      </c>
      <c r="F7">
        <v>3811952.083356</v>
      </c>
      <c r="G7">
        <v>5.6870950228277699E-2</v>
      </c>
      <c r="H7">
        <v>0.648702</v>
      </c>
      <c r="I7">
        <v>2.0833000000000001E-2</v>
      </c>
      <c r="J7">
        <v>2.3196666666666699E-2</v>
      </c>
      <c r="K7" t="s">
        <v>178</v>
      </c>
      <c r="L7">
        <f t="shared" si="0"/>
        <v>3.2074930428792614</v>
      </c>
      <c r="M7">
        <f t="shared" si="1"/>
        <v>2.7658040998489231</v>
      </c>
      <c r="N7">
        <f t="shared" si="2"/>
        <v>1.021355617455888</v>
      </c>
      <c r="O7">
        <f t="shared" si="3"/>
        <v>5.6870950228277701</v>
      </c>
      <c r="P7">
        <f t="shared" si="4"/>
        <v>64.870199999999997</v>
      </c>
      <c r="Q7">
        <f t="shared" si="5"/>
        <v>2.0832999999999999</v>
      </c>
      <c r="R7">
        <f t="shared" si="6"/>
        <v>2.3196666666666701</v>
      </c>
      <c r="S7">
        <f t="shared" si="7"/>
        <v>82.569827967937812</v>
      </c>
      <c r="T7">
        <f t="shared" si="8"/>
        <v>88.300742110597398</v>
      </c>
      <c r="U7">
        <f t="shared" si="9"/>
        <v>3.2074930428792614</v>
      </c>
      <c r="V7" t="e">
        <f t="shared" si="10"/>
        <v>#N/A</v>
      </c>
      <c r="W7">
        <f t="shared" si="11"/>
        <v>2.7658040998489231</v>
      </c>
      <c r="X7" t="e">
        <f t="shared" si="12"/>
        <v>#N/A</v>
      </c>
      <c r="Y7">
        <f t="shared" si="13"/>
        <v>82.569827967937812</v>
      </c>
      <c r="Z7" t="e">
        <f t="shared" si="14"/>
        <v>#N/A</v>
      </c>
      <c r="AA7">
        <f t="shared" si="15"/>
        <v>88.300742110597398</v>
      </c>
      <c r="AB7" t="e">
        <f t="shared" si="16"/>
        <v>#N/A</v>
      </c>
      <c r="AC7">
        <f t="shared" si="17"/>
        <v>5.6870950228277701</v>
      </c>
      <c r="AD7" t="e">
        <f t="shared" si="18"/>
        <v>#N/A</v>
      </c>
      <c r="AE7">
        <f t="shared" si="19"/>
        <v>2.0832999999999999</v>
      </c>
      <c r="AF7" t="e">
        <f t="shared" si="20"/>
        <v>#N/A</v>
      </c>
      <c r="AG7">
        <f t="shared" si="21"/>
        <v>2.3196666666666701</v>
      </c>
      <c r="AH7" t="e">
        <f t="shared" si="22"/>
        <v>#N/A</v>
      </c>
      <c r="AI7">
        <f t="shared" si="23"/>
        <v>1.021355617455888</v>
      </c>
      <c r="AJ7" t="e">
        <f t="shared" si="24"/>
        <v>#N/A</v>
      </c>
    </row>
    <row r="8" spans="1:36" x14ac:dyDescent="0.25">
      <c r="A8" s="2">
        <v>42614</v>
      </c>
      <c r="B8">
        <v>564782</v>
      </c>
      <c r="C8">
        <v>298417</v>
      </c>
      <c r="D8">
        <v>109.3</v>
      </c>
      <c r="E8">
        <v>11964.826741999999</v>
      </c>
      <c r="F8">
        <v>3804612.8284037299</v>
      </c>
      <c r="G8">
        <v>5.6577998528858899E-2</v>
      </c>
      <c r="H8">
        <v>0.64657500000000001</v>
      </c>
      <c r="I8">
        <v>1.8067E-2</v>
      </c>
      <c r="J8">
        <v>1.9439999999999999E-2</v>
      </c>
      <c r="K8" t="s">
        <v>178</v>
      </c>
      <c r="L8">
        <f t="shared" si="0"/>
        <v>2.202083555761436</v>
      </c>
      <c r="M8">
        <f t="shared" si="1"/>
        <v>2.4614761303081822</v>
      </c>
      <c r="N8">
        <f t="shared" si="2"/>
        <v>1.3914656771799594</v>
      </c>
      <c r="O8">
        <f t="shared" si="3"/>
        <v>5.6577998528858897</v>
      </c>
      <c r="P8">
        <f t="shared" si="4"/>
        <v>64.657499999999999</v>
      </c>
      <c r="Q8">
        <f t="shared" si="5"/>
        <v>1.8067</v>
      </c>
      <c r="R8">
        <f t="shared" si="6"/>
        <v>1.944</v>
      </c>
      <c r="S8">
        <f t="shared" si="7"/>
        <v>82.666000380708667</v>
      </c>
      <c r="T8">
        <f t="shared" si="8"/>
        <v>88.130734291859611</v>
      </c>
      <c r="U8">
        <f t="shared" si="9"/>
        <v>2.202083555761436</v>
      </c>
      <c r="V8" t="e">
        <f t="shared" si="10"/>
        <v>#N/A</v>
      </c>
      <c r="W8">
        <f t="shared" si="11"/>
        <v>2.4614761303081822</v>
      </c>
      <c r="X8" t="e">
        <f t="shared" si="12"/>
        <v>#N/A</v>
      </c>
      <c r="Y8">
        <f t="shared" si="13"/>
        <v>82.666000380708667</v>
      </c>
      <c r="Z8" t="e">
        <f t="shared" si="14"/>
        <v>#N/A</v>
      </c>
      <c r="AA8">
        <f t="shared" si="15"/>
        <v>88.130734291859611</v>
      </c>
      <c r="AB8" t="e">
        <f t="shared" si="16"/>
        <v>#N/A</v>
      </c>
      <c r="AC8">
        <f t="shared" si="17"/>
        <v>5.6577998528858897</v>
      </c>
      <c r="AD8" t="e">
        <f t="shared" si="18"/>
        <v>#N/A</v>
      </c>
      <c r="AE8">
        <f t="shared" si="19"/>
        <v>1.8067</v>
      </c>
      <c r="AF8" t="e">
        <f t="shared" si="20"/>
        <v>#N/A</v>
      </c>
      <c r="AG8">
        <f t="shared" si="21"/>
        <v>1.944</v>
      </c>
      <c r="AH8" t="e">
        <f t="shared" si="22"/>
        <v>#N/A</v>
      </c>
      <c r="AI8">
        <f t="shared" si="23"/>
        <v>1.3914656771799594</v>
      </c>
      <c r="AJ8" t="e">
        <f t="shared" si="24"/>
        <v>#N/A</v>
      </c>
    </row>
    <row r="9" spans="1:36" x14ac:dyDescent="0.25">
      <c r="A9" s="2">
        <v>42705</v>
      </c>
      <c r="B9">
        <v>571367</v>
      </c>
      <c r="C9">
        <v>300485</v>
      </c>
      <c r="D9">
        <v>109.8</v>
      </c>
      <c r="E9">
        <v>11988.801731</v>
      </c>
      <c r="F9">
        <v>3821223.0900856401</v>
      </c>
      <c r="G9">
        <v>5.7342796322901998E-2</v>
      </c>
      <c r="H9">
        <v>0.64582600000000001</v>
      </c>
      <c r="I9">
        <v>1.7600000000000001E-2</v>
      </c>
      <c r="J9">
        <v>2.52166666666667E-2</v>
      </c>
      <c r="K9" t="s">
        <v>178</v>
      </c>
      <c r="L9">
        <f t="shared" si="0"/>
        <v>2.7559019716101085</v>
      </c>
      <c r="M9">
        <f t="shared" si="1"/>
        <v>2.6611228031814482</v>
      </c>
      <c r="N9">
        <f t="shared" si="2"/>
        <v>1.3850415512465464</v>
      </c>
      <c r="O9">
        <f t="shared" si="3"/>
        <v>5.7342796322901997</v>
      </c>
      <c r="P9">
        <f t="shared" si="4"/>
        <v>64.582599999999999</v>
      </c>
      <c r="Q9">
        <f t="shared" si="5"/>
        <v>1.76</v>
      </c>
      <c r="R9">
        <f t="shared" si="6"/>
        <v>2.5216666666666701</v>
      </c>
      <c r="S9">
        <f t="shared" si="7"/>
        <v>82.831645608386253</v>
      </c>
      <c r="T9">
        <f t="shared" si="8"/>
        <v>88.515497374157491</v>
      </c>
      <c r="U9">
        <f t="shared" si="9"/>
        <v>2.7559019716101085</v>
      </c>
      <c r="V9" t="e">
        <f t="shared" si="10"/>
        <v>#N/A</v>
      </c>
      <c r="W9">
        <f t="shared" si="11"/>
        <v>2.6611228031814482</v>
      </c>
      <c r="X9" t="e">
        <f t="shared" si="12"/>
        <v>#N/A</v>
      </c>
      <c r="Y9">
        <f t="shared" si="13"/>
        <v>82.831645608386253</v>
      </c>
      <c r="Z9" t="e">
        <f t="shared" si="14"/>
        <v>#N/A</v>
      </c>
      <c r="AA9">
        <f t="shared" si="15"/>
        <v>88.515497374157491</v>
      </c>
      <c r="AB9" t="e">
        <f t="shared" si="16"/>
        <v>#N/A</v>
      </c>
      <c r="AC9">
        <f t="shared" si="17"/>
        <v>5.7342796322901997</v>
      </c>
      <c r="AD9" t="e">
        <f t="shared" si="18"/>
        <v>#N/A</v>
      </c>
      <c r="AE9">
        <f t="shared" si="19"/>
        <v>1.76</v>
      </c>
      <c r="AF9" t="e">
        <f t="shared" si="20"/>
        <v>#N/A</v>
      </c>
      <c r="AG9">
        <f t="shared" si="21"/>
        <v>2.5216666666666701</v>
      </c>
      <c r="AH9" t="e">
        <f t="shared" si="22"/>
        <v>#N/A</v>
      </c>
      <c r="AI9">
        <f t="shared" si="23"/>
        <v>1.3850415512465464</v>
      </c>
      <c r="AJ9" t="e">
        <f t="shared" si="24"/>
        <v>#N/A</v>
      </c>
    </row>
    <row r="10" spans="1:36" x14ac:dyDescent="0.25">
      <c r="A10" s="2">
        <v>42795</v>
      </c>
      <c r="B10">
        <v>573149</v>
      </c>
      <c r="C10">
        <v>302058</v>
      </c>
      <c r="D10">
        <v>110.5</v>
      </c>
      <c r="E10">
        <v>12043.410558</v>
      </c>
      <c r="F10">
        <v>3868609.59164237</v>
      </c>
      <c r="G10">
        <v>5.8074379108148499E-2</v>
      </c>
      <c r="H10">
        <v>0.64608500000000002</v>
      </c>
      <c r="I10">
        <v>1.7833000000000002E-2</v>
      </c>
      <c r="J10">
        <v>2.751E-2</v>
      </c>
      <c r="K10" t="s">
        <v>178</v>
      </c>
      <c r="L10">
        <f t="shared" si="0"/>
        <v>2.140289660850514</v>
      </c>
      <c r="M10">
        <f t="shared" si="1"/>
        <v>2.3418918094773478</v>
      </c>
      <c r="N10">
        <f t="shared" si="2"/>
        <v>2.1256931608133023</v>
      </c>
      <c r="O10">
        <f t="shared" si="3"/>
        <v>5.8074379108148495</v>
      </c>
      <c r="P10">
        <f t="shared" si="4"/>
        <v>64.608500000000006</v>
      </c>
      <c r="Q10">
        <f t="shared" si="5"/>
        <v>1.7833000000000001</v>
      </c>
      <c r="R10">
        <f t="shared" si="6"/>
        <v>2.7509999999999999</v>
      </c>
      <c r="S10">
        <f t="shared" si="7"/>
        <v>83.208942614930066</v>
      </c>
      <c r="T10">
        <f t="shared" si="8"/>
        <v>89.613166799687221</v>
      </c>
      <c r="U10">
        <f t="shared" si="9"/>
        <v>2.140289660850514</v>
      </c>
      <c r="V10" t="e">
        <f t="shared" si="10"/>
        <v>#N/A</v>
      </c>
      <c r="W10">
        <f t="shared" si="11"/>
        <v>2.3418918094773478</v>
      </c>
      <c r="X10" t="e">
        <f t="shared" si="12"/>
        <v>#N/A</v>
      </c>
      <c r="Y10">
        <f t="shared" si="13"/>
        <v>83.208942614930066</v>
      </c>
      <c r="Z10" t="e">
        <f t="shared" si="14"/>
        <v>#N/A</v>
      </c>
      <c r="AA10">
        <f t="shared" si="15"/>
        <v>89.613166799687221</v>
      </c>
      <c r="AB10" t="e">
        <f t="shared" si="16"/>
        <v>#N/A</v>
      </c>
      <c r="AC10">
        <f t="shared" si="17"/>
        <v>5.8074379108148495</v>
      </c>
      <c r="AD10" t="e">
        <f t="shared" si="18"/>
        <v>#N/A</v>
      </c>
      <c r="AE10">
        <f t="shared" si="19"/>
        <v>1.7833000000000001</v>
      </c>
      <c r="AF10" t="e">
        <f t="shared" si="20"/>
        <v>#N/A</v>
      </c>
      <c r="AG10">
        <f t="shared" si="21"/>
        <v>2.7509999999999999</v>
      </c>
      <c r="AH10" t="e">
        <f t="shared" si="22"/>
        <v>#N/A</v>
      </c>
      <c r="AI10">
        <f t="shared" si="23"/>
        <v>2.1256931608133023</v>
      </c>
      <c r="AJ10" t="e">
        <f t="shared" si="24"/>
        <v>#N/A</v>
      </c>
    </row>
    <row r="11" spans="1:36" x14ac:dyDescent="0.25">
      <c r="A11" s="2">
        <v>42887</v>
      </c>
      <c r="B11">
        <v>576579</v>
      </c>
      <c r="C11">
        <v>303774</v>
      </c>
      <c r="D11">
        <v>110.9</v>
      </c>
      <c r="E11">
        <v>12164.858767</v>
      </c>
      <c r="F11">
        <v>3906451.73308978</v>
      </c>
      <c r="G11">
        <v>5.5925305988705501E-2</v>
      </c>
      <c r="H11">
        <v>0.64842599999999995</v>
      </c>
      <c r="I11">
        <v>1.7399999999999999E-2</v>
      </c>
      <c r="J11">
        <v>2.5086666666666702E-2</v>
      </c>
      <c r="K11" t="s">
        <v>178</v>
      </c>
      <c r="L11">
        <f t="shared" si="0"/>
        <v>2.0791912682464719</v>
      </c>
      <c r="M11">
        <f t="shared" si="1"/>
        <v>2.4263431542461023</v>
      </c>
      <c r="N11">
        <f t="shared" si="2"/>
        <v>1.9301470588235281</v>
      </c>
      <c r="O11">
        <f t="shared" si="3"/>
        <v>5.5925305988705505</v>
      </c>
      <c r="P11">
        <f t="shared" si="4"/>
        <v>64.84259999999999</v>
      </c>
      <c r="Q11">
        <f t="shared" si="5"/>
        <v>1.7399999999999998</v>
      </c>
      <c r="R11">
        <f t="shared" si="6"/>
        <v>2.5086666666666702</v>
      </c>
      <c r="S11">
        <f t="shared" si="7"/>
        <v>84.04803856741789</v>
      </c>
      <c r="T11">
        <f t="shared" si="8"/>
        <v>90.489748954916905</v>
      </c>
      <c r="U11">
        <f t="shared" si="9"/>
        <v>2.0791912682464719</v>
      </c>
      <c r="V11" t="e">
        <f t="shared" si="10"/>
        <v>#N/A</v>
      </c>
      <c r="W11">
        <f t="shared" si="11"/>
        <v>2.4263431542461023</v>
      </c>
      <c r="X11" t="e">
        <f t="shared" si="12"/>
        <v>#N/A</v>
      </c>
      <c r="Y11">
        <f t="shared" si="13"/>
        <v>84.04803856741789</v>
      </c>
      <c r="Z11" t="e">
        <f t="shared" si="14"/>
        <v>#N/A</v>
      </c>
      <c r="AA11">
        <f t="shared" si="15"/>
        <v>90.489748954916905</v>
      </c>
      <c r="AB11" t="e">
        <f t="shared" si="16"/>
        <v>#N/A</v>
      </c>
      <c r="AC11">
        <f t="shared" si="17"/>
        <v>5.5925305988705505</v>
      </c>
      <c r="AD11" t="e">
        <f t="shared" si="18"/>
        <v>#N/A</v>
      </c>
      <c r="AE11">
        <f t="shared" si="19"/>
        <v>1.7399999999999998</v>
      </c>
      <c r="AF11" t="e">
        <f t="shared" si="20"/>
        <v>#N/A</v>
      </c>
      <c r="AG11">
        <f t="shared" si="21"/>
        <v>2.5086666666666702</v>
      </c>
      <c r="AH11" t="e">
        <f t="shared" si="22"/>
        <v>#N/A</v>
      </c>
      <c r="AI11">
        <f t="shared" si="23"/>
        <v>1.9301470588235281</v>
      </c>
      <c r="AJ11" t="e">
        <f t="shared" si="24"/>
        <v>#N/A</v>
      </c>
    </row>
    <row r="12" spans="1:36" x14ac:dyDescent="0.25">
      <c r="A12" s="2">
        <v>42979</v>
      </c>
      <c r="B12">
        <v>582043</v>
      </c>
      <c r="C12">
        <v>305893</v>
      </c>
      <c r="D12">
        <v>111.3</v>
      </c>
      <c r="E12">
        <v>12278.939818000001</v>
      </c>
      <c r="F12">
        <v>3928808.0447830502</v>
      </c>
      <c r="G12">
        <v>5.5327854618660001E-2</v>
      </c>
      <c r="H12">
        <v>0.65153499999999998</v>
      </c>
      <c r="I12">
        <v>1.7066999999999999E-2</v>
      </c>
      <c r="J12">
        <v>2.66666666666667E-2</v>
      </c>
      <c r="K12" t="s">
        <v>178</v>
      </c>
      <c r="L12">
        <f t="shared" si="0"/>
        <v>3.0562234632123486</v>
      </c>
      <c r="M12">
        <f t="shared" si="1"/>
        <v>2.5052192066805867</v>
      </c>
      <c r="N12">
        <f t="shared" si="2"/>
        <v>1.8298261665141702</v>
      </c>
      <c r="O12">
        <f t="shared" si="3"/>
        <v>5.5327854618660002</v>
      </c>
      <c r="P12">
        <f t="shared" si="4"/>
        <v>65.153499999999994</v>
      </c>
      <c r="Q12">
        <f t="shared" si="5"/>
        <v>1.7066999999999999</v>
      </c>
      <c r="R12">
        <f t="shared" si="6"/>
        <v>2.6666666666666701</v>
      </c>
      <c r="S12">
        <f t="shared" si="7"/>
        <v>84.836234201901561</v>
      </c>
      <c r="T12">
        <f t="shared" si="8"/>
        <v>91.007614570801991</v>
      </c>
      <c r="U12">
        <f t="shared" si="9"/>
        <v>3.0562234632123486</v>
      </c>
      <c r="V12" t="e">
        <f t="shared" si="10"/>
        <v>#N/A</v>
      </c>
      <c r="W12">
        <f t="shared" si="11"/>
        <v>2.5052192066805867</v>
      </c>
      <c r="X12" t="e">
        <f t="shared" si="12"/>
        <v>#N/A</v>
      </c>
      <c r="Y12">
        <f t="shared" si="13"/>
        <v>84.836234201901561</v>
      </c>
      <c r="Z12" t="e">
        <f t="shared" si="14"/>
        <v>#N/A</v>
      </c>
      <c r="AA12">
        <f t="shared" si="15"/>
        <v>91.007614570801991</v>
      </c>
      <c r="AB12" t="e">
        <f t="shared" si="16"/>
        <v>#N/A</v>
      </c>
      <c r="AC12">
        <f t="shared" si="17"/>
        <v>5.5327854618660002</v>
      </c>
      <c r="AD12" t="e">
        <f t="shared" si="18"/>
        <v>#N/A</v>
      </c>
      <c r="AE12">
        <f t="shared" si="19"/>
        <v>1.7066999999999999</v>
      </c>
      <c r="AF12" t="e">
        <f t="shared" si="20"/>
        <v>#N/A</v>
      </c>
      <c r="AG12">
        <f t="shared" si="21"/>
        <v>2.6666666666666701</v>
      </c>
      <c r="AH12" t="e">
        <f t="shared" si="22"/>
        <v>#N/A</v>
      </c>
      <c r="AI12">
        <f t="shared" si="23"/>
        <v>1.8298261665141702</v>
      </c>
      <c r="AJ12" t="e">
        <f t="shared" si="24"/>
        <v>#N/A</v>
      </c>
    </row>
    <row r="13" spans="1:36" x14ac:dyDescent="0.25">
      <c r="A13" s="2">
        <v>43070</v>
      </c>
      <c r="B13">
        <v>584367</v>
      </c>
      <c r="C13">
        <v>308870</v>
      </c>
      <c r="D13">
        <v>112.1</v>
      </c>
      <c r="E13">
        <v>12364.052443</v>
      </c>
      <c r="F13">
        <v>3963387.89007283</v>
      </c>
      <c r="G13">
        <v>5.4926167739918E-2</v>
      </c>
      <c r="H13">
        <v>0.65356000000000003</v>
      </c>
      <c r="I13">
        <v>1.7299999999999999E-2</v>
      </c>
      <c r="J13">
        <v>2.6386666666666701E-2</v>
      </c>
      <c r="K13" t="s">
        <v>178</v>
      </c>
      <c r="L13">
        <f t="shared" si="0"/>
        <v>2.2752451576657284</v>
      </c>
      <c r="M13">
        <f t="shared" si="1"/>
        <v>2.790488709918959</v>
      </c>
      <c r="N13">
        <f t="shared" si="2"/>
        <v>2.0947176684881663</v>
      </c>
      <c r="O13">
        <f t="shared" si="3"/>
        <v>5.4926167739918004</v>
      </c>
      <c r="P13">
        <f t="shared" si="4"/>
        <v>65.356000000000009</v>
      </c>
      <c r="Q13">
        <f t="shared" si="5"/>
        <v>1.73</v>
      </c>
      <c r="R13">
        <f t="shared" si="6"/>
        <v>2.63866666666667</v>
      </c>
      <c r="S13">
        <f t="shared" si="7"/>
        <v>85.42428452994811</v>
      </c>
      <c r="T13">
        <f t="shared" si="8"/>
        <v>91.808628312419899</v>
      </c>
      <c r="U13">
        <f t="shared" si="9"/>
        <v>2.2752451576657284</v>
      </c>
      <c r="V13" t="e">
        <f t="shared" si="10"/>
        <v>#N/A</v>
      </c>
      <c r="W13">
        <f t="shared" si="11"/>
        <v>2.790488709918959</v>
      </c>
      <c r="X13" t="e">
        <f t="shared" si="12"/>
        <v>#N/A</v>
      </c>
      <c r="Y13">
        <f t="shared" si="13"/>
        <v>85.42428452994811</v>
      </c>
      <c r="Z13" t="e">
        <f t="shared" si="14"/>
        <v>#N/A</v>
      </c>
      <c r="AA13">
        <f t="shared" si="15"/>
        <v>91.808628312419899</v>
      </c>
      <c r="AB13" t="e">
        <f t="shared" si="16"/>
        <v>#N/A</v>
      </c>
      <c r="AC13">
        <f t="shared" si="17"/>
        <v>5.4926167739918004</v>
      </c>
      <c r="AD13" t="e">
        <f t="shared" si="18"/>
        <v>#N/A</v>
      </c>
      <c r="AE13">
        <f t="shared" si="19"/>
        <v>1.73</v>
      </c>
      <c r="AF13" t="e">
        <f t="shared" si="20"/>
        <v>#N/A</v>
      </c>
      <c r="AG13">
        <f t="shared" si="21"/>
        <v>2.63866666666667</v>
      </c>
      <c r="AH13" t="e">
        <f t="shared" si="22"/>
        <v>#N/A</v>
      </c>
      <c r="AI13">
        <f t="shared" si="23"/>
        <v>2.0947176684881663</v>
      </c>
      <c r="AJ13" t="e">
        <f t="shared" si="24"/>
        <v>#N/A</v>
      </c>
    </row>
    <row r="14" spans="1:36" x14ac:dyDescent="0.25">
      <c r="A14" s="2">
        <v>43160</v>
      </c>
      <c r="B14">
        <v>590393</v>
      </c>
      <c r="C14">
        <v>310941</v>
      </c>
      <c r="D14">
        <v>112.7</v>
      </c>
      <c r="E14">
        <v>12433.919948999999</v>
      </c>
      <c r="F14">
        <v>3940737.6910314201</v>
      </c>
      <c r="G14">
        <v>5.5449224827403103E-2</v>
      </c>
      <c r="H14">
        <v>0.654609</v>
      </c>
      <c r="I14">
        <v>1.83E-2</v>
      </c>
      <c r="J14">
        <v>2.7683333333333299E-2</v>
      </c>
      <c r="K14" t="s">
        <v>178</v>
      </c>
      <c r="L14">
        <f t="shared" si="0"/>
        <v>3.0086417319056702</v>
      </c>
      <c r="M14">
        <f t="shared" si="1"/>
        <v>2.9408259340921283</v>
      </c>
      <c r="N14">
        <f t="shared" si="2"/>
        <v>1.9909502262443368</v>
      </c>
      <c r="O14">
        <f t="shared" si="3"/>
        <v>5.5449224827403105</v>
      </c>
      <c r="P14">
        <f t="shared" si="4"/>
        <v>65.460899999999995</v>
      </c>
      <c r="Q14">
        <f t="shared" si="5"/>
        <v>1.83</v>
      </c>
      <c r="R14">
        <f t="shared" si="6"/>
        <v>2.76833333333333</v>
      </c>
      <c r="S14">
        <f t="shared" si="7"/>
        <v>85.907005040836964</v>
      </c>
      <c r="T14">
        <f t="shared" si="8"/>
        <v>91.283955037264676</v>
      </c>
      <c r="U14">
        <f t="shared" si="9"/>
        <v>3.0086417319056702</v>
      </c>
      <c r="V14" t="e">
        <f t="shared" si="10"/>
        <v>#N/A</v>
      </c>
      <c r="W14">
        <f t="shared" si="11"/>
        <v>2.9408259340921283</v>
      </c>
      <c r="X14" t="e">
        <f t="shared" si="12"/>
        <v>#N/A</v>
      </c>
      <c r="Y14">
        <f t="shared" si="13"/>
        <v>85.907005040836964</v>
      </c>
      <c r="Z14" t="e">
        <f t="shared" si="14"/>
        <v>#N/A</v>
      </c>
      <c r="AA14">
        <f t="shared" si="15"/>
        <v>91.283955037264676</v>
      </c>
      <c r="AB14" t="e">
        <f t="shared" si="16"/>
        <v>#N/A</v>
      </c>
      <c r="AC14">
        <f t="shared" si="17"/>
        <v>5.5449224827403105</v>
      </c>
      <c r="AD14" t="e">
        <f t="shared" si="18"/>
        <v>#N/A</v>
      </c>
      <c r="AE14">
        <f t="shared" si="19"/>
        <v>1.83</v>
      </c>
      <c r="AF14" t="e">
        <f t="shared" si="20"/>
        <v>#N/A</v>
      </c>
      <c r="AG14">
        <f t="shared" si="21"/>
        <v>2.76833333333333</v>
      </c>
      <c r="AH14" t="e">
        <f t="shared" si="22"/>
        <v>#N/A</v>
      </c>
      <c r="AI14">
        <f t="shared" si="23"/>
        <v>1.9909502262443368</v>
      </c>
      <c r="AJ14" t="e">
        <f t="shared" si="24"/>
        <v>#N/A</v>
      </c>
    </row>
    <row r="15" spans="1:36" x14ac:dyDescent="0.25">
      <c r="A15" s="2">
        <v>43252</v>
      </c>
      <c r="B15">
        <v>594775</v>
      </c>
      <c r="C15">
        <v>313022</v>
      </c>
      <c r="D15">
        <v>113.2</v>
      </c>
      <c r="E15">
        <v>12478.009327</v>
      </c>
      <c r="F15">
        <v>3962108.2693203702</v>
      </c>
      <c r="G15">
        <v>5.4399618648124301E-2</v>
      </c>
      <c r="H15">
        <v>0.653505</v>
      </c>
      <c r="I15">
        <v>2.0299999999999999E-2</v>
      </c>
      <c r="J15">
        <v>2.74033333333333E-2</v>
      </c>
      <c r="K15" t="s">
        <v>178</v>
      </c>
      <c r="L15">
        <f t="shared" si="0"/>
        <v>3.1558554855449117</v>
      </c>
      <c r="M15">
        <f t="shared" si="1"/>
        <v>3.0443685108007879</v>
      </c>
      <c r="N15">
        <f t="shared" si="2"/>
        <v>2.0739404869251521</v>
      </c>
      <c r="O15">
        <f t="shared" si="3"/>
        <v>5.4399618648124299</v>
      </c>
      <c r="P15">
        <f t="shared" si="4"/>
        <v>65.350499999999997</v>
      </c>
      <c r="Q15">
        <f t="shared" si="5"/>
        <v>2.0299999999999998</v>
      </c>
      <c r="R15">
        <f t="shared" si="6"/>
        <v>2.74033333333333</v>
      </c>
      <c r="S15">
        <f t="shared" si="7"/>
        <v>86.211622284122186</v>
      </c>
      <c r="T15">
        <f t="shared" si="8"/>
        <v>91.778986947683009</v>
      </c>
      <c r="U15">
        <f t="shared" si="9"/>
        <v>3.1558554855449117</v>
      </c>
      <c r="V15" t="e">
        <f t="shared" si="10"/>
        <v>#N/A</v>
      </c>
      <c r="W15">
        <f t="shared" si="11"/>
        <v>3.0443685108007879</v>
      </c>
      <c r="X15" t="e">
        <f t="shared" si="12"/>
        <v>#N/A</v>
      </c>
      <c r="Y15">
        <f t="shared" si="13"/>
        <v>86.211622284122186</v>
      </c>
      <c r="Z15" t="e">
        <f t="shared" si="14"/>
        <v>#N/A</v>
      </c>
      <c r="AA15">
        <f t="shared" si="15"/>
        <v>91.778986947683009</v>
      </c>
      <c r="AB15" t="e">
        <f t="shared" si="16"/>
        <v>#N/A</v>
      </c>
      <c r="AC15">
        <f t="shared" si="17"/>
        <v>5.4399618648124299</v>
      </c>
      <c r="AD15" t="e">
        <f t="shared" si="18"/>
        <v>#N/A</v>
      </c>
      <c r="AE15">
        <f t="shared" si="19"/>
        <v>2.0299999999999998</v>
      </c>
      <c r="AF15" t="e">
        <f t="shared" si="20"/>
        <v>#N/A</v>
      </c>
      <c r="AG15">
        <f t="shared" si="21"/>
        <v>2.74033333333333</v>
      </c>
      <c r="AH15" t="e">
        <f t="shared" si="22"/>
        <v>#N/A</v>
      </c>
      <c r="AI15">
        <f t="shared" si="23"/>
        <v>2.0739404869251521</v>
      </c>
      <c r="AJ15" t="e">
        <f t="shared" si="24"/>
        <v>#N/A</v>
      </c>
    </row>
    <row r="16" spans="1:36" x14ac:dyDescent="0.25">
      <c r="A16" s="2">
        <v>43344</v>
      </c>
      <c r="B16">
        <v>597020</v>
      </c>
      <c r="C16">
        <v>313517</v>
      </c>
      <c r="D16">
        <v>113.5</v>
      </c>
      <c r="E16">
        <v>12570.276526</v>
      </c>
      <c r="F16">
        <v>3993100.25909113</v>
      </c>
      <c r="G16">
        <v>5.1859554356506701E-2</v>
      </c>
      <c r="H16">
        <v>0.65383999999999998</v>
      </c>
      <c r="I16">
        <v>1.9699999999999999E-2</v>
      </c>
      <c r="J16">
        <v>2.6193333333333301E-2</v>
      </c>
      <c r="K16" t="s">
        <v>178</v>
      </c>
      <c r="L16">
        <f t="shared" si="0"/>
        <v>2.5731775830995396</v>
      </c>
      <c r="M16">
        <f t="shared" si="1"/>
        <v>2.4923747846469224</v>
      </c>
      <c r="N16">
        <f t="shared" si="2"/>
        <v>1.9766397124887813</v>
      </c>
      <c r="O16">
        <f t="shared" si="3"/>
        <v>5.1859554356506701</v>
      </c>
      <c r="P16">
        <f t="shared" si="4"/>
        <v>65.384</v>
      </c>
      <c r="Q16">
        <f t="shared" si="5"/>
        <v>1.97</v>
      </c>
      <c r="R16">
        <f t="shared" si="6"/>
        <v>2.61933333333333</v>
      </c>
      <c r="S16">
        <f t="shared" si="7"/>
        <v>86.849104169328811</v>
      </c>
      <c r="T16">
        <f t="shared" si="8"/>
        <v>92.496890960220554</v>
      </c>
      <c r="U16">
        <f t="shared" si="9"/>
        <v>2.5731775830995396</v>
      </c>
      <c r="V16" t="e">
        <f t="shared" si="10"/>
        <v>#N/A</v>
      </c>
      <c r="W16">
        <f t="shared" si="11"/>
        <v>2.4923747846469224</v>
      </c>
      <c r="X16" t="e">
        <f t="shared" si="12"/>
        <v>#N/A</v>
      </c>
      <c r="Y16">
        <f t="shared" si="13"/>
        <v>86.849104169328811</v>
      </c>
      <c r="Z16" t="e">
        <f t="shared" si="14"/>
        <v>#N/A</v>
      </c>
      <c r="AA16">
        <f t="shared" si="15"/>
        <v>92.496890960220554</v>
      </c>
      <c r="AB16" t="e">
        <f t="shared" si="16"/>
        <v>#N/A</v>
      </c>
      <c r="AC16">
        <f t="shared" si="17"/>
        <v>5.1859554356506701</v>
      </c>
      <c r="AD16" t="e">
        <f t="shared" si="18"/>
        <v>#N/A</v>
      </c>
      <c r="AE16">
        <f t="shared" si="19"/>
        <v>1.97</v>
      </c>
      <c r="AF16" t="e">
        <f t="shared" si="20"/>
        <v>#N/A</v>
      </c>
      <c r="AG16">
        <f t="shared" si="21"/>
        <v>2.61933333333333</v>
      </c>
      <c r="AH16" t="e">
        <f t="shared" si="22"/>
        <v>#N/A</v>
      </c>
      <c r="AI16">
        <f t="shared" si="23"/>
        <v>1.9766397124887813</v>
      </c>
      <c r="AJ16" t="e">
        <f t="shared" si="24"/>
        <v>#N/A</v>
      </c>
    </row>
    <row r="17" spans="1:36" x14ac:dyDescent="0.25">
      <c r="A17" s="2">
        <v>43435</v>
      </c>
      <c r="B17">
        <v>598542</v>
      </c>
      <c r="C17">
        <v>314333</v>
      </c>
      <c r="D17">
        <v>114</v>
      </c>
      <c r="E17">
        <v>12646.703814</v>
      </c>
      <c r="F17">
        <v>3984524.6349049001</v>
      </c>
      <c r="G17">
        <v>5.0439910689907101E-2</v>
      </c>
      <c r="H17">
        <v>0.654362</v>
      </c>
      <c r="I17">
        <v>1.9633000000000001E-2</v>
      </c>
      <c r="J17">
        <v>2.59866666666667E-2</v>
      </c>
      <c r="K17" t="s">
        <v>178</v>
      </c>
      <c r="L17">
        <f t="shared" si="0"/>
        <v>2.4257016566643808</v>
      </c>
      <c r="M17">
        <f t="shared" si="1"/>
        <v>1.7687052805387404</v>
      </c>
      <c r="N17">
        <f t="shared" si="2"/>
        <v>1.6949152542372836</v>
      </c>
      <c r="O17">
        <f t="shared" si="3"/>
        <v>5.0439910689907101</v>
      </c>
      <c r="P17">
        <f t="shared" si="4"/>
        <v>65.436199999999999</v>
      </c>
      <c r="Q17">
        <f t="shared" si="5"/>
        <v>1.9633</v>
      </c>
      <c r="R17">
        <f t="shared" si="6"/>
        <v>2.59866666666667</v>
      </c>
      <c r="S17">
        <f t="shared" si="7"/>
        <v>87.377146769120657</v>
      </c>
      <c r="T17">
        <f t="shared" si="8"/>
        <v>92.298243662681855</v>
      </c>
      <c r="U17">
        <f t="shared" si="9"/>
        <v>2.4257016566643808</v>
      </c>
      <c r="V17" t="e">
        <f t="shared" si="10"/>
        <v>#N/A</v>
      </c>
      <c r="W17">
        <f t="shared" si="11"/>
        <v>1.7687052805387404</v>
      </c>
      <c r="X17" t="e">
        <f t="shared" si="12"/>
        <v>#N/A</v>
      </c>
      <c r="Y17">
        <f t="shared" si="13"/>
        <v>87.377146769120657</v>
      </c>
      <c r="Z17" t="e">
        <f t="shared" si="14"/>
        <v>#N/A</v>
      </c>
      <c r="AA17">
        <f t="shared" si="15"/>
        <v>92.298243662681855</v>
      </c>
      <c r="AB17" t="e">
        <f t="shared" si="16"/>
        <v>#N/A</v>
      </c>
      <c r="AC17">
        <f t="shared" si="17"/>
        <v>5.0439910689907101</v>
      </c>
      <c r="AD17" t="e">
        <f t="shared" si="18"/>
        <v>#N/A</v>
      </c>
      <c r="AE17">
        <f t="shared" si="19"/>
        <v>1.9633</v>
      </c>
      <c r="AF17" t="e">
        <f t="shared" si="20"/>
        <v>#N/A</v>
      </c>
      <c r="AG17">
        <f t="shared" si="21"/>
        <v>2.59866666666667</v>
      </c>
      <c r="AH17" t="e">
        <f t="shared" si="22"/>
        <v>#N/A</v>
      </c>
      <c r="AI17">
        <f t="shared" si="23"/>
        <v>1.6949152542372836</v>
      </c>
      <c r="AJ17" t="e">
        <f t="shared" si="24"/>
        <v>#N/A</v>
      </c>
    </row>
    <row r="18" spans="1:36" x14ac:dyDescent="0.25">
      <c r="A18" s="2">
        <v>43525</v>
      </c>
      <c r="B18">
        <v>602883</v>
      </c>
      <c r="C18">
        <v>315449</v>
      </c>
      <c r="D18">
        <v>114.1</v>
      </c>
      <c r="E18">
        <v>12729.579041999999</v>
      </c>
      <c r="F18">
        <v>4051144.0522932</v>
      </c>
      <c r="G18">
        <v>5.0430775441034498E-2</v>
      </c>
      <c r="H18">
        <v>0.65563800000000005</v>
      </c>
      <c r="I18">
        <v>1.9532999999999998E-2</v>
      </c>
      <c r="J18">
        <v>2.1180000000000001E-2</v>
      </c>
      <c r="K18" t="s">
        <v>178</v>
      </c>
      <c r="L18">
        <f t="shared" si="0"/>
        <v>2.1155399877708536</v>
      </c>
      <c r="M18">
        <f t="shared" si="1"/>
        <v>1.4497927259512267</v>
      </c>
      <c r="N18">
        <f t="shared" si="2"/>
        <v>1.2422360248447228</v>
      </c>
      <c r="O18">
        <f t="shared" si="3"/>
        <v>5.0430775441034497</v>
      </c>
      <c r="P18">
        <f t="shared" si="4"/>
        <v>65.563800000000001</v>
      </c>
      <c r="Q18">
        <f t="shared" si="5"/>
        <v>1.9532999999999998</v>
      </c>
      <c r="R18">
        <f t="shared" si="6"/>
        <v>2.1179999999999999</v>
      </c>
      <c r="S18">
        <f t="shared" si="7"/>
        <v>87.949738731973781</v>
      </c>
      <c r="T18">
        <f t="shared" si="8"/>
        <v>93.841427801865365</v>
      </c>
      <c r="U18">
        <f t="shared" si="9"/>
        <v>2.1155399877708536</v>
      </c>
      <c r="V18" t="e">
        <f t="shared" si="10"/>
        <v>#N/A</v>
      </c>
      <c r="W18">
        <f t="shared" si="11"/>
        <v>1.4497927259512267</v>
      </c>
      <c r="X18" t="e">
        <f t="shared" si="12"/>
        <v>#N/A</v>
      </c>
      <c r="Y18">
        <f t="shared" si="13"/>
        <v>87.949738731973781</v>
      </c>
      <c r="Z18" t="e">
        <f t="shared" si="14"/>
        <v>#N/A</v>
      </c>
      <c r="AA18">
        <f t="shared" si="15"/>
        <v>93.841427801865365</v>
      </c>
      <c r="AB18" t="e">
        <f t="shared" si="16"/>
        <v>#N/A</v>
      </c>
      <c r="AC18">
        <f t="shared" si="17"/>
        <v>5.0430775441034497</v>
      </c>
      <c r="AD18" t="e">
        <f t="shared" si="18"/>
        <v>#N/A</v>
      </c>
      <c r="AE18">
        <f t="shared" si="19"/>
        <v>1.9532999999999998</v>
      </c>
      <c r="AF18" t="e">
        <f t="shared" si="20"/>
        <v>#N/A</v>
      </c>
      <c r="AG18">
        <f t="shared" si="21"/>
        <v>2.1179999999999999</v>
      </c>
      <c r="AH18" t="e">
        <f t="shared" si="22"/>
        <v>#N/A</v>
      </c>
      <c r="AI18">
        <f t="shared" si="23"/>
        <v>1.2422360248447228</v>
      </c>
      <c r="AJ18" t="e">
        <f t="shared" si="24"/>
        <v>#N/A</v>
      </c>
    </row>
    <row r="19" spans="1:36" x14ac:dyDescent="0.25">
      <c r="A19" s="2">
        <v>43617</v>
      </c>
      <c r="B19">
        <v>604726</v>
      </c>
      <c r="C19">
        <v>316413</v>
      </c>
      <c r="D19">
        <v>114.9</v>
      </c>
      <c r="E19">
        <v>12793.659652</v>
      </c>
      <c r="F19">
        <v>4000342.17902584</v>
      </c>
      <c r="G19">
        <v>5.2238297614294098E-2</v>
      </c>
      <c r="H19">
        <v>0.657779</v>
      </c>
      <c r="I19">
        <v>1.5032999999999999E-2</v>
      </c>
      <c r="J19">
        <v>1.63533333333333E-2</v>
      </c>
      <c r="K19" t="s">
        <v>178</v>
      </c>
      <c r="L19">
        <f t="shared" si="0"/>
        <v>1.6730696481862983</v>
      </c>
      <c r="M19">
        <f t="shared" si="1"/>
        <v>1.0833104382439673</v>
      </c>
      <c r="N19">
        <f t="shared" si="2"/>
        <v>1.5017667844523075</v>
      </c>
      <c r="O19">
        <f t="shared" si="3"/>
        <v>5.2238297614294096</v>
      </c>
      <c r="P19">
        <f t="shared" si="4"/>
        <v>65.777900000000002</v>
      </c>
      <c r="Q19">
        <f t="shared" si="5"/>
        <v>1.5032999999999999</v>
      </c>
      <c r="R19">
        <f t="shared" si="6"/>
        <v>1.63533333333333</v>
      </c>
      <c r="S19">
        <f t="shared" si="7"/>
        <v>88.392477088732505</v>
      </c>
      <c r="T19">
        <f t="shared" si="8"/>
        <v>92.664644093144901</v>
      </c>
      <c r="U19">
        <f t="shared" si="9"/>
        <v>1.6730696481862983</v>
      </c>
      <c r="V19" t="e">
        <f t="shared" si="10"/>
        <v>#N/A</v>
      </c>
      <c r="W19">
        <f t="shared" si="11"/>
        <v>1.0833104382439673</v>
      </c>
      <c r="X19" t="e">
        <f t="shared" si="12"/>
        <v>#N/A</v>
      </c>
      <c r="Y19">
        <f t="shared" si="13"/>
        <v>88.392477088732505</v>
      </c>
      <c r="Z19" t="e">
        <f t="shared" si="14"/>
        <v>#N/A</v>
      </c>
      <c r="AA19">
        <f t="shared" si="15"/>
        <v>92.664644093144901</v>
      </c>
      <c r="AB19" t="e">
        <f t="shared" si="16"/>
        <v>#N/A</v>
      </c>
      <c r="AC19">
        <f t="shared" si="17"/>
        <v>5.2238297614294096</v>
      </c>
      <c r="AD19" t="e">
        <f t="shared" si="18"/>
        <v>#N/A</v>
      </c>
      <c r="AE19">
        <f t="shared" si="19"/>
        <v>1.5032999999999999</v>
      </c>
      <c r="AF19" t="e">
        <f t="shared" si="20"/>
        <v>#N/A</v>
      </c>
      <c r="AG19">
        <f t="shared" si="21"/>
        <v>1.63533333333333</v>
      </c>
      <c r="AH19" t="e">
        <f t="shared" si="22"/>
        <v>#N/A</v>
      </c>
      <c r="AI19">
        <f t="shared" si="23"/>
        <v>1.5017667844523075</v>
      </c>
      <c r="AJ19" t="e">
        <f t="shared" si="24"/>
        <v>#N/A</v>
      </c>
    </row>
    <row r="20" spans="1:36" x14ac:dyDescent="0.25">
      <c r="A20" s="2">
        <v>43709</v>
      </c>
      <c r="B20">
        <v>608257</v>
      </c>
      <c r="C20">
        <v>315922</v>
      </c>
      <c r="D20">
        <v>115.4</v>
      </c>
      <c r="E20">
        <v>12874.640957</v>
      </c>
      <c r="F20">
        <v>4035359.1583779599</v>
      </c>
      <c r="G20">
        <v>5.2542623865994099E-2</v>
      </c>
      <c r="H20">
        <v>0.65953300000000004</v>
      </c>
      <c r="I20">
        <v>1.0233000000000001E-2</v>
      </c>
      <c r="J20">
        <v>1.1046666666666699E-2</v>
      </c>
      <c r="K20" t="s">
        <v>178</v>
      </c>
      <c r="L20">
        <f t="shared" si="0"/>
        <v>1.8821815014572474</v>
      </c>
      <c r="M20">
        <f t="shared" si="1"/>
        <v>0.76710353824513966</v>
      </c>
      <c r="N20">
        <f t="shared" si="2"/>
        <v>1.6740088105726914</v>
      </c>
      <c r="O20">
        <f t="shared" si="3"/>
        <v>5.25426238659941</v>
      </c>
      <c r="P20">
        <f t="shared" si="4"/>
        <v>65.953299999999999</v>
      </c>
      <c r="Q20">
        <f t="shared" si="5"/>
        <v>1.0233000000000001</v>
      </c>
      <c r="R20">
        <f t="shared" si="6"/>
        <v>1.10466666666667</v>
      </c>
      <c r="S20">
        <f t="shared" si="7"/>
        <v>88.951983777321743</v>
      </c>
      <c r="T20">
        <f t="shared" si="8"/>
        <v>93.475783686626215</v>
      </c>
      <c r="U20">
        <f t="shared" si="9"/>
        <v>1.8821815014572474</v>
      </c>
      <c r="V20" t="e">
        <f t="shared" si="10"/>
        <v>#N/A</v>
      </c>
      <c r="W20">
        <f t="shared" si="11"/>
        <v>0.76710353824513966</v>
      </c>
      <c r="X20" t="e">
        <f t="shared" si="12"/>
        <v>#N/A</v>
      </c>
      <c r="Y20">
        <f t="shared" si="13"/>
        <v>88.951983777321743</v>
      </c>
      <c r="Z20" t="e">
        <f t="shared" si="14"/>
        <v>#N/A</v>
      </c>
      <c r="AA20">
        <f t="shared" si="15"/>
        <v>93.475783686626215</v>
      </c>
      <c r="AB20" t="e">
        <f t="shared" si="16"/>
        <v>#N/A</v>
      </c>
      <c r="AC20">
        <f t="shared" si="17"/>
        <v>5.25426238659941</v>
      </c>
      <c r="AD20" t="e">
        <f t="shared" si="18"/>
        <v>#N/A</v>
      </c>
      <c r="AE20">
        <f t="shared" si="19"/>
        <v>1.0233000000000001</v>
      </c>
      <c r="AF20" t="e">
        <f t="shared" si="20"/>
        <v>#N/A</v>
      </c>
      <c r="AG20">
        <f t="shared" si="21"/>
        <v>1.10466666666667</v>
      </c>
      <c r="AH20" t="e">
        <f t="shared" si="22"/>
        <v>#N/A</v>
      </c>
      <c r="AI20">
        <f t="shared" si="23"/>
        <v>1.6740088105726914</v>
      </c>
      <c r="AJ20" t="e">
        <f t="shared" si="24"/>
        <v>#N/A</v>
      </c>
    </row>
    <row r="21" spans="1:36" x14ac:dyDescent="0.25">
      <c r="A21" s="2">
        <v>43800</v>
      </c>
      <c r="B21">
        <v>611850</v>
      </c>
      <c r="C21">
        <v>316940</v>
      </c>
      <c r="D21">
        <v>116.1</v>
      </c>
      <c r="E21">
        <v>12884.316473000001</v>
      </c>
      <c r="F21">
        <v>4035883.2480719602</v>
      </c>
      <c r="G21">
        <v>5.1726678477257197E-2</v>
      </c>
      <c r="H21">
        <v>0.65688199999999997</v>
      </c>
      <c r="I21">
        <v>8.9669999999999993E-3</v>
      </c>
      <c r="J21">
        <v>1.1303333333333301E-2</v>
      </c>
      <c r="K21" t="s">
        <v>178</v>
      </c>
      <c r="L21">
        <f t="shared" si="0"/>
        <v>2.2234028689716023</v>
      </c>
      <c r="M21">
        <f t="shared" si="1"/>
        <v>0.82937521672874492</v>
      </c>
      <c r="N21">
        <f t="shared" si="2"/>
        <v>1.8421052631578894</v>
      </c>
      <c r="O21">
        <f t="shared" si="3"/>
        <v>5.1726678477257195</v>
      </c>
      <c r="P21">
        <f t="shared" si="4"/>
        <v>65.688199999999995</v>
      </c>
      <c r="Q21">
        <f t="shared" si="5"/>
        <v>0.89669999999999994</v>
      </c>
      <c r="R21">
        <f t="shared" si="6"/>
        <v>1.1303333333333301</v>
      </c>
      <c r="S21">
        <f t="shared" si="7"/>
        <v>89.01883273607281</v>
      </c>
      <c r="T21">
        <f t="shared" si="8"/>
        <v>93.487923794345519</v>
      </c>
      <c r="U21">
        <f t="shared" si="9"/>
        <v>2.2234028689716023</v>
      </c>
      <c r="V21" t="e">
        <f t="shared" si="10"/>
        <v>#N/A</v>
      </c>
      <c r="W21">
        <f t="shared" si="11"/>
        <v>0.82937521672874492</v>
      </c>
      <c r="X21" t="e">
        <f t="shared" si="12"/>
        <v>#N/A</v>
      </c>
      <c r="Y21">
        <f t="shared" si="13"/>
        <v>89.01883273607281</v>
      </c>
      <c r="Z21" t="e">
        <f t="shared" si="14"/>
        <v>#N/A</v>
      </c>
      <c r="AA21">
        <f t="shared" si="15"/>
        <v>93.487923794345519</v>
      </c>
      <c r="AB21" t="e">
        <f t="shared" si="16"/>
        <v>#N/A</v>
      </c>
      <c r="AC21">
        <f t="shared" si="17"/>
        <v>5.1726678477257195</v>
      </c>
      <c r="AD21" t="e">
        <f t="shared" si="18"/>
        <v>#N/A</v>
      </c>
      <c r="AE21">
        <f t="shared" si="19"/>
        <v>0.89669999999999994</v>
      </c>
      <c r="AF21" t="e">
        <f t="shared" si="20"/>
        <v>#N/A</v>
      </c>
      <c r="AG21">
        <f t="shared" si="21"/>
        <v>1.1303333333333301</v>
      </c>
      <c r="AH21" t="e">
        <f t="shared" si="22"/>
        <v>#N/A</v>
      </c>
      <c r="AI21">
        <f t="shared" si="23"/>
        <v>1.8421052631578894</v>
      </c>
      <c r="AJ21" t="e">
        <f t="shared" si="24"/>
        <v>#N/A</v>
      </c>
    </row>
    <row r="22" spans="1:36" x14ac:dyDescent="0.25">
      <c r="A22" s="2">
        <v>43891</v>
      </c>
      <c r="B22">
        <v>610510</v>
      </c>
      <c r="C22">
        <v>312729</v>
      </c>
      <c r="D22">
        <v>116.7</v>
      </c>
      <c r="E22">
        <v>12929.135971</v>
      </c>
      <c r="F22">
        <v>3973874.1556518399</v>
      </c>
      <c r="G22">
        <v>5.1860208002241601E-2</v>
      </c>
      <c r="H22">
        <v>0.65640100000000001</v>
      </c>
      <c r="I22">
        <v>7.7000000000000002E-3</v>
      </c>
      <c r="J22">
        <v>1.009E-2</v>
      </c>
      <c r="K22" t="s">
        <v>178</v>
      </c>
      <c r="L22">
        <f t="shared" si="0"/>
        <v>1.2650879192148468</v>
      </c>
      <c r="M22">
        <f t="shared" si="1"/>
        <v>-0.86226299655411953</v>
      </c>
      <c r="N22">
        <f t="shared" si="2"/>
        <v>2.2787028921998242</v>
      </c>
      <c r="O22">
        <f t="shared" si="3"/>
        <v>5.1860208002241599</v>
      </c>
      <c r="P22">
        <f t="shared" si="4"/>
        <v>65.640100000000004</v>
      </c>
      <c r="Q22">
        <f t="shared" si="5"/>
        <v>0.77</v>
      </c>
      <c r="R22">
        <f t="shared" si="6"/>
        <v>1.0089999999999999</v>
      </c>
      <c r="S22">
        <f t="shared" si="7"/>
        <v>89.328494440218108</v>
      </c>
      <c r="T22">
        <f t="shared" si="8"/>
        <v>92.051534050044026</v>
      </c>
      <c r="U22">
        <f t="shared" si="9"/>
        <v>1.2650879192148468</v>
      </c>
      <c r="V22" t="e">
        <f t="shared" si="10"/>
        <v>#N/A</v>
      </c>
      <c r="W22">
        <f t="shared" si="11"/>
        <v>-0.86226299655411953</v>
      </c>
      <c r="X22" t="e">
        <f t="shared" si="12"/>
        <v>#N/A</v>
      </c>
      <c r="Y22">
        <f t="shared" si="13"/>
        <v>89.328494440218108</v>
      </c>
      <c r="Z22" t="e">
        <f t="shared" si="14"/>
        <v>#N/A</v>
      </c>
      <c r="AA22">
        <f t="shared" si="15"/>
        <v>92.051534050044026</v>
      </c>
      <c r="AB22" t="e">
        <f t="shared" si="16"/>
        <v>#N/A</v>
      </c>
      <c r="AC22">
        <f t="shared" si="17"/>
        <v>5.1860208002241599</v>
      </c>
      <c r="AD22" t="e">
        <f t="shared" si="18"/>
        <v>#N/A</v>
      </c>
      <c r="AE22">
        <f t="shared" si="19"/>
        <v>0.77</v>
      </c>
      <c r="AF22" t="e">
        <f t="shared" si="20"/>
        <v>#N/A</v>
      </c>
      <c r="AG22">
        <f t="shared" si="21"/>
        <v>1.0089999999999999</v>
      </c>
      <c r="AH22" t="e">
        <f t="shared" si="22"/>
        <v>#N/A</v>
      </c>
      <c r="AI22">
        <f t="shared" si="23"/>
        <v>2.2787028921998242</v>
      </c>
      <c r="AJ22" t="e">
        <f t="shared" si="24"/>
        <v>#N/A</v>
      </c>
    </row>
    <row r="23" spans="1:36" x14ac:dyDescent="0.25">
      <c r="A23" s="2">
        <v>43983</v>
      </c>
      <c r="B23">
        <v>569344</v>
      </c>
      <c r="C23">
        <v>272877</v>
      </c>
      <c r="D23">
        <v>114.5</v>
      </c>
      <c r="E23">
        <v>12225.515873</v>
      </c>
      <c r="F23">
        <v>3562780.6023467602</v>
      </c>
      <c r="G23">
        <v>6.9028193492877296E-2</v>
      </c>
      <c r="H23">
        <v>0.63068900000000006</v>
      </c>
      <c r="I23">
        <v>1.2329999999999999E-3</v>
      </c>
      <c r="J23">
        <v>8.9499999999999996E-3</v>
      </c>
      <c r="K23" t="s">
        <v>178</v>
      </c>
      <c r="L23">
        <f t="shared" si="0"/>
        <v>-5.8509142983764528</v>
      </c>
      <c r="M23">
        <f t="shared" si="1"/>
        <v>-13.759232395634823</v>
      </c>
      <c r="N23">
        <f t="shared" si="2"/>
        <v>-0.34812880765884291</v>
      </c>
      <c r="O23">
        <f t="shared" si="3"/>
        <v>6.9028193492877294</v>
      </c>
      <c r="P23">
        <f t="shared" si="4"/>
        <v>63.068900000000006</v>
      </c>
      <c r="Q23">
        <f t="shared" si="5"/>
        <v>0.12329999999999999</v>
      </c>
      <c r="R23">
        <f t="shared" si="6"/>
        <v>0.89500000000000002</v>
      </c>
      <c r="S23">
        <f t="shared" si="7"/>
        <v>84.467123645356153</v>
      </c>
      <c r="T23">
        <f t="shared" si="8"/>
        <v>82.528889210877267</v>
      </c>
      <c r="U23">
        <f t="shared" si="9"/>
        <v>-5.8509142983764528</v>
      </c>
      <c r="V23" t="e">
        <f t="shared" si="10"/>
        <v>#N/A</v>
      </c>
      <c r="W23">
        <f t="shared" si="11"/>
        <v>-13.759232395634823</v>
      </c>
      <c r="X23" t="e">
        <f t="shared" si="12"/>
        <v>#N/A</v>
      </c>
      <c r="Y23">
        <f t="shared" si="13"/>
        <v>84.467123645356153</v>
      </c>
      <c r="Z23" t="e">
        <f t="shared" si="14"/>
        <v>#N/A</v>
      </c>
      <c r="AA23">
        <f t="shared" si="15"/>
        <v>82.528889210877267</v>
      </c>
      <c r="AB23" t="e">
        <f t="shared" si="16"/>
        <v>#N/A</v>
      </c>
      <c r="AC23">
        <f t="shared" si="17"/>
        <v>6.9028193492877294</v>
      </c>
      <c r="AD23" t="e">
        <f t="shared" si="18"/>
        <v>#N/A</v>
      </c>
      <c r="AE23">
        <f t="shared" si="19"/>
        <v>0.12329999999999999</v>
      </c>
      <c r="AF23" t="e">
        <f t="shared" si="20"/>
        <v>#N/A</v>
      </c>
      <c r="AG23">
        <f t="shared" si="21"/>
        <v>0.89500000000000002</v>
      </c>
      <c r="AH23" t="e">
        <f t="shared" si="22"/>
        <v>#N/A</v>
      </c>
      <c r="AI23">
        <f t="shared" si="23"/>
        <v>-0.34812880765884291</v>
      </c>
      <c r="AJ23" t="e">
        <f t="shared" si="24"/>
        <v>#N/A</v>
      </c>
    </row>
    <row r="24" spans="1:36" x14ac:dyDescent="0.25">
      <c r="A24" s="2">
        <v>44075</v>
      </c>
      <c r="B24">
        <v>589128</v>
      </c>
      <c r="C24">
        <v>293617</v>
      </c>
      <c r="D24">
        <v>116.2</v>
      </c>
      <c r="E24">
        <v>12496.494381</v>
      </c>
      <c r="F24">
        <v>3756792.86297449</v>
      </c>
      <c r="G24">
        <v>7.0532384214558694E-2</v>
      </c>
      <c r="H24">
        <v>0.64567600000000003</v>
      </c>
      <c r="I24">
        <v>9.6699999999999998E-4</v>
      </c>
      <c r="J24">
        <v>8.9866666666666706E-3</v>
      </c>
      <c r="K24" t="s">
        <v>178</v>
      </c>
      <c r="L24">
        <f t="shared" si="0"/>
        <v>-3.1448877694790212</v>
      </c>
      <c r="M24">
        <f t="shared" si="1"/>
        <v>-7.060287032875201</v>
      </c>
      <c r="N24">
        <f t="shared" si="2"/>
        <v>0.69324090121316573</v>
      </c>
      <c r="O24">
        <f t="shared" si="3"/>
        <v>7.0532384214558697</v>
      </c>
      <c r="P24">
        <f t="shared" si="4"/>
        <v>64.567599999999999</v>
      </c>
      <c r="Q24">
        <f t="shared" si="5"/>
        <v>9.6699999999999994E-2</v>
      </c>
      <c r="R24">
        <f t="shared" si="6"/>
        <v>0.89866666666666706</v>
      </c>
      <c r="S24">
        <f t="shared" si="7"/>
        <v>86.339337086346404</v>
      </c>
      <c r="T24">
        <f t="shared" si="8"/>
        <v>87.023024031402315</v>
      </c>
      <c r="U24">
        <f t="shared" si="9"/>
        <v>-3.1448877694790212</v>
      </c>
      <c r="V24" t="e">
        <f t="shared" si="10"/>
        <v>#N/A</v>
      </c>
      <c r="W24">
        <f t="shared" si="11"/>
        <v>-7.060287032875201</v>
      </c>
      <c r="X24" t="e">
        <f t="shared" si="12"/>
        <v>#N/A</v>
      </c>
      <c r="Y24">
        <f t="shared" si="13"/>
        <v>86.339337086346404</v>
      </c>
      <c r="Z24" t="e">
        <f t="shared" si="14"/>
        <v>#N/A</v>
      </c>
      <c r="AA24">
        <f t="shared" si="15"/>
        <v>87.023024031402315</v>
      </c>
      <c r="AB24" t="e">
        <f t="shared" si="16"/>
        <v>#N/A</v>
      </c>
      <c r="AC24">
        <f t="shared" si="17"/>
        <v>7.0532384214558697</v>
      </c>
      <c r="AD24" t="e">
        <f t="shared" si="18"/>
        <v>#N/A</v>
      </c>
      <c r="AE24">
        <f t="shared" si="19"/>
        <v>9.6699999999999994E-2</v>
      </c>
      <c r="AF24" t="e">
        <f t="shared" si="20"/>
        <v>#N/A</v>
      </c>
      <c r="AG24">
        <f t="shared" si="21"/>
        <v>0.89866666666666706</v>
      </c>
      <c r="AH24" t="e">
        <f t="shared" si="22"/>
        <v>#N/A</v>
      </c>
      <c r="AI24">
        <f t="shared" si="23"/>
        <v>0.69324090121316573</v>
      </c>
      <c r="AJ24" t="e">
        <f t="shared" si="24"/>
        <v>#N/A</v>
      </c>
    </row>
    <row r="25" spans="1:36" x14ac:dyDescent="0.25">
      <c r="A25" s="2">
        <v>44166</v>
      </c>
      <c r="B25">
        <v>609184</v>
      </c>
      <c r="C25">
        <v>307188</v>
      </c>
      <c r="D25">
        <v>117.2</v>
      </c>
      <c r="E25">
        <v>12733.051407000001</v>
      </c>
      <c r="F25">
        <v>3861754.74334653</v>
      </c>
      <c r="G25">
        <v>6.7750888312120297E-2</v>
      </c>
      <c r="H25">
        <v>0.65593500000000005</v>
      </c>
      <c r="I25">
        <v>3.6699999999999998E-4</v>
      </c>
      <c r="J25">
        <v>8.7799999999999996E-3</v>
      </c>
      <c r="K25" t="s">
        <v>178</v>
      </c>
      <c r="L25">
        <f t="shared" si="0"/>
        <v>-0.43572771104029018</v>
      </c>
      <c r="M25">
        <f t="shared" si="1"/>
        <v>-3.0769230769230771</v>
      </c>
      <c r="N25">
        <f t="shared" si="2"/>
        <v>0.94745908699398473</v>
      </c>
      <c r="O25">
        <f t="shared" si="3"/>
        <v>6.7750888312120301</v>
      </c>
      <c r="P25">
        <f t="shared" si="4"/>
        <v>65.593500000000006</v>
      </c>
      <c r="Q25">
        <f t="shared" si="5"/>
        <v>3.6699999999999997E-2</v>
      </c>
      <c r="R25">
        <f t="shared" si="6"/>
        <v>0.878</v>
      </c>
      <c r="S25">
        <f t="shared" si="7"/>
        <v>87.973729595577709</v>
      </c>
      <c r="T25">
        <f t="shared" si="8"/>
        <v>89.454379863665366</v>
      </c>
      <c r="U25">
        <f t="shared" si="9"/>
        <v>-0.43572771104029018</v>
      </c>
      <c r="V25" t="e">
        <f t="shared" si="10"/>
        <v>#N/A</v>
      </c>
      <c r="W25">
        <f t="shared" si="11"/>
        <v>-3.0769230769230771</v>
      </c>
      <c r="X25" t="e">
        <f t="shared" si="12"/>
        <v>#N/A</v>
      </c>
      <c r="Y25">
        <f t="shared" si="13"/>
        <v>87.973729595577709</v>
      </c>
      <c r="Z25" t="e">
        <f t="shared" si="14"/>
        <v>#N/A</v>
      </c>
      <c r="AA25">
        <f t="shared" si="15"/>
        <v>89.454379863665366</v>
      </c>
      <c r="AB25" t="e">
        <f t="shared" si="16"/>
        <v>#N/A</v>
      </c>
      <c r="AC25">
        <f t="shared" si="17"/>
        <v>6.7750888312120301</v>
      </c>
      <c r="AD25" t="e">
        <f t="shared" si="18"/>
        <v>#N/A</v>
      </c>
      <c r="AE25">
        <f t="shared" si="19"/>
        <v>3.6699999999999997E-2</v>
      </c>
      <c r="AF25" t="e">
        <f t="shared" si="20"/>
        <v>#N/A</v>
      </c>
      <c r="AG25">
        <f t="shared" si="21"/>
        <v>0.878</v>
      </c>
      <c r="AH25" t="e">
        <f t="shared" si="22"/>
        <v>#N/A</v>
      </c>
      <c r="AI25">
        <f t="shared" si="23"/>
        <v>0.94745908699398473</v>
      </c>
      <c r="AJ25" t="e">
        <f t="shared" si="24"/>
        <v>#N/A</v>
      </c>
    </row>
    <row r="26" spans="1:36" x14ac:dyDescent="0.25">
      <c r="A26" s="2">
        <v>44256</v>
      </c>
      <c r="B26">
        <v>622355</v>
      </c>
      <c r="C26">
        <v>311619</v>
      </c>
      <c r="D26">
        <v>117.8</v>
      </c>
      <c r="E26">
        <v>12895.861091000001</v>
      </c>
      <c r="F26">
        <v>3921788.2741145198</v>
      </c>
      <c r="G26">
        <v>5.93127498965818E-2</v>
      </c>
      <c r="H26">
        <v>0.65791500000000003</v>
      </c>
      <c r="I26">
        <v>1.6699999999999999E-4</v>
      </c>
      <c r="J26">
        <v>1.3646666666666699E-2</v>
      </c>
      <c r="K26" t="s">
        <v>178</v>
      </c>
      <c r="L26">
        <f t="shared" si="0"/>
        <v>1.9401811600137542</v>
      </c>
      <c r="M26">
        <f t="shared" si="1"/>
        <v>-0.3549399000412512</v>
      </c>
      <c r="N26">
        <f t="shared" si="2"/>
        <v>0.9425878320479919</v>
      </c>
      <c r="O26">
        <f t="shared" si="3"/>
        <v>5.9312749896581796</v>
      </c>
      <c r="P26">
        <f t="shared" si="4"/>
        <v>65.791499999999999</v>
      </c>
      <c r="Q26">
        <f t="shared" si="5"/>
        <v>1.67E-2</v>
      </c>
      <c r="R26">
        <f t="shared" si="6"/>
        <v>1.36466666666667</v>
      </c>
      <c r="S26">
        <f t="shared" si="7"/>
        <v>89.098595478698499</v>
      </c>
      <c r="T26">
        <f t="shared" si="8"/>
        <v>90.845007343343951</v>
      </c>
      <c r="U26">
        <f t="shared" si="9"/>
        <v>1.9401811600137542</v>
      </c>
      <c r="V26" t="e">
        <f t="shared" si="10"/>
        <v>#N/A</v>
      </c>
      <c r="W26">
        <f t="shared" si="11"/>
        <v>-0.3549399000412512</v>
      </c>
      <c r="X26" t="e">
        <f t="shared" si="12"/>
        <v>#N/A</v>
      </c>
      <c r="Y26">
        <f t="shared" si="13"/>
        <v>89.098595478698499</v>
      </c>
      <c r="Z26" t="e">
        <f t="shared" si="14"/>
        <v>#N/A</v>
      </c>
      <c r="AA26">
        <f t="shared" si="15"/>
        <v>90.845007343343951</v>
      </c>
      <c r="AB26" t="e">
        <f t="shared" si="16"/>
        <v>#N/A</v>
      </c>
      <c r="AC26">
        <f t="shared" si="17"/>
        <v>5.9312749896581796</v>
      </c>
      <c r="AD26" t="e">
        <f t="shared" si="18"/>
        <v>#N/A</v>
      </c>
      <c r="AE26">
        <f t="shared" si="19"/>
        <v>1.67E-2</v>
      </c>
      <c r="AF26" t="e">
        <f t="shared" si="20"/>
        <v>#N/A</v>
      </c>
      <c r="AG26">
        <f t="shared" si="21"/>
        <v>1.36466666666667</v>
      </c>
      <c r="AH26" t="e">
        <f t="shared" si="22"/>
        <v>#N/A</v>
      </c>
      <c r="AI26">
        <f t="shared" si="23"/>
        <v>0.9425878320479919</v>
      </c>
      <c r="AJ26" t="e">
        <f t="shared" si="24"/>
        <v>#N/A</v>
      </c>
    </row>
    <row r="27" spans="1:36" x14ac:dyDescent="0.25">
      <c r="A27" s="2">
        <v>44348</v>
      </c>
      <c r="B27">
        <v>627461</v>
      </c>
      <c r="C27">
        <v>314822</v>
      </c>
      <c r="D27">
        <v>118.8</v>
      </c>
      <c r="E27">
        <v>13014.420581</v>
      </c>
      <c r="F27">
        <v>4004280.9019018002</v>
      </c>
      <c r="G27">
        <v>5.1967041086977202E-2</v>
      </c>
      <c r="H27">
        <v>0.65799600000000003</v>
      </c>
      <c r="I27">
        <v>3.6699999999999998E-4</v>
      </c>
      <c r="J27">
        <v>1.6223333333333301E-2</v>
      </c>
      <c r="K27" t="s">
        <v>178</v>
      </c>
      <c r="L27">
        <f t="shared" si="0"/>
        <v>10.207712736061158</v>
      </c>
      <c r="M27">
        <f t="shared" si="1"/>
        <v>15.371394437786989</v>
      </c>
      <c r="N27">
        <f t="shared" si="2"/>
        <v>3.7554585152838493</v>
      </c>
      <c r="O27">
        <f t="shared" si="3"/>
        <v>5.1967041086977206</v>
      </c>
      <c r="P27">
        <f t="shared" si="4"/>
        <v>65.799599999999998</v>
      </c>
      <c r="Q27">
        <f t="shared" si="5"/>
        <v>3.6699999999999997E-2</v>
      </c>
      <c r="R27">
        <f t="shared" si="6"/>
        <v>1.6223333333333301</v>
      </c>
      <c r="S27">
        <f t="shared" si="7"/>
        <v>89.917733027182408</v>
      </c>
      <c r="T27">
        <f t="shared" si="8"/>
        <v>92.755881376644297</v>
      </c>
      <c r="U27">
        <f t="shared" si="9"/>
        <v>10.207712736061158</v>
      </c>
      <c r="V27" t="e">
        <f t="shared" si="10"/>
        <v>#N/A</v>
      </c>
      <c r="W27">
        <f t="shared" si="11"/>
        <v>15.371394437786989</v>
      </c>
      <c r="X27" t="e">
        <f t="shared" si="12"/>
        <v>#N/A</v>
      </c>
      <c r="Y27">
        <f t="shared" si="13"/>
        <v>89.917733027182408</v>
      </c>
      <c r="Z27" t="e">
        <f t="shared" si="14"/>
        <v>#N/A</v>
      </c>
      <c r="AA27">
        <f t="shared" si="15"/>
        <v>92.755881376644297</v>
      </c>
      <c r="AB27" t="e">
        <f t="shared" si="16"/>
        <v>#N/A</v>
      </c>
      <c r="AC27">
        <f t="shared" si="17"/>
        <v>5.1967041086977206</v>
      </c>
      <c r="AD27" t="e">
        <f t="shared" si="18"/>
        <v>#N/A</v>
      </c>
      <c r="AE27">
        <f t="shared" si="19"/>
        <v>3.6699999999999997E-2</v>
      </c>
      <c r="AF27" t="e">
        <f t="shared" si="20"/>
        <v>#N/A</v>
      </c>
      <c r="AG27">
        <f t="shared" si="21"/>
        <v>1.6223333333333301</v>
      </c>
      <c r="AH27" t="e">
        <f t="shared" si="22"/>
        <v>#N/A</v>
      </c>
      <c r="AI27">
        <f t="shared" si="23"/>
        <v>3.7554585152838493</v>
      </c>
      <c r="AJ27" t="e">
        <f t="shared" si="24"/>
        <v>#N/A</v>
      </c>
    </row>
    <row r="28" spans="1:36" x14ac:dyDescent="0.25">
      <c r="A28" s="2">
        <v>44440</v>
      </c>
      <c r="B28">
        <v>616714</v>
      </c>
      <c r="C28">
        <v>300006</v>
      </c>
      <c r="D28">
        <v>119.7</v>
      </c>
      <c r="E28">
        <v>12955.356707000001</v>
      </c>
      <c r="F28">
        <v>3834416.0758894701</v>
      </c>
      <c r="G28">
        <v>4.66852634326635E-2</v>
      </c>
      <c r="H28">
        <v>0.65065499999999998</v>
      </c>
      <c r="I28">
        <v>1.3300000000000001E-4</v>
      </c>
      <c r="J28">
        <v>1.2236666666666699E-2</v>
      </c>
      <c r="K28" t="s">
        <v>178</v>
      </c>
      <c r="L28">
        <f t="shared" si="0"/>
        <v>4.6825138170312641</v>
      </c>
      <c r="M28">
        <f t="shared" si="1"/>
        <v>2.1759639257944885</v>
      </c>
      <c r="N28">
        <f t="shared" si="2"/>
        <v>3.0120481927710774</v>
      </c>
      <c r="O28">
        <f t="shared" si="3"/>
        <v>4.6685263432663504</v>
      </c>
      <c r="P28">
        <f t="shared" si="4"/>
        <v>65.0655</v>
      </c>
      <c r="Q28">
        <f t="shared" si="5"/>
        <v>1.3300000000000001E-2</v>
      </c>
      <c r="R28">
        <f t="shared" si="6"/>
        <v>1.22366666666667</v>
      </c>
      <c r="S28">
        <f t="shared" si="7"/>
        <v>89.509655723945684</v>
      </c>
      <c r="T28">
        <f t="shared" si="8"/>
        <v>88.821102064788107</v>
      </c>
      <c r="U28">
        <f t="shared" si="9"/>
        <v>4.6825138170312641</v>
      </c>
      <c r="V28" t="e">
        <f t="shared" si="10"/>
        <v>#N/A</v>
      </c>
      <c r="W28">
        <f t="shared" si="11"/>
        <v>2.1759639257944885</v>
      </c>
      <c r="X28" t="e">
        <f t="shared" si="12"/>
        <v>#N/A</v>
      </c>
      <c r="Y28">
        <f t="shared" si="13"/>
        <v>89.509655723945684</v>
      </c>
      <c r="Z28" t="e">
        <f t="shared" si="14"/>
        <v>#N/A</v>
      </c>
      <c r="AA28">
        <f t="shared" si="15"/>
        <v>88.821102064788107</v>
      </c>
      <c r="AB28" t="e">
        <f t="shared" si="16"/>
        <v>#N/A</v>
      </c>
      <c r="AC28">
        <f t="shared" si="17"/>
        <v>4.6685263432663504</v>
      </c>
      <c r="AD28" t="e">
        <f t="shared" si="18"/>
        <v>#N/A</v>
      </c>
      <c r="AE28">
        <f t="shared" si="19"/>
        <v>1.3300000000000001E-2</v>
      </c>
      <c r="AF28" t="e">
        <f t="shared" si="20"/>
        <v>#N/A</v>
      </c>
      <c r="AG28">
        <f t="shared" si="21"/>
        <v>1.22366666666667</v>
      </c>
      <c r="AH28" t="e">
        <f t="shared" si="22"/>
        <v>#N/A</v>
      </c>
      <c r="AI28">
        <f t="shared" si="23"/>
        <v>3.0120481927710774</v>
      </c>
      <c r="AJ28" t="e">
        <f t="shared" si="24"/>
        <v>#N/A</v>
      </c>
    </row>
    <row r="29" spans="1:36" x14ac:dyDescent="0.25">
      <c r="A29" s="2">
        <v>44531</v>
      </c>
      <c r="B29">
        <v>639091</v>
      </c>
      <c r="C29">
        <v>319366</v>
      </c>
      <c r="D29">
        <v>121.4</v>
      </c>
      <c r="E29">
        <v>13050.07785</v>
      </c>
      <c r="F29">
        <v>3930065.0583472098</v>
      </c>
      <c r="G29">
        <v>4.69089134968146E-2</v>
      </c>
      <c r="H29">
        <v>0.653976</v>
      </c>
      <c r="I29">
        <v>4.6700000000000002E-4</v>
      </c>
      <c r="J29">
        <v>1.7083333333333301E-2</v>
      </c>
      <c r="K29" t="s">
        <v>178</v>
      </c>
      <c r="L29">
        <f t="shared" si="0"/>
        <v>4.909354152439982</v>
      </c>
      <c r="M29">
        <f t="shared" si="1"/>
        <v>3.964347565660109</v>
      </c>
      <c r="N29">
        <f t="shared" si="2"/>
        <v>3.5836177474402708</v>
      </c>
      <c r="O29">
        <f t="shared" si="3"/>
        <v>4.6908913496814604</v>
      </c>
      <c r="P29">
        <f t="shared" si="4"/>
        <v>65.397599999999997</v>
      </c>
      <c r="Q29">
        <f t="shared" si="5"/>
        <v>4.6700000000000005E-2</v>
      </c>
      <c r="R29">
        <f t="shared" si="6"/>
        <v>1.7083333333333302</v>
      </c>
      <c r="S29">
        <f t="shared" si="7"/>
        <v>90.164092115892132</v>
      </c>
      <c r="T29">
        <f t="shared" si="8"/>
        <v>91.036732258572258</v>
      </c>
      <c r="U29">
        <f t="shared" si="9"/>
        <v>4.909354152439982</v>
      </c>
      <c r="V29" t="e">
        <f t="shared" si="10"/>
        <v>#N/A</v>
      </c>
      <c r="W29">
        <f t="shared" si="11"/>
        <v>3.964347565660109</v>
      </c>
      <c r="X29" t="e">
        <f t="shared" si="12"/>
        <v>#N/A</v>
      </c>
      <c r="Y29">
        <f t="shared" si="13"/>
        <v>90.164092115892132</v>
      </c>
      <c r="Z29" t="e">
        <f t="shared" si="14"/>
        <v>#N/A</v>
      </c>
      <c r="AA29">
        <f t="shared" si="15"/>
        <v>91.036732258572258</v>
      </c>
      <c r="AB29" t="e">
        <f t="shared" si="16"/>
        <v>#N/A</v>
      </c>
      <c r="AC29">
        <f t="shared" si="17"/>
        <v>4.6908913496814604</v>
      </c>
      <c r="AD29" t="e">
        <f t="shared" si="18"/>
        <v>#N/A</v>
      </c>
      <c r="AE29">
        <f t="shared" si="19"/>
        <v>4.6700000000000005E-2</v>
      </c>
      <c r="AF29" t="e">
        <f t="shared" si="20"/>
        <v>#N/A</v>
      </c>
      <c r="AG29">
        <f t="shared" si="21"/>
        <v>1.7083333333333302</v>
      </c>
      <c r="AH29" t="e">
        <f t="shared" si="22"/>
        <v>#N/A</v>
      </c>
      <c r="AI29">
        <f t="shared" si="23"/>
        <v>3.5836177474402708</v>
      </c>
      <c r="AJ29" t="e">
        <f t="shared" si="24"/>
        <v>#N/A</v>
      </c>
    </row>
    <row r="30" spans="1:36" x14ac:dyDescent="0.25">
      <c r="A30" s="2">
        <v>44621</v>
      </c>
      <c r="B30">
        <v>645027</v>
      </c>
      <c r="C30">
        <v>327173</v>
      </c>
      <c r="D30">
        <v>123.9</v>
      </c>
      <c r="E30">
        <v>13349.002640999999</v>
      </c>
      <c r="F30">
        <v>3979722.41699728</v>
      </c>
      <c r="G30">
        <v>4.0591999056974797E-2</v>
      </c>
      <c r="H30">
        <v>0.66107700000000003</v>
      </c>
      <c r="I30">
        <v>1.0330000000000001E-3</v>
      </c>
      <c r="J30">
        <v>2.1663333333333298E-2</v>
      </c>
      <c r="K30" t="s">
        <v>178</v>
      </c>
      <c r="L30">
        <f t="shared" si="0"/>
        <v>3.6429369089988839</v>
      </c>
      <c r="M30">
        <f t="shared" si="1"/>
        <v>4.991351618482831</v>
      </c>
      <c r="N30">
        <f t="shared" si="2"/>
        <v>5.1782682512733436</v>
      </c>
      <c r="O30">
        <f t="shared" si="3"/>
        <v>4.0591999056974792</v>
      </c>
      <c r="P30">
        <f t="shared" si="4"/>
        <v>66.107700000000008</v>
      </c>
      <c r="Q30">
        <f t="shared" si="5"/>
        <v>0.1033</v>
      </c>
      <c r="R30">
        <f t="shared" si="6"/>
        <v>2.1663333333333297</v>
      </c>
      <c r="S30">
        <f t="shared" si="7"/>
        <v>92.229388790842449</v>
      </c>
      <c r="T30">
        <f t="shared" si="8"/>
        <v>92.187004225315604</v>
      </c>
      <c r="U30">
        <f t="shared" si="9"/>
        <v>3.6429369089988839</v>
      </c>
      <c r="V30" t="e">
        <f t="shared" si="10"/>
        <v>#N/A</v>
      </c>
      <c r="W30">
        <f t="shared" si="11"/>
        <v>4.991351618482831</v>
      </c>
      <c r="X30" t="e">
        <f t="shared" si="12"/>
        <v>#N/A</v>
      </c>
      <c r="Y30">
        <f t="shared" si="13"/>
        <v>92.229388790842449</v>
      </c>
      <c r="Z30" t="e">
        <f t="shared" si="14"/>
        <v>#N/A</v>
      </c>
      <c r="AA30">
        <f t="shared" si="15"/>
        <v>92.187004225315604</v>
      </c>
      <c r="AB30" t="e">
        <f t="shared" si="16"/>
        <v>#N/A</v>
      </c>
      <c r="AC30">
        <f t="shared" si="17"/>
        <v>4.0591999056974792</v>
      </c>
      <c r="AD30" t="e">
        <f t="shared" si="18"/>
        <v>#N/A</v>
      </c>
      <c r="AE30">
        <f t="shared" si="19"/>
        <v>0.1033</v>
      </c>
      <c r="AF30" t="e">
        <f t="shared" si="20"/>
        <v>#N/A</v>
      </c>
      <c r="AG30">
        <f t="shared" si="21"/>
        <v>2.1663333333333297</v>
      </c>
      <c r="AH30" t="e">
        <f t="shared" si="22"/>
        <v>#N/A</v>
      </c>
      <c r="AI30">
        <f t="shared" si="23"/>
        <v>5.1782682512733436</v>
      </c>
      <c r="AJ30" t="e">
        <f t="shared" si="24"/>
        <v>#N/A</v>
      </c>
    </row>
    <row r="31" spans="1:36" x14ac:dyDescent="0.25">
      <c r="A31" s="2">
        <v>44713</v>
      </c>
      <c r="B31">
        <v>651417</v>
      </c>
      <c r="C31">
        <v>333484</v>
      </c>
      <c r="D31">
        <v>126.1</v>
      </c>
      <c r="E31">
        <v>13506.008714</v>
      </c>
      <c r="F31">
        <v>4117512.75338365</v>
      </c>
      <c r="G31">
        <v>3.7958804675848799E-2</v>
      </c>
      <c r="H31">
        <v>0.66350600000000004</v>
      </c>
      <c r="I31">
        <v>1.0033E-2</v>
      </c>
      <c r="J31">
        <v>3.3853333333333298E-2</v>
      </c>
      <c r="K31" t="s">
        <v>178</v>
      </c>
      <c r="L31">
        <f t="shared" si="0"/>
        <v>3.8179265324856937</v>
      </c>
      <c r="M31">
        <f t="shared" si="1"/>
        <v>5.9277941185812866</v>
      </c>
      <c r="N31">
        <f t="shared" si="2"/>
        <v>6.1447811447811418</v>
      </c>
      <c r="O31">
        <f t="shared" si="3"/>
        <v>3.7958804675848801</v>
      </c>
      <c r="P31">
        <f t="shared" si="4"/>
        <v>66.3506</v>
      </c>
      <c r="Q31">
        <f t="shared" si="5"/>
        <v>1.0033000000000001</v>
      </c>
      <c r="R31">
        <f t="shared" si="6"/>
        <v>3.38533333333333</v>
      </c>
      <c r="S31">
        <f t="shared" si="7"/>
        <v>93.314157034483742</v>
      </c>
      <c r="T31">
        <f t="shared" si="8"/>
        <v>95.378804303734654</v>
      </c>
      <c r="U31">
        <f t="shared" si="9"/>
        <v>3.8179265324856937</v>
      </c>
      <c r="V31" t="e">
        <f t="shared" si="10"/>
        <v>#N/A</v>
      </c>
      <c r="W31">
        <f t="shared" si="11"/>
        <v>5.9277941185812866</v>
      </c>
      <c r="X31" t="e">
        <f t="shared" si="12"/>
        <v>#N/A</v>
      </c>
      <c r="Y31">
        <f t="shared" si="13"/>
        <v>93.314157034483742</v>
      </c>
      <c r="Z31" t="e">
        <f t="shared" si="14"/>
        <v>#N/A</v>
      </c>
      <c r="AA31">
        <f t="shared" si="15"/>
        <v>95.378804303734654</v>
      </c>
      <c r="AB31" t="e">
        <f t="shared" si="16"/>
        <v>#N/A</v>
      </c>
      <c r="AC31">
        <f t="shared" si="17"/>
        <v>3.7958804675848801</v>
      </c>
      <c r="AD31" t="e">
        <f t="shared" si="18"/>
        <v>#N/A</v>
      </c>
      <c r="AE31">
        <f t="shared" si="19"/>
        <v>1.0033000000000001</v>
      </c>
      <c r="AF31" t="e">
        <f t="shared" si="20"/>
        <v>#N/A</v>
      </c>
      <c r="AG31">
        <f t="shared" si="21"/>
        <v>3.38533333333333</v>
      </c>
      <c r="AH31" t="e">
        <f t="shared" si="22"/>
        <v>#N/A</v>
      </c>
      <c r="AI31">
        <f t="shared" si="23"/>
        <v>6.1447811447811418</v>
      </c>
      <c r="AJ31" t="e">
        <f t="shared" si="24"/>
        <v>#N/A</v>
      </c>
    </row>
    <row r="32" spans="1:36" x14ac:dyDescent="0.25">
      <c r="A32" s="2">
        <v>44805</v>
      </c>
      <c r="B32">
        <v>654547</v>
      </c>
      <c r="C32">
        <v>337055</v>
      </c>
      <c r="D32">
        <v>128.4</v>
      </c>
      <c r="E32">
        <v>13644.972892</v>
      </c>
      <c r="F32">
        <v>4193904.3385465401</v>
      </c>
      <c r="G32">
        <v>3.5268422345481297E-2</v>
      </c>
      <c r="H32">
        <v>0.66433900000000001</v>
      </c>
      <c r="I32">
        <v>2.3800000000000002E-2</v>
      </c>
      <c r="J32">
        <v>3.5123333333333298E-2</v>
      </c>
      <c r="K32" t="s">
        <v>178</v>
      </c>
      <c r="L32">
        <f t="shared" si="0"/>
        <v>6.1346102082975307</v>
      </c>
      <c r="M32">
        <f t="shared" si="1"/>
        <v>12.349419678273099</v>
      </c>
      <c r="N32">
        <f t="shared" si="2"/>
        <v>7.268170426065157</v>
      </c>
      <c r="O32">
        <f t="shared" si="3"/>
        <v>3.5268422345481296</v>
      </c>
      <c r="P32">
        <f t="shared" si="4"/>
        <v>66.433899999999994</v>
      </c>
      <c r="Q32">
        <f t="shared" si="5"/>
        <v>2.3800000000000003</v>
      </c>
      <c r="R32">
        <f t="shared" si="6"/>
        <v>3.5123333333333298</v>
      </c>
      <c r="S32">
        <f t="shared" si="7"/>
        <v>94.274272298930327</v>
      </c>
      <c r="T32">
        <f t="shared" si="8"/>
        <v>97.148352690856427</v>
      </c>
      <c r="U32">
        <f t="shared" si="9"/>
        <v>6.1346102082975307</v>
      </c>
      <c r="V32" t="e">
        <f t="shared" si="10"/>
        <v>#N/A</v>
      </c>
      <c r="W32">
        <f t="shared" si="11"/>
        <v>12.349419678273099</v>
      </c>
      <c r="X32" t="e">
        <f t="shared" si="12"/>
        <v>#N/A</v>
      </c>
      <c r="Y32">
        <f t="shared" si="13"/>
        <v>94.274272298930327</v>
      </c>
      <c r="Z32" t="e">
        <f t="shared" si="14"/>
        <v>#N/A</v>
      </c>
      <c r="AA32">
        <f t="shared" si="15"/>
        <v>97.148352690856427</v>
      </c>
      <c r="AB32" t="e">
        <f t="shared" si="16"/>
        <v>#N/A</v>
      </c>
      <c r="AC32">
        <f t="shared" si="17"/>
        <v>3.5268422345481296</v>
      </c>
      <c r="AD32" t="e">
        <f t="shared" si="18"/>
        <v>#N/A</v>
      </c>
      <c r="AE32">
        <f t="shared" si="19"/>
        <v>2.3800000000000003</v>
      </c>
      <c r="AF32" t="e">
        <f t="shared" si="20"/>
        <v>#N/A</v>
      </c>
      <c r="AG32">
        <f t="shared" si="21"/>
        <v>3.5123333333333298</v>
      </c>
      <c r="AH32" t="e">
        <f t="shared" si="22"/>
        <v>#N/A</v>
      </c>
      <c r="AI32">
        <f t="shared" si="23"/>
        <v>7.268170426065157</v>
      </c>
      <c r="AJ32" t="e">
        <f t="shared" si="24"/>
        <v>#N/A</v>
      </c>
    </row>
    <row r="33" spans="1:36" x14ac:dyDescent="0.25">
      <c r="A33" s="2">
        <v>44896</v>
      </c>
      <c r="B33">
        <v>659948</v>
      </c>
      <c r="C33">
        <v>340288</v>
      </c>
      <c r="D33">
        <v>131</v>
      </c>
      <c r="E33">
        <v>13758.089693</v>
      </c>
      <c r="F33">
        <v>4276699.30271261</v>
      </c>
      <c r="G33">
        <v>3.4945715068553498E-2</v>
      </c>
      <c r="H33">
        <v>0.66502300000000003</v>
      </c>
      <c r="I33">
        <v>3.0599999999999999E-2</v>
      </c>
      <c r="J33">
        <v>3.7220000000000003E-2</v>
      </c>
      <c r="K33" t="s">
        <v>178</v>
      </c>
      <c r="L33">
        <f t="shared" si="0"/>
        <v>3.2635414987849831</v>
      </c>
      <c r="M33">
        <f t="shared" si="1"/>
        <v>6.5511043755440479</v>
      </c>
      <c r="N33">
        <f t="shared" si="2"/>
        <v>7.9077429983525516</v>
      </c>
      <c r="O33">
        <f t="shared" si="3"/>
        <v>3.4945715068553498</v>
      </c>
      <c r="P33">
        <f t="shared" si="4"/>
        <v>66.502300000000005</v>
      </c>
      <c r="Q33">
        <f t="shared" si="5"/>
        <v>3.06</v>
      </c>
      <c r="R33">
        <f t="shared" si="6"/>
        <v>3.7220000000000004</v>
      </c>
      <c r="S33">
        <f t="shared" si="7"/>
        <v>95.055805848572646</v>
      </c>
      <c r="T33">
        <f t="shared" si="8"/>
        <v>99.066230098289068</v>
      </c>
      <c r="U33">
        <f t="shared" si="9"/>
        <v>3.2635414987849831</v>
      </c>
      <c r="V33" t="e">
        <f t="shared" si="10"/>
        <v>#N/A</v>
      </c>
      <c r="W33">
        <f t="shared" si="11"/>
        <v>6.5511043755440479</v>
      </c>
      <c r="X33" t="e">
        <f t="shared" si="12"/>
        <v>#N/A</v>
      </c>
      <c r="Y33">
        <f t="shared" si="13"/>
        <v>95.055805848572646</v>
      </c>
      <c r="Z33" t="e">
        <f t="shared" si="14"/>
        <v>#N/A</v>
      </c>
      <c r="AA33">
        <f t="shared" si="15"/>
        <v>99.066230098289068</v>
      </c>
      <c r="AB33" t="e">
        <f t="shared" si="16"/>
        <v>#N/A</v>
      </c>
      <c r="AC33">
        <f t="shared" si="17"/>
        <v>3.4945715068553498</v>
      </c>
      <c r="AD33" t="e">
        <f t="shared" si="18"/>
        <v>#N/A</v>
      </c>
      <c r="AE33">
        <f t="shared" si="19"/>
        <v>3.06</v>
      </c>
      <c r="AF33" t="e">
        <f t="shared" si="20"/>
        <v>#N/A</v>
      </c>
      <c r="AG33">
        <f t="shared" si="21"/>
        <v>3.7220000000000004</v>
      </c>
      <c r="AH33" t="e">
        <f t="shared" si="22"/>
        <v>#N/A</v>
      </c>
      <c r="AI33">
        <f t="shared" si="23"/>
        <v>7.9077429983525516</v>
      </c>
      <c r="AJ33" t="e">
        <f t="shared" si="24"/>
        <v>#N/A</v>
      </c>
    </row>
    <row r="34" spans="1:36" x14ac:dyDescent="0.25">
      <c r="A34" s="2">
        <v>44986</v>
      </c>
      <c r="B34">
        <v>663102</v>
      </c>
      <c r="C34">
        <v>342730</v>
      </c>
      <c r="D34">
        <v>132.69999999999999</v>
      </c>
      <c r="E34">
        <v>13856.299854999999</v>
      </c>
      <c r="F34">
        <v>4278451.3293707799</v>
      </c>
      <c r="G34">
        <v>3.6209224092878599E-2</v>
      </c>
      <c r="H34">
        <v>0.66519399999999995</v>
      </c>
      <c r="I34">
        <v>3.4733E-2</v>
      </c>
      <c r="J34">
        <v>3.5913333333333297E-2</v>
      </c>
      <c r="K34" t="s">
        <v>178</v>
      </c>
      <c r="L34">
        <f t="shared" ref="L34:L65" si="25">IF(ROW()&lt;=5,NA(),IFERROR(100*(B34/INDEX(B:B,ROW()-4)-1),NA()))</f>
        <v>2.8022082796534065</v>
      </c>
      <c r="M34">
        <f t="shared" ref="M34:M65" si="26">IF(ROW()&lt;=5,NA(),IFERROR(100*(C34/INDEX(C:C,ROW()-4)-1),NA()))</f>
        <v>4.7549767248519892</v>
      </c>
      <c r="N34">
        <f t="shared" ref="N34:N65" si="27">IF(ROW()&lt;=5,NA(),IFERROR(100*(D34/INDEX(D:D,ROW()-4)-1),NA()))</f>
        <v>7.1025020177562403</v>
      </c>
      <c r="O34">
        <f t="shared" ref="O34:O65" si="28">100*G34</f>
        <v>3.6209224092878598</v>
      </c>
      <c r="P34">
        <f t="shared" ref="P34:P65" si="29">100*H34</f>
        <v>66.51939999999999</v>
      </c>
      <c r="Q34">
        <f t="shared" ref="Q34:Q65" si="30">100*I34</f>
        <v>3.4733000000000001</v>
      </c>
      <c r="R34">
        <f t="shared" ref="R34:R65" si="31">100*J34</f>
        <v>3.5913333333333295</v>
      </c>
      <c r="S34">
        <f t="shared" ref="S34:S65" si="32">IFERROR(100*E34/INDEX(E:E,MATCH(DATE(2024,12,1),A:A,0)),NA())</f>
        <v>95.734348168018244</v>
      </c>
      <c r="T34">
        <f t="shared" ref="T34:T65" si="33">IFERROR(100*F34/INDEX(F:F,MATCH(DATE(2024,12,1),A:A,0)),NA())</f>
        <v>99.10681435819869</v>
      </c>
      <c r="U34">
        <f t="shared" ref="U34:U65" si="34">IF($K34="Actual",L34,NA())</f>
        <v>2.8022082796534065</v>
      </c>
      <c r="V34" t="e">
        <f t="shared" ref="V34:V65" si="35">IF($A34&gt;=DATE(2024,12,1),L34,NA())</f>
        <v>#N/A</v>
      </c>
      <c r="W34">
        <f t="shared" ref="W34:W65" si="36">IF($K34="Actual",M34,NA())</f>
        <v>4.7549767248519892</v>
      </c>
      <c r="X34" t="e">
        <f t="shared" ref="X34:X65" si="37">IF($A34&gt;=DATE(2024,12,1),M34,NA())</f>
        <v>#N/A</v>
      </c>
      <c r="Y34">
        <f t="shared" ref="Y34:Y65" si="38">IF($K34="Actual",S34,NA())</f>
        <v>95.734348168018244</v>
      </c>
      <c r="Z34" t="e">
        <f t="shared" ref="Z34:Z65" si="39">IF($A34&gt;=DATE(2024,12,1),S34,NA())</f>
        <v>#N/A</v>
      </c>
      <c r="AA34">
        <f t="shared" ref="AA34:AA65" si="40">IF($K34="Actual",T34,NA())</f>
        <v>99.10681435819869</v>
      </c>
      <c r="AB34" t="e">
        <f t="shared" ref="AB34:AB65" si="41">IF($A34&gt;=DATE(2024,12,1),T34,NA())</f>
        <v>#N/A</v>
      </c>
      <c r="AC34">
        <f t="shared" ref="AC34:AC65" si="42">IF($K34="Actual",O34,NA())</f>
        <v>3.6209224092878598</v>
      </c>
      <c r="AD34" t="e">
        <f t="shared" ref="AD34:AD65" si="43">IF($A34&gt;=DATE(2024,12,1),O34,NA())</f>
        <v>#N/A</v>
      </c>
      <c r="AE34">
        <f t="shared" ref="AE34:AE65" si="44">IF($K34="Actual",Q34,NA())</f>
        <v>3.4733000000000001</v>
      </c>
      <c r="AF34" t="e">
        <f t="shared" ref="AF34:AF65" si="45">IF($A34&gt;=DATE(2024,12,1),Q34,NA())</f>
        <v>#N/A</v>
      </c>
      <c r="AG34">
        <f t="shared" ref="AG34:AG65" si="46">IF($K34="Actual",R34,NA())</f>
        <v>3.5913333333333295</v>
      </c>
      <c r="AH34" t="e">
        <f t="shared" ref="AH34:AH65" si="47">IF($A34&gt;=DATE(2024,12,1),R34,NA())</f>
        <v>#N/A</v>
      </c>
      <c r="AI34">
        <f t="shared" ref="AI34:AI65" si="48">IF($K34="Actual",N34,NA())</f>
        <v>7.1025020177562403</v>
      </c>
      <c r="AJ34" t="e">
        <f t="shared" ref="AJ34:AJ65" si="49">IF($A34&gt;=DATE(2024,12,1),N34,NA())</f>
        <v>#N/A</v>
      </c>
    </row>
    <row r="35" spans="1:36" x14ac:dyDescent="0.25">
      <c r="A35" s="2">
        <v>45078</v>
      </c>
      <c r="B35">
        <v>666120</v>
      </c>
      <c r="C35">
        <v>344199</v>
      </c>
      <c r="D35">
        <v>133.80000000000001</v>
      </c>
      <c r="E35">
        <v>13991.100267</v>
      </c>
      <c r="F35">
        <v>4332739.1289874297</v>
      </c>
      <c r="G35">
        <v>3.5996186053415098E-2</v>
      </c>
      <c r="H35">
        <v>0.66665700000000006</v>
      </c>
      <c r="I35">
        <v>3.9366999999999999E-2</v>
      </c>
      <c r="J35">
        <v>3.5863333333333303E-2</v>
      </c>
      <c r="K35" t="s">
        <v>178</v>
      </c>
      <c r="L35">
        <f t="shared" si="25"/>
        <v>2.2570795665449284</v>
      </c>
      <c r="M35">
        <f t="shared" si="26"/>
        <v>3.2130477024384874</v>
      </c>
      <c r="N35">
        <f t="shared" si="27"/>
        <v>6.1062648691514898</v>
      </c>
      <c r="O35">
        <f t="shared" si="28"/>
        <v>3.5996186053415098</v>
      </c>
      <c r="P35">
        <f t="shared" si="29"/>
        <v>66.665700000000001</v>
      </c>
      <c r="Q35">
        <f t="shared" si="30"/>
        <v>3.9367000000000001</v>
      </c>
      <c r="R35">
        <f t="shared" si="31"/>
        <v>3.5863333333333305</v>
      </c>
      <c r="S35">
        <f t="shared" si="32"/>
        <v>96.665695620848055</v>
      </c>
      <c r="T35">
        <f t="shared" si="33"/>
        <v>100.3643466904208</v>
      </c>
      <c r="U35">
        <f t="shared" si="34"/>
        <v>2.2570795665449284</v>
      </c>
      <c r="V35" t="e">
        <f t="shared" si="35"/>
        <v>#N/A</v>
      </c>
      <c r="W35">
        <f t="shared" si="36"/>
        <v>3.2130477024384874</v>
      </c>
      <c r="X35" t="e">
        <f t="shared" si="37"/>
        <v>#N/A</v>
      </c>
      <c r="Y35">
        <f t="shared" si="38"/>
        <v>96.665695620848055</v>
      </c>
      <c r="Z35" t="e">
        <f t="shared" si="39"/>
        <v>#N/A</v>
      </c>
      <c r="AA35">
        <f t="shared" si="40"/>
        <v>100.3643466904208</v>
      </c>
      <c r="AB35" t="e">
        <f t="shared" si="41"/>
        <v>#N/A</v>
      </c>
      <c r="AC35">
        <f t="shared" si="42"/>
        <v>3.5996186053415098</v>
      </c>
      <c r="AD35" t="e">
        <f t="shared" si="43"/>
        <v>#N/A</v>
      </c>
      <c r="AE35">
        <f t="shared" si="44"/>
        <v>3.9367000000000001</v>
      </c>
      <c r="AF35" t="e">
        <f t="shared" si="45"/>
        <v>#N/A</v>
      </c>
      <c r="AG35">
        <f t="shared" si="46"/>
        <v>3.5863333333333305</v>
      </c>
      <c r="AH35" t="e">
        <f t="shared" si="47"/>
        <v>#N/A</v>
      </c>
      <c r="AI35">
        <f t="shared" si="48"/>
        <v>6.1062648691514898</v>
      </c>
      <c r="AJ35" t="e">
        <f t="shared" si="49"/>
        <v>#N/A</v>
      </c>
    </row>
    <row r="36" spans="1:36" x14ac:dyDescent="0.25">
      <c r="A36" s="2">
        <v>45170</v>
      </c>
      <c r="B36">
        <v>668806</v>
      </c>
      <c r="C36">
        <v>343778</v>
      </c>
      <c r="D36">
        <v>135.19999999999999</v>
      </c>
      <c r="E36">
        <v>14075.518732</v>
      </c>
      <c r="F36">
        <v>4298576.6209926698</v>
      </c>
      <c r="G36">
        <v>3.6538645605188103E-2</v>
      </c>
      <c r="H36">
        <v>0.66623299999999996</v>
      </c>
      <c r="I36">
        <v>4.1932999999999998E-2</v>
      </c>
      <c r="J36">
        <v>4.1250000000000002E-2</v>
      </c>
      <c r="K36" t="s">
        <v>178</v>
      </c>
      <c r="L36">
        <f t="shared" si="25"/>
        <v>2.1784531897633075</v>
      </c>
      <c r="M36">
        <f t="shared" si="26"/>
        <v>1.9946299565352765</v>
      </c>
      <c r="N36">
        <f t="shared" si="27"/>
        <v>5.2959501557632294</v>
      </c>
      <c r="O36">
        <f t="shared" si="28"/>
        <v>3.6538645605188105</v>
      </c>
      <c r="P36">
        <f t="shared" si="29"/>
        <v>66.6233</v>
      </c>
      <c r="Q36">
        <f t="shared" si="30"/>
        <v>4.1932999999999998</v>
      </c>
      <c r="R36">
        <f t="shared" si="31"/>
        <v>4.125</v>
      </c>
      <c r="S36">
        <f t="shared" si="32"/>
        <v>97.248949938717288</v>
      </c>
      <c r="T36">
        <f t="shared" si="33"/>
        <v>99.573000224795578</v>
      </c>
      <c r="U36">
        <f t="shared" si="34"/>
        <v>2.1784531897633075</v>
      </c>
      <c r="V36" t="e">
        <f t="shared" si="35"/>
        <v>#N/A</v>
      </c>
      <c r="W36">
        <f t="shared" si="36"/>
        <v>1.9946299565352765</v>
      </c>
      <c r="X36" t="e">
        <f t="shared" si="37"/>
        <v>#N/A</v>
      </c>
      <c r="Y36">
        <f t="shared" si="38"/>
        <v>97.248949938717288</v>
      </c>
      <c r="Z36" t="e">
        <f t="shared" si="39"/>
        <v>#N/A</v>
      </c>
      <c r="AA36">
        <f t="shared" si="40"/>
        <v>99.573000224795578</v>
      </c>
      <c r="AB36" t="e">
        <f t="shared" si="41"/>
        <v>#N/A</v>
      </c>
      <c r="AC36">
        <f t="shared" si="42"/>
        <v>3.6538645605188105</v>
      </c>
      <c r="AD36" t="e">
        <f t="shared" si="43"/>
        <v>#N/A</v>
      </c>
      <c r="AE36">
        <f t="shared" si="44"/>
        <v>4.1932999999999998</v>
      </c>
      <c r="AF36" t="e">
        <f t="shared" si="45"/>
        <v>#N/A</v>
      </c>
      <c r="AG36">
        <f t="shared" si="46"/>
        <v>4.125</v>
      </c>
      <c r="AH36" t="e">
        <f t="shared" si="47"/>
        <v>#N/A</v>
      </c>
      <c r="AI36">
        <f t="shared" si="48"/>
        <v>5.2959501557632294</v>
      </c>
      <c r="AJ36" t="e">
        <f t="shared" si="49"/>
        <v>#N/A</v>
      </c>
    </row>
    <row r="37" spans="1:36" x14ac:dyDescent="0.25">
      <c r="A37" s="2">
        <v>45261</v>
      </c>
      <c r="B37">
        <v>668754</v>
      </c>
      <c r="C37">
        <v>343920</v>
      </c>
      <c r="D37">
        <v>136.30000000000001</v>
      </c>
      <c r="E37">
        <v>14166.989551999999</v>
      </c>
      <c r="F37">
        <v>4279725.1176209701</v>
      </c>
      <c r="G37">
        <v>3.9009383037343102E-2</v>
      </c>
      <c r="H37">
        <v>0.66810499999999995</v>
      </c>
      <c r="I37">
        <v>4.3132999999999998E-2</v>
      </c>
      <c r="J37">
        <v>4.4659999999999998E-2</v>
      </c>
      <c r="K37" t="s">
        <v>178</v>
      </c>
      <c r="L37">
        <f t="shared" si="25"/>
        <v>1.3343475546558237</v>
      </c>
      <c r="M37">
        <f t="shared" si="26"/>
        <v>1.0673312018055325</v>
      </c>
      <c r="N37">
        <f t="shared" si="27"/>
        <v>4.0458015267175629</v>
      </c>
      <c r="O37">
        <f t="shared" si="28"/>
        <v>3.9009383037343102</v>
      </c>
      <c r="P37">
        <f t="shared" si="29"/>
        <v>66.81049999999999</v>
      </c>
      <c r="Q37">
        <f t="shared" si="30"/>
        <v>4.3132999999999999</v>
      </c>
      <c r="R37">
        <f t="shared" si="31"/>
        <v>4.4660000000000002</v>
      </c>
      <c r="S37">
        <f t="shared" si="32"/>
        <v>97.880929574026226</v>
      </c>
      <c r="T37">
        <f t="shared" si="33"/>
        <v>99.136320617806376</v>
      </c>
      <c r="U37">
        <f t="shared" si="34"/>
        <v>1.3343475546558237</v>
      </c>
      <c r="V37" t="e">
        <f t="shared" si="35"/>
        <v>#N/A</v>
      </c>
      <c r="W37">
        <f t="shared" si="36"/>
        <v>1.0673312018055325</v>
      </c>
      <c r="X37" t="e">
        <f t="shared" si="37"/>
        <v>#N/A</v>
      </c>
      <c r="Y37">
        <f t="shared" si="38"/>
        <v>97.880929574026226</v>
      </c>
      <c r="Z37" t="e">
        <f t="shared" si="39"/>
        <v>#N/A</v>
      </c>
      <c r="AA37">
        <f t="shared" si="40"/>
        <v>99.136320617806376</v>
      </c>
      <c r="AB37" t="e">
        <f t="shared" si="41"/>
        <v>#N/A</v>
      </c>
      <c r="AC37">
        <f t="shared" si="42"/>
        <v>3.9009383037343102</v>
      </c>
      <c r="AD37" t="e">
        <f t="shared" si="43"/>
        <v>#N/A</v>
      </c>
      <c r="AE37">
        <f t="shared" si="44"/>
        <v>4.3132999999999999</v>
      </c>
      <c r="AF37" t="e">
        <f t="shared" si="45"/>
        <v>#N/A</v>
      </c>
      <c r="AG37">
        <f t="shared" si="46"/>
        <v>4.4660000000000002</v>
      </c>
      <c r="AH37" t="e">
        <f t="shared" si="47"/>
        <v>#N/A</v>
      </c>
      <c r="AI37">
        <f t="shared" si="48"/>
        <v>4.0458015267175629</v>
      </c>
      <c r="AJ37" t="e">
        <f t="shared" si="49"/>
        <v>#N/A</v>
      </c>
    </row>
    <row r="38" spans="1:36" x14ac:dyDescent="0.25">
      <c r="A38" s="2">
        <v>45352</v>
      </c>
      <c r="B38">
        <v>670388</v>
      </c>
      <c r="C38">
        <v>345893</v>
      </c>
      <c r="D38">
        <v>137.5</v>
      </c>
      <c r="E38">
        <v>14208.531989999999</v>
      </c>
      <c r="F38">
        <v>4245746.09507492</v>
      </c>
      <c r="G38">
        <v>3.9083783438332603E-2</v>
      </c>
      <c r="H38">
        <v>0.66583099999999995</v>
      </c>
      <c r="I38">
        <v>4.3466999999999999E-2</v>
      </c>
      <c r="J38">
        <v>4.11133333333333E-2</v>
      </c>
      <c r="K38" t="s">
        <v>178</v>
      </c>
      <c r="L38">
        <f t="shared" si="25"/>
        <v>1.0987751507309573</v>
      </c>
      <c r="M38">
        <f t="shared" si="26"/>
        <v>0.9228839027806135</v>
      </c>
      <c r="N38">
        <f t="shared" si="27"/>
        <v>3.6171816126601364</v>
      </c>
      <c r="O38">
        <f t="shared" si="28"/>
        <v>3.9083783438332604</v>
      </c>
      <c r="P38">
        <f t="shared" si="29"/>
        <v>66.583100000000002</v>
      </c>
      <c r="Q38">
        <f t="shared" si="30"/>
        <v>4.3467000000000002</v>
      </c>
      <c r="R38">
        <f t="shared" si="31"/>
        <v>4.11133333333333</v>
      </c>
      <c r="S38">
        <f t="shared" si="32"/>
        <v>98.167949793338607</v>
      </c>
      <c r="T38">
        <f t="shared" si="33"/>
        <v>98.349224442041375</v>
      </c>
      <c r="U38">
        <f t="shared" si="34"/>
        <v>1.0987751507309573</v>
      </c>
      <c r="V38" t="e">
        <f t="shared" si="35"/>
        <v>#N/A</v>
      </c>
      <c r="W38">
        <f t="shared" si="36"/>
        <v>0.9228839027806135</v>
      </c>
      <c r="X38" t="e">
        <f t="shared" si="37"/>
        <v>#N/A</v>
      </c>
      <c r="Y38">
        <f t="shared" si="38"/>
        <v>98.167949793338607</v>
      </c>
      <c r="Z38" t="e">
        <f t="shared" si="39"/>
        <v>#N/A</v>
      </c>
      <c r="AA38">
        <f t="shared" si="40"/>
        <v>98.349224442041375</v>
      </c>
      <c r="AB38" t="e">
        <f t="shared" si="41"/>
        <v>#N/A</v>
      </c>
      <c r="AC38">
        <f t="shared" si="42"/>
        <v>3.9083783438332604</v>
      </c>
      <c r="AD38" t="e">
        <f t="shared" si="43"/>
        <v>#N/A</v>
      </c>
      <c r="AE38">
        <f t="shared" si="44"/>
        <v>4.3467000000000002</v>
      </c>
      <c r="AF38" t="e">
        <f t="shared" si="45"/>
        <v>#N/A</v>
      </c>
      <c r="AG38">
        <f t="shared" si="46"/>
        <v>4.11133333333333</v>
      </c>
      <c r="AH38" t="e">
        <f t="shared" si="47"/>
        <v>#N/A</v>
      </c>
      <c r="AI38">
        <f t="shared" si="48"/>
        <v>3.6171816126601364</v>
      </c>
      <c r="AJ38" t="e">
        <f t="shared" si="49"/>
        <v>#N/A</v>
      </c>
    </row>
    <row r="39" spans="1:36" x14ac:dyDescent="0.25">
      <c r="A39" s="2">
        <v>45444</v>
      </c>
      <c r="B39">
        <v>672076</v>
      </c>
      <c r="C39">
        <v>344825</v>
      </c>
      <c r="D39">
        <v>138.9</v>
      </c>
      <c r="E39">
        <v>14294.694590999999</v>
      </c>
      <c r="F39">
        <v>4274602.4454667103</v>
      </c>
      <c r="G39">
        <v>4.0347055130737601E-2</v>
      </c>
      <c r="H39">
        <v>0.66763799999999995</v>
      </c>
      <c r="I39">
        <v>4.3733000000000001E-2</v>
      </c>
      <c r="J39">
        <v>4.2783333333333298E-2</v>
      </c>
      <c r="K39" t="s">
        <v>178</v>
      </c>
      <c r="L39">
        <f t="shared" si="25"/>
        <v>0.89413318921516272</v>
      </c>
      <c r="M39">
        <f t="shared" si="26"/>
        <v>0.18187153361863828</v>
      </c>
      <c r="N39">
        <f t="shared" si="27"/>
        <v>3.811659192825112</v>
      </c>
      <c r="O39">
        <f t="shared" si="28"/>
        <v>4.0347055130737601</v>
      </c>
      <c r="P39">
        <f t="shared" si="29"/>
        <v>66.763799999999989</v>
      </c>
      <c r="Q39">
        <f t="shared" si="30"/>
        <v>4.3733000000000004</v>
      </c>
      <c r="R39">
        <f t="shared" si="31"/>
        <v>4.2783333333333298</v>
      </c>
      <c r="S39">
        <f t="shared" si="32"/>
        <v>98.763254494414298</v>
      </c>
      <c r="T39">
        <f t="shared" si="33"/>
        <v>99.017658120765702</v>
      </c>
      <c r="U39">
        <f t="shared" si="34"/>
        <v>0.89413318921516272</v>
      </c>
      <c r="V39" t="e">
        <f t="shared" si="35"/>
        <v>#N/A</v>
      </c>
      <c r="W39">
        <f t="shared" si="36"/>
        <v>0.18187153361863828</v>
      </c>
      <c r="X39" t="e">
        <f t="shared" si="37"/>
        <v>#N/A</v>
      </c>
      <c r="Y39">
        <f t="shared" si="38"/>
        <v>98.763254494414298</v>
      </c>
      <c r="Z39" t="e">
        <f t="shared" si="39"/>
        <v>#N/A</v>
      </c>
      <c r="AA39">
        <f t="shared" si="40"/>
        <v>99.017658120765702</v>
      </c>
      <c r="AB39" t="e">
        <f t="shared" si="41"/>
        <v>#N/A</v>
      </c>
      <c r="AC39">
        <f t="shared" si="42"/>
        <v>4.0347055130737601</v>
      </c>
      <c r="AD39" t="e">
        <f t="shared" si="43"/>
        <v>#N/A</v>
      </c>
      <c r="AE39">
        <f t="shared" si="44"/>
        <v>4.3733000000000004</v>
      </c>
      <c r="AF39" t="e">
        <f t="shared" si="45"/>
        <v>#N/A</v>
      </c>
      <c r="AG39">
        <f t="shared" si="46"/>
        <v>4.2783333333333298</v>
      </c>
      <c r="AH39" t="e">
        <f t="shared" si="47"/>
        <v>#N/A</v>
      </c>
      <c r="AI39">
        <f t="shared" si="48"/>
        <v>3.811659192825112</v>
      </c>
      <c r="AJ39" t="e">
        <f t="shared" si="49"/>
        <v>#N/A</v>
      </c>
    </row>
    <row r="40" spans="1:36" x14ac:dyDescent="0.25">
      <c r="A40" s="2">
        <v>45536</v>
      </c>
      <c r="B40">
        <v>674130</v>
      </c>
      <c r="C40">
        <v>345185</v>
      </c>
      <c r="D40">
        <v>139.1</v>
      </c>
      <c r="E40">
        <v>14411.248641</v>
      </c>
      <c r="F40">
        <v>4308933.3867494296</v>
      </c>
      <c r="G40">
        <v>4.1169677887682797E-2</v>
      </c>
      <c r="H40">
        <v>0.67080499999999998</v>
      </c>
      <c r="I40">
        <v>4.4200000000000003E-2</v>
      </c>
      <c r="J40">
        <v>4.0746666666666702E-2</v>
      </c>
      <c r="K40" t="s">
        <v>178</v>
      </c>
      <c r="L40">
        <f t="shared" si="25"/>
        <v>0.79604549002252334</v>
      </c>
      <c r="M40">
        <f t="shared" si="26"/>
        <v>0.40927575353861823</v>
      </c>
      <c r="N40">
        <f t="shared" si="27"/>
        <v>2.8846153846153966</v>
      </c>
      <c r="O40">
        <f t="shared" si="28"/>
        <v>4.1169677887682798</v>
      </c>
      <c r="P40">
        <f t="shared" si="29"/>
        <v>67.080500000000001</v>
      </c>
      <c r="Q40">
        <f t="shared" si="30"/>
        <v>4.42</v>
      </c>
      <c r="R40">
        <f t="shared" si="31"/>
        <v>4.07466666666667</v>
      </c>
      <c r="S40">
        <f t="shared" si="32"/>
        <v>99.56853628824517</v>
      </c>
      <c r="T40">
        <f t="shared" si="33"/>
        <v>99.812906205298447</v>
      </c>
      <c r="U40">
        <f t="shared" si="34"/>
        <v>0.79604549002252334</v>
      </c>
      <c r="V40" t="e">
        <f t="shared" si="35"/>
        <v>#N/A</v>
      </c>
      <c r="W40">
        <f t="shared" si="36"/>
        <v>0.40927575353861823</v>
      </c>
      <c r="X40" t="e">
        <f t="shared" si="37"/>
        <v>#N/A</v>
      </c>
      <c r="Y40">
        <f t="shared" si="38"/>
        <v>99.56853628824517</v>
      </c>
      <c r="Z40" t="e">
        <f t="shared" si="39"/>
        <v>#N/A</v>
      </c>
      <c r="AA40">
        <f t="shared" si="40"/>
        <v>99.812906205298447</v>
      </c>
      <c r="AB40" t="e">
        <f t="shared" si="41"/>
        <v>#N/A</v>
      </c>
      <c r="AC40">
        <f t="shared" si="42"/>
        <v>4.1169677887682798</v>
      </c>
      <c r="AD40" t="e">
        <f t="shared" si="43"/>
        <v>#N/A</v>
      </c>
      <c r="AE40">
        <f t="shared" si="44"/>
        <v>4.42</v>
      </c>
      <c r="AF40" t="e">
        <f t="shared" si="45"/>
        <v>#N/A</v>
      </c>
      <c r="AG40">
        <f t="shared" si="46"/>
        <v>4.07466666666667</v>
      </c>
      <c r="AH40" t="e">
        <f t="shared" si="47"/>
        <v>#N/A</v>
      </c>
      <c r="AI40">
        <f t="shared" si="48"/>
        <v>2.8846153846153966</v>
      </c>
      <c r="AJ40" t="e">
        <f t="shared" si="49"/>
        <v>#N/A</v>
      </c>
    </row>
    <row r="41" spans="1:36" x14ac:dyDescent="0.25">
      <c r="A41" s="2">
        <v>45627</v>
      </c>
      <c r="B41">
        <v>677077</v>
      </c>
      <c r="C41">
        <v>347360</v>
      </c>
      <c r="D41">
        <v>139.6</v>
      </c>
      <c r="E41">
        <v>14473.697393</v>
      </c>
      <c r="F41">
        <v>4317010.2450345196</v>
      </c>
      <c r="G41">
        <v>4.0104317213699898E-2</v>
      </c>
      <c r="H41">
        <v>0.67011699999999996</v>
      </c>
      <c r="I41">
        <v>4.4233000000000001E-2</v>
      </c>
      <c r="J41">
        <v>4.3746666666666698E-2</v>
      </c>
      <c r="K41" t="s">
        <v>178</v>
      </c>
      <c r="L41">
        <f t="shared" si="25"/>
        <v>1.2445533036063994</v>
      </c>
      <c r="M41">
        <f t="shared" si="26"/>
        <v>1.0002326122354077</v>
      </c>
      <c r="N41">
        <f t="shared" si="27"/>
        <v>2.4211298606016118</v>
      </c>
      <c r="O41">
        <f t="shared" si="28"/>
        <v>4.01043172136999</v>
      </c>
      <c r="P41">
        <f t="shared" si="29"/>
        <v>67.01169999999999</v>
      </c>
      <c r="Q41">
        <f t="shared" si="30"/>
        <v>4.4233000000000002</v>
      </c>
      <c r="R41">
        <f t="shared" si="31"/>
        <v>4.3746666666666698</v>
      </c>
      <c r="S41">
        <f t="shared" si="32"/>
        <v>100</v>
      </c>
      <c r="T41">
        <f t="shared" si="33"/>
        <v>100</v>
      </c>
      <c r="U41">
        <f t="shared" si="34"/>
        <v>1.2445533036063994</v>
      </c>
      <c r="V41">
        <f t="shared" si="35"/>
        <v>1.2445533036063994</v>
      </c>
      <c r="W41">
        <f t="shared" si="36"/>
        <v>1.0002326122354077</v>
      </c>
      <c r="X41">
        <f t="shared" si="37"/>
        <v>1.0002326122354077</v>
      </c>
      <c r="Y41">
        <f t="shared" si="38"/>
        <v>100</v>
      </c>
      <c r="Z41">
        <f t="shared" si="39"/>
        <v>100</v>
      </c>
      <c r="AA41">
        <f t="shared" si="40"/>
        <v>100</v>
      </c>
      <c r="AB41">
        <f t="shared" si="41"/>
        <v>100</v>
      </c>
      <c r="AC41">
        <f t="shared" si="42"/>
        <v>4.01043172136999</v>
      </c>
      <c r="AD41">
        <f t="shared" si="43"/>
        <v>4.01043172136999</v>
      </c>
      <c r="AE41">
        <f t="shared" si="44"/>
        <v>4.4233000000000002</v>
      </c>
      <c r="AF41">
        <f t="shared" si="45"/>
        <v>4.4233000000000002</v>
      </c>
      <c r="AG41">
        <f t="shared" si="46"/>
        <v>4.3746666666666698</v>
      </c>
      <c r="AH41">
        <f t="shared" si="47"/>
        <v>4.3746666666666698</v>
      </c>
      <c r="AI41">
        <f t="shared" si="48"/>
        <v>2.4211298606016118</v>
      </c>
      <c r="AJ41">
        <f t="shared" si="49"/>
        <v>2.4211298606016118</v>
      </c>
    </row>
    <row r="42" spans="1:36" x14ac:dyDescent="0.25">
      <c r="A42" s="2">
        <v>45717</v>
      </c>
      <c r="B42">
        <v>678833.92586055305</v>
      </c>
      <c r="C42">
        <v>347065.53275086801</v>
      </c>
      <c r="D42">
        <v>141.331528902766</v>
      </c>
      <c r="E42">
        <v>14445.820345004</v>
      </c>
      <c r="F42">
        <v>4262310.4797371896</v>
      </c>
      <c r="G42">
        <v>4.8136859322403198E-2</v>
      </c>
      <c r="H42">
        <v>0.66974073637412701</v>
      </c>
      <c r="I42">
        <v>3.4119946689521799E-2</v>
      </c>
      <c r="J42">
        <v>4.4647855758787103E-2</v>
      </c>
      <c r="K42" t="s">
        <v>179</v>
      </c>
      <c r="L42">
        <f t="shared" si="25"/>
        <v>1.2598563608765545</v>
      </c>
      <c r="M42">
        <f t="shared" si="26"/>
        <v>0.33898712921858198</v>
      </c>
      <c r="N42">
        <f t="shared" si="27"/>
        <v>2.7865664747389163</v>
      </c>
      <c r="O42">
        <f t="shared" si="28"/>
        <v>4.81368593224032</v>
      </c>
      <c r="P42">
        <f t="shared" si="29"/>
        <v>66.974073637412701</v>
      </c>
      <c r="Q42">
        <f t="shared" si="30"/>
        <v>3.4119946689521798</v>
      </c>
      <c r="R42">
        <f t="shared" si="31"/>
        <v>4.4647855758787101</v>
      </c>
      <c r="S42">
        <f t="shared" si="32"/>
        <v>99.807395116540974</v>
      </c>
      <c r="T42">
        <f t="shared" si="33"/>
        <v>98.732924820823698</v>
      </c>
      <c r="U42" t="e">
        <f t="shared" si="34"/>
        <v>#N/A</v>
      </c>
      <c r="V42">
        <f t="shared" si="35"/>
        <v>1.2598563608765545</v>
      </c>
      <c r="W42" t="e">
        <f t="shared" si="36"/>
        <v>#N/A</v>
      </c>
      <c r="X42">
        <f t="shared" si="37"/>
        <v>0.33898712921858198</v>
      </c>
      <c r="Y42" t="e">
        <f t="shared" si="38"/>
        <v>#N/A</v>
      </c>
      <c r="Z42">
        <f t="shared" si="39"/>
        <v>99.807395116540974</v>
      </c>
      <c r="AA42" t="e">
        <f t="shared" si="40"/>
        <v>#N/A</v>
      </c>
      <c r="AB42">
        <f t="shared" si="41"/>
        <v>98.732924820823698</v>
      </c>
      <c r="AC42" t="e">
        <f t="shared" si="42"/>
        <v>#N/A</v>
      </c>
      <c r="AD42">
        <f t="shared" si="43"/>
        <v>4.81368593224032</v>
      </c>
      <c r="AE42" t="e">
        <f t="shared" si="44"/>
        <v>#N/A</v>
      </c>
      <c r="AF42">
        <f t="shared" si="45"/>
        <v>3.4119946689521798</v>
      </c>
      <c r="AG42" t="e">
        <f t="shared" si="46"/>
        <v>#N/A</v>
      </c>
      <c r="AH42">
        <f t="shared" si="47"/>
        <v>4.4647855758787101</v>
      </c>
      <c r="AI42" t="e">
        <f t="shared" si="48"/>
        <v>#N/A</v>
      </c>
      <c r="AJ42">
        <f t="shared" si="49"/>
        <v>2.7865664747389163</v>
      </c>
    </row>
    <row r="43" spans="1:36" x14ac:dyDescent="0.25">
      <c r="A43" s="2">
        <v>45809</v>
      </c>
      <c r="B43">
        <v>682792.30217553605</v>
      </c>
      <c r="C43">
        <v>348249.47075251502</v>
      </c>
      <c r="D43">
        <v>143.30972542258101</v>
      </c>
      <c r="E43">
        <v>14442.1482866158</v>
      </c>
      <c r="F43">
        <v>4227609.6240862198</v>
      </c>
      <c r="G43">
        <v>5.2776712485239699E-2</v>
      </c>
      <c r="H43">
        <v>0.66814891953259803</v>
      </c>
      <c r="I43">
        <v>2.6016158634047298E-2</v>
      </c>
      <c r="J43">
        <v>4.4989210609206701E-2</v>
      </c>
      <c r="K43" t="s">
        <v>179</v>
      </c>
      <c r="L43">
        <f t="shared" si="25"/>
        <v>1.5945074925359792</v>
      </c>
      <c r="M43">
        <f t="shared" si="26"/>
        <v>0.99310396650911237</v>
      </c>
      <c r="N43">
        <f t="shared" si="27"/>
        <v>3.1747483243923735</v>
      </c>
      <c r="O43">
        <f t="shared" si="28"/>
        <v>5.2776712485239701</v>
      </c>
      <c r="P43">
        <f t="shared" si="29"/>
        <v>66.814891953259803</v>
      </c>
      <c r="Q43">
        <f t="shared" si="30"/>
        <v>2.6016158634047297</v>
      </c>
      <c r="R43">
        <f t="shared" si="31"/>
        <v>4.4989210609206705</v>
      </c>
      <c r="S43">
        <f t="shared" si="32"/>
        <v>99.782024554420644</v>
      </c>
      <c r="T43">
        <f t="shared" si="33"/>
        <v>97.929107973483966</v>
      </c>
      <c r="U43" t="e">
        <f t="shared" si="34"/>
        <v>#N/A</v>
      </c>
      <c r="V43">
        <f t="shared" si="35"/>
        <v>1.5945074925359792</v>
      </c>
      <c r="W43" t="e">
        <f t="shared" si="36"/>
        <v>#N/A</v>
      </c>
      <c r="X43">
        <f t="shared" si="37"/>
        <v>0.99310396650911237</v>
      </c>
      <c r="Y43" t="e">
        <f t="shared" si="38"/>
        <v>#N/A</v>
      </c>
      <c r="Z43">
        <f t="shared" si="39"/>
        <v>99.782024554420644</v>
      </c>
      <c r="AA43" t="e">
        <f t="shared" si="40"/>
        <v>#N/A</v>
      </c>
      <c r="AB43">
        <f t="shared" si="41"/>
        <v>97.929107973483966</v>
      </c>
      <c r="AC43" t="e">
        <f t="shared" si="42"/>
        <v>#N/A</v>
      </c>
      <c r="AD43">
        <f t="shared" si="43"/>
        <v>5.2776712485239701</v>
      </c>
      <c r="AE43" t="e">
        <f t="shared" si="44"/>
        <v>#N/A</v>
      </c>
      <c r="AF43">
        <f t="shared" si="45"/>
        <v>2.6016158634047297</v>
      </c>
      <c r="AG43" t="e">
        <f t="shared" si="46"/>
        <v>#N/A</v>
      </c>
      <c r="AH43">
        <f t="shared" si="47"/>
        <v>4.4989210609206705</v>
      </c>
      <c r="AI43" t="e">
        <f t="shared" si="48"/>
        <v>#N/A</v>
      </c>
      <c r="AJ43">
        <f t="shared" si="49"/>
        <v>3.1747483243923735</v>
      </c>
    </row>
    <row r="44" spans="1:36" x14ac:dyDescent="0.25">
      <c r="A44" s="2">
        <v>45901</v>
      </c>
      <c r="B44">
        <v>686479.91117450001</v>
      </c>
      <c r="C44">
        <v>350724.78891126899</v>
      </c>
      <c r="D44">
        <v>145.30261818912001</v>
      </c>
      <c r="E44">
        <v>14443.077121389901</v>
      </c>
      <c r="F44">
        <v>4207019.5009046402</v>
      </c>
      <c r="G44">
        <v>5.4968335606228103E-2</v>
      </c>
      <c r="H44">
        <v>0.66683458200344903</v>
      </c>
      <c r="I44">
        <v>2.0166663581785801E-2</v>
      </c>
      <c r="J44">
        <v>4.49711339098273E-2</v>
      </c>
      <c r="K44" t="s">
        <v>179</v>
      </c>
      <c r="L44">
        <f t="shared" si="25"/>
        <v>1.831977685980446</v>
      </c>
      <c r="M44">
        <f t="shared" si="26"/>
        <v>1.604875330987432</v>
      </c>
      <c r="N44">
        <f t="shared" si="27"/>
        <v>4.4591072531416476</v>
      </c>
      <c r="O44">
        <f t="shared" si="28"/>
        <v>5.49683356062281</v>
      </c>
      <c r="P44">
        <f t="shared" si="29"/>
        <v>66.683458200344901</v>
      </c>
      <c r="Q44">
        <f t="shared" si="30"/>
        <v>2.01666635817858</v>
      </c>
      <c r="R44">
        <f t="shared" si="31"/>
        <v>4.4971133909827303</v>
      </c>
      <c r="S44">
        <f t="shared" si="32"/>
        <v>99.78844195246954</v>
      </c>
      <c r="T44">
        <f t="shared" si="33"/>
        <v>97.452154665224796</v>
      </c>
      <c r="U44" t="e">
        <f t="shared" si="34"/>
        <v>#N/A</v>
      </c>
      <c r="V44">
        <f t="shared" si="35"/>
        <v>1.831977685980446</v>
      </c>
      <c r="W44" t="e">
        <f t="shared" si="36"/>
        <v>#N/A</v>
      </c>
      <c r="X44">
        <f t="shared" si="37"/>
        <v>1.604875330987432</v>
      </c>
      <c r="Y44" t="e">
        <f t="shared" si="38"/>
        <v>#N/A</v>
      </c>
      <c r="Z44">
        <f t="shared" si="39"/>
        <v>99.78844195246954</v>
      </c>
      <c r="AA44" t="e">
        <f t="shared" si="40"/>
        <v>#N/A</v>
      </c>
      <c r="AB44">
        <f t="shared" si="41"/>
        <v>97.452154665224796</v>
      </c>
      <c r="AC44" t="e">
        <f t="shared" si="42"/>
        <v>#N/A</v>
      </c>
      <c r="AD44">
        <f t="shared" si="43"/>
        <v>5.49683356062281</v>
      </c>
      <c r="AE44" t="e">
        <f t="shared" si="44"/>
        <v>#N/A</v>
      </c>
      <c r="AF44">
        <f t="shared" si="45"/>
        <v>2.01666635817858</v>
      </c>
      <c r="AG44" t="e">
        <f t="shared" si="46"/>
        <v>#N/A</v>
      </c>
      <c r="AH44">
        <f t="shared" si="47"/>
        <v>4.4971133909827303</v>
      </c>
      <c r="AI44" t="e">
        <f t="shared" si="48"/>
        <v>#N/A</v>
      </c>
      <c r="AJ44">
        <f t="shared" si="49"/>
        <v>4.4591072531416476</v>
      </c>
    </row>
    <row r="45" spans="1:36" x14ac:dyDescent="0.25">
      <c r="A45" s="2">
        <v>45992</v>
      </c>
      <c r="B45">
        <v>691647.50182194996</v>
      </c>
      <c r="C45">
        <v>353971.17038775398</v>
      </c>
      <c r="D45">
        <v>147.27919479738301</v>
      </c>
      <c r="E45">
        <v>14473.970643778201</v>
      </c>
      <c r="F45">
        <v>4201365.4124888303</v>
      </c>
      <c r="G45">
        <v>5.5897668714865602E-2</v>
      </c>
      <c r="H45">
        <v>0.66602423183673898</v>
      </c>
      <c r="I45">
        <v>1.5821666966947201E-2</v>
      </c>
      <c r="J45">
        <v>4.4725321457063497E-2</v>
      </c>
      <c r="K45" t="s">
        <v>179</v>
      </c>
      <c r="L45">
        <f t="shared" si="25"/>
        <v>2.15197116752599</v>
      </c>
      <c r="M45">
        <f t="shared" si="26"/>
        <v>1.9032618573681548</v>
      </c>
      <c r="N45">
        <f t="shared" si="27"/>
        <v>5.5008558720508693</v>
      </c>
      <c r="O45">
        <f t="shared" si="28"/>
        <v>5.5897668714865603</v>
      </c>
      <c r="P45">
        <f t="shared" si="29"/>
        <v>66.602423183673892</v>
      </c>
      <c r="Q45">
        <f t="shared" si="30"/>
        <v>1.5821666966947201</v>
      </c>
      <c r="R45">
        <f t="shared" si="31"/>
        <v>4.4725321457063494</v>
      </c>
      <c r="S45">
        <f t="shared" si="32"/>
        <v>100.00188791274807</v>
      </c>
      <c r="T45">
        <f t="shared" si="33"/>
        <v>97.321182346539345</v>
      </c>
      <c r="U45" t="e">
        <f t="shared" si="34"/>
        <v>#N/A</v>
      </c>
      <c r="V45">
        <f t="shared" si="35"/>
        <v>2.15197116752599</v>
      </c>
      <c r="W45" t="e">
        <f t="shared" si="36"/>
        <v>#N/A</v>
      </c>
      <c r="X45">
        <f t="shared" si="37"/>
        <v>1.9032618573681548</v>
      </c>
      <c r="Y45" t="e">
        <f t="shared" si="38"/>
        <v>#N/A</v>
      </c>
      <c r="Z45">
        <f t="shared" si="39"/>
        <v>100.00188791274807</v>
      </c>
      <c r="AA45" t="e">
        <f t="shared" si="40"/>
        <v>#N/A</v>
      </c>
      <c r="AB45">
        <f t="shared" si="41"/>
        <v>97.321182346539345</v>
      </c>
      <c r="AC45" t="e">
        <f t="shared" si="42"/>
        <v>#N/A</v>
      </c>
      <c r="AD45">
        <f t="shared" si="43"/>
        <v>5.5897668714865603</v>
      </c>
      <c r="AE45" t="e">
        <f t="shared" si="44"/>
        <v>#N/A</v>
      </c>
      <c r="AF45">
        <f t="shared" si="45"/>
        <v>1.5821666966947201</v>
      </c>
      <c r="AG45" t="e">
        <f t="shared" si="46"/>
        <v>#N/A</v>
      </c>
      <c r="AH45">
        <f t="shared" si="47"/>
        <v>4.4725321457063494</v>
      </c>
      <c r="AI45" t="e">
        <f t="shared" si="48"/>
        <v>#N/A</v>
      </c>
      <c r="AJ45">
        <f t="shared" si="49"/>
        <v>5.5008558720508693</v>
      </c>
    </row>
    <row r="46" spans="1:36" x14ac:dyDescent="0.25">
      <c r="A46" s="2">
        <v>46082</v>
      </c>
      <c r="B46">
        <v>698397.00773007597</v>
      </c>
      <c r="C46">
        <v>358162.59590250102</v>
      </c>
      <c r="D46">
        <v>149.28401031033101</v>
      </c>
      <c r="E46">
        <v>14542.9845108756</v>
      </c>
      <c r="F46">
        <v>4214003.4209541501</v>
      </c>
      <c r="G46">
        <v>5.5102010976520101E-2</v>
      </c>
      <c r="H46">
        <v>0.66575191090500296</v>
      </c>
      <c r="I46">
        <v>1.328702460073E-2</v>
      </c>
      <c r="J46">
        <v>4.4380654618739697E-2</v>
      </c>
      <c r="K46" t="s">
        <v>179</v>
      </c>
      <c r="L46">
        <f t="shared" si="25"/>
        <v>2.8818656705648538</v>
      </c>
      <c r="M46">
        <f t="shared" si="26"/>
        <v>3.1973970632222848</v>
      </c>
      <c r="N46">
        <f t="shared" si="27"/>
        <v>5.6268275517179278</v>
      </c>
      <c r="O46">
        <f t="shared" si="28"/>
        <v>5.5102010976520104</v>
      </c>
      <c r="P46">
        <f t="shared" si="29"/>
        <v>66.575191090500297</v>
      </c>
      <c r="Q46">
        <f t="shared" si="30"/>
        <v>1.328702460073</v>
      </c>
      <c r="R46">
        <f t="shared" si="31"/>
        <v>4.4380654618739701</v>
      </c>
      <c r="S46">
        <f t="shared" si="32"/>
        <v>100.47871056022706</v>
      </c>
      <c r="T46">
        <f t="shared" si="33"/>
        <v>97.613931442510491</v>
      </c>
      <c r="U46" t="e">
        <f t="shared" si="34"/>
        <v>#N/A</v>
      </c>
      <c r="V46">
        <f t="shared" si="35"/>
        <v>2.8818656705648538</v>
      </c>
      <c r="W46" t="e">
        <f t="shared" si="36"/>
        <v>#N/A</v>
      </c>
      <c r="X46">
        <f t="shared" si="37"/>
        <v>3.1973970632222848</v>
      </c>
      <c r="Y46" t="e">
        <f t="shared" si="38"/>
        <v>#N/A</v>
      </c>
      <c r="Z46">
        <f t="shared" si="39"/>
        <v>100.47871056022706</v>
      </c>
      <c r="AA46" t="e">
        <f t="shared" si="40"/>
        <v>#N/A</v>
      </c>
      <c r="AB46">
        <f t="shared" si="41"/>
        <v>97.613931442510491</v>
      </c>
      <c r="AC46" t="e">
        <f t="shared" si="42"/>
        <v>#N/A</v>
      </c>
      <c r="AD46">
        <f t="shared" si="43"/>
        <v>5.5102010976520104</v>
      </c>
      <c r="AE46" t="e">
        <f t="shared" si="44"/>
        <v>#N/A</v>
      </c>
      <c r="AF46">
        <f t="shared" si="45"/>
        <v>1.328702460073</v>
      </c>
      <c r="AG46" t="e">
        <f t="shared" si="46"/>
        <v>#N/A</v>
      </c>
      <c r="AH46">
        <f t="shared" si="47"/>
        <v>4.4380654618739701</v>
      </c>
      <c r="AI46" t="e">
        <f t="shared" si="48"/>
        <v>#N/A</v>
      </c>
      <c r="AJ46">
        <f t="shared" si="49"/>
        <v>5.6268275517179278</v>
      </c>
    </row>
    <row r="47" spans="1:36" x14ac:dyDescent="0.25">
      <c r="A47" s="2">
        <v>46174</v>
      </c>
      <c r="B47">
        <v>705618.72184537305</v>
      </c>
      <c r="C47">
        <v>362644.13427930401</v>
      </c>
      <c r="D47">
        <v>151.294068076537</v>
      </c>
      <c r="E47">
        <v>14640.3965090193</v>
      </c>
      <c r="F47">
        <v>4240250.8773331204</v>
      </c>
      <c r="G47">
        <v>5.3120403476897803E-2</v>
      </c>
      <c r="H47">
        <v>0.66593211732695201</v>
      </c>
      <c r="I47">
        <v>1.23029338455714E-2</v>
      </c>
      <c r="J47">
        <v>4.4033618914544097E-2</v>
      </c>
      <c r="K47" t="s">
        <v>179</v>
      </c>
      <c r="L47">
        <f t="shared" si="25"/>
        <v>3.3430985670322766</v>
      </c>
      <c r="M47">
        <f t="shared" si="26"/>
        <v>4.1334344301182435</v>
      </c>
      <c r="N47">
        <f t="shared" si="27"/>
        <v>5.571389262251647</v>
      </c>
      <c r="O47">
        <f t="shared" si="28"/>
        <v>5.3120403476897806</v>
      </c>
      <c r="P47">
        <f t="shared" si="29"/>
        <v>66.593211732695195</v>
      </c>
      <c r="Q47">
        <f t="shared" si="30"/>
        <v>1.23029338455714</v>
      </c>
      <c r="R47">
        <f t="shared" si="31"/>
        <v>4.4033618914544093</v>
      </c>
      <c r="S47">
        <f t="shared" si="32"/>
        <v>101.15173829805175</v>
      </c>
      <c r="T47">
        <f t="shared" si="33"/>
        <v>98.221932232157926</v>
      </c>
      <c r="U47" t="e">
        <f t="shared" si="34"/>
        <v>#N/A</v>
      </c>
      <c r="V47">
        <f t="shared" si="35"/>
        <v>3.3430985670322766</v>
      </c>
      <c r="W47" t="e">
        <f t="shared" si="36"/>
        <v>#N/A</v>
      </c>
      <c r="X47">
        <f t="shared" si="37"/>
        <v>4.1334344301182435</v>
      </c>
      <c r="Y47" t="e">
        <f t="shared" si="38"/>
        <v>#N/A</v>
      </c>
      <c r="Z47">
        <f t="shared" si="39"/>
        <v>101.15173829805175</v>
      </c>
      <c r="AA47" t="e">
        <f t="shared" si="40"/>
        <v>#N/A</v>
      </c>
      <c r="AB47">
        <f t="shared" si="41"/>
        <v>98.221932232157926</v>
      </c>
      <c r="AC47" t="e">
        <f t="shared" si="42"/>
        <v>#N/A</v>
      </c>
      <c r="AD47">
        <f t="shared" si="43"/>
        <v>5.3120403476897806</v>
      </c>
      <c r="AE47" t="e">
        <f t="shared" si="44"/>
        <v>#N/A</v>
      </c>
      <c r="AF47">
        <f t="shared" si="45"/>
        <v>1.23029338455714</v>
      </c>
      <c r="AG47" t="e">
        <f t="shared" si="46"/>
        <v>#N/A</v>
      </c>
      <c r="AH47">
        <f t="shared" si="47"/>
        <v>4.4033618914544093</v>
      </c>
      <c r="AI47" t="e">
        <f t="shared" si="48"/>
        <v>#N/A</v>
      </c>
      <c r="AJ47">
        <f t="shared" si="49"/>
        <v>5.571389262251647</v>
      </c>
    </row>
    <row r="48" spans="1:36" x14ac:dyDescent="0.25">
      <c r="A48" s="2">
        <v>46266</v>
      </c>
      <c r="B48">
        <v>713417.34481130599</v>
      </c>
      <c r="C48">
        <v>367711.29271301802</v>
      </c>
      <c r="D48">
        <v>153.322261400472</v>
      </c>
      <c r="E48">
        <v>14758.0062309598</v>
      </c>
      <c r="F48">
        <v>4277720.3502828497</v>
      </c>
      <c r="G48">
        <v>4.97021599452682E-2</v>
      </c>
      <c r="H48">
        <v>0.66630129980998598</v>
      </c>
      <c r="I48">
        <v>1.3328203665015E-2</v>
      </c>
      <c r="J48">
        <v>4.3791081830513397E-2</v>
      </c>
      <c r="K48" t="s">
        <v>179</v>
      </c>
      <c r="L48">
        <f t="shared" si="25"/>
        <v>3.9239944531979987</v>
      </c>
      <c r="M48">
        <f t="shared" si="26"/>
        <v>4.843257260052547</v>
      </c>
      <c r="N48">
        <f t="shared" si="27"/>
        <v>5.5192695846085549</v>
      </c>
      <c r="O48">
        <f t="shared" si="28"/>
        <v>4.9702159945268196</v>
      </c>
      <c r="P48">
        <f t="shared" si="29"/>
        <v>66.630129980998603</v>
      </c>
      <c r="Q48">
        <f t="shared" si="30"/>
        <v>1.3328203665014999</v>
      </c>
      <c r="R48">
        <f t="shared" si="31"/>
        <v>4.3791081830513399</v>
      </c>
      <c r="S48">
        <f t="shared" si="32"/>
        <v>101.96431381864664</v>
      </c>
      <c r="T48">
        <f t="shared" si="33"/>
        <v>99.089881827432265</v>
      </c>
      <c r="U48" t="e">
        <f t="shared" si="34"/>
        <v>#N/A</v>
      </c>
      <c r="V48">
        <f t="shared" si="35"/>
        <v>3.9239944531979987</v>
      </c>
      <c r="W48" t="e">
        <f t="shared" si="36"/>
        <v>#N/A</v>
      </c>
      <c r="X48">
        <f t="shared" si="37"/>
        <v>4.843257260052547</v>
      </c>
      <c r="Y48" t="e">
        <f t="shared" si="38"/>
        <v>#N/A</v>
      </c>
      <c r="Z48">
        <f t="shared" si="39"/>
        <v>101.96431381864664</v>
      </c>
      <c r="AA48" t="e">
        <f t="shared" si="40"/>
        <v>#N/A</v>
      </c>
      <c r="AB48">
        <f t="shared" si="41"/>
        <v>99.089881827432265</v>
      </c>
      <c r="AC48" t="e">
        <f t="shared" si="42"/>
        <v>#N/A</v>
      </c>
      <c r="AD48">
        <f t="shared" si="43"/>
        <v>4.9702159945268196</v>
      </c>
      <c r="AE48" t="e">
        <f t="shared" si="44"/>
        <v>#N/A</v>
      </c>
      <c r="AF48">
        <f t="shared" si="45"/>
        <v>1.3328203665014999</v>
      </c>
      <c r="AG48" t="e">
        <f t="shared" si="46"/>
        <v>#N/A</v>
      </c>
      <c r="AH48">
        <f t="shared" si="47"/>
        <v>4.3791081830513399</v>
      </c>
      <c r="AI48" t="e">
        <f t="shared" si="48"/>
        <v>#N/A</v>
      </c>
      <c r="AJ48">
        <f t="shared" si="49"/>
        <v>5.5192695846085549</v>
      </c>
    </row>
    <row r="49" spans="1:36" x14ac:dyDescent="0.25">
      <c r="A49" s="2">
        <v>46357</v>
      </c>
      <c r="B49">
        <v>721128.11351663305</v>
      </c>
      <c r="C49">
        <v>372784.865466927</v>
      </c>
      <c r="D49">
        <v>155.36303194325299</v>
      </c>
      <c r="E49">
        <v>14885.1523106981</v>
      </c>
      <c r="F49">
        <v>4320771.6873629102</v>
      </c>
      <c r="G49">
        <v>4.6131640766525699E-2</v>
      </c>
      <c r="H49">
        <v>0.66696467047794195</v>
      </c>
      <c r="I49">
        <v>1.53642145702425E-2</v>
      </c>
      <c r="J49">
        <v>4.3691527883123998E-2</v>
      </c>
      <c r="K49" t="s">
        <v>179</v>
      </c>
      <c r="L49">
        <f t="shared" si="25"/>
        <v>4.2623752152685768</v>
      </c>
      <c r="M49">
        <f t="shared" si="26"/>
        <v>5.3150359840220096</v>
      </c>
      <c r="N49">
        <f t="shared" si="27"/>
        <v>5.4887841809504678</v>
      </c>
      <c r="O49">
        <f t="shared" si="28"/>
        <v>4.6131640766525699</v>
      </c>
      <c r="P49">
        <f t="shared" si="29"/>
        <v>66.696467047794201</v>
      </c>
      <c r="Q49">
        <f t="shared" si="30"/>
        <v>1.53642145702425</v>
      </c>
      <c r="R49">
        <f t="shared" si="31"/>
        <v>4.3691527883123999</v>
      </c>
      <c r="S49">
        <f t="shared" si="32"/>
        <v>102.84277684219855</v>
      </c>
      <c r="T49">
        <f t="shared" si="33"/>
        <v>100.08713072508264</v>
      </c>
      <c r="U49" t="e">
        <f t="shared" si="34"/>
        <v>#N/A</v>
      </c>
      <c r="V49">
        <f t="shared" si="35"/>
        <v>4.2623752152685768</v>
      </c>
      <c r="W49" t="e">
        <f t="shared" si="36"/>
        <v>#N/A</v>
      </c>
      <c r="X49">
        <f t="shared" si="37"/>
        <v>5.3150359840220096</v>
      </c>
      <c r="Y49" t="e">
        <f t="shared" si="38"/>
        <v>#N/A</v>
      </c>
      <c r="Z49">
        <f t="shared" si="39"/>
        <v>102.84277684219855</v>
      </c>
      <c r="AA49" t="e">
        <f t="shared" si="40"/>
        <v>#N/A</v>
      </c>
      <c r="AB49">
        <f t="shared" si="41"/>
        <v>100.08713072508264</v>
      </c>
      <c r="AC49" t="e">
        <f t="shared" si="42"/>
        <v>#N/A</v>
      </c>
      <c r="AD49">
        <f t="shared" si="43"/>
        <v>4.6131640766525699</v>
      </c>
      <c r="AE49" t="e">
        <f t="shared" si="44"/>
        <v>#N/A</v>
      </c>
      <c r="AF49">
        <f t="shared" si="45"/>
        <v>1.53642145702425</v>
      </c>
      <c r="AG49" t="e">
        <f t="shared" si="46"/>
        <v>#N/A</v>
      </c>
      <c r="AH49">
        <f t="shared" si="47"/>
        <v>4.3691527883123999</v>
      </c>
      <c r="AI49" t="e">
        <f t="shared" si="48"/>
        <v>#N/A</v>
      </c>
      <c r="AJ49">
        <f t="shared" si="49"/>
        <v>5.4887841809504678</v>
      </c>
    </row>
    <row r="50" spans="1:36" x14ac:dyDescent="0.25">
      <c r="A50" s="2">
        <v>46447</v>
      </c>
      <c r="B50">
        <v>728601.58912858495</v>
      </c>
      <c r="C50">
        <v>377523.01764253498</v>
      </c>
      <c r="D50">
        <v>157.412321151024</v>
      </c>
      <c r="E50">
        <v>15011.012247344999</v>
      </c>
      <c r="F50">
        <v>4364107.3252026597</v>
      </c>
      <c r="G50">
        <v>4.2894177820695198E-2</v>
      </c>
      <c r="H50">
        <v>0.66777123105414204</v>
      </c>
      <c r="I50">
        <v>1.7896527097720199E-2</v>
      </c>
      <c r="J50">
        <v>4.3740608079156799E-2</v>
      </c>
      <c r="K50" t="s">
        <v>179</v>
      </c>
      <c r="L50">
        <f t="shared" si="25"/>
        <v>4.3248440448906855</v>
      </c>
      <c r="M50">
        <f t="shared" si="26"/>
        <v>5.4054839789312359</v>
      </c>
      <c r="N50">
        <f t="shared" si="27"/>
        <v>5.4448636687853602</v>
      </c>
      <c r="O50">
        <f t="shared" si="28"/>
        <v>4.2894177820695196</v>
      </c>
      <c r="P50">
        <f t="shared" si="29"/>
        <v>66.777123105414205</v>
      </c>
      <c r="Q50">
        <f t="shared" si="30"/>
        <v>1.7896527097720198</v>
      </c>
      <c r="R50">
        <f t="shared" si="31"/>
        <v>4.3740608079156802</v>
      </c>
      <c r="S50">
        <f t="shared" si="32"/>
        <v>103.7123537943032</v>
      </c>
      <c r="T50">
        <f t="shared" si="33"/>
        <v>101.090965216548</v>
      </c>
      <c r="U50" t="e">
        <f t="shared" si="34"/>
        <v>#N/A</v>
      </c>
      <c r="V50">
        <f t="shared" si="35"/>
        <v>4.3248440448906855</v>
      </c>
      <c r="W50" t="e">
        <f t="shared" si="36"/>
        <v>#N/A</v>
      </c>
      <c r="X50">
        <f t="shared" si="37"/>
        <v>5.4054839789312359</v>
      </c>
      <c r="Y50" t="e">
        <f t="shared" si="38"/>
        <v>#N/A</v>
      </c>
      <c r="Z50">
        <f t="shared" si="39"/>
        <v>103.7123537943032</v>
      </c>
      <c r="AA50" t="e">
        <f t="shared" si="40"/>
        <v>#N/A</v>
      </c>
      <c r="AB50">
        <f t="shared" si="41"/>
        <v>101.090965216548</v>
      </c>
      <c r="AC50" t="e">
        <f t="shared" si="42"/>
        <v>#N/A</v>
      </c>
      <c r="AD50">
        <f t="shared" si="43"/>
        <v>4.2894177820695196</v>
      </c>
      <c r="AE50" t="e">
        <f t="shared" si="44"/>
        <v>#N/A</v>
      </c>
      <c r="AF50">
        <f t="shared" si="45"/>
        <v>1.7896527097720198</v>
      </c>
      <c r="AG50" t="e">
        <f t="shared" si="46"/>
        <v>#N/A</v>
      </c>
      <c r="AH50">
        <f t="shared" si="47"/>
        <v>4.3740608079156802</v>
      </c>
      <c r="AI50" t="e">
        <f t="shared" si="48"/>
        <v>#N/A</v>
      </c>
      <c r="AJ50">
        <f t="shared" si="49"/>
        <v>5.4448636687853602</v>
      </c>
    </row>
    <row r="51" spans="1:36" x14ac:dyDescent="0.25">
      <c r="A51" s="2">
        <v>46539</v>
      </c>
      <c r="B51">
        <v>735907.39777530602</v>
      </c>
      <c r="C51">
        <v>381766.837082654</v>
      </c>
      <c r="D51">
        <v>159.48793248718599</v>
      </c>
      <c r="E51">
        <v>15132.6133925633</v>
      </c>
      <c r="F51">
        <v>4406405.6175606595</v>
      </c>
      <c r="G51">
        <v>4.0001715635202897E-2</v>
      </c>
      <c r="H51">
        <v>0.66859827104144898</v>
      </c>
      <c r="I51">
        <v>2.0789067194939202E-2</v>
      </c>
      <c r="J51">
        <v>4.3935942995731198E-2</v>
      </c>
      <c r="K51" t="s">
        <v>179</v>
      </c>
      <c r="L51">
        <f t="shared" si="25"/>
        <v>4.2924989080108888</v>
      </c>
      <c r="M51">
        <f t="shared" si="26"/>
        <v>5.2731317001316613</v>
      </c>
      <c r="N51">
        <f t="shared" si="27"/>
        <v>5.4158530567793628</v>
      </c>
      <c r="O51">
        <f t="shared" si="28"/>
        <v>4.0001715635202899</v>
      </c>
      <c r="P51">
        <f t="shared" si="29"/>
        <v>66.859827104144898</v>
      </c>
      <c r="Q51">
        <f t="shared" si="30"/>
        <v>2.0789067194939204</v>
      </c>
      <c r="R51">
        <f t="shared" si="31"/>
        <v>4.3935942995731194</v>
      </c>
      <c r="S51">
        <f t="shared" si="32"/>
        <v>104.55250639606417</v>
      </c>
      <c r="T51">
        <f t="shared" si="33"/>
        <v>102.07077045112329</v>
      </c>
      <c r="U51" t="e">
        <f t="shared" si="34"/>
        <v>#N/A</v>
      </c>
      <c r="V51">
        <f t="shared" si="35"/>
        <v>4.2924989080108888</v>
      </c>
      <c r="W51" t="e">
        <f t="shared" si="36"/>
        <v>#N/A</v>
      </c>
      <c r="X51">
        <f t="shared" si="37"/>
        <v>5.2731317001316613</v>
      </c>
      <c r="Y51" t="e">
        <f t="shared" si="38"/>
        <v>#N/A</v>
      </c>
      <c r="Z51">
        <f t="shared" si="39"/>
        <v>104.55250639606417</v>
      </c>
      <c r="AA51" t="e">
        <f t="shared" si="40"/>
        <v>#N/A</v>
      </c>
      <c r="AB51">
        <f t="shared" si="41"/>
        <v>102.07077045112329</v>
      </c>
      <c r="AC51" t="e">
        <f t="shared" si="42"/>
        <v>#N/A</v>
      </c>
      <c r="AD51">
        <f t="shared" si="43"/>
        <v>4.0001715635202899</v>
      </c>
      <c r="AE51" t="e">
        <f t="shared" si="44"/>
        <v>#N/A</v>
      </c>
      <c r="AF51">
        <f t="shared" si="45"/>
        <v>2.0789067194939204</v>
      </c>
      <c r="AG51" t="e">
        <f t="shared" si="46"/>
        <v>#N/A</v>
      </c>
      <c r="AH51">
        <f t="shared" si="47"/>
        <v>4.3935942995731194</v>
      </c>
      <c r="AI51" t="e">
        <f t="shared" si="48"/>
        <v>#N/A</v>
      </c>
      <c r="AJ51">
        <f t="shared" si="49"/>
        <v>5.4158530567793628</v>
      </c>
    </row>
    <row r="52" spans="1:36" x14ac:dyDescent="0.25">
      <c r="A52" s="2">
        <v>46631</v>
      </c>
      <c r="B52">
        <v>742195.45794424298</v>
      </c>
      <c r="C52">
        <v>385667.77135050501</v>
      </c>
      <c r="D52">
        <v>161.58110063718499</v>
      </c>
      <c r="E52">
        <v>15241.7611158977</v>
      </c>
      <c r="F52">
        <v>4443419.2641515704</v>
      </c>
      <c r="G52">
        <v>3.77248993196816E-2</v>
      </c>
      <c r="H52">
        <v>0.66939856066303804</v>
      </c>
      <c r="I52">
        <v>2.36536488575168E-2</v>
      </c>
      <c r="J52">
        <v>4.4254917543638798E-2</v>
      </c>
      <c r="K52" t="s">
        <v>179</v>
      </c>
      <c r="L52">
        <f t="shared" si="25"/>
        <v>4.0338398473545034</v>
      </c>
      <c r="M52">
        <f t="shared" si="26"/>
        <v>4.8833089963057574</v>
      </c>
      <c r="N52">
        <f t="shared" si="27"/>
        <v>5.3865884583721435</v>
      </c>
      <c r="O52">
        <f t="shared" si="28"/>
        <v>3.7724899319681602</v>
      </c>
      <c r="P52">
        <f t="shared" si="29"/>
        <v>66.939856066303804</v>
      </c>
      <c r="Q52">
        <f t="shared" si="30"/>
        <v>2.36536488575168</v>
      </c>
      <c r="R52">
        <f t="shared" si="31"/>
        <v>4.4254917543638799</v>
      </c>
      <c r="S52">
        <f t="shared" si="32"/>
        <v>105.30661725226592</v>
      </c>
      <c r="T52">
        <f t="shared" si="33"/>
        <v>102.92816120282428</v>
      </c>
      <c r="U52" t="e">
        <f t="shared" si="34"/>
        <v>#N/A</v>
      </c>
      <c r="V52">
        <f t="shared" si="35"/>
        <v>4.0338398473545034</v>
      </c>
      <c r="W52" t="e">
        <f t="shared" si="36"/>
        <v>#N/A</v>
      </c>
      <c r="X52">
        <f t="shared" si="37"/>
        <v>4.8833089963057574</v>
      </c>
      <c r="Y52" t="e">
        <f t="shared" si="38"/>
        <v>#N/A</v>
      </c>
      <c r="Z52">
        <f t="shared" si="39"/>
        <v>105.30661725226592</v>
      </c>
      <c r="AA52" t="e">
        <f t="shared" si="40"/>
        <v>#N/A</v>
      </c>
      <c r="AB52">
        <f t="shared" si="41"/>
        <v>102.92816120282428</v>
      </c>
      <c r="AC52" t="e">
        <f t="shared" si="42"/>
        <v>#N/A</v>
      </c>
      <c r="AD52">
        <f t="shared" si="43"/>
        <v>3.7724899319681602</v>
      </c>
      <c r="AE52" t="e">
        <f t="shared" si="44"/>
        <v>#N/A</v>
      </c>
      <c r="AF52">
        <f t="shared" si="45"/>
        <v>2.36536488575168</v>
      </c>
      <c r="AG52" t="e">
        <f t="shared" si="46"/>
        <v>#N/A</v>
      </c>
      <c r="AH52">
        <f t="shared" si="47"/>
        <v>4.4254917543638799</v>
      </c>
      <c r="AI52" t="e">
        <f t="shared" si="48"/>
        <v>#N/A</v>
      </c>
      <c r="AJ52">
        <f t="shared" si="49"/>
        <v>5.3865884583721435</v>
      </c>
    </row>
    <row r="53" spans="1:36" x14ac:dyDescent="0.25">
      <c r="A53" s="2">
        <v>46722</v>
      </c>
      <c r="B53">
        <v>748974.74019908498</v>
      </c>
      <c r="C53">
        <v>389476.95108207897</v>
      </c>
      <c r="D53">
        <v>163.70170012527799</v>
      </c>
      <c r="E53">
        <v>15345.033520818901</v>
      </c>
      <c r="F53">
        <v>4478239.0958514502</v>
      </c>
      <c r="G53">
        <v>3.5709914992778098E-2</v>
      </c>
      <c r="H53">
        <v>0.67010072512741203</v>
      </c>
      <c r="I53">
        <v>2.6670678427348101E-2</v>
      </c>
      <c r="J53">
        <v>4.4687748519700199E-2</v>
      </c>
      <c r="K53" t="s">
        <v>179</v>
      </c>
      <c r="L53">
        <f t="shared" si="25"/>
        <v>3.8615366895981662</v>
      </c>
      <c r="M53">
        <f t="shared" si="26"/>
        <v>4.477672556326695</v>
      </c>
      <c r="N53">
        <f t="shared" si="27"/>
        <v>5.3672151461814588</v>
      </c>
      <c r="O53">
        <f t="shared" si="28"/>
        <v>3.57099149927781</v>
      </c>
      <c r="P53">
        <f t="shared" si="29"/>
        <v>67.010072512741203</v>
      </c>
      <c r="Q53">
        <f t="shared" si="30"/>
        <v>2.6670678427348102</v>
      </c>
      <c r="R53">
        <f t="shared" si="31"/>
        <v>4.4687748519700197</v>
      </c>
      <c r="S53">
        <f t="shared" si="32"/>
        <v>106.02013503640272</v>
      </c>
      <c r="T53">
        <f t="shared" si="33"/>
        <v>103.73473403271113</v>
      </c>
      <c r="U53" t="e">
        <f t="shared" si="34"/>
        <v>#N/A</v>
      </c>
      <c r="V53">
        <f t="shared" si="35"/>
        <v>3.8615366895981662</v>
      </c>
      <c r="W53" t="e">
        <f t="shared" si="36"/>
        <v>#N/A</v>
      </c>
      <c r="X53">
        <f t="shared" si="37"/>
        <v>4.477672556326695</v>
      </c>
      <c r="Y53" t="e">
        <f t="shared" si="38"/>
        <v>#N/A</v>
      </c>
      <c r="Z53">
        <f t="shared" si="39"/>
        <v>106.02013503640272</v>
      </c>
      <c r="AA53" t="e">
        <f t="shared" si="40"/>
        <v>#N/A</v>
      </c>
      <c r="AB53">
        <f t="shared" si="41"/>
        <v>103.73473403271113</v>
      </c>
      <c r="AC53" t="e">
        <f t="shared" si="42"/>
        <v>#N/A</v>
      </c>
      <c r="AD53">
        <f t="shared" si="43"/>
        <v>3.57099149927781</v>
      </c>
      <c r="AE53" t="e">
        <f t="shared" si="44"/>
        <v>#N/A</v>
      </c>
      <c r="AF53">
        <f t="shared" si="45"/>
        <v>2.6670678427348102</v>
      </c>
      <c r="AG53" t="e">
        <f t="shared" si="46"/>
        <v>#N/A</v>
      </c>
      <c r="AH53">
        <f t="shared" si="47"/>
        <v>4.4687748519700197</v>
      </c>
      <c r="AI53" t="e">
        <f t="shared" si="48"/>
        <v>#N/A</v>
      </c>
      <c r="AJ53">
        <f t="shared" si="49"/>
        <v>5.3672151461814588</v>
      </c>
    </row>
    <row r="54" spans="1:36" x14ac:dyDescent="0.25">
      <c r="A54" s="2">
        <v>46813</v>
      </c>
      <c r="B54">
        <v>755619.74654316902</v>
      </c>
      <c r="C54">
        <v>393143.79457753798</v>
      </c>
      <c r="D54">
        <v>165.845314021626</v>
      </c>
      <c r="E54">
        <v>15442.3081999278</v>
      </c>
      <c r="F54">
        <v>4510048.72741214</v>
      </c>
      <c r="G54">
        <v>3.4019618042071598E-2</v>
      </c>
      <c r="H54">
        <v>0.67074722406616505</v>
      </c>
      <c r="I54">
        <v>2.9698082771505901E-2</v>
      </c>
      <c r="J54">
        <v>4.5218534399248098E-2</v>
      </c>
      <c r="K54" t="s">
        <v>179</v>
      </c>
      <c r="L54">
        <f t="shared" si="25"/>
        <v>3.7082210384550507</v>
      </c>
      <c r="M54">
        <f t="shared" si="26"/>
        <v>4.1377018631997275</v>
      </c>
      <c r="N54">
        <f t="shared" si="27"/>
        <v>5.3572635286352366</v>
      </c>
      <c r="O54">
        <f t="shared" si="28"/>
        <v>3.4019618042071595</v>
      </c>
      <c r="P54">
        <f t="shared" si="29"/>
        <v>67.074722406616502</v>
      </c>
      <c r="Q54">
        <f t="shared" si="30"/>
        <v>2.96980827715059</v>
      </c>
      <c r="R54">
        <f t="shared" si="31"/>
        <v>4.5218534399248096</v>
      </c>
      <c r="S54">
        <f t="shared" si="32"/>
        <v>106.69221402539654</v>
      </c>
      <c r="T54">
        <f t="shared" si="33"/>
        <v>104.47157804639578</v>
      </c>
      <c r="U54" t="e">
        <f t="shared" si="34"/>
        <v>#N/A</v>
      </c>
      <c r="V54">
        <f t="shared" si="35"/>
        <v>3.7082210384550507</v>
      </c>
      <c r="W54" t="e">
        <f t="shared" si="36"/>
        <v>#N/A</v>
      </c>
      <c r="X54">
        <f t="shared" si="37"/>
        <v>4.1377018631997275</v>
      </c>
      <c r="Y54" t="e">
        <f t="shared" si="38"/>
        <v>#N/A</v>
      </c>
      <c r="Z54">
        <f t="shared" si="39"/>
        <v>106.69221402539654</v>
      </c>
      <c r="AA54" t="e">
        <f t="shared" si="40"/>
        <v>#N/A</v>
      </c>
      <c r="AB54">
        <f t="shared" si="41"/>
        <v>104.47157804639578</v>
      </c>
      <c r="AC54" t="e">
        <f t="shared" si="42"/>
        <v>#N/A</v>
      </c>
      <c r="AD54">
        <f t="shared" si="43"/>
        <v>3.4019618042071595</v>
      </c>
      <c r="AE54" t="e">
        <f t="shared" si="44"/>
        <v>#N/A</v>
      </c>
      <c r="AF54">
        <f t="shared" si="45"/>
        <v>2.96980827715059</v>
      </c>
      <c r="AG54" t="e">
        <f t="shared" si="46"/>
        <v>#N/A</v>
      </c>
      <c r="AH54">
        <f t="shared" si="47"/>
        <v>4.5218534399248096</v>
      </c>
      <c r="AI54" t="e">
        <f t="shared" si="48"/>
        <v>#N/A</v>
      </c>
      <c r="AJ54">
        <f t="shared" si="49"/>
        <v>5.3572635286352366</v>
      </c>
    </row>
    <row r="55" spans="1:36" x14ac:dyDescent="0.25">
      <c r="A55" s="2">
        <v>46905</v>
      </c>
      <c r="B55">
        <v>762491.69009278505</v>
      </c>
      <c r="C55">
        <v>396490.61881262303</v>
      </c>
      <c r="D55">
        <v>168.01722695023301</v>
      </c>
      <c r="E55">
        <v>15535.2479204387</v>
      </c>
      <c r="F55">
        <v>4539909.0318282899</v>
      </c>
      <c r="G55">
        <v>3.2527865564396199E-2</v>
      </c>
      <c r="H55">
        <v>0.67132628676680295</v>
      </c>
      <c r="I55">
        <v>3.2768088441588301E-2</v>
      </c>
      <c r="J55">
        <v>4.5835379801711602E-2</v>
      </c>
      <c r="K55" t="s">
        <v>179</v>
      </c>
      <c r="L55">
        <f t="shared" si="25"/>
        <v>3.6124507509837533</v>
      </c>
      <c r="M55">
        <f t="shared" si="26"/>
        <v>3.8567471817310572</v>
      </c>
      <c r="N55">
        <f t="shared" si="27"/>
        <v>5.3479246548840287</v>
      </c>
      <c r="O55">
        <f t="shared" si="28"/>
        <v>3.2527865564396201</v>
      </c>
      <c r="P55">
        <f t="shared" si="29"/>
        <v>67.132628676680298</v>
      </c>
      <c r="Q55">
        <f t="shared" si="30"/>
        <v>3.2768088441588303</v>
      </c>
      <c r="R55">
        <f t="shared" si="31"/>
        <v>4.58353798017116</v>
      </c>
      <c r="S55">
        <f t="shared" si="32"/>
        <v>107.33434241862832</v>
      </c>
      <c r="T55">
        <f t="shared" si="33"/>
        <v>105.16326749629911</v>
      </c>
      <c r="U55" t="e">
        <f t="shared" si="34"/>
        <v>#N/A</v>
      </c>
      <c r="V55">
        <f t="shared" si="35"/>
        <v>3.6124507509837533</v>
      </c>
      <c r="W55" t="e">
        <f t="shared" si="36"/>
        <v>#N/A</v>
      </c>
      <c r="X55">
        <f t="shared" si="37"/>
        <v>3.8567471817310572</v>
      </c>
      <c r="Y55" t="e">
        <f t="shared" si="38"/>
        <v>#N/A</v>
      </c>
      <c r="Z55">
        <f t="shared" si="39"/>
        <v>107.33434241862832</v>
      </c>
      <c r="AA55" t="e">
        <f t="shared" si="40"/>
        <v>#N/A</v>
      </c>
      <c r="AB55">
        <f t="shared" si="41"/>
        <v>105.16326749629911</v>
      </c>
      <c r="AC55" t="e">
        <f t="shared" si="42"/>
        <v>#N/A</v>
      </c>
      <c r="AD55">
        <f t="shared" si="43"/>
        <v>3.2527865564396201</v>
      </c>
      <c r="AE55" t="e">
        <f t="shared" si="44"/>
        <v>#N/A</v>
      </c>
      <c r="AF55">
        <f t="shared" si="45"/>
        <v>3.2768088441588303</v>
      </c>
      <c r="AG55" t="e">
        <f t="shared" si="46"/>
        <v>#N/A</v>
      </c>
      <c r="AH55">
        <f t="shared" si="47"/>
        <v>4.58353798017116</v>
      </c>
      <c r="AI55" t="e">
        <f t="shared" si="48"/>
        <v>#N/A</v>
      </c>
      <c r="AJ55">
        <f t="shared" si="49"/>
        <v>5.3479246548840287</v>
      </c>
    </row>
    <row r="56" spans="1:36" x14ac:dyDescent="0.25">
      <c r="A56" s="2">
        <v>46997</v>
      </c>
      <c r="B56">
        <v>767993.50619448605</v>
      </c>
      <c r="C56">
        <v>399555.504771657</v>
      </c>
      <c r="D56">
        <v>170.17927252992499</v>
      </c>
      <c r="E56">
        <v>15614.179714648501</v>
      </c>
      <c r="F56">
        <v>4562469.8692644602</v>
      </c>
      <c r="G56">
        <v>3.1773961765250699E-2</v>
      </c>
      <c r="H56">
        <v>0.67183293034870495</v>
      </c>
      <c r="I56">
        <v>3.5287856999049502E-2</v>
      </c>
      <c r="J56">
        <v>4.6496679134490397E-2</v>
      </c>
      <c r="K56" t="s">
        <v>179</v>
      </c>
      <c r="L56">
        <f t="shared" si="25"/>
        <v>3.4759102840240086</v>
      </c>
      <c r="M56">
        <f t="shared" si="26"/>
        <v>3.6009577291151063</v>
      </c>
      <c r="N56">
        <f t="shared" si="27"/>
        <v>5.3212732546279451</v>
      </c>
      <c r="O56">
        <f t="shared" si="28"/>
        <v>3.17739617652507</v>
      </c>
      <c r="P56">
        <f t="shared" si="29"/>
        <v>67.183293034870502</v>
      </c>
      <c r="Q56">
        <f t="shared" si="30"/>
        <v>3.5287856999049501</v>
      </c>
      <c r="R56">
        <f t="shared" si="31"/>
        <v>4.64966791344904</v>
      </c>
      <c r="S56">
        <f t="shared" si="32"/>
        <v>107.87968886374588</v>
      </c>
      <c r="T56">
        <f t="shared" si="33"/>
        <v>105.68587078319472</v>
      </c>
      <c r="U56" t="e">
        <f t="shared" si="34"/>
        <v>#N/A</v>
      </c>
      <c r="V56">
        <f t="shared" si="35"/>
        <v>3.4759102840240086</v>
      </c>
      <c r="W56" t="e">
        <f t="shared" si="36"/>
        <v>#N/A</v>
      </c>
      <c r="X56">
        <f t="shared" si="37"/>
        <v>3.6009577291151063</v>
      </c>
      <c r="Y56" t="e">
        <f t="shared" si="38"/>
        <v>#N/A</v>
      </c>
      <c r="Z56">
        <f t="shared" si="39"/>
        <v>107.87968886374588</v>
      </c>
      <c r="AA56" t="e">
        <f t="shared" si="40"/>
        <v>#N/A</v>
      </c>
      <c r="AB56">
        <f t="shared" si="41"/>
        <v>105.68587078319472</v>
      </c>
      <c r="AC56" t="e">
        <f t="shared" si="42"/>
        <v>#N/A</v>
      </c>
      <c r="AD56">
        <f t="shared" si="43"/>
        <v>3.17739617652507</v>
      </c>
      <c r="AE56" t="e">
        <f t="shared" si="44"/>
        <v>#N/A</v>
      </c>
      <c r="AF56">
        <f t="shared" si="45"/>
        <v>3.5287856999049501</v>
      </c>
      <c r="AG56" t="e">
        <f t="shared" si="46"/>
        <v>#N/A</v>
      </c>
      <c r="AH56">
        <f t="shared" si="47"/>
        <v>4.64966791344904</v>
      </c>
      <c r="AI56" t="e">
        <f t="shared" si="48"/>
        <v>#N/A</v>
      </c>
      <c r="AJ56">
        <f t="shared" si="49"/>
        <v>5.3212732546279451</v>
      </c>
    </row>
    <row r="57" spans="1:36" x14ac:dyDescent="0.25">
      <c r="A57" s="2">
        <v>47088</v>
      </c>
      <c r="B57">
        <v>774097.61686511606</v>
      </c>
      <c r="C57">
        <v>402668.98363734398</v>
      </c>
      <c r="D57">
        <v>172.356370224476</v>
      </c>
      <c r="E57">
        <v>15687.9165774128</v>
      </c>
      <c r="F57">
        <v>4582394.0486536697</v>
      </c>
      <c r="G57">
        <v>3.1142738026332401E-2</v>
      </c>
      <c r="H57">
        <v>0.67219186395235297</v>
      </c>
      <c r="I57">
        <v>3.7691515665046797E-2</v>
      </c>
      <c r="J57">
        <v>4.71898535790332E-2</v>
      </c>
      <c r="K57" t="s">
        <v>179</v>
      </c>
      <c r="L57">
        <f t="shared" si="25"/>
        <v>3.3543022638324427</v>
      </c>
      <c r="M57">
        <f t="shared" si="26"/>
        <v>3.3871150830912411</v>
      </c>
      <c r="N57">
        <f t="shared" si="27"/>
        <v>5.2868541332037111</v>
      </c>
      <c r="O57">
        <f t="shared" si="28"/>
        <v>3.1142738026332402</v>
      </c>
      <c r="P57">
        <f t="shared" si="29"/>
        <v>67.219186395235297</v>
      </c>
      <c r="Q57">
        <f t="shared" si="30"/>
        <v>3.7691515665046795</v>
      </c>
      <c r="R57">
        <f t="shared" si="31"/>
        <v>4.7189853579033203</v>
      </c>
      <c r="S57">
        <f t="shared" si="32"/>
        <v>108.38914308793025</v>
      </c>
      <c r="T57">
        <f t="shared" si="33"/>
        <v>106.14739804994434</v>
      </c>
      <c r="U57" t="e">
        <f t="shared" si="34"/>
        <v>#N/A</v>
      </c>
      <c r="V57">
        <f t="shared" si="35"/>
        <v>3.3543022638324427</v>
      </c>
      <c r="W57" t="e">
        <f t="shared" si="36"/>
        <v>#N/A</v>
      </c>
      <c r="X57">
        <f t="shared" si="37"/>
        <v>3.3871150830912411</v>
      </c>
      <c r="Y57" t="e">
        <f t="shared" si="38"/>
        <v>#N/A</v>
      </c>
      <c r="Z57">
        <f t="shared" si="39"/>
        <v>108.38914308793025</v>
      </c>
      <c r="AA57" t="e">
        <f t="shared" si="40"/>
        <v>#N/A</v>
      </c>
      <c r="AB57">
        <f t="shared" si="41"/>
        <v>106.14739804994434</v>
      </c>
      <c r="AC57" t="e">
        <f t="shared" si="42"/>
        <v>#N/A</v>
      </c>
      <c r="AD57">
        <f t="shared" si="43"/>
        <v>3.1142738026332402</v>
      </c>
      <c r="AE57" t="e">
        <f t="shared" si="44"/>
        <v>#N/A</v>
      </c>
      <c r="AF57">
        <f t="shared" si="45"/>
        <v>3.7691515665046795</v>
      </c>
      <c r="AG57" t="e">
        <f t="shared" si="46"/>
        <v>#N/A</v>
      </c>
      <c r="AH57">
        <f t="shared" si="47"/>
        <v>4.7189853579033203</v>
      </c>
      <c r="AI57" t="e">
        <f t="shared" si="48"/>
        <v>#N/A</v>
      </c>
      <c r="AJ57">
        <f t="shared" si="49"/>
        <v>5.2868541332037111</v>
      </c>
    </row>
    <row r="58" spans="1:36" x14ac:dyDescent="0.25">
      <c r="A58" s="2">
        <v>47178</v>
      </c>
      <c r="B58">
        <v>780138.079143001</v>
      </c>
      <c r="C58">
        <v>405785.10450219602</v>
      </c>
      <c r="D58">
        <v>174.540773803207</v>
      </c>
      <c r="E58">
        <v>15757.6141757512</v>
      </c>
      <c r="F58">
        <v>4599773.6262604399</v>
      </c>
      <c r="G58">
        <v>3.0657268063408401E-2</v>
      </c>
      <c r="H58">
        <v>0.67247126955180303</v>
      </c>
      <c r="I58">
        <v>3.9927262902835402E-2</v>
      </c>
      <c r="J58">
        <v>4.7901395645595299E-2</v>
      </c>
      <c r="K58" t="s">
        <v>179</v>
      </c>
      <c r="L58">
        <f t="shared" si="25"/>
        <v>3.2447977586609111</v>
      </c>
      <c r="M58">
        <f t="shared" si="26"/>
        <v>3.2154418050123423</v>
      </c>
      <c r="N58">
        <f t="shared" si="27"/>
        <v>5.2431145449470584</v>
      </c>
      <c r="O58">
        <f t="shared" si="28"/>
        <v>3.06572680634084</v>
      </c>
      <c r="P58">
        <f t="shared" si="29"/>
        <v>67.247126955180306</v>
      </c>
      <c r="Q58">
        <f t="shared" si="30"/>
        <v>3.9927262902835401</v>
      </c>
      <c r="R58">
        <f t="shared" si="31"/>
        <v>4.7901395645595297</v>
      </c>
      <c r="S58">
        <f t="shared" si="32"/>
        <v>108.87068969240816</v>
      </c>
      <c r="T58">
        <f t="shared" si="33"/>
        <v>106.54998170437882</v>
      </c>
      <c r="U58" t="e">
        <f t="shared" si="34"/>
        <v>#N/A</v>
      </c>
      <c r="V58">
        <f t="shared" si="35"/>
        <v>3.2447977586609111</v>
      </c>
      <c r="W58" t="e">
        <f t="shared" si="36"/>
        <v>#N/A</v>
      </c>
      <c r="X58">
        <f t="shared" si="37"/>
        <v>3.2154418050123423</v>
      </c>
      <c r="Y58" t="e">
        <f t="shared" si="38"/>
        <v>#N/A</v>
      </c>
      <c r="Z58">
        <f t="shared" si="39"/>
        <v>108.87068969240816</v>
      </c>
      <c r="AA58" t="e">
        <f t="shared" si="40"/>
        <v>#N/A</v>
      </c>
      <c r="AB58">
        <f t="shared" si="41"/>
        <v>106.54998170437882</v>
      </c>
      <c r="AC58" t="e">
        <f t="shared" si="42"/>
        <v>#N/A</v>
      </c>
      <c r="AD58">
        <f t="shared" si="43"/>
        <v>3.06572680634084</v>
      </c>
      <c r="AE58" t="e">
        <f t="shared" si="44"/>
        <v>#N/A</v>
      </c>
      <c r="AF58">
        <f t="shared" si="45"/>
        <v>3.9927262902835401</v>
      </c>
      <c r="AG58" t="e">
        <f t="shared" si="46"/>
        <v>#N/A</v>
      </c>
      <c r="AH58">
        <f t="shared" si="47"/>
        <v>4.7901395645595297</v>
      </c>
      <c r="AI58" t="e">
        <f t="shared" si="48"/>
        <v>#N/A</v>
      </c>
      <c r="AJ58">
        <f t="shared" si="49"/>
        <v>5.2431145449470584</v>
      </c>
    </row>
    <row r="59" spans="1:36" x14ac:dyDescent="0.25">
      <c r="A59" s="2">
        <v>47270</v>
      </c>
      <c r="B59">
        <v>785839.21706502105</v>
      </c>
      <c r="C59">
        <v>408595.01874341897</v>
      </c>
      <c r="D59">
        <v>176.726766030466</v>
      </c>
      <c r="E59">
        <v>15822.5568585151</v>
      </c>
      <c r="F59">
        <v>4613733.0973442104</v>
      </c>
      <c r="G59">
        <v>3.0375059169655001E-2</v>
      </c>
      <c r="H59">
        <v>0.67268274682553197</v>
      </c>
      <c r="I59">
        <v>4.1904510130589899E-2</v>
      </c>
      <c r="J59">
        <v>4.8614947085479802E-2</v>
      </c>
      <c r="K59" t="s">
        <v>179</v>
      </c>
      <c r="L59">
        <f t="shared" si="25"/>
        <v>3.0620041209098225</v>
      </c>
      <c r="M59">
        <f t="shared" si="26"/>
        <v>3.0528843196959254</v>
      </c>
      <c r="N59">
        <f t="shared" si="27"/>
        <v>5.1837179069815109</v>
      </c>
      <c r="O59">
        <f t="shared" si="28"/>
        <v>3.0375059169655003</v>
      </c>
      <c r="P59">
        <f t="shared" si="29"/>
        <v>67.268274682553198</v>
      </c>
      <c r="Q59">
        <f t="shared" si="30"/>
        <v>4.1904510130589898</v>
      </c>
      <c r="R59">
        <f t="shared" si="31"/>
        <v>4.8614947085479798</v>
      </c>
      <c r="S59">
        <f t="shared" si="32"/>
        <v>109.31938418283815</v>
      </c>
      <c r="T59">
        <f t="shared" si="33"/>
        <v>106.87334139757914</v>
      </c>
      <c r="U59" t="e">
        <f t="shared" si="34"/>
        <v>#N/A</v>
      </c>
      <c r="V59">
        <f t="shared" si="35"/>
        <v>3.0620041209098225</v>
      </c>
      <c r="W59" t="e">
        <f t="shared" si="36"/>
        <v>#N/A</v>
      </c>
      <c r="X59">
        <f t="shared" si="37"/>
        <v>3.0528843196959254</v>
      </c>
      <c r="Y59" t="e">
        <f t="shared" si="38"/>
        <v>#N/A</v>
      </c>
      <c r="Z59">
        <f t="shared" si="39"/>
        <v>109.31938418283815</v>
      </c>
      <c r="AA59" t="e">
        <f t="shared" si="40"/>
        <v>#N/A</v>
      </c>
      <c r="AB59">
        <f t="shared" si="41"/>
        <v>106.87334139757914</v>
      </c>
      <c r="AC59" t="e">
        <f t="shared" si="42"/>
        <v>#N/A</v>
      </c>
      <c r="AD59">
        <f t="shared" si="43"/>
        <v>3.0375059169655003</v>
      </c>
      <c r="AE59" t="e">
        <f t="shared" si="44"/>
        <v>#N/A</v>
      </c>
      <c r="AF59">
        <f t="shared" si="45"/>
        <v>4.1904510130589898</v>
      </c>
      <c r="AG59" t="e">
        <f t="shared" si="46"/>
        <v>#N/A</v>
      </c>
      <c r="AH59">
        <f t="shared" si="47"/>
        <v>4.8614947085479798</v>
      </c>
      <c r="AI59" t="e">
        <f t="shared" si="48"/>
        <v>#N/A</v>
      </c>
      <c r="AJ59">
        <f t="shared" si="49"/>
        <v>5.1837179069815109</v>
      </c>
    </row>
    <row r="60" spans="1:36" x14ac:dyDescent="0.25">
      <c r="A60" s="2">
        <v>47362</v>
      </c>
      <c r="B60">
        <v>791750.82629301702</v>
      </c>
      <c r="C60">
        <v>411457.68626737001</v>
      </c>
      <c r="D60">
        <v>178.92180800349701</v>
      </c>
      <c r="E60">
        <v>15883.508058472</v>
      </c>
      <c r="F60">
        <v>4625927.3710882403</v>
      </c>
      <c r="G60">
        <v>3.0127486566633499E-2</v>
      </c>
      <c r="H60">
        <v>0.672828293409099</v>
      </c>
      <c r="I60">
        <v>4.3756484794373003E-2</v>
      </c>
      <c r="J60">
        <v>4.9323576297425398E-2</v>
      </c>
      <c r="K60" t="s">
        <v>179</v>
      </c>
      <c r="L60">
        <f t="shared" si="25"/>
        <v>3.0934272108955385</v>
      </c>
      <c r="M60">
        <f t="shared" si="26"/>
        <v>2.9788555916693049</v>
      </c>
      <c r="N60">
        <f t="shared" si="27"/>
        <v>5.1372504674649377</v>
      </c>
      <c r="O60">
        <f t="shared" si="28"/>
        <v>3.0127486566633497</v>
      </c>
      <c r="P60">
        <f t="shared" si="29"/>
        <v>67.282829340909899</v>
      </c>
      <c r="Q60">
        <f t="shared" si="30"/>
        <v>4.3756484794373005</v>
      </c>
      <c r="R60">
        <f t="shared" si="31"/>
        <v>4.9323576297425396</v>
      </c>
      <c r="S60">
        <f t="shared" si="32"/>
        <v>109.74050118080979</v>
      </c>
      <c r="T60">
        <f t="shared" si="33"/>
        <v>107.15581174283848</v>
      </c>
      <c r="U60" t="e">
        <f t="shared" si="34"/>
        <v>#N/A</v>
      </c>
      <c r="V60">
        <f t="shared" si="35"/>
        <v>3.0934272108955385</v>
      </c>
      <c r="W60" t="e">
        <f t="shared" si="36"/>
        <v>#N/A</v>
      </c>
      <c r="X60">
        <f t="shared" si="37"/>
        <v>2.9788555916693049</v>
      </c>
      <c r="Y60" t="e">
        <f t="shared" si="38"/>
        <v>#N/A</v>
      </c>
      <c r="Z60">
        <f t="shared" si="39"/>
        <v>109.74050118080979</v>
      </c>
      <c r="AA60" t="e">
        <f t="shared" si="40"/>
        <v>#N/A</v>
      </c>
      <c r="AB60">
        <f t="shared" si="41"/>
        <v>107.15581174283848</v>
      </c>
      <c r="AC60" t="e">
        <f t="shared" si="42"/>
        <v>#N/A</v>
      </c>
      <c r="AD60">
        <f t="shared" si="43"/>
        <v>3.0127486566633497</v>
      </c>
      <c r="AE60" t="e">
        <f t="shared" si="44"/>
        <v>#N/A</v>
      </c>
      <c r="AF60">
        <f t="shared" si="45"/>
        <v>4.3756484794373005</v>
      </c>
      <c r="AG60" t="e">
        <f t="shared" si="46"/>
        <v>#N/A</v>
      </c>
      <c r="AH60">
        <f t="shared" si="47"/>
        <v>4.9323576297425396</v>
      </c>
      <c r="AI60" t="e">
        <f t="shared" si="48"/>
        <v>#N/A</v>
      </c>
      <c r="AJ60">
        <f t="shared" si="49"/>
        <v>5.1372504674649377</v>
      </c>
    </row>
    <row r="61" spans="1:36" x14ac:dyDescent="0.25">
      <c r="A61" s="2">
        <v>47453</v>
      </c>
      <c r="B61">
        <v>797616.02991723805</v>
      </c>
      <c r="C61">
        <v>414399.00029450801</v>
      </c>
      <c r="D61">
        <v>181.11680621961301</v>
      </c>
      <c r="E61">
        <v>15942.1648539623</v>
      </c>
      <c r="F61">
        <v>4636350.9511404103</v>
      </c>
      <c r="G61">
        <v>2.99828232697384E-2</v>
      </c>
      <c r="H61">
        <v>0.67294459870438805</v>
      </c>
      <c r="I61">
        <v>4.5412994372696303E-2</v>
      </c>
      <c r="J61">
        <v>5.0017632033154E-2</v>
      </c>
      <c r="K61" t="s">
        <v>179</v>
      </c>
      <c r="L61">
        <f t="shared" si="25"/>
        <v>3.0381714837677931</v>
      </c>
      <c r="M61">
        <f t="shared" si="26"/>
        <v>2.9130668449319774</v>
      </c>
      <c r="N61">
        <f t="shared" si="27"/>
        <v>5.0827456993480791</v>
      </c>
      <c r="O61">
        <f t="shared" si="28"/>
        <v>2.9982823269738401</v>
      </c>
      <c r="P61">
        <f t="shared" si="29"/>
        <v>67.2944598704388</v>
      </c>
      <c r="Q61">
        <f t="shared" si="30"/>
        <v>4.5412994372696307</v>
      </c>
      <c r="R61">
        <f t="shared" si="31"/>
        <v>5.0017632033153996</v>
      </c>
      <c r="S61">
        <f t="shared" si="32"/>
        <v>110.1457659441775</v>
      </c>
      <c r="T61">
        <f t="shared" si="33"/>
        <v>107.39726542167001</v>
      </c>
      <c r="U61" t="e">
        <f t="shared" si="34"/>
        <v>#N/A</v>
      </c>
      <c r="V61">
        <f t="shared" si="35"/>
        <v>3.0381714837677931</v>
      </c>
      <c r="W61" t="e">
        <f t="shared" si="36"/>
        <v>#N/A</v>
      </c>
      <c r="X61">
        <f t="shared" si="37"/>
        <v>2.9130668449319774</v>
      </c>
      <c r="Y61" t="e">
        <f t="shared" si="38"/>
        <v>#N/A</v>
      </c>
      <c r="Z61">
        <f t="shared" si="39"/>
        <v>110.1457659441775</v>
      </c>
      <c r="AA61" t="e">
        <f t="shared" si="40"/>
        <v>#N/A</v>
      </c>
      <c r="AB61">
        <f t="shared" si="41"/>
        <v>107.39726542167001</v>
      </c>
      <c r="AC61" t="e">
        <f t="shared" si="42"/>
        <v>#N/A</v>
      </c>
      <c r="AD61">
        <f t="shared" si="43"/>
        <v>2.9982823269738401</v>
      </c>
      <c r="AE61" t="e">
        <f t="shared" si="44"/>
        <v>#N/A</v>
      </c>
      <c r="AF61">
        <f t="shared" si="45"/>
        <v>4.5412994372696307</v>
      </c>
      <c r="AG61" t="e">
        <f t="shared" si="46"/>
        <v>#N/A</v>
      </c>
      <c r="AH61">
        <f t="shared" si="47"/>
        <v>5.0017632033153996</v>
      </c>
      <c r="AI61" t="e">
        <f t="shared" si="48"/>
        <v>#N/A</v>
      </c>
      <c r="AJ61">
        <f t="shared" si="49"/>
        <v>5.0827456993480791</v>
      </c>
    </row>
    <row r="62" spans="1:36" x14ac:dyDescent="0.25">
      <c r="A62" s="2">
        <v>47543</v>
      </c>
      <c r="B62">
        <v>803535.66131717805</v>
      </c>
      <c r="C62">
        <v>417407.26150689198</v>
      </c>
      <c r="D62">
        <v>183.31263304131801</v>
      </c>
      <c r="E62">
        <v>15999.0564264154</v>
      </c>
      <c r="F62">
        <v>4645632.1016915496</v>
      </c>
      <c r="G62">
        <v>2.9890125198490099E-2</v>
      </c>
      <c r="H62">
        <v>0.67301963807130405</v>
      </c>
      <c r="I62">
        <v>4.6908953241603803E-2</v>
      </c>
      <c r="J62">
        <v>5.0690708556456597E-2</v>
      </c>
      <c r="K62" t="s">
        <v>179</v>
      </c>
      <c r="L62">
        <f t="shared" si="25"/>
        <v>2.9991590975638305</v>
      </c>
      <c r="M62">
        <f t="shared" si="26"/>
        <v>2.8641162220465644</v>
      </c>
      <c r="N62">
        <f t="shared" si="27"/>
        <v>5.025679127560867</v>
      </c>
      <c r="O62">
        <f t="shared" si="28"/>
        <v>2.9890125198490098</v>
      </c>
      <c r="P62">
        <f t="shared" si="29"/>
        <v>67.301963807130406</v>
      </c>
      <c r="Q62">
        <f t="shared" si="30"/>
        <v>4.6908953241603806</v>
      </c>
      <c r="R62">
        <f t="shared" si="31"/>
        <v>5.0690708556456601</v>
      </c>
      <c r="S62">
        <f t="shared" si="32"/>
        <v>110.53883463221442</v>
      </c>
      <c r="T62">
        <f t="shared" si="33"/>
        <v>107.61225565853162</v>
      </c>
      <c r="U62" t="e">
        <f t="shared" si="34"/>
        <v>#N/A</v>
      </c>
      <c r="V62">
        <f t="shared" si="35"/>
        <v>2.9991590975638305</v>
      </c>
      <c r="W62" t="e">
        <f t="shared" si="36"/>
        <v>#N/A</v>
      </c>
      <c r="X62">
        <f t="shared" si="37"/>
        <v>2.8641162220465644</v>
      </c>
      <c r="Y62" t="e">
        <f t="shared" si="38"/>
        <v>#N/A</v>
      </c>
      <c r="Z62">
        <f t="shared" si="39"/>
        <v>110.53883463221442</v>
      </c>
      <c r="AA62" t="e">
        <f t="shared" si="40"/>
        <v>#N/A</v>
      </c>
      <c r="AB62">
        <f t="shared" si="41"/>
        <v>107.61225565853162</v>
      </c>
      <c r="AC62" t="e">
        <f t="shared" si="42"/>
        <v>#N/A</v>
      </c>
      <c r="AD62">
        <f t="shared" si="43"/>
        <v>2.9890125198490098</v>
      </c>
      <c r="AE62" t="e">
        <f t="shared" si="44"/>
        <v>#N/A</v>
      </c>
      <c r="AF62">
        <f t="shared" si="45"/>
        <v>4.6908953241603806</v>
      </c>
      <c r="AG62" t="e">
        <f t="shared" si="46"/>
        <v>#N/A</v>
      </c>
      <c r="AH62">
        <f t="shared" si="47"/>
        <v>5.0690708556456601</v>
      </c>
      <c r="AI62" t="e">
        <f t="shared" si="48"/>
        <v>#N/A</v>
      </c>
      <c r="AJ62">
        <f t="shared" si="49"/>
        <v>5.025679127560867</v>
      </c>
    </row>
    <row r="63" spans="1:36" x14ac:dyDescent="0.25">
      <c r="A63" s="2">
        <v>47635</v>
      </c>
      <c r="B63">
        <v>809012.801138337</v>
      </c>
      <c r="C63">
        <v>420138.35204439901</v>
      </c>
      <c r="D63">
        <v>185.49936562262599</v>
      </c>
      <c r="E63">
        <v>16052.521381782801</v>
      </c>
      <c r="F63">
        <v>4652137.9780229097</v>
      </c>
      <c r="G63">
        <v>2.9964056476215702E-2</v>
      </c>
      <c r="H63">
        <v>0.67306410723270504</v>
      </c>
      <c r="I63">
        <v>4.8128099978330098E-2</v>
      </c>
      <c r="J63">
        <v>5.13311621812109E-2</v>
      </c>
      <c r="K63" t="s">
        <v>179</v>
      </c>
      <c r="L63">
        <f t="shared" si="25"/>
        <v>2.9488963607422702</v>
      </c>
      <c r="M63">
        <f t="shared" si="26"/>
        <v>2.8251282496003283</v>
      </c>
      <c r="N63">
        <f t="shared" si="27"/>
        <v>4.9639337544646001</v>
      </c>
      <c r="O63">
        <f t="shared" si="28"/>
        <v>2.9964056476215704</v>
      </c>
      <c r="P63">
        <f t="shared" si="29"/>
        <v>67.306410723270503</v>
      </c>
      <c r="Q63">
        <f t="shared" si="30"/>
        <v>4.8128099978330097</v>
      </c>
      <c r="R63">
        <f t="shared" si="31"/>
        <v>5.1331162181210903</v>
      </c>
      <c r="S63">
        <f t="shared" si="32"/>
        <v>110.90822853285835</v>
      </c>
      <c r="T63">
        <f t="shared" si="33"/>
        <v>107.76295894534553</v>
      </c>
      <c r="U63" t="e">
        <f t="shared" si="34"/>
        <v>#N/A</v>
      </c>
      <c r="V63">
        <f t="shared" si="35"/>
        <v>2.9488963607422702</v>
      </c>
      <c r="W63" t="e">
        <f t="shared" si="36"/>
        <v>#N/A</v>
      </c>
      <c r="X63">
        <f t="shared" si="37"/>
        <v>2.8251282496003283</v>
      </c>
      <c r="Y63" t="e">
        <f t="shared" si="38"/>
        <v>#N/A</v>
      </c>
      <c r="Z63">
        <f t="shared" si="39"/>
        <v>110.90822853285835</v>
      </c>
      <c r="AA63" t="e">
        <f t="shared" si="40"/>
        <v>#N/A</v>
      </c>
      <c r="AB63">
        <f t="shared" si="41"/>
        <v>107.76295894534553</v>
      </c>
      <c r="AC63" t="e">
        <f t="shared" si="42"/>
        <v>#N/A</v>
      </c>
      <c r="AD63">
        <f t="shared" si="43"/>
        <v>2.9964056476215704</v>
      </c>
      <c r="AE63" t="e">
        <f t="shared" si="44"/>
        <v>#N/A</v>
      </c>
      <c r="AF63">
        <f t="shared" si="45"/>
        <v>4.8128099978330097</v>
      </c>
      <c r="AG63" t="e">
        <f t="shared" si="46"/>
        <v>#N/A</v>
      </c>
      <c r="AH63">
        <f t="shared" si="47"/>
        <v>5.1331162181210903</v>
      </c>
      <c r="AI63" t="e">
        <f t="shared" si="48"/>
        <v>#N/A</v>
      </c>
      <c r="AJ63">
        <f t="shared" si="49"/>
        <v>4.9639337544646001</v>
      </c>
    </row>
    <row r="64" spans="1:36" x14ac:dyDescent="0.25">
      <c r="A64" s="2">
        <v>47727</v>
      </c>
      <c r="B64">
        <v>814824.19640977599</v>
      </c>
      <c r="C64">
        <v>422958.88294392201</v>
      </c>
      <c r="D64">
        <v>187.68269109552301</v>
      </c>
      <c r="E64">
        <v>16104.763689507199</v>
      </c>
      <c r="F64">
        <v>4657857.10966984</v>
      </c>
      <c r="G64">
        <v>3.0065823972452201E-2</v>
      </c>
      <c r="H64">
        <v>0.67306695663804805</v>
      </c>
      <c r="I64">
        <v>4.9178314414562503E-2</v>
      </c>
      <c r="J64">
        <v>5.1934750853567302E-2</v>
      </c>
      <c r="K64" t="s">
        <v>179</v>
      </c>
      <c r="L64">
        <f t="shared" si="25"/>
        <v>2.9142211603098156</v>
      </c>
      <c r="M64">
        <f t="shared" si="26"/>
        <v>2.7952319425328165</v>
      </c>
      <c r="N64">
        <f t="shared" si="27"/>
        <v>4.8964870128379134</v>
      </c>
      <c r="O64">
        <f t="shared" si="28"/>
        <v>3.0065823972452201</v>
      </c>
      <c r="P64">
        <f t="shared" si="29"/>
        <v>67.306695663804803</v>
      </c>
      <c r="Q64">
        <f t="shared" si="30"/>
        <v>4.9178314414562507</v>
      </c>
      <c r="R64">
        <f t="shared" si="31"/>
        <v>5.19347508535673</v>
      </c>
      <c r="S64">
        <f t="shared" si="32"/>
        <v>111.26917505748077</v>
      </c>
      <c r="T64">
        <f t="shared" si="33"/>
        <v>107.8954379371086</v>
      </c>
      <c r="U64" t="e">
        <f t="shared" si="34"/>
        <v>#N/A</v>
      </c>
      <c r="V64">
        <f t="shared" si="35"/>
        <v>2.9142211603098156</v>
      </c>
      <c r="W64" t="e">
        <f t="shared" si="36"/>
        <v>#N/A</v>
      </c>
      <c r="X64">
        <f t="shared" si="37"/>
        <v>2.7952319425328165</v>
      </c>
      <c r="Y64" t="e">
        <f t="shared" si="38"/>
        <v>#N/A</v>
      </c>
      <c r="Z64">
        <f t="shared" si="39"/>
        <v>111.26917505748077</v>
      </c>
      <c r="AA64" t="e">
        <f t="shared" si="40"/>
        <v>#N/A</v>
      </c>
      <c r="AB64">
        <f t="shared" si="41"/>
        <v>107.8954379371086</v>
      </c>
      <c r="AC64" t="e">
        <f t="shared" si="42"/>
        <v>#N/A</v>
      </c>
      <c r="AD64">
        <f t="shared" si="43"/>
        <v>3.0065823972452201</v>
      </c>
      <c r="AE64" t="e">
        <f t="shared" si="44"/>
        <v>#N/A</v>
      </c>
      <c r="AF64">
        <f t="shared" si="45"/>
        <v>4.9178314414562507</v>
      </c>
      <c r="AG64" t="e">
        <f t="shared" si="46"/>
        <v>#N/A</v>
      </c>
      <c r="AH64">
        <f t="shared" si="47"/>
        <v>5.19347508535673</v>
      </c>
      <c r="AI64" t="e">
        <f t="shared" si="48"/>
        <v>#N/A</v>
      </c>
      <c r="AJ64">
        <f t="shared" si="49"/>
        <v>4.8964870128379134</v>
      </c>
    </row>
    <row r="65" spans="1:36" x14ac:dyDescent="0.25">
      <c r="A65" s="2">
        <v>47818</v>
      </c>
      <c r="B65">
        <v>820543.23507667205</v>
      </c>
      <c r="C65">
        <v>425919.97977575602</v>
      </c>
      <c r="D65">
        <v>189.857362500145</v>
      </c>
      <c r="E65">
        <v>16155.5294566667</v>
      </c>
      <c r="F65">
        <v>4662526.3592171799</v>
      </c>
      <c r="G65">
        <v>3.0222688979500201E-2</v>
      </c>
      <c r="H65">
        <v>0.67304560766240096</v>
      </c>
      <c r="I65">
        <v>5.0036761784637999E-2</v>
      </c>
      <c r="J65">
        <v>5.2496634896624497E-2</v>
      </c>
      <c r="K65" t="s">
        <v>179</v>
      </c>
      <c r="L65">
        <f t="shared" si="25"/>
        <v>2.8744664474475323</v>
      </c>
      <c r="M65">
        <f t="shared" si="26"/>
        <v>2.7801658481463987</v>
      </c>
      <c r="N65">
        <f t="shared" si="27"/>
        <v>4.8259222669450264</v>
      </c>
      <c r="O65">
        <f t="shared" si="28"/>
        <v>3.0222688979500201</v>
      </c>
      <c r="P65">
        <f t="shared" si="29"/>
        <v>67.304560766240101</v>
      </c>
      <c r="Q65">
        <f t="shared" si="30"/>
        <v>5.0036761784637998</v>
      </c>
      <c r="R65">
        <f t="shared" si="31"/>
        <v>5.2496634896624501</v>
      </c>
      <c r="S65">
        <f t="shared" si="32"/>
        <v>111.61992003840078</v>
      </c>
      <c r="T65">
        <f t="shared" si="33"/>
        <v>108.00359727151627</v>
      </c>
      <c r="U65" t="e">
        <f t="shared" si="34"/>
        <v>#N/A</v>
      </c>
      <c r="V65">
        <f t="shared" si="35"/>
        <v>2.8744664474475323</v>
      </c>
      <c r="W65" t="e">
        <f t="shared" si="36"/>
        <v>#N/A</v>
      </c>
      <c r="X65">
        <f t="shared" si="37"/>
        <v>2.7801658481463987</v>
      </c>
      <c r="Y65" t="e">
        <f t="shared" si="38"/>
        <v>#N/A</v>
      </c>
      <c r="Z65">
        <f t="shared" si="39"/>
        <v>111.61992003840078</v>
      </c>
      <c r="AA65" t="e">
        <f t="shared" si="40"/>
        <v>#N/A</v>
      </c>
      <c r="AB65">
        <f t="shared" si="41"/>
        <v>108.00359727151627</v>
      </c>
      <c r="AC65" t="e">
        <f t="shared" si="42"/>
        <v>#N/A</v>
      </c>
      <c r="AD65">
        <f t="shared" si="43"/>
        <v>3.0222688979500201</v>
      </c>
      <c r="AE65" t="e">
        <f t="shared" si="44"/>
        <v>#N/A</v>
      </c>
      <c r="AF65">
        <f t="shared" si="45"/>
        <v>5.0036761784637998</v>
      </c>
      <c r="AG65" t="e">
        <f t="shared" si="46"/>
        <v>#N/A</v>
      </c>
      <c r="AH65">
        <f t="shared" si="47"/>
        <v>5.2496634896624501</v>
      </c>
      <c r="AI65" t="e">
        <f t="shared" si="48"/>
        <v>#N/A</v>
      </c>
      <c r="AJ65">
        <f t="shared" si="49"/>
        <v>4.8259222669450264</v>
      </c>
    </row>
    <row r="66" spans="1:36" x14ac:dyDescent="0.25">
      <c r="A66" s="2">
        <v>47908</v>
      </c>
      <c r="B66">
        <v>826364.70343282796</v>
      </c>
      <c r="C66">
        <v>428998.45483257802</v>
      </c>
      <c r="D66">
        <v>192.02375248233301</v>
      </c>
      <c r="E66">
        <v>16205.5204002789</v>
      </c>
      <c r="F66">
        <v>4666741.9051353903</v>
      </c>
      <c r="G66">
        <v>3.0396851333109601E-2</v>
      </c>
      <c r="H66">
        <v>0.67300357324050897</v>
      </c>
      <c r="I66">
        <v>5.0738248275286502E-2</v>
      </c>
      <c r="J66">
        <v>5.3014519168143599E-2</v>
      </c>
      <c r="K66" t="s">
        <v>179</v>
      </c>
      <c r="L66">
        <f t="shared" ref="L66:L97" si="50">IF(ROW()&lt;=5,NA(),IFERROR(100*(B66/INDEX(B:B,ROW()-4)-1),NA()))</f>
        <v>2.8410739205062763</v>
      </c>
      <c r="M66">
        <f t="shared" ref="M66:M97" si="51">IF(ROW()&lt;=5,NA(),IFERROR(100*(C66/INDEX(C:C,ROW()-4)-1),NA()))</f>
        <v>2.7769505695325991</v>
      </c>
      <c r="N66">
        <f t="shared" ref="N66:N97" si="52">IF(ROW()&lt;=5,NA(),IFERROR(100*(D66/INDEX(D:D,ROW()-4)-1),NA()))</f>
        <v>4.7520562530196875</v>
      </c>
      <c r="O66">
        <f t="shared" ref="O66:O97" si="53">100*G66</f>
        <v>3.03968513331096</v>
      </c>
      <c r="P66">
        <f t="shared" ref="P66:P97" si="54">100*H66</f>
        <v>67.300357324050893</v>
      </c>
      <c r="Q66">
        <f t="shared" ref="Q66:Q97" si="55">100*I66</f>
        <v>5.0738248275286502</v>
      </c>
      <c r="R66">
        <f t="shared" ref="R66:R97" si="56">100*J66</f>
        <v>5.3014519168143597</v>
      </c>
      <c r="S66">
        <f t="shared" ref="S66:S97" si="57">IFERROR(100*E66/INDEX(E:E,MATCH(DATE(2024,12,1),A:A,0)),NA())</f>
        <v>111.96531169786975</v>
      </c>
      <c r="T66">
        <f t="shared" ref="T66:T97" si="58">IFERROR(100*F66/INDEX(F:F,MATCH(DATE(2024,12,1),A:A,0)),NA())</f>
        <v>108.10124693364202</v>
      </c>
      <c r="U66" t="e">
        <f t="shared" ref="U66:U97" si="59">IF($K66="Actual",L66,NA())</f>
        <v>#N/A</v>
      </c>
      <c r="V66">
        <f t="shared" ref="V66:V97" si="60">IF($A66&gt;=DATE(2024,12,1),L66,NA())</f>
        <v>2.8410739205062763</v>
      </c>
      <c r="W66" t="e">
        <f t="shared" ref="W66:W97" si="61">IF($K66="Actual",M66,NA())</f>
        <v>#N/A</v>
      </c>
      <c r="X66">
        <f t="shared" ref="X66:X97" si="62">IF($A66&gt;=DATE(2024,12,1),M66,NA())</f>
        <v>2.7769505695325991</v>
      </c>
      <c r="Y66" t="e">
        <f t="shared" ref="Y66:Y97" si="63">IF($K66="Actual",S66,NA())</f>
        <v>#N/A</v>
      </c>
      <c r="Z66">
        <f t="shared" ref="Z66:Z97" si="64">IF($A66&gt;=DATE(2024,12,1),S66,NA())</f>
        <v>111.96531169786975</v>
      </c>
      <c r="AA66" t="e">
        <f t="shared" ref="AA66:AA97" si="65">IF($K66="Actual",T66,NA())</f>
        <v>#N/A</v>
      </c>
      <c r="AB66">
        <f t="shared" ref="AB66:AB97" si="66">IF($A66&gt;=DATE(2024,12,1),T66,NA())</f>
        <v>108.10124693364202</v>
      </c>
      <c r="AC66" t="e">
        <f t="shared" ref="AC66:AC97" si="67">IF($K66="Actual",O66,NA())</f>
        <v>#N/A</v>
      </c>
      <c r="AD66">
        <f t="shared" ref="AD66:AD97" si="68">IF($A66&gt;=DATE(2024,12,1),O66,NA())</f>
        <v>3.03968513331096</v>
      </c>
      <c r="AE66" t="e">
        <f t="shared" ref="AE66:AE97" si="69">IF($K66="Actual",Q66,NA())</f>
        <v>#N/A</v>
      </c>
      <c r="AF66">
        <f t="shared" ref="AF66:AF97" si="70">IF($A66&gt;=DATE(2024,12,1),Q66,NA())</f>
        <v>5.0738248275286502</v>
      </c>
      <c r="AG66" t="e">
        <f t="shared" ref="AG66:AG97" si="71">IF($K66="Actual",R66,NA())</f>
        <v>#N/A</v>
      </c>
      <c r="AH66">
        <f t="shared" ref="AH66:AH97" si="72">IF($A66&gt;=DATE(2024,12,1),R66,NA())</f>
        <v>5.3014519168143597</v>
      </c>
      <c r="AI66" t="e">
        <f t="shared" ref="AI66:AI97" si="73">IF($K66="Actual",N66,NA())</f>
        <v>#N/A</v>
      </c>
      <c r="AJ66">
        <f t="shared" ref="AJ66:AJ97" si="74">IF($A66&gt;=DATE(2024,12,1),N66,NA())</f>
        <v>4.7520562530196875</v>
      </c>
    </row>
    <row r="67" spans="1:36" x14ac:dyDescent="0.25">
      <c r="A67" s="2">
        <v>48000</v>
      </c>
      <c r="B67">
        <v>831982.12701432605</v>
      </c>
      <c r="C67">
        <v>431865.02326205402</v>
      </c>
      <c r="D67">
        <v>194.17631909431699</v>
      </c>
      <c r="E67">
        <v>16253.8147250241</v>
      </c>
      <c r="F67">
        <v>4669641.9580284096</v>
      </c>
      <c r="G67">
        <v>3.06518063579059E-2</v>
      </c>
      <c r="H67">
        <v>0.67294708137687398</v>
      </c>
      <c r="I67">
        <v>5.1227624016730901E-2</v>
      </c>
      <c r="J67">
        <v>5.3483516418007603E-2</v>
      </c>
      <c r="K67" t="s">
        <v>179</v>
      </c>
      <c r="L67">
        <f t="shared" si="50"/>
        <v>2.8391795338305714</v>
      </c>
      <c r="M67">
        <f t="shared" si="51"/>
        <v>2.7911451455438163</v>
      </c>
      <c r="N67">
        <f t="shared" si="52"/>
        <v>4.67761894633274</v>
      </c>
      <c r="O67">
        <f t="shared" si="53"/>
        <v>3.0651806357905897</v>
      </c>
      <c r="P67">
        <f t="shared" si="54"/>
        <v>67.294708137687394</v>
      </c>
      <c r="Q67">
        <f t="shared" si="55"/>
        <v>5.1227624016730902</v>
      </c>
      <c r="R67">
        <f t="shared" si="56"/>
        <v>5.3483516418007602</v>
      </c>
      <c r="S67">
        <f t="shared" si="57"/>
        <v>112.2989812740249</v>
      </c>
      <c r="T67">
        <f t="shared" si="58"/>
        <v>108.16842427926808</v>
      </c>
      <c r="U67" t="e">
        <f t="shared" si="59"/>
        <v>#N/A</v>
      </c>
      <c r="V67">
        <f t="shared" si="60"/>
        <v>2.8391795338305714</v>
      </c>
      <c r="W67" t="e">
        <f t="shared" si="61"/>
        <v>#N/A</v>
      </c>
      <c r="X67">
        <f t="shared" si="62"/>
        <v>2.7911451455438163</v>
      </c>
      <c r="Y67" t="e">
        <f t="shared" si="63"/>
        <v>#N/A</v>
      </c>
      <c r="Z67">
        <f t="shared" si="64"/>
        <v>112.2989812740249</v>
      </c>
      <c r="AA67" t="e">
        <f t="shared" si="65"/>
        <v>#N/A</v>
      </c>
      <c r="AB67">
        <f t="shared" si="66"/>
        <v>108.16842427926808</v>
      </c>
      <c r="AC67" t="e">
        <f t="shared" si="67"/>
        <v>#N/A</v>
      </c>
      <c r="AD67">
        <f t="shared" si="68"/>
        <v>3.0651806357905897</v>
      </c>
      <c r="AE67" t="e">
        <f t="shared" si="69"/>
        <v>#N/A</v>
      </c>
      <c r="AF67">
        <f t="shared" si="70"/>
        <v>5.1227624016730902</v>
      </c>
      <c r="AG67" t="e">
        <f t="shared" si="71"/>
        <v>#N/A</v>
      </c>
      <c r="AH67">
        <f t="shared" si="72"/>
        <v>5.3483516418007602</v>
      </c>
      <c r="AI67" t="e">
        <f t="shared" si="73"/>
        <v>#N/A</v>
      </c>
      <c r="AJ67">
        <f t="shared" si="74"/>
        <v>4.67761894633274</v>
      </c>
    </row>
    <row r="68" spans="1:36" x14ac:dyDescent="0.25">
      <c r="A68" s="2">
        <v>48092</v>
      </c>
      <c r="B68">
        <v>837728.95713992498</v>
      </c>
      <c r="C68">
        <v>434834.59865654999</v>
      </c>
      <c r="D68">
        <v>196.312978954773</v>
      </c>
      <c r="E68">
        <v>16298.916638528501</v>
      </c>
      <c r="F68">
        <v>4672032.3022996401</v>
      </c>
      <c r="G68">
        <v>3.0958412506315699E-2</v>
      </c>
      <c r="H68">
        <v>0.67287092531706305</v>
      </c>
      <c r="I68">
        <v>5.1524976371569997E-2</v>
      </c>
      <c r="J68">
        <v>5.3900510494030003E-2</v>
      </c>
      <c r="K68" t="s">
        <v>179</v>
      </c>
      <c r="L68">
        <f t="shared" si="50"/>
        <v>2.8110064515843414</v>
      </c>
      <c r="M68">
        <f t="shared" si="51"/>
        <v>2.8077707293837628</v>
      </c>
      <c r="N68">
        <f t="shared" si="52"/>
        <v>4.5983397876885324</v>
      </c>
      <c r="O68">
        <f t="shared" si="53"/>
        <v>3.0958412506315698</v>
      </c>
      <c r="P68">
        <f t="shared" si="54"/>
        <v>67.287092531706307</v>
      </c>
      <c r="Q68">
        <f t="shared" si="55"/>
        <v>5.1524976371569995</v>
      </c>
      <c r="R68">
        <f t="shared" si="56"/>
        <v>5.3900510494030005</v>
      </c>
      <c r="S68">
        <f t="shared" si="57"/>
        <v>112.61059421078708</v>
      </c>
      <c r="T68">
        <f t="shared" si="58"/>
        <v>108.22379464291222</v>
      </c>
      <c r="U68" t="e">
        <f t="shared" si="59"/>
        <v>#N/A</v>
      </c>
      <c r="V68">
        <f t="shared" si="60"/>
        <v>2.8110064515843414</v>
      </c>
      <c r="W68" t="e">
        <f t="shared" si="61"/>
        <v>#N/A</v>
      </c>
      <c r="X68">
        <f t="shared" si="62"/>
        <v>2.8077707293837628</v>
      </c>
      <c r="Y68" t="e">
        <f t="shared" si="63"/>
        <v>#N/A</v>
      </c>
      <c r="Z68">
        <f t="shared" si="64"/>
        <v>112.61059421078708</v>
      </c>
      <c r="AA68" t="e">
        <f t="shared" si="65"/>
        <v>#N/A</v>
      </c>
      <c r="AB68">
        <f t="shared" si="66"/>
        <v>108.22379464291222</v>
      </c>
      <c r="AC68" t="e">
        <f t="shared" si="67"/>
        <v>#N/A</v>
      </c>
      <c r="AD68">
        <f t="shared" si="68"/>
        <v>3.0958412506315698</v>
      </c>
      <c r="AE68" t="e">
        <f t="shared" si="69"/>
        <v>#N/A</v>
      </c>
      <c r="AF68">
        <f t="shared" si="70"/>
        <v>5.1524976371569995</v>
      </c>
      <c r="AG68" t="e">
        <f t="shared" si="71"/>
        <v>#N/A</v>
      </c>
      <c r="AH68">
        <f t="shared" si="72"/>
        <v>5.3900510494030005</v>
      </c>
      <c r="AI68" t="e">
        <f t="shared" si="73"/>
        <v>#N/A</v>
      </c>
      <c r="AJ68">
        <f t="shared" si="74"/>
        <v>4.5983397876885324</v>
      </c>
    </row>
    <row r="69" spans="1:36" x14ac:dyDescent="0.25">
      <c r="A69" s="2">
        <v>48183</v>
      </c>
      <c r="B69">
        <v>843612.48117249599</v>
      </c>
      <c r="C69">
        <v>437999.93069024401</v>
      </c>
      <c r="D69">
        <v>198.43697002944199</v>
      </c>
      <c r="E69">
        <v>16343.883336884401</v>
      </c>
      <c r="F69">
        <v>4674528.9107552497</v>
      </c>
      <c r="G69">
        <v>3.12467036404609E-2</v>
      </c>
      <c r="H69">
        <v>0.67277754707513004</v>
      </c>
      <c r="I69">
        <v>5.1698870678522101E-2</v>
      </c>
      <c r="J69">
        <v>5.4266470463986798E-2</v>
      </c>
      <c r="K69" t="s">
        <v>179</v>
      </c>
      <c r="L69">
        <f t="shared" si="50"/>
        <v>2.8114601534273032</v>
      </c>
      <c r="M69">
        <f t="shared" si="51"/>
        <v>2.8362019834918373</v>
      </c>
      <c r="N69">
        <f t="shared" si="52"/>
        <v>4.5189754120230408</v>
      </c>
      <c r="O69">
        <f t="shared" si="53"/>
        <v>3.1246703640460902</v>
      </c>
      <c r="P69">
        <f t="shared" si="54"/>
        <v>67.277754707512997</v>
      </c>
      <c r="Q69">
        <f t="shared" si="55"/>
        <v>5.1698870678522102</v>
      </c>
      <c r="R69">
        <f t="shared" si="56"/>
        <v>5.4266470463986796</v>
      </c>
      <c r="S69">
        <f t="shared" si="57"/>
        <v>112.92127293464688</v>
      </c>
      <c r="T69">
        <f t="shared" si="58"/>
        <v>108.28162652919235</v>
      </c>
      <c r="U69" t="e">
        <f t="shared" si="59"/>
        <v>#N/A</v>
      </c>
      <c r="V69">
        <f t="shared" si="60"/>
        <v>2.8114601534273032</v>
      </c>
      <c r="W69" t="e">
        <f t="shared" si="61"/>
        <v>#N/A</v>
      </c>
      <c r="X69">
        <f t="shared" si="62"/>
        <v>2.8362019834918373</v>
      </c>
      <c r="Y69" t="e">
        <f t="shared" si="63"/>
        <v>#N/A</v>
      </c>
      <c r="Z69">
        <f t="shared" si="64"/>
        <v>112.92127293464688</v>
      </c>
      <c r="AA69" t="e">
        <f t="shared" si="65"/>
        <v>#N/A</v>
      </c>
      <c r="AB69">
        <f t="shared" si="66"/>
        <v>108.28162652919235</v>
      </c>
      <c r="AC69" t="e">
        <f t="shared" si="67"/>
        <v>#N/A</v>
      </c>
      <c r="AD69">
        <f t="shared" si="68"/>
        <v>3.1246703640460902</v>
      </c>
      <c r="AE69" t="e">
        <f t="shared" si="69"/>
        <v>#N/A</v>
      </c>
      <c r="AF69">
        <f t="shared" si="70"/>
        <v>5.1698870678522102</v>
      </c>
      <c r="AG69" t="e">
        <f t="shared" si="71"/>
        <v>#N/A</v>
      </c>
      <c r="AH69">
        <f t="shared" si="72"/>
        <v>5.4266470463986796</v>
      </c>
      <c r="AI69" t="e">
        <f t="shared" si="73"/>
        <v>#N/A</v>
      </c>
      <c r="AJ69">
        <f t="shared" si="74"/>
        <v>4.5189754120230408</v>
      </c>
    </row>
    <row r="70" spans="1:36" x14ac:dyDescent="0.25">
      <c r="A70" s="2">
        <v>48274</v>
      </c>
      <c r="B70">
        <v>849632.47793629603</v>
      </c>
      <c r="C70">
        <v>441335.25181790302</v>
      </c>
      <c r="D70">
        <v>200.550887691669</v>
      </c>
      <c r="E70">
        <v>16389.663710956102</v>
      </c>
      <c r="F70">
        <v>4677745.3914761702</v>
      </c>
      <c r="G70">
        <v>3.1480862697605701E-2</v>
      </c>
      <c r="H70">
        <v>0.67268104922387995</v>
      </c>
      <c r="I70">
        <v>5.17992594223197E-2</v>
      </c>
      <c r="J70">
        <v>5.4584873576303601E-2</v>
      </c>
      <c r="K70" t="s">
        <v>179</v>
      </c>
      <c r="L70">
        <f t="shared" si="50"/>
        <v>2.8156786473104045</v>
      </c>
      <c r="M70">
        <f t="shared" si="51"/>
        <v>2.8757206107279831</v>
      </c>
      <c r="N70">
        <f t="shared" si="52"/>
        <v>4.4406668962062579</v>
      </c>
      <c r="O70">
        <f t="shared" si="53"/>
        <v>3.14808626976057</v>
      </c>
      <c r="P70">
        <f t="shared" si="54"/>
        <v>67.268104922387991</v>
      </c>
      <c r="Q70">
        <f t="shared" si="55"/>
        <v>5.1799259422319697</v>
      </c>
      <c r="R70">
        <f t="shared" si="56"/>
        <v>5.4584873576303599</v>
      </c>
      <c r="S70">
        <f t="shared" si="57"/>
        <v>113.23757341287742</v>
      </c>
      <c r="T70">
        <f t="shared" si="58"/>
        <v>108.35613366580664</v>
      </c>
      <c r="U70" t="e">
        <f t="shared" si="59"/>
        <v>#N/A</v>
      </c>
      <c r="V70">
        <f t="shared" si="60"/>
        <v>2.8156786473104045</v>
      </c>
      <c r="W70" t="e">
        <f t="shared" si="61"/>
        <v>#N/A</v>
      </c>
      <c r="X70">
        <f t="shared" si="62"/>
        <v>2.8757206107279831</v>
      </c>
      <c r="Y70" t="e">
        <f t="shared" si="63"/>
        <v>#N/A</v>
      </c>
      <c r="Z70">
        <f t="shared" si="64"/>
        <v>113.23757341287742</v>
      </c>
      <c r="AA70" t="e">
        <f t="shared" si="65"/>
        <v>#N/A</v>
      </c>
      <c r="AB70">
        <f t="shared" si="66"/>
        <v>108.35613366580664</v>
      </c>
      <c r="AC70" t="e">
        <f t="shared" si="67"/>
        <v>#N/A</v>
      </c>
      <c r="AD70">
        <f t="shared" si="68"/>
        <v>3.14808626976057</v>
      </c>
      <c r="AE70" t="e">
        <f t="shared" si="69"/>
        <v>#N/A</v>
      </c>
      <c r="AF70">
        <f t="shared" si="70"/>
        <v>5.1799259422319697</v>
      </c>
      <c r="AG70" t="e">
        <f t="shared" si="71"/>
        <v>#N/A</v>
      </c>
      <c r="AH70">
        <f t="shared" si="72"/>
        <v>5.4584873576303599</v>
      </c>
      <c r="AI70" t="e">
        <f t="shared" si="73"/>
        <v>#N/A</v>
      </c>
      <c r="AJ70">
        <f t="shared" si="74"/>
        <v>4.4406668962062579</v>
      </c>
    </row>
    <row r="71" spans="1:36" x14ac:dyDescent="0.25">
      <c r="A71" s="2">
        <v>48366</v>
      </c>
      <c r="B71">
        <v>855089.77415513794</v>
      </c>
      <c r="C71">
        <v>444430.81649815</v>
      </c>
      <c r="D71">
        <v>202.64554075548</v>
      </c>
      <c r="E71">
        <v>16433.390083299</v>
      </c>
      <c r="F71">
        <v>4679238.91752645</v>
      </c>
      <c r="G71">
        <v>3.1837962294241497E-2</v>
      </c>
      <c r="H71">
        <v>0.67258676205922197</v>
      </c>
      <c r="I71">
        <v>5.1673487066756403E-2</v>
      </c>
      <c r="J71">
        <v>5.4850601685472899E-2</v>
      </c>
      <c r="K71" t="s">
        <v>179</v>
      </c>
      <c r="L71">
        <f t="shared" si="50"/>
        <v>2.7774210996258653</v>
      </c>
      <c r="M71">
        <f t="shared" si="51"/>
        <v>2.909657545587141</v>
      </c>
      <c r="N71">
        <f t="shared" si="52"/>
        <v>4.3616140735726283</v>
      </c>
      <c r="O71">
        <f t="shared" si="53"/>
        <v>3.1837962294241495</v>
      </c>
      <c r="P71">
        <f t="shared" si="54"/>
        <v>67.2586762059222</v>
      </c>
      <c r="Q71">
        <f t="shared" si="55"/>
        <v>5.1673487066756403</v>
      </c>
      <c r="R71">
        <f t="shared" si="56"/>
        <v>5.4850601685472897</v>
      </c>
      <c r="S71">
        <f t="shared" si="57"/>
        <v>113.5396826193615</v>
      </c>
      <c r="T71">
        <f t="shared" si="58"/>
        <v>108.39072997124737</v>
      </c>
      <c r="U71" t="e">
        <f t="shared" si="59"/>
        <v>#N/A</v>
      </c>
      <c r="V71">
        <f t="shared" si="60"/>
        <v>2.7774210996258653</v>
      </c>
      <c r="W71" t="e">
        <f t="shared" si="61"/>
        <v>#N/A</v>
      </c>
      <c r="X71">
        <f t="shared" si="62"/>
        <v>2.909657545587141</v>
      </c>
      <c r="Y71" t="e">
        <f t="shared" si="63"/>
        <v>#N/A</v>
      </c>
      <c r="Z71">
        <f t="shared" si="64"/>
        <v>113.5396826193615</v>
      </c>
      <c r="AA71" t="e">
        <f t="shared" si="65"/>
        <v>#N/A</v>
      </c>
      <c r="AB71">
        <f t="shared" si="66"/>
        <v>108.39072997124737</v>
      </c>
      <c r="AC71" t="e">
        <f t="shared" si="67"/>
        <v>#N/A</v>
      </c>
      <c r="AD71">
        <f t="shared" si="68"/>
        <v>3.1837962294241495</v>
      </c>
      <c r="AE71" t="e">
        <f t="shared" si="69"/>
        <v>#N/A</v>
      </c>
      <c r="AF71">
        <f t="shared" si="70"/>
        <v>5.1673487066756403</v>
      </c>
      <c r="AG71" t="e">
        <f t="shared" si="71"/>
        <v>#N/A</v>
      </c>
      <c r="AH71">
        <f t="shared" si="72"/>
        <v>5.4850601685472897</v>
      </c>
      <c r="AI71" t="e">
        <f t="shared" si="73"/>
        <v>#N/A</v>
      </c>
      <c r="AJ71">
        <f t="shared" si="74"/>
        <v>4.3616140735726283</v>
      </c>
    </row>
    <row r="72" spans="1:36" x14ac:dyDescent="0.25">
      <c r="A72" s="2">
        <v>48458</v>
      </c>
      <c r="B72">
        <v>861318.76904988894</v>
      </c>
      <c r="C72">
        <v>447731.08636691602</v>
      </c>
      <c r="D72">
        <v>204.738026030957</v>
      </c>
      <c r="E72">
        <v>16477.9043500806</v>
      </c>
      <c r="F72">
        <v>4682259.5491692601</v>
      </c>
      <c r="G72">
        <v>3.2039909218195599E-2</v>
      </c>
      <c r="H72">
        <v>0.67247698128320199</v>
      </c>
      <c r="I72">
        <v>5.1580064670643799E-2</v>
      </c>
      <c r="J72">
        <v>5.5072981014390503E-2</v>
      </c>
      <c r="K72" t="s">
        <v>179</v>
      </c>
      <c r="L72">
        <f t="shared" si="50"/>
        <v>2.8159241373846511</v>
      </c>
      <c r="M72">
        <f t="shared" si="51"/>
        <v>2.9658375276968796</v>
      </c>
      <c r="N72">
        <f t="shared" si="52"/>
        <v>4.2916403800917102</v>
      </c>
      <c r="O72">
        <f t="shared" si="53"/>
        <v>3.2039909218195599</v>
      </c>
      <c r="P72">
        <f t="shared" si="54"/>
        <v>67.247698128320195</v>
      </c>
      <c r="Q72">
        <f t="shared" si="55"/>
        <v>5.1580064670643804</v>
      </c>
      <c r="R72">
        <f t="shared" si="56"/>
        <v>5.5072981014390505</v>
      </c>
      <c r="S72">
        <f t="shared" si="57"/>
        <v>113.84723545519132</v>
      </c>
      <c r="T72">
        <f t="shared" si="58"/>
        <v>108.46070042467133</v>
      </c>
      <c r="U72" t="e">
        <f t="shared" si="59"/>
        <v>#N/A</v>
      </c>
      <c r="V72">
        <f t="shared" si="60"/>
        <v>2.8159241373846511</v>
      </c>
      <c r="W72" t="e">
        <f t="shared" si="61"/>
        <v>#N/A</v>
      </c>
      <c r="X72">
        <f t="shared" si="62"/>
        <v>2.9658375276968796</v>
      </c>
      <c r="Y72" t="e">
        <f t="shared" si="63"/>
        <v>#N/A</v>
      </c>
      <c r="Z72">
        <f t="shared" si="64"/>
        <v>113.84723545519132</v>
      </c>
      <c r="AA72" t="e">
        <f t="shared" si="65"/>
        <v>#N/A</v>
      </c>
      <c r="AB72">
        <f t="shared" si="66"/>
        <v>108.46070042467133</v>
      </c>
      <c r="AC72" t="e">
        <f t="shared" si="67"/>
        <v>#N/A</v>
      </c>
      <c r="AD72">
        <f t="shared" si="68"/>
        <v>3.2039909218195599</v>
      </c>
      <c r="AE72" t="e">
        <f t="shared" si="69"/>
        <v>#N/A</v>
      </c>
      <c r="AF72">
        <f t="shared" si="70"/>
        <v>5.1580064670643804</v>
      </c>
      <c r="AG72" t="e">
        <f t="shared" si="71"/>
        <v>#N/A</v>
      </c>
      <c r="AH72">
        <f t="shared" si="72"/>
        <v>5.5072981014390505</v>
      </c>
      <c r="AI72" t="e">
        <f t="shared" si="73"/>
        <v>#N/A</v>
      </c>
      <c r="AJ72">
        <f t="shared" si="74"/>
        <v>4.2916403800917102</v>
      </c>
    </row>
    <row r="73" spans="1:36" x14ac:dyDescent="0.25">
      <c r="A73" s="2">
        <v>48549</v>
      </c>
      <c r="B73">
        <v>867348.32526092604</v>
      </c>
      <c r="C73">
        <v>451220.07207781199</v>
      </c>
      <c r="D73">
        <v>206.82030023180499</v>
      </c>
      <c r="E73">
        <v>16522.960393654401</v>
      </c>
      <c r="F73">
        <v>4685468.6851492897</v>
      </c>
      <c r="G73">
        <v>3.2238263488798803E-2</v>
      </c>
      <c r="H73">
        <v>0.67238782176886402</v>
      </c>
      <c r="I73">
        <v>5.1412936194192203E-2</v>
      </c>
      <c r="J73">
        <v>5.5254367699916103E-2</v>
      </c>
      <c r="K73" t="s">
        <v>179</v>
      </c>
      <c r="L73">
        <f t="shared" si="50"/>
        <v>2.8135956518140492</v>
      </c>
      <c r="M73">
        <f t="shared" si="51"/>
        <v>3.0182975980691085</v>
      </c>
      <c r="N73">
        <f t="shared" si="52"/>
        <v>4.2246816211309657</v>
      </c>
      <c r="O73">
        <f t="shared" si="53"/>
        <v>3.2238263488798804</v>
      </c>
      <c r="P73">
        <f t="shared" si="54"/>
        <v>67.238782176886403</v>
      </c>
      <c r="Q73">
        <f t="shared" si="55"/>
        <v>5.14129361941922</v>
      </c>
      <c r="R73">
        <f t="shared" si="56"/>
        <v>5.52543676999161</v>
      </c>
      <c r="S73">
        <f t="shared" si="57"/>
        <v>114.15853147272168</v>
      </c>
      <c r="T73">
        <f t="shared" si="58"/>
        <v>108.53503742638961</v>
      </c>
      <c r="U73" t="e">
        <f t="shared" si="59"/>
        <v>#N/A</v>
      </c>
      <c r="V73">
        <f t="shared" si="60"/>
        <v>2.8135956518140492</v>
      </c>
      <c r="W73" t="e">
        <f t="shared" si="61"/>
        <v>#N/A</v>
      </c>
      <c r="X73">
        <f t="shared" si="62"/>
        <v>3.0182975980691085</v>
      </c>
      <c r="Y73" t="e">
        <f t="shared" si="63"/>
        <v>#N/A</v>
      </c>
      <c r="Z73">
        <f t="shared" si="64"/>
        <v>114.15853147272168</v>
      </c>
      <c r="AA73" t="e">
        <f t="shared" si="65"/>
        <v>#N/A</v>
      </c>
      <c r="AB73">
        <f t="shared" si="66"/>
        <v>108.53503742638961</v>
      </c>
      <c r="AC73" t="e">
        <f t="shared" si="67"/>
        <v>#N/A</v>
      </c>
      <c r="AD73">
        <f t="shared" si="68"/>
        <v>3.2238263488798804</v>
      </c>
      <c r="AE73" t="e">
        <f t="shared" si="69"/>
        <v>#N/A</v>
      </c>
      <c r="AF73">
        <f t="shared" si="70"/>
        <v>5.14129361941922</v>
      </c>
      <c r="AG73" t="e">
        <f t="shared" si="71"/>
        <v>#N/A</v>
      </c>
      <c r="AH73">
        <f t="shared" si="72"/>
        <v>5.52543676999161</v>
      </c>
      <c r="AI73" t="e">
        <f t="shared" si="73"/>
        <v>#N/A</v>
      </c>
      <c r="AJ73">
        <f t="shared" si="74"/>
        <v>4.2246816211309657</v>
      </c>
    </row>
    <row r="74" spans="1:36" x14ac:dyDescent="0.25">
      <c r="A74" s="2">
        <v>48639</v>
      </c>
      <c r="B74">
        <v>873627.68317592505</v>
      </c>
      <c r="C74">
        <v>454872.87185031001</v>
      </c>
      <c r="D74">
        <v>208.89948633562801</v>
      </c>
      <c r="E74">
        <v>16569.263813367099</v>
      </c>
      <c r="F74">
        <v>4689593.9232241604</v>
      </c>
      <c r="G74">
        <v>3.23707063221031E-2</v>
      </c>
      <c r="H74">
        <v>0.67230441542156805</v>
      </c>
      <c r="I74">
        <v>5.1241755186545002E-2</v>
      </c>
      <c r="J74">
        <v>5.54004700784229E-2</v>
      </c>
      <c r="K74" t="s">
        <v>179</v>
      </c>
      <c r="L74">
        <f t="shared" si="50"/>
        <v>2.8241864409317197</v>
      </c>
      <c r="M74">
        <f t="shared" si="51"/>
        <v>3.0674232290858638</v>
      </c>
      <c r="N74">
        <f t="shared" si="52"/>
        <v>4.1628330545184777</v>
      </c>
      <c r="O74">
        <f t="shared" si="53"/>
        <v>3.23707063221031</v>
      </c>
      <c r="P74">
        <f t="shared" si="54"/>
        <v>67.230441542156811</v>
      </c>
      <c r="Q74">
        <f t="shared" si="55"/>
        <v>5.1241755186544999</v>
      </c>
      <c r="R74">
        <f t="shared" si="56"/>
        <v>5.5400470078422899</v>
      </c>
      <c r="S74">
        <f t="shared" si="57"/>
        <v>114.47844571754409</v>
      </c>
      <c r="T74">
        <f t="shared" si="58"/>
        <v>108.63059518142659</v>
      </c>
      <c r="U74" t="e">
        <f t="shared" si="59"/>
        <v>#N/A</v>
      </c>
      <c r="V74">
        <f t="shared" si="60"/>
        <v>2.8241864409317197</v>
      </c>
      <c r="W74" t="e">
        <f t="shared" si="61"/>
        <v>#N/A</v>
      </c>
      <c r="X74">
        <f t="shared" si="62"/>
        <v>3.0674232290858638</v>
      </c>
      <c r="Y74" t="e">
        <f t="shared" si="63"/>
        <v>#N/A</v>
      </c>
      <c r="Z74">
        <f t="shared" si="64"/>
        <v>114.47844571754409</v>
      </c>
      <c r="AA74" t="e">
        <f t="shared" si="65"/>
        <v>#N/A</v>
      </c>
      <c r="AB74">
        <f t="shared" si="66"/>
        <v>108.63059518142659</v>
      </c>
      <c r="AC74" t="e">
        <f t="shared" si="67"/>
        <v>#N/A</v>
      </c>
      <c r="AD74">
        <f t="shared" si="68"/>
        <v>3.23707063221031</v>
      </c>
      <c r="AE74" t="e">
        <f t="shared" si="69"/>
        <v>#N/A</v>
      </c>
      <c r="AF74">
        <f t="shared" si="70"/>
        <v>5.1241755186544999</v>
      </c>
      <c r="AG74" t="e">
        <f t="shared" si="71"/>
        <v>#N/A</v>
      </c>
      <c r="AH74">
        <f t="shared" si="72"/>
        <v>5.5400470078422899</v>
      </c>
      <c r="AI74" t="e">
        <f t="shared" si="73"/>
        <v>#N/A</v>
      </c>
      <c r="AJ74">
        <f t="shared" si="74"/>
        <v>4.1628330545184777</v>
      </c>
    </row>
    <row r="75" spans="1:36" x14ac:dyDescent="0.25">
      <c r="A75" s="2">
        <v>48731</v>
      </c>
      <c r="B75">
        <v>879807.25910489704</v>
      </c>
      <c r="C75">
        <v>458335.77684908302</v>
      </c>
      <c r="D75">
        <v>210.972853066044</v>
      </c>
      <c r="E75">
        <v>16615.752713330901</v>
      </c>
      <c r="F75">
        <v>4693688.3874038896</v>
      </c>
      <c r="G75">
        <v>3.2510450984969699E-2</v>
      </c>
      <c r="H75">
        <v>0.672234218615954</v>
      </c>
      <c r="I75">
        <v>5.1017142283163799E-2</v>
      </c>
      <c r="J75">
        <v>5.5513553846392401E-2</v>
      </c>
      <c r="K75" t="s">
        <v>179</v>
      </c>
      <c r="L75">
        <f t="shared" si="50"/>
        <v>2.8906303989169935</v>
      </c>
      <c r="M75">
        <f t="shared" si="51"/>
        <v>3.1287120142783564</v>
      </c>
      <c r="N75">
        <f t="shared" si="52"/>
        <v>4.1092995579962155</v>
      </c>
      <c r="O75">
        <f t="shared" si="53"/>
        <v>3.2510450984969701</v>
      </c>
      <c r="P75">
        <f t="shared" si="54"/>
        <v>67.223421861595398</v>
      </c>
      <c r="Q75">
        <f t="shared" si="55"/>
        <v>5.1017142283163803</v>
      </c>
      <c r="R75">
        <f t="shared" si="56"/>
        <v>5.5513553846392405</v>
      </c>
      <c r="S75">
        <f t="shared" si="57"/>
        <v>114.79964146111604</v>
      </c>
      <c r="T75">
        <f t="shared" si="58"/>
        <v>108.72544008443413</v>
      </c>
      <c r="U75" t="e">
        <f t="shared" si="59"/>
        <v>#N/A</v>
      </c>
      <c r="V75">
        <f t="shared" si="60"/>
        <v>2.8906303989169935</v>
      </c>
      <c r="W75" t="e">
        <f t="shared" si="61"/>
        <v>#N/A</v>
      </c>
      <c r="X75">
        <f t="shared" si="62"/>
        <v>3.1287120142783564</v>
      </c>
      <c r="Y75" t="e">
        <f t="shared" si="63"/>
        <v>#N/A</v>
      </c>
      <c r="Z75">
        <f t="shared" si="64"/>
        <v>114.79964146111604</v>
      </c>
      <c r="AA75" t="e">
        <f t="shared" si="65"/>
        <v>#N/A</v>
      </c>
      <c r="AB75">
        <f t="shared" si="66"/>
        <v>108.72544008443413</v>
      </c>
      <c r="AC75" t="e">
        <f t="shared" si="67"/>
        <v>#N/A</v>
      </c>
      <c r="AD75">
        <f t="shared" si="68"/>
        <v>3.2510450984969701</v>
      </c>
      <c r="AE75" t="e">
        <f t="shared" si="69"/>
        <v>#N/A</v>
      </c>
      <c r="AF75">
        <f t="shared" si="70"/>
        <v>5.1017142283163803</v>
      </c>
      <c r="AG75" t="e">
        <f t="shared" si="71"/>
        <v>#N/A</v>
      </c>
      <c r="AH75">
        <f t="shared" si="72"/>
        <v>5.5513553846392405</v>
      </c>
      <c r="AI75" t="e">
        <f t="shared" si="73"/>
        <v>#N/A</v>
      </c>
      <c r="AJ75">
        <f t="shared" si="74"/>
        <v>4.1092995579962155</v>
      </c>
    </row>
    <row r="76" spans="1:36" x14ac:dyDescent="0.25">
      <c r="A76" s="2">
        <v>48823</v>
      </c>
      <c r="B76">
        <v>886226.40065741399</v>
      </c>
      <c r="C76">
        <v>461962.74103203998</v>
      </c>
      <c r="D76">
        <v>213.04850128817901</v>
      </c>
      <c r="E76">
        <v>16662.857269537799</v>
      </c>
      <c r="F76">
        <v>4698519.1113518197</v>
      </c>
      <c r="G76">
        <v>3.2579112694295302E-2</v>
      </c>
      <c r="H76">
        <v>0.67217134720044203</v>
      </c>
      <c r="I76">
        <v>5.0819115907789501E-2</v>
      </c>
      <c r="J76">
        <v>5.5599799456290698E-2</v>
      </c>
      <c r="K76" t="s">
        <v>179</v>
      </c>
      <c r="L76">
        <f t="shared" si="50"/>
        <v>2.8918017930806617</v>
      </c>
      <c r="M76">
        <f t="shared" si="51"/>
        <v>3.1786166068132005</v>
      </c>
      <c r="N76">
        <f t="shared" si="52"/>
        <v>4.0590775530704004</v>
      </c>
      <c r="O76">
        <f t="shared" si="53"/>
        <v>3.2579112694295302</v>
      </c>
      <c r="P76">
        <f t="shared" si="54"/>
        <v>67.2171347200442</v>
      </c>
      <c r="Q76">
        <f t="shared" si="55"/>
        <v>5.08191159077895</v>
      </c>
      <c r="R76">
        <f t="shared" si="56"/>
        <v>5.5599799456290695</v>
      </c>
      <c r="S76">
        <f t="shared" si="57"/>
        <v>115.12509082576615</v>
      </c>
      <c r="T76">
        <f t="shared" si="58"/>
        <v>108.83733984083351</v>
      </c>
      <c r="U76" t="e">
        <f t="shared" si="59"/>
        <v>#N/A</v>
      </c>
      <c r="V76">
        <f t="shared" si="60"/>
        <v>2.8918017930806617</v>
      </c>
      <c r="W76" t="e">
        <f t="shared" si="61"/>
        <v>#N/A</v>
      </c>
      <c r="X76">
        <f t="shared" si="62"/>
        <v>3.1786166068132005</v>
      </c>
      <c r="Y76" t="e">
        <f t="shared" si="63"/>
        <v>#N/A</v>
      </c>
      <c r="Z76">
        <f t="shared" si="64"/>
        <v>115.12509082576615</v>
      </c>
      <c r="AA76" t="e">
        <f t="shared" si="65"/>
        <v>#N/A</v>
      </c>
      <c r="AB76">
        <f t="shared" si="66"/>
        <v>108.83733984083351</v>
      </c>
      <c r="AC76" t="e">
        <f t="shared" si="67"/>
        <v>#N/A</v>
      </c>
      <c r="AD76">
        <f t="shared" si="68"/>
        <v>3.2579112694295302</v>
      </c>
      <c r="AE76" t="e">
        <f t="shared" si="69"/>
        <v>#N/A</v>
      </c>
      <c r="AF76">
        <f t="shared" si="70"/>
        <v>5.08191159077895</v>
      </c>
      <c r="AG76" t="e">
        <f t="shared" si="71"/>
        <v>#N/A</v>
      </c>
      <c r="AH76">
        <f t="shared" si="72"/>
        <v>5.5599799456290695</v>
      </c>
      <c r="AI76" t="e">
        <f t="shared" si="73"/>
        <v>#N/A</v>
      </c>
      <c r="AJ76">
        <f t="shared" si="74"/>
        <v>4.0590775530704004</v>
      </c>
    </row>
    <row r="77" spans="1:36" x14ac:dyDescent="0.25">
      <c r="A77" s="2">
        <v>48914</v>
      </c>
      <c r="B77">
        <v>892895.45601665298</v>
      </c>
      <c r="C77">
        <v>465817.213120614</v>
      </c>
      <c r="D77">
        <v>215.128848763598</v>
      </c>
      <c r="E77">
        <v>16711.675350590798</v>
      </c>
      <c r="F77">
        <v>4704512.2041806802</v>
      </c>
      <c r="G77">
        <v>3.2568073462261503E-2</v>
      </c>
      <c r="H77">
        <v>0.67212239577556798</v>
      </c>
      <c r="I77">
        <v>5.0677413690668499E-2</v>
      </c>
      <c r="J77">
        <v>5.5666070848980002E-2</v>
      </c>
      <c r="K77" t="s">
        <v>179</v>
      </c>
      <c r="L77">
        <f t="shared" si="50"/>
        <v>2.9454291905206098</v>
      </c>
      <c r="M77">
        <f t="shared" si="51"/>
        <v>3.2350380548418434</v>
      </c>
      <c r="N77">
        <f t="shared" si="52"/>
        <v>4.0172790207154474</v>
      </c>
      <c r="O77">
        <f t="shared" si="53"/>
        <v>3.2568073462261502</v>
      </c>
      <c r="P77">
        <f t="shared" si="54"/>
        <v>67.212239577556801</v>
      </c>
      <c r="Q77">
        <f t="shared" si="55"/>
        <v>5.0677413690668498</v>
      </c>
      <c r="R77">
        <f t="shared" si="56"/>
        <v>5.566607084898</v>
      </c>
      <c r="S77">
        <f t="shared" si="57"/>
        <v>115.46237907857024</v>
      </c>
      <c r="T77">
        <f t="shared" si="58"/>
        <v>108.97616491857694</v>
      </c>
      <c r="U77" t="e">
        <f t="shared" si="59"/>
        <v>#N/A</v>
      </c>
      <c r="V77">
        <f t="shared" si="60"/>
        <v>2.9454291905206098</v>
      </c>
      <c r="W77" t="e">
        <f t="shared" si="61"/>
        <v>#N/A</v>
      </c>
      <c r="X77">
        <f t="shared" si="62"/>
        <v>3.2350380548418434</v>
      </c>
      <c r="Y77" t="e">
        <f t="shared" si="63"/>
        <v>#N/A</v>
      </c>
      <c r="Z77">
        <f t="shared" si="64"/>
        <v>115.46237907857024</v>
      </c>
      <c r="AA77" t="e">
        <f t="shared" si="65"/>
        <v>#N/A</v>
      </c>
      <c r="AB77">
        <f t="shared" si="66"/>
        <v>108.97616491857694</v>
      </c>
      <c r="AC77" t="e">
        <f t="shared" si="67"/>
        <v>#N/A</v>
      </c>
      <c r="AD77">
        <f t="shared" si="68"/>
        <v>3.2568073462261502</v>
      </c>
      <c r="AE77" t="e">
        <f t="shared" si="69"/>
        <v>#N/A</v>
      </c>
      <c r="AF77">
        <f t="shared" si="70"/>
        <v>5.0677413690668498</v>
      </c>
      <c r="AG77" t="e">
        <f t="shared" si="71"/>
        <v>#N/A</v>
      </c>
      <c r="AH77">
        <f t="shared" si="72"/>
        <v>5.566607084898</v>
      </c>
      <c r="AI77" t="e">
        <f t="shared" si="73"/>
        <v>#N/A</v>
      </c>
      <c r="AJ77">
        <f t="shared" si="74"/>
        <v>4.0172790207154474</v>
      </c>
    </row>
    <row r="78" spans="1:36" x14ac:dyDescent="0.25">
      <c r="A78" s="2">
        <v>49004</v>
      </c>
      <c r="B78">
        <v>899782.23253043601</v>
      </c>
      <c r="C78">
        <v>469847.43364186899</v>
      </c>
      <c r="D78">
        <v>217.21834114453199</v>
      </c>
      <c r="E78">
        <v>16762.5160306738</v>
      </c>
      <c r="F78">
        <v>4711823.5912322504</v>
      </c>
      <c r="G78">
        <v>3.2471288914616897E-2</v>
      </c>
      <c r="H78">
        <v>0.67209495164285205</v>
      </c>
      <c r="I78">
        <v>5.06186934319314E-2</v>
      </c>
      <c r="J78">
        <v>5.5719653418360299E-2</v>
      </c>
      <c r="K78" t="s">
        <v>179</v>
      </c>
      <c r="L78">
        <f t="shared" si="50"/>
        <v>2.9937866963453574</v>
      </c>
      <c r="M78">
        <f t="shared" si="51"/>
        <v>3.292032283799684</v>
      </c>
      <c r="N78">
        <f t="shared" si="52"/>
        <v>3.9822284653866946</v>
      </c>
      <c r="O78">
        <f t="shared" si="53"/>
        <v>3.2471288914616898</v>
      </c>
      <c r="P78">
        <f t="shared" si="54"/>
        <v>67.209495164285201</v>
      </c>
      <c r="Q78">
        <f t="shared" si="55"/>
        <v>5.0618693431931403</v>
      </c>
      <c r="R78">
        <f t="shared" si="56"/>
        <v>5.5719653418360302</v>
      </c>
      <c r="S78">
        <f t="shared" si="57"/>
        <v>115.81364163921759</v>
      </c>
      <c r="T78">
        <f t="shared" si="58"/>
        <v>109.14552720026204</v>
      </c>
      <c r="U78" t="e">
        <f t="shared" si="59"/>
        <v>#N/A</v>
      </c>
      <c r="V78">
        <f t="shared" si="60"/>
        <v>2.9937866963453574</v>
      </c>
      <c r="W78" t="e">
        <f t="shared" si="61"/>
        <v>#N/A</v>
      </c>
      <c r="X78">
        <f t="shared" si="62"/>
        <v>3.292032283799684</v>
      </c>
      <c r="Y78" t="e">
        <f t="shared" si="63"/>
        <v>#N/A</v>
      </c>
      <c r="Z78">
        <f t="shared" si="64"/>
        <v>115.81364163921759</v>
      </c>
      <c r="AA78" t="e">
        <f t="shared" si="65"/>
        <v>#N/A</v>
      </c>
      <c r="AB78">
        <f t="shared" si="66"/>
        <v>109.14552720026204</v>
      </c>
      <c r="AC78" t="e">
        <f t="shared" si="67"/>
        <v>#N/A</v>
      </c>
      <c r="AD78">
        <f t="shared" si="68"/>
        <v>3.2471288914616898</v>
      </c>
      <c r="AE78" t="e">
        <f t="shared" si="69"/>
        <v>#N/A</v>
      </c>
      <c r="AF78">
        <f t="shared" si="70"/>
        <v>5.0618693431931403</v>
      </c>
      <c r="AG78" t="e">
        <f t="shared" si="71"/>
        <v>#N/A</v>
      </c>
      <c r="AH78">
        <f t="shared" si="72"/>
        <v>5.5719653418360302</v>
      </c>
      <c r="AI78" t="e">
        <f t="shared" si="73"/>
        <v>#N/A</v>
      </c>
      <c r="AJ78">
        <f t="shared" si="74"/>
        <v>3.9822284653866946</v>
      </c>
    </row>
    <row r="79" spans="1:36" x14ac:dyDescent="0.25">
      <c r="A79" s="2">
        <v>49096</v>
      </c>
      <c r="B79">
        <v>906649.34438698704</v>
      </c>
      <c r="C79">
        <v>473698.35648822901</v>
      </c>
      <c r="D79">
        <v>219.31667051125601</v>
      </c>
      <c r="E79">
        <v>16814.2685401856</v>
      </c>
      <c r="F79">
        <v>4719569.1412397996</v>
      </c>
      <c r="G79">
        <v>3.2354167772375202E-2</v>
      </c>
      <c r="H79">
        <v>0.67208932585030501</v>
      </c>
      <c r="I79">
        <v>5.0599862379934898E-2</v>
      </c>
      <c r="J79">
        <v>5.5764495325038597E-2</v>
      </c>
      <c r="K79" t="s">
        <v>179</v>
      </c>
      <c r="L79">
        <f t="shared" si="50"/>
        <v>3.0509051845513113</v>
      </c>
      <c r="M79">
        <f t="shared" si="51"/>
        <v>3.3518176880624528</v>
      </c>
      <c r="N79">
        <f t="shared" si="52"/>
        <v>3.9549246853101128</v>
      </c>
      <c r="O79">
        <f t="shared" si="53"/>
        <v>3.23541677723752</v>
      </c>
      <c r="P79">
        <f t="shared" si="54"/>
        <v>67.208932585030496</v>
      </c>
      <c r="Q79">
        <f t="shared" si="55"/>
        <v>5.0599862379934901</v>
      </c>
      <c r="R79">
        <f t="shared" si="56"/>
        <v>5.5764495325038599</v>
      </c>
      <c r="S79">
        <f t="shared" si="57"/>
        <v>116.17120410654421</v>
      </c>
      <c r="T79">
        <f t="shared" si="58"/>
        <v>109.32494651056963</v>
      </c>
      <c r="U79" t="e">
        <f t="shared" si="59"/>
        <v>#N/A</v>
      </c>
      <c r="V79">
        <f t="shared" si="60"/>
        <v>3.0509051845513113</v>
      </c>
      <c r="W79" t="e">
        <f t="shared" si="61"/>
        <v>#N/A</v>
      </c>
      <c r="X79">
        <f t="shared" si="62"/>
        <v>3.3518176880624528</v>
      </c>
      <c r="Y79" t="e">
        <f t="shared" si="63"/>
        <v>#N/A</v>
      </c>
      <c r="Z79">
        <f t="shared" si="64"/>
        <v>116.17120410654421</v>
      </c>
      <c r="AA79" t="e">
        <f t="shared" si="65"/>
        <v>#N/A</v>
      </c>
      <c r="AB79">
        <f t="shared" si="66"/>
        <v>109.32494651056963</v>
      </c>
      <c r="AC79" t="e">
        <f t="shared" si="67"/>
        <v>#N/A</v>
      </c>
      <c r="AD79">
        <f t="shared" si="68"/>
        <v>3.23541677723752</v>
      </c>
      <c r="AE79" t="e">
        <f t="shared" si="69"/>
        <v>#N/A</v>
      </c>
      <c r="AF79">
        <f t="shared" si="70"/>
        <v>5.0599862379934901</v>
      </c>
      <c r="AG79" t="e">
        <f t="shared" si="71"/>
        <v>#N/A</v>
      </c>
      <c r="AH79">
        <f t="shared" si="72"/>
        <v>5.5764495325038599</v>
      </c>
      <c r="AI79" t="e">
        <f t="shared" si="73"/>
        <v>#N/A</v>
      </c>
      <c r="AJ79">
        <f t="shared" si="74"/>
        <v>3.9549246853101128</v>
      </c>
    </row>
    <row r="80" spans="1:36" x14ac:dyDescent="0.25">
      <c r="A80" s="2">
        <v>49188</v>
      </c>
      <c r="B80">
        <v>913824.87142931204</v>
      </c>
      <c r="C80">
        <v>477736.11971489998</v>
      </c>
      <c r="D80">
        <v>221.434873959654</v>
      </c>
      <c r="E80">
        <v>16866.921479992699</v>
      </c>
      <c r="F80">
        <v>4728483.9561149701</v>
      </c>
      <c r="G80">
        <v>3.2126642695411503E-2</v>
      </c>
      <c r="H80">
        <v>0.67209941595637801</v>
      </c>
      <c r="I80">
        <v>5.07152260180379E-2</v>
      </c>
      <c r="J80">
        <v>5.5808973801112598E-2</v>
      </c>
      <c r="K80" t="s">
        <v>179</v>
      </c>
      <c r="L80">
        <f t="shared" si="50"/>
        <v>3.1141557903742401</v>
      </c>
      <c r="M80">
        <f t="shared" si="51"/>
        <v>3.4144265937165796</v>
      </c>
      <c r="N80">
        <f t="shared" si="52"/>
        <v>3.9363678320980977</v>
      </c>
      <c r="O80">
        <f t="shared" si="53"/>
        <v>3.2126642695411505</v>
      </c>
      <c r="P80">
        <f t="shared" si="54"/>
        <v>67.209941595637801</v>
      </c>
      <c r="Q80">
        <f t="shared" si="55"/>
        <v>5.0715226018037898</v>
      </c>
      <c r="R80">
        <f t="shared" si="56"/>
        <v>5.58089738011126</v>
      </c>
      <c r="S80">
        <f t="shared" si="57"/>
        <v>116.5349877229722</v>
      </c>
      <c r="T80">
        <f t="shared" si="58"/>
        <v>109.53145088209446</v>
      </c>
      <c r="U80" t="e">
        <f t="shared" si="59"/>
        <v>#N/A</v>
      </c>
      <c r="V80">
        <f t="shared" si="60"/>
        <v>3.1141557903742401</v>
      </c>
      <c r="W80" t="e">
        <f t="shared" si="61"/>
        <v>#N/A</v>
      </c>
      <c r="X80">
        <f t="shared" si="62"/>
        <v>3.4144265937165796</v>
      </c>
      <c r="Y80" t="e">
        <f t="shared" si="63"/>
        <v>#N/A</v>
      </c>
      <c r="Z80">
        <f t="shared" si="64"/>
        <v>116.5349877229722</v>
      </c>
      <c r="AA80" t="e">
        <f t="shared" si="65"/>
        <v>#N/A</v>
      </c>
      <c r="AB80">
        <f t="shared" si="66"/>
        <v>109.53145088209446</v>
      </c>
      <c r="AC80" t="e">
        <f t="shared" si="67"/>
        <v>#N/A</v>
      </c>
      <c r="AD80">
        <f t="shared" si="68"/>
        <v>3.2126642695411505</v>
      </c>
      <c r="AE80" t="e">
        <f t="shared" si="69"/>
        <v>#N/A</v>
      </c>
      <c r="AF80">
        <f t="shared" si="70"/>
        <v>5.0715226018037898</v>
      </c>
      <c r="AG80" t="e">
        <f t="shared" si="71"/>
        <v>#N/A</v>
      </c>
      <c r="AH80">
        <f t="shared" si="72"/>
        <v>5.58089738011126</v>
      </c>
      <c r="AI80" t="e">
        <f t="shared" si="73"/>
        <v>#N/A</v>
      </c>
      <c r="AJ80">
        <f t="shared" si="74"/>
        <v>3.9363678320980977</v>
      </c>
    </row>
    <row r="81" spans="1:36" x14ac:dyDescent="0.25">
      <c r="A81" s="2">
        <v>49279</v>
      </c>
      <c r="B81">
        <v>921308.17429767596</v>
      </c>
      <c r="C81">
        <v>482009.39188954199</v>
      </c>
      <c r="D81">
        <v>223.57477842505301</v>
      </c>
      <c r="E81">
        <v>16921.8337417861</v>
      </c>
      <c r="F81">
        <v>4738893.0311113801</v>
      </c>
      <c r="G81">
        <v>3.18093537071229E-2</v>
      </c>
      <c r="H81">
        <v>0.67213597932200797</v>
      </c>
      <c r="I81">
        <v>5.0968590408871098E-2</v>
      </c>
      <c r="J81">
        <v>5.5860457397740503E-2</v>
      </c>
      <c r="K81" t="s">
        <v>179</v>
      </c>
      <c r="L81">
        <f t="shared" si="50"/>
        <v>3.1820879017322667</v>
      </c>
      <c r="M81">
        <f t="shared" si="51"/>
        <v>3.476079954292155</v>
      </c>
      <c r="N81">
        <f t="shared" si="52"/>
        <v>3.9259865471302335</v>
      </c>
      <c r="O81">
        <f t="shared" si="53"/>
        <v>3.18093537071229</v>
      </c>
      <c r="P81">
        <f t="shared" si="54"/>
        <v>67.213597932200798</v>
      </c>
      <c r="Q81">
        <f t="shared" si="55"/>
        <v>5.0968590408871099</v>
      </c>
      <c r="R81">
        <f t="shared" si="56"/>
        <v>5.5860457397740504</v>
      </c>
      <c r="S81">
        <f t="shared" si="57"/>
        <v>116.91438118617918</v>
      </c>
      <c r="T81">
        <f t="shared" si="58"/>
        <v>109.77256856321144</v>
      </c>
      <c r="U81" t="e">
        <f t="shared" si="59"/>
        <v>#N/A</v>
      </c>
      <c r="V81">
        <f t="shared" si="60"/>
        <v>3.1820879017322667</v>
      </c>
      <c r="W81" t="e">
        <f t="shared" si="61"/>
        <v>#N/A</v>
      </c>
      <c r="X81">
        <f t="shared" si="62"/>
        <v>3.476079954292155</v>
      </c>
      <c r="Y81" t="e">
        <f t="shared" si="63"/>
        <v>#N/A</v>
      </c>
      <c r="Z81">
        <f t="shared" si="64"/>
        <v>116.91438118617918</v>
      </c>
      <c r="AA81" t="e">
        <f t="shared" si="65"/>
        <v>#N/A</v>
      </c>
      <c r="AB81">
        <f t="shared" si="66"/>
        <v>109.77256856321144</v>
      </c>
      <c r="AC81" t="e">
        <f t="shared" si="67"/>
        <v>#N/A</v>
      </c>
      <c r="AD81">
        <f t="shared" si="68"/>
        <v>3.18093537071229</v>
      </c>
      <c r="AE81" t="e">
        <f t="shared" si="69"/>
        <v>#N/A</v>
      </c>
      <c r="AF81">
        <f t="shared" si="70"/>
        <v>5.0968590408871099</v>
      </c>
      <c r="AG81" t="e">
        <f t="shared" si="71"/>
        <v>#N/A</v>
      </c>
      <c r="AH81">
        <f t="shared" si="72"/>
        <v>5.5860457397740504</v>
      </c>
      <c r="AI81" t="e">
        <f t="shared" si="73"/>
        <v>#N/A</v>
      </c>
      <c r="AJ81">
        <f t="shared" si="74"/>
        <v>3.9259865471302335</v>
      </c>
    </row>
    <row r="82" spans="1:36" x14ac:dyDescent="0.25">
      <c r="A82" s="2">
        <v>49369</v>
      </c>
      <c r="B82">
        <v>929063.89904293197</v>
      </c>
      <c r="C82">
        <v>486463.27184065903</v>
      </c>
      <c r="D82">
        <v>225.74237953036001</v>
      </c>
      <c r="E82">
        <v>16979.080561031202</v>
      </c>
      <c r="F82">
        <v>4750900.4583545299</v>
      </c>
      <c r="G82">
        <v>3.1398902521903298E-2</v>
      </c>
      <c r="H82">
        <v>0.67219883955675197</v>
      </c>
      <c r="I82">
        <v>5.1381375355933699E-2</v>
      </c>
      <c r="J82">
        <v>5.5926385516452203E-2</v>
      </c>
      <c r="K82" t="s">
        <v>179</v>
      </c>
      <c r="L82">
        <f t="shared" si="50"/>
        <v>3.2543059257958307</v>
      </c>
      <c r="M82">
        <f t="shared" si="51"/>
        <v>3.5364326819873781</v>
      </c>
      <c r="N82">
        <f t="shared" si="52"/>
        <v>3.9241798555842644</v>
      </c>
      <c r="O82">
        <f t="shared" si="53"/>
        <v>3.1398902521903298</v>
      </c>
      <c r="P82">
        <f t="shared" si="54"/>
        <v>67.219883955675201</v>
      </c>
      <c r="Q82">
        <f t="shared" si="55"/>
        <v>5.1381375355933701</v>
      </c>
      <c r="R82">
        <f t="shared" si="56"/>
        <v>5.5926385516452202</v>
      </c>
      <c r="S82">
        <f t="shared" si="57"/>
        <v>117.30990430436174</v>
      </c>
      <c r="T82">
        <f t="shared" si="58"/>
        <v>110.05071076259493</v>
      </c>
      <c r="U82" t="e">
        <f t="shared" si="59"/>
        <v>#N/A</v>
      </c>
      <c r="V82">
        <f t="shared" si="60"/>
        <v>3.2543059257958307</v>
      </c>
      <c r="W82" t="e">
        <f t="shared" si="61"/>
        <v>#N/A</v>
      </c>
      <c r="X82">
        <f t="shared" si="62"/>
        <v>3.5364326819873781</v>
      </c>
      <c r="Y82" t="e">
        <f t="shared" si="63"/>
        <v>#N/A</v>
      </c>
      <c r="Z82">
        <f t="shared" si="64"/>
        <v>117.30990430436174</v>
      </c>
      <c r="AA82" t="e">
        <f t="shared" si="65"/>
        <v>#N/A</v>
      </c>
      <c r="AB82">
        <f t="shared" si="66"/>
        <v>110.05071076259493</v>
      </c>
      <c r="AC82" t="e">
        <f t="shared" si="67"/>
        <v>#N/A</v>
      </c>
      <c r="AD82">
        <f t="shared" si="68"/>
        <v>3.1398902521903298</v>
      </c>
      <c r="AE82" t="e">
        <f t="shared" si="69"/>
        <v>#N/A</v>
      </c>
      <c r="AF82">
        <f t="shared" si="70"/>
        <v>5.1381375355933701</v>
      </c>
      <c r="AG82" t="e">
        <f t="shared" si="71"/>
        <v>#N/A</v>
      </c>
      <c r="AH82">
        <f t="shared" si="72"/>
        <v>5.5926385516452202</v>
      </c>
      <c r="AI82" t="e">
        <f t="shared" si="73"/>
        <v>#N/A</v>
      </c>
      <c r="AJ82">
        <f t="shared" si="74"/>
        <v>3.9241798555842644</v>
      </c>
    </row>
    <row r="83" spans="1:36" x14ac:dyDescent="0.25">
      <c r="A83" s="2">
        <v>49461</v>
      </c>
      <c r="B83">
        <v>936854.53101895296</v>
      </c>
      <c r="C83">
        <v>490733.763729011</v>
      </c>
      <c r="D83">
        <v>227.93815118106301</v>
      </c>
      <c r="E83">
        <v>17037.478240195102</v>
      </c>
      <c r="F83">
        <v>4763574.8137431396</v>
      </c>
      <c r="G83">
        <v>3.0963618444054999E-2</v>
      </c>
      <c r="H83">
        <v>0.67228786517945704</v>
      </c>
      <c r="I83">
        <v>5.1904274116274303E-2</v>
      </c>
      <c r="J83">
        <v>5.6010508640851601E-2</v>
      </c>
      <c r="K83" t="s">
        <v>179</v>
      </c>
      <c r="L83">
        <f t="shared" si="50"/>
        <v>3.3315180581075188</v>
      </c>
      <c r="M83">
        <f t="shared" si="51"/>
        <v>3.5962563533203484</v>
      </c>
      <c r="N83">
        <f t="shared" si="52"/>
        <v>3.9310649070630088</v>
      </c>
      <c r="O83">
        <f t="shared" si="53"/>
        <v>3.0963618444055001</v>
      </c>
      <c r="P83">
        <f t="shared" si="54"/>
        <v>67.228786517945707</v>
      </c>
      <c r="Q83">
        <f t="shared" si="55"/>
        <v>5.1904274116274305</v>
      </c>
      <c r="R83">
        <f t="shared" si="56"/>
        <v>5.6010508640851597</v>
      </c>
      <c r="S83">
        <f t="shared" si="57"/>
        <v>117.71337881110487</v>
      </c>
      <c r="T83">
        <f t="shared" si="58"/>
        <v>110.34430180521957</v>
      </c>
      <c r="U83" t="e">
        <f t="shared" si="59"/>
        <v>#N/A</v>
      </c>
      <c r="V83">
        <f t="shared" si="60"/>
        <v>3.3315180581075188</v>
      </c>
      <c r="W83" t="e">
        <f t="shared" si="61"/>
        <v>#N/A</v>
      </c>
      <c r="X83">
        <f t="shared" si="62"/>
        <v>3.5962563533203484</v>
      </c>
      <c r="Y83" t="e">
        <f t="shared" si="63"/>
        <v>#N/A</v>
      </c>
      <c r="Z83">
        <f t="shared" si="64"/>
        <v>117.71337881110487</v>
      </c>
      <c r="AA83" t="e">
        <f t="shared" si="65"/>
        <v>#N/A</v>
      </c>
      <c r="AB83">
        <f t="shared" si="66"/>
        <v>110.34430180521957</v>
      </c>
      <c r="AC83" t="e">
        <f t="shared" si="67"/>
        <v>#N/A</v>
      </c>
      <c r="AD83">
        <f t="shared" si="68"/>
        <v>3.0963618444055001</v>
      </c>
      <c r="AE83" t="e">
        <f t="shared" si="69"/>
        <v>#N/A</v>
      </c>
      <c r="AF83">
        <f t="shared" si="70"/>
        <v>5.1904274116274305</v>
      </c>
      <c r="AG83" t="e">
        <f t="shared" si="71"/>
        <v>#N/A</v>
      </c>
      <c r="AH83">
        <f t="shared" si="72"/>
        <v>5.6010508640851597</v>
      </c>
      <c r="AI83" t="e">
        <f t="shared" si="73"/>
        <v>#N/A</v>
      </c>
      <c r="AJ83">
        <f t="shared" si="74"/>
        <v>3.9310649070630088</v>
      </c>
    </row>
    <row r="84" spans="1:36" x14ac:dyDescent="0.25">
      <c r="A84" s="2">
        <v>49553</v>
      </c>
      <c r="B84">
        <v>944992.26397249196</v>
      </c>
      <c r="C84">
        <v>495171.08967442601</v>
      </c>
      <c r="D84">
        <v>230.170211984746</v>
      </c>
      <c r="E84">
        <v>17097.5912232429</v>
      </c>
      <c r="F84">
        <v>4777513.8860489903</v>
      </c>
      <c r="G84">
        <v>3.0462554845344499E-2</v>
      </c>
      <c r="H84">
        <v>0.672393997867889</v>
      </c>
      <c r="I84">
        <v>5.25787343812699E-2</v>
      </c>
      <c r="J84">
        <v>5.6118232660924E-2</v>
      </c>
      <c r="K84" t="s">
        <v>179</v>
      </c>
      <c r="L84">
        <f t="shared" si="50"/>
        <v>3.4106526882367483</v>
      </c>
      <c r="M84">
        <f t="shared" si="51"/>
        <v>3.6494979634218883</v>
      </c>
      <c r="N84">
        <f t="shared" si="52"/>
        <v>3.9448790829052616</v>
      </c>
      <c r="O84">
        <f t="shared" si="53"/>
        <v>3.0462554845344498</v>
      </c>
      <c r="P84">
        <f t="shared" si="54"/>
        <v>67.239399786788894</v>
      </c>
      <c r="Q84">
        <f t="shared" si="55"/>
        <v>5.2578734381269898</v>
      </c>
      <c r="R84">
        <f t="shared" si="56"/>
        <v>5.6118232660923999</v>
      </c>
      <c r="S84">
        <f t="shared" si="57"/>
        <v>118.12870449752465</v>
      </c>
      <c r="T84">
        <f t="shared" si="58"/>
        <v>110.66718897746763</v>
      </c>
      <c r="U84" t="e">
        <f t="shared" si="59"/>
        <v>#N/A</v>
      </c>
      <c r="V84">
        <f t="shared" si="60"/>
        <v>3.4106526882367483</v>
      </c>
      <c r="W84" t="e">
        <f t="shared" si="61"/>
        <v>#N/A</v>
      </c>
      <c r="X84">
        <f t="shared" si="62"/>
        <v>3.6494979634218883</v>
      </c>
      <c r="Y84" t="e">
        <f t="shared" si="63"/>
        <v>#N/A</v>
      </c>
      <c r="Z84">
        <f t="shared" si="64"/>
        <v>118.12870449752465</v>
      </c>
      <c r="AA84" t="e">
        <f t="shared" si="65"/>
        <v>#N/A</v>
      </c>
      <c r="AB84">
        <f t="shared" si="66"/>
        <v>110.66718897746763</v>
      </c>
      <c r="AC84" t="e">
        <f t="shared" si="67"/>
        <v>#N/A</v>
      </c>
      <c r="AD84">
        <f t="shared" si="68"/>
        <v>3.0462554845344498</v>
      </c>
      <c r="AE84" t="e">
        <f t="shared" si="69"/>
        <v>#N/A</v>
      </c>
      <c r="AF84">
        <f t="shared" si="70"/>
        <v>5.2578734381269898</v>
      </c>
      <c r="AG84" t="e">
        <f t="shared" si="71"/>
        <v>#N/A</v>
      </c>
      <c r="AH84">
        <f t="shared" si="72"/>
        <v>5.6118232660923999</v>
      </c>
      <c r="AI84" t="e">
        <f t="shared" si="73"/>
        <v>#N/A</v>
      </c>
      <c r="AJ84">
        <f t="shared" si="74"/>
        <v>3.9448790829052616</v>
      </c>
    </row>
    <row r="85" spans="1:36" x14ac:dyDescent="0.25">
      <c r="A85" s="2">
        <v>49644</v>
      </c>
      <c r="B85">
        <v>953500.066521061</v>
      </c>
      <c r="C85">
        <v>499852.04367056303</v>
      </c>
      <c r="D85">
        <v>232.445354177539</v>
      </c>
      <c r="E85">
        <v>17159.830117403799</v>
      </c>
      <c r="F85">
        <v>4793125.5181798898</v>
      </c>
      <c r="G85">
        <v>2.9873658674919801E-2</v>
      </c>
      <c r="H85">
        <v>0.67251983885364297</v>
      </c>
      <c r="I85">
        <v>5.3436829905902102E-2</v>
      </c>
      <c r="J85">
        <v>5.6255882722889498E-2</v>
      </c>
      <c r="K85" t="s">
        <v>179</v>
      </c>
      <c r="L85">
        <f t="shared" si="50"/>
        <v>3.4941502877607</v>
      </c>
      <c r="M85">
        <f t="shared" si="51"/>
        <v>3.7017228463278373</v>
      </c>
      <c r="N85">
        <f t="shared" si="52"/>
        <v>3.9676102174734273</v>
      </c>
      <c r="O85">
        <f t="shared" si="53"/>
        <v>2.9873658674919801</v>
      </c>
      <c r="P85">
        <f t="shared" si="54"/>
        <v>67.251983885364297</v>
      </c>
      <c r="Q85">
        <f t="shared" si="55"/>
        <v>5.3436829905902101</v>
      </c>
      <c r="R85">
        <f t="shared" si="56"/>
        <v>5.6255882722889501</v>
      </c>
      <c r="S85">
        <f t="shared" si="57"/>
        <v>118.55871828371173</v>
      </c>
      <c r="T85">
        <f t="shared" si="58"/>
        <v>111.02881962564264</v>
      </c>
      <c r="U85" t="e">
        <f t="shared" si="59"/>
        <v>#N/A</v>
      </c>
      <c r="V85">
        <f t="shared" si="60"/>
        <v>3.4941502877607</v>
      </c>
      <c r="W85" t="e">
        <f t="shared" si="61"/>
        <v>#N/A</v>
      </c>
      <c r="X85">
        <f t="shared" si="62"/>
        <v>3.7017228463278373</v>
      </c>
      <c r="Y85" t="e">
        <f t="shared" si="63"/>
        <v>#N/A</v>
      </c>
      <c r="Z85">
        <f t="shared" si="64"/>
        <v>118.55871828371173</v>
      </c>
      <c r="AA85" t="e">
        <f t="shared" si="65"/>
        <v>#N/A</v>
      </c>
      <c r="AB85">
        <f t="shared" si="66"/>
        <v>111.02881962564264</v>
      </c>
      <c r="AC85" t="e">
        <f t="shared" si="67"/>
        <v>#N/A</v>
      </c>
      <c r="AD85">
        <f t="shared" si="68"/>
        <v>2.9873658674919801</v>
      </c>
      <c r="AE85" t="e">
        <f t="shared" si="69"/>
        <v>#N/A</v>
      </c>
      <c r="AF85">
        <f t="shared" si="70"/>
        <v>5.3436829905902101</v>
      </c>
      <c r="AG85" t="e">
        <f t="shared" si="71"/>
        <v>#N/A</v>
      </c>
      <c r="AH85">
        <f t="shared" si="72"/>
        <v>5.6255882722889501</v>
      </c>
      <c r="AI85" t="e">
        <f t="shared" si="73"/>
        <v>#N/A</v>
      </c>
      <c r="AJ85">
        <f t="shared" si="74"/>
        <v>3.9676102174734273</v>
      </c>
    </row>
    <row r="86" spans="1:36" x14ac:dyDescent="0.25">
      <c r="A86" s="2">
        <v>49735</v>
      </c>
      <c r="B86">
        <v>962337.69914642896</v>
      </c>
      <c r="C86">
        <v>504718.98550272902</v>
      </c>
      <c r="D86">
        <v>234.770138463481</v>
      </c>
      <c r="E86">
        <v>17224.2186750658</v>
      </c>
      <c r="F86">
        <v>4810474.3546748199</v>
      </c>
      <c r="G86">
        <v>2.9203061676752198E-2</v>
      </c>
      <c r="H86">
        <v>0.67266981029114303</v>
      </c>
      <c r="I86">
        <v>5.4486747831724497E-2</v>
      </c>
      <c r="J86">
        <v>5.6429304066140697E-2</v>
      </c>
      <c r="K86" t="s">
        <v>179</v>
      </c>
      <c r="L86">
        <f t="shared" si="50"/>
        <v>3.5814328958184483</v>
      </c>
      <c r="M86">
        <f t="shared" si="51"/>
        <v>3.7527424409647292</v>
      </c>
      <c r="N86">
        <f t="shared" si="52"/>
        <v>3.999142275324008</v>
      </c>
      <c r="O86">
        <f t="shared" si="53"/>
        <v>2.92030616767522</v>
      </c>
      <c r="P86">
        <f t="shared" si="54"/>
        <v>67.266981029114305</v>
      </c>
      <c r="Q86">
        <f t="shared" si="55"/>
        <v>5.44867478317245</v>
      </c>
      <c r="R86">
        <f t="shared" si="56"/>
        <v>5.6429304066140693</v>
      </c>
      <c r="S86">
        <f t="shared" si="57"/>
        <v>119.00358427692464</v>
      </c>
      <c r="T86">
        <f t="shared" si="58"/>
        <v>111.43069118744596</v>
      </c>
      <c r="U86" t="e">
        <f t="shared" si="59"/>
        <v>#N/A</v>
      </c>
      <c r="V86">
        <f t="shared" si="60"/>
        <v>3.5814328958184483</v>
      </c>
      <c r="W86" t="e">
        <f t="shared" si="61"/>
        <v>#N/A</v>
      </c>
      <c r="X86">
        <f t="shared" si="62"/>
        <v>3.7527424409647292</v>
      </c>
      <c r="Y86" t="e">
        <f t="shared" si="63"/>
        <v>#N/A</v>
      </c>
      <c r="Z86">
        <f t="shared" si="64"/>
        <v>119.00358427692464</v>
      </c>
      <c r="AA86" t="e">
        <f t="shared" si="65"/>
        <v>#N/A</v>
      </c>
      <c r="AB86">
        <f t="shared" si="66"/>
        <v>111.43069118744596</v>
      </c>
      <c r="AC86" t="e">
        <f t="shared" si="67"/>
        <v>#N/A</v>
      </c>
      <c r="AD86">
        <f t="shared" si="68"/>
        <v>2.92030616767522</v>
      </c>
      <c r="AE86" t="e">
        <f t="shared" si="69"/>
        <v>#N/A</v>
      </c>
      <c r="AF86">
        <f t="shared" si="70"/>
        <v>5.44867478317245</v>
      </c>
      <c r="AG86" t="e">
        <f t="shared" si="71"/>
        <v>#N/A</v>
      </c>
      <c r="AH86">
        <f t="shared" si="72"/>
        <v>5.6429304066140693</v>
      </c>
      <c r="AI86" t="e">
        <f t="shared" si="73"/>
        <v>#N/A</v>
      </c>
      <c r="AJ86">
        <f t="shared" si="74"/>
        <v>3.999142275324008</v>
      </c>
    </row>
    <row r="87" spans="1:36" x14ac:dyDescent="0.25">
      <c r="A87" s="2">
        <v>49827</v>
      </c>
      <c r="B87">
        <v>970628.57415243902</v>
      </c>
      <c r="C87">
        <v>509335.80103246501</v>
      </c>
      <c r="D87">
        <v>237.13659380527201</v>
      </c>
      <c r="E87">
        <v>17287.4893255596</v>
      </c>
      <c r="F87">
        <v>4826724.4015213102</v>
      </c>
      <c r="G87">
        <v>2.8629553683747401E-2</v>
      </c>
      <c r="H87">
        <v>0.67283980782280195</v>
      </c>
      <c r="I87">
        <v>5.5563958535424299E-2</v>
      </c>
      <c r="J87">
        <v>5.6634774877816402E-2</v>
      </c>
      <c r="K87" t="s">
        <v>179</v>
      </c>
      <c r="L87">
        <f t="shared" si="50"/>
        <v>3.6050466764303568</v>
      </c>
      <c r="M87">
        <f t="shared" si="51"/>
        <v>3.7906577208179026</v>
      </c>
      <c r="N87">
        <f t="shared" si="52"/>
        <v>4.0354993565347552</v>
      </c>
      <c r="O87">
        <f t="shared" si="53"/>
        <v>2.86295536837474</v>
      </c>
      <c r="P87">
        <f t="shared" si="54"/>
        <v>67.283980782280196</v>
      </c>
      <c r="Q87">
        <f t="shared" si="55"/>
        <v>5.5563958535424298</v>
      </c>
      <c r="R87">
        <f t="shared" si="56"/>
        <v>5.6634774877816403</v>
      </c>
      <c r="S87">
        <f t="shared" si="57"/>
        <v>119.44072655491921</v>
      </c>
      <c r="T87">
        <f t="shared" si="58"/>
        <v>111.80711018865593</v>
      </c>
      <c r="U87" t="e">
        <f t="shared" si="59"/>
        <v>#N/A</v>
      </c>
      <c r="V87">
        <f t="shared" si="60"/>
        <v>3.6050466764303568</v>
      </c>
      <c r="W87" t="e">
        <f t="shared" si="61"/>
        <v>#N/A</v>
      </c>
      <c r="X87">
        <f t="shared" si="62"/>
        <v>3.7906577208179026</v>
      </c>
      <c r="Y87" t="e">
        <f t="shared" si="63"/>
        <v>#N/A</v>
      </c>
      <c r="Z87">
        <f t="shared" si="64"/>
        <v>119.44072655491921</v>
      </c>
      <c r="AA87" t="e">
        <f t="shared" si="65"/>
        <v>#N/A</v>
      </c>
      <c r="AB87">
        <f t="shared" si="66"/>
        <v>111.80711018865593</v>
      </c>
      <c r="AC87" t="e">
        <f t="shared" si="67"/>
        <v>#N/A</v>
      </c>
      <c r="AD87">
        <f t="shared" si="68"/>
        <v>2.86295536837474</v>
      </c>
      <c r="AE87" t="e">
        <f t="shared" si="69"/>
        <v>#N/A</v>
      </c>
      <c r="AF87">
        <f t="shared" si="70"/>
        <v>5.5563958535424298</v>
      </c>
      <c r="AG87" t="e">
        <f t="shared" si="71"/>
        <v>#N/A</v>
      </c>
      <c r="AH87">
        <f t="shared" si="72"/>
        <v>5.6634774877816403</v>
      </c>
      <c r="AI87" t="e">
        <f t="shared" si="73"/>
        <v>#N/A</v>
      </c>
      <c r="AJ87">
        <f t="shared" si="74"/>
        <v>4.0354993565347552</v>
      </c>
    </row>
    <row r="88" spans="1:36" x14ac:dyDescent="0.25">
      <c r="A88" s="2">
        <v>49919</v>
      </c>
      <c r="B88">
        <v>980064.74906176003</v>
      </c>
      <c r="C88">
        <v>514164.25884965499</v>
      </c>
      <c r="D88">
        <v>239.56570693543401</v>
      </c>
      <c r="E88">
        <v>17352.889175425302</v>
      </c>
      <c r="F88">
        <v>4845332.6347570196</v>
      </c>
      <c r="G88">
        <v>2.79258471527336E-2</v>
      </c>
      <c r="H88">
        <v>0.67300644611072002</v>
      </c>
      <c r="I88">
        <v>5.6865660142107602E-2</v>
      </c>
      <c r="J88">
        <v>5.68795654790629E-2</v>
      </c>
      <c r="K88" t="s">
        <v>179</v>
      </c>
      <c r="L88">
        <f t="shared" si="50"/>
        <v>3.7114044660887302</v>
      </c>
      <c r="M88">
        <f t="shared" si="51"/>
        <v>3.8356781264667461</v>
      </c>
      <c r="N88">
        <f t="shared" si="52"/>
        <v>4.0819769290175056</v>
      </c>
      <c r="O88">
        <f t="shared" si="53"/>
        <v>2.7925847152733598</v>
      </c>
      <c r="P88">
        <f t="shared" si="54"/>
        <v>67.300644611072002</v>
      </c>
      <c r="Q88">
        <f t="shared" si="55"/>
        <v>5.6865660142107606</v>
      </c>
      <c r="R88">
        <f t="shared" si="56"/>
        <v>5.6879565479062899</v>
      </c>
      <c r="S88">
        <f t="shared" si="57"/>
        <v>119.89257965153936</v>
      </c>
      <c r="T88">
        <f t="shared" si="58"/>
        <v>112.23815464256039</v>
      </c>
      <c r="U88" t="e">
        <f t="shared" si="59"/>
        <v>#N/A</v>
      </c>
      <c r="V88">
        <f t="shared" si="60"/>
        <v>3.7114044660887302</v>
      </c>
      <c r="W88" t="e">
        <f t="shared" si="61"/>
        <v>#N/A</v>
      </c>
      <c r="X88">
        <f t="shared" si="62"/>
        <v>3.8356781264667461</v>
      </c>
      <c r="Y88" t="e">
        <f t="shared" si="63"/>
        <v>#N/A</v>
      </c>
      <c r="Z88">
        <f t="shared" si="64"/>
        <v>119.89257965153936</v>
      </c>
      <c r="AA88" t="e">
        <f t="shared" si="65"/>
        <v>#N/A</v>
      </c>
      <c r="AB88">
        <f t="shared" si="66"/>
        <v>112.23815464256039</v>
      </c>
      <c r="AC88" t="e">
        <f t="shared" si="67"/>
        <v>#N/A</v>
      </c>
      <c r="AD88">
        <f t="shared" si="68"/>
        <v>2.7925847152733598</v>
      </c>
      <c r="AE88" t="e">
        <f t="shared" si="69"/>
        <v>#N/A</v>
      </c>
      <c r="AF88">
        <f t="shared" si="70"/>
        <v>5.6865660142107606</v>
      </c>
      <c r="AG88" t="e">
        <f t="shared" si="71"/>
        <v>#N/A</v>
      </c>
      <c r="AH88">
        <f t="shared" si="72"/>
        <v>5.6879565479062899</v>
      </c>
      <c r="AI88" t="e">
        <f t="shared" si="73"/>
        <v>#N/A</v>
      </c>
      <c r="AJ88">
        <f t="shared" si="74"/>
        <v>4.0819769290175056</v>
      </c>
    </row>
    <row r="89" spans="1:36" x14ac:dyDescent="0.25">
      <c r="A89" s="2">
        <v>50010</v>
      </c>
      <c r="B89">
        <v>989424.57027513999</v>
      </c>
      <c r="C89">
        <v>519217.15349049802</v>
      </c>
      <c r="D89">
        <v>242.055036375529</v>
      </c>
      <c r="E89">
        <v>17419.269711415502</v>
      </c>
      <c r="F89">
        <v>4864847.9049711302</v>
      </c>
      <c r="G89">
        <v>2.72052808938998E-2</v>
      </c>
      <c r="H89">
        <v>0.67319542841803504</v>
      </c>
      <c r="I89">
        <v>5.8302682654574403E-2</v>
      </c>
      <c r="J89">
        <v>5.7165168374580001E-2</v>
      </c>
      <c r="K89" t="s">
        <v>179</v>
      </c>
      <c r="L89">
        <f t="shared" si="50"/>
        <v>3.767645647383433</v>
      </c>
      <c r="M89">
        <f t="shared" si="51"/>
        <v>3.8741683794530912</v>
      </c>
      <c r="N89">
        <f t="shared" si="52"/>
        <v>4.1341683218371506</v>
      </c>
      <c r="O89">
        <f t="shared" si="53"/>
        <v>2.7205280893899801</v>
      </c>
      <c r="P89">
        <f t="shared" si="54"/>
        <v>67.319542841803496</v>
      </c>
      <c r="Q89">
        <f t="shared" si="55"/>
        <v>5.8302682654574403</v>
      </c>
      <c r="R89">
        <f t="shared" si="56"/>
        <v>5.7165168374580002</v>
      </c>
      <c r="S89">
        <f t="shared" si="57"/>
        <v>120.35120839157578</v>
      </c>
      <c r="T89">
        <f t="shared" si="58"/>
        <v>112.69020986379961</v>
      </c>
      <c r="U89" t="e">
        <f t="shared" si="59"/>
        <v>#N/A</v>
      </c>
      <c r="V89">
        <f t="shared" si="60"/>
        <v>3.767645647383433</v>
      </c>
      <c r="W89" t="e">
        <f t="shared" si="61"/>
        <v>#N/A</v>
      </c>
      <c r="X89">
        <f t="shared" si="62"/>
        <v>3.8741683794530912</v>
      </c>
      <c r="Y89" t="e">
        <f t="shared" si="63"/>
        <v>#N/A</v>
      </c>
      <c r="Z89">
        <f t="shared" si="64"/>
        <v>120.35120839157578</v>
      </c>
      <c r="AA89" t="e">
        <f t="shared" si="65"/>
        <v>#N/A</v>
      </c>
      <c r="AB89">
        <f t="shared" si="66"/>
        <v>112.69020986379961</v>
      </c>
      <c r="AC89" t="e">
        <f t="shared" si="67"/>
        <v>#N/A</v>
      </c>
      <c r="AD89">
        <f t="shared" si="68"/>
        <v>2.7205280893899801</v>
      </c>
      <c r="AE89" t="e">
        <f t="shared" si="69"/>
        <v>#N/A</v>
      </c>
      <c r="AF89">
        <f t="shared" si="70"/>
        <v>5.8302682654574403</v>
      </c>
      <c r="AG89" t="e">
        <f t="shared" si="71"/>
        <v>#N/A</v>
      </c>
      <c r="AH89">
        <f t="shared" si="72"/>
        <v>5.7165168374580002</v>
      </c>
      <c r="AI89" t="e">
        <f t="shared" si="73"/>
        <v>#N/A</v>
      </c>
      <c r="AJ89">
        <f t="shared" si="74"/>
        <v>4.1341683218371506</v>
      </c>
    </row>
    <row r="90" spans="1:36" x14ac:dyDescent="0.25">
      <c r="A90" s="2"/>
      <c r="L90">
        <f t="shared" si="50"/>
        <v>-100</v>
      </c>
      <c r="M90">
        <f t="shared" si="51"/>
        <v>-100</v>
      </c>
      <c r="N90">
        <f t="shared" si="52"/>
        <v>-100</v>
      </c>
      <c r="O90">
        <f t="shared" si="53"/>
        <v>0</v>
      </c>
      <c r="P90">
        <f t="shared" si="54"/>
        <v>0</v>
      </c>
      <c r="Q90">
        <f t="shared" si="55"/>
        <v>0</v>
      </c>
      <c r="R90">
        <f t="shared" si="56"/>
        <v>0</v>
      </c>
      <c r="S90">
        <f t="shared" si="57"/>
        <v>0</v>
      </c>
      <c r="T90">
        <f t="shared" si="58"/>
        <v>0</v>
      </c>
      <c r="U90" t="e">
        <f t="shared" si="59"/>
        <v>#N/A</v>
      </c>
      <c r="V90" t="e">
        <f t="shared" si="60"/>
        <v>#N/A</v>
      </c>
      <c r="W90" t="e">
        <f t="shared" si="61"/>
        <v>#N/A</v>
      </c>
      <c r="X90" t="e">
        <f t="shared" si="62"/>
        <v>#N/A</v>
      </c>
      <c r="Y90" t="e">
        <f t="shared" si="63"/>
        <v>#N/A</v>
      </c>
      <c r="Z90" t="e">
        <f t="shared" si="64"/>
        <v>#N/A</v>
      </c>
      <c r="AA90" t="e">
        <f t="shared" si="65"/>
        <v>#N/A</v>
      </c>
      <c r="AB90" t="e">
        <f t="shared" si="66"/>
        <v>#N/A</v>
      </c>
      <c r="AC90" t="e">
        <f t="shared" si="67"/>
        <v>#N/A</v>
      </c>
      <c r="AD90" t="e">
        <f t="shared" si="68"/>
        <v>#N/A</v>
      </c>
      <c r="AE90" t="e">
        <f t="shared" si="69"/>
        <v>#N/A</v>
      </c>
      <c r="AF90" t="e">
        <f t="shared" si="70"/>
        <v>#N/A</v>
      </c>
      <c r="AG90" t="e">
        <f t="shared" si="71"/>
        <v>#N/A</v>
      </c>
      <c r="AH90" t="e">
        <f t="shared" si="72"/>
        <v>#N/A</v>
      </c>
      <c r="AI90" t="e">
        <f t="shared" si="73"/>
        <v>#N/A</v>
      </c>
      <c r="AJ90" t="e">
        <f t="shared" si="74"/>
        <v>#N/A</v>
      </c>
    </row>
    <row r="91" spans="1:36" x14ac:dyDescent="0.25">
      <c r="A91" s="2"/>
      <c r="L91">
        <f t="shared" si="50"/>
        <v>-100</v>
      </c>
      <c r="M91">
        <f t="shared" si="51"/>
        <v>-100</v>
      </c>
      <c r="N91">
        <f t="shared" si="52"/>
        <v>-100</v>
      </c>
      <c r="O91">
        <f t="shared" si="53"/>
        <v>0</v>
      </c>
      <c r="P91">
        <f t="shared" si="54"/>
        <v>0</v>
      </c>
      <c r="Q91">
        <f t="shared" si="55"/>
        <v>0</v>
      </c>
      <c r="R91">
        <f t="shared" si="56"/>
        <v>0</v>
      </c>
      <c r="S91">
        <f t="shared" si="57"/>
        <v>0</v>
      </c>
      <c r="T91">
        <f t="shared" si="58"/>
        <v>0</v>
      </c>
      <c r="U91" t="e">
        <f t="shared" si="59"/>
        <v>#N/A</v>
      </c>
      <c r="V91" t="e">
        <f t="shared" si="60"/>
        <v>#N/A</v>
      </c>
      <c r="W91" t="e">
        <f t="shared" si="61"/>
        <v>#N/A</v>
      </c>
      <c r="X91" t="e">
        <f t="shared" si="62"/>
        <v>#N/A</v>
      </c>
      <c r="Y91" t="e">
        <f t="shared" si="63"/>
        <v>#N/A</v>
      </c>
      <c r="Z91" t="e">
        <f t="shared" si="64"/>
        <v>#N/A</v>
      </c>
      <c r="AA91" t="e">
        <f t="shared" si="65"/>
        <v>#N/A</v>
      </c>
      <c r="AB91" t="e">
        <f t="shared" si="66"/>
        <v>#N/A</v>
      </c>
      <c r="AC91" t="e">
        <f t="shared" si="67"/>
        <v>#N/A</v>
      </c>
      <c r="AD91" t="e">
        <f t="shared" si="68"/>
        <v>#N/A</v>
      </c>
      <c r="AE91" t="e">
        <f t="shared" si="69"/>
        <v>#N/A</v>
      </c>
      <c r="AF91" t="e">
        <f t="shared" si="70"/>
        <v>#N/A</v>
      </c>
      <c r="AG91" t="e">
        <f t="shared" si="71"/>
        <v>#N/A</v>
      </c>
      <c r="AH91" t="e">
        <f t="shared" si="72"/>
        <v>#N/A</v>
      </c>
      <c r="AI91" t="e">
        <f t="shared" si="73"/>
        <v>#N/A</v>
      </c>
      <c r="AJ91" t="e">
        <f t="shared" si="74"/>
        <v>#N/A</v>
      </c>
    </row>
    <row r="92" spans="1:36" x14ac:dyDescent="0.25">
      <c r="A92" s="2"/>
      <c r="L92">
        <f t="shared" si="50"/>
        <v>-100</v>
      </c>
      <c r="M92">
        <f t="shared" si="51"/>
        <v>-100</v>
      </c>
      <c r="N92">
        <f t="shared" si="52"/>
        <v>-100</v>
      </c>
      <c r="O92">
        <f t="shared" si="53"/>
        <v>0</v>
      </c>
      <c r="P92">
        <f t="shared" si="54"/>
        <v>0</v>
      </c>
      <c r="Q92">
        <f t="shared" si="55"/>
        <v>0</v>
      </c>
      <c r="R92">
        <f t="shared" si="56"/>
        <v>0</v>
      </c>
      <c r="S92">
        <f t="shared" si="57"/>
        <v>0</v>
      </c>
      <c r="T92">
        <f t="shared" si="58"/>
        <v>0</v>
      </c>
      <c r="U92" t="e">
        <f t="shared" si="59"/>
        <v>#N/A</v>
      </c>
      <c r="V92" t="e">
        <f t="shared" si="60"/>
        <v>#N/A</v>
      </c>
      <c r="W92" t="e">
        <f t="shared" si="61"/>
        <v>#N/A</v>
      </c>
      <c r="X92" t="e">
        <f t="shared" si="62"/>
        <v>#N/A</v>
      </c>
      <c r="Y92" t="e">
        <f t="shared" si="63"/>
        <v>#N/A</v>
      </c>
      <c r="Z92" t="e">
        <f t="shared" si="64"/>
        <v>#N/A</v>
      </c>
      <c r="AA92" t="e">
        <f t="shared" si="65"/>
        <v>#N/A</v>
      </c>
      <c r="AB92" t="e">
        <f t="shared" si="66"/>
        <v>#N/A</v>
      </c>
      <c r="AC92" t="e">
        <f t="shared" si="67"/>
        <v>#N/A</v>
      </c>
      <c r="AD92" t="e">
        <f t="shared" si="68"/>
        <v>#N/A</v>
      </c>
      <c r="AE92" t="e">
        <f t="shared" si="69"/>
        <v>#N/A</v>
      </c>
      <c r="AF92" t="e">
        <f t="shared" si="70"/>
        <v>#N/A</v>
      </c>
      <c r="AG92" t="e">
        <f t="shared" si="71"/>
        <v>#N/A</v>
      </c>
      <c r="AH92" t="e">
        <f t="shared" si="72"/>
        <v>#N/A</v>
      </c>
      <c r="AI92" t="e">
        <f t="shared" si="73"/>
        <v>#N/A</v>
      </c>
      <c r="AJ92" t="e">
        <f t="shared" si="74"/>
        <v>#N/A</v>
      </c>
    </row>
    <row r="93" spans="1:36" x14ac:dyDescent="0.25">
      <c r="A93" s="2"/>
      <c r="L93">
        <f t="shared" si="50"/>
        <v>-100</v>
      </c>
      <c r="M93">
        <f t="shared" si="51"/>
        <v>-100</v>
      </c>
      <c r="N93">
        <f t="shared" si="52"/>
        <v>-100</v>
      </c>
      <c r="O93">
        <f t="shared" si="53"/>
        <v>0</v>
      </c>
      <c r="P93">
        <f t="shared" si="54"/>
        <v>0</v>
      </c>
      <c r="Q93">
        <f t="shared" si="55"/>
        <v>0</v>
      </c>
      <c r="R93">
        <f t="shared" si="56"/>
        <v>0</v>
      </c>
      <c r="S93">
        <f t="shared" si="57"/>
        <v>0</v>
      </c>
      <c r="T93">
        <f t="shared" si="58"/>
        <v>0</v>
      </c>
      <c r="U93" t="e">
        <f t="shared" si="59"/>
        <v>#N/A</v>
      </c>
      <c r="V93" t="e">
        <f t="shared" si="60"/>
        <v>#N/A</v>
      </c>
      <c r="W93" t="e">
        <f t="shared" si="61"/>
        <v>#N/A</v>
      </c>
      <c r="X93" t="e">
        <f t="shared" si="62"/>
        <v>#N/A</v>
      </c>
      <c r="Y93" t="e">
        <f t="shared" si="63"/>
        <v>#N/A</v>
      </c>
      <c r="Z93" t="e">
        <f t="shared" si="64"/>
        <v>#N/A</v>
      </c>
      <c r="AA93" t="e">
        <f t="shared" si="65"/>
        <v>#N/A</v>
      </c>
      <c r="AB93" t="e">
        <f t="shared" si="66"/>
        <v>#N/A</v>
      </c>
      <c r="AC93" t="e">
        <f t="shared" si="67"/>
        <v>#N/A</v>
      </c>
      <c r="AD93" t="e">
        <f t="shared" si="68"/>
        <v>#N/A</v>
      </c>
      <c r="AE93" t="e">
        <f t="shared" si="69"/>
        <v>#N/A</v>
      </c>
      <c r="AF93" t="e">
        <f t="shared" si="70"/>
        <v>#N/A</v>
      </c>
      <c r="AG93" t="e">
        <f t="shared" si="71"/>
        <v>#N/A</v>
      </c>
      <c r="AH93" t="e">
        <f t="shared" si="72"/>
        <v>#N/A</v>
      </c>
      <c r="AI93" t="e">
        <f t="shared" si="73"/>
        <v>#N/A</v>
      </c>
      <c r="AJ93" t="e">
        <f t="shared" si="74"/>
        <v>#N/A</v>
      </c>
    </row>
    <row r="94" spans="1:36" x14ac:dyDescent="0.25">
      <c r="A94" s="2"/>
      <c r="L94" t="e">
        <f t="shared" si="50"/>
        <v>#N/A</v>
      </c>
      <c r="M94" t="e">
        <f t="shared" si="51"/>
        <v>#N/A</v>
      </c>
      <c r="N94" t="e">
        <f t="shared" si="52"/>
        <v>#N/A</v>
      </c>
      <c r="O94">
        <f t="shared" si="53"/>
        <v>0</v>
      </c>
      <c r="P94">
        <f t="shared" si="54"/>
        <v>0</v>
      </c>
      <c r="Q94">
        <f t="shared" si="55"/>
        <v>0</v>
      </c>
      <c r="R94">
        <f t="shared" si="56"/>
        <v>0</v>
      </c>
      <c r="S94">
        <f t="shared" si="57"/>
        <v>0</v>
      </c>
      <c r="T94">
        <f t="shared" si="58"/>
        <v>0</v>
      </c>
      <c r="U94" t="e">
        <f t="shared" si="59"/>
        <v>#N/A</v>
      </c>
      <c r="V94" t="e">
        <f t="shared" si="60"/>
        <v>#N/A</v>
      </c>
      <c r="W94" t="e">
        <f t="shared" si="61"/>
        <v>#N/A</v>
      </c>
      <c r="X94" t="e">
        <f t="shared" si="62"/>
        <v>#N/A</v>
      </c>
      <c r="Y94" t="e">
        <f t="shared" si="63"/>
        <v>#N/A</v>
      </c>
      <c r="Z94" t="e">
        <f t="shared" si="64"/>
        <v>#N/A</v>
      </c>
      <c r="AA94" t="e">
        <f t="shared" si="65"/>
        <v>#N/A</v>
      </c>
      <c r="AB94" t="e">
        <f t="shared" si="66"/>
        <v>#N/A</v>
      </c>
      <c r="AC94" t="e">
        <f t="shared" si="67"/>
        <v>#N/A</v>
      </c>
      <c r="AD94" t="e">
        <f t="shared" si="68"/>
        <v>#N/A</v>
      </c>
      <c r="AE94" t="e">
        <f t="shared" si="69"/>
        <v>#N/A</v>
      </c>
      <c r="AF94" t="e">
        <f t="shared" si="70"/>
        <v>#N/A</v>
      </c>
      <c r="AG94" t="e">
        <f t="shared" si="71"/>
        <v>#N/A</v>
      </c>
      <c r="AH94" t="e">
        <f t="shared" si="72"/>
        <v>#N/A</v>
      </c>
      <c r="AI94" t="e">
        <f t="shared" si="73"/>
        <v>#N/A</v>
      </c>
      <c r="AJ94" t="e">
        <f t="shared" si="74"/>
        <v>#N/A</v>
      </c>
    </row>
    <row r="95" spans="1:36" x14ac:dyDescent="0.25">
      <c r="A95" s="2"/>
      <c r="L95" t="e">
        <f t="shared" si="50"/>
        <v>#N/A</v>
      </c>
      <c r="M95" t="e">
        <f t="shared" si="51"/>
        <v>#N/A</v>
      </c>
      <c r="N95" t="e">
        <f t="shared" si="52"/>
        <v>#N/A</v>
      </c>
      <c r="O95">
        <f t="shared" si="53"/>
        <v>0</v>
      </c>
      <c r="P95">
        <f t="shared" si="54"/>
        <v>0</v>
      </c>
      <c r="Q95">
        <f t="shared" si="55"/>
        <v>0</v>
      </c>
      <c r="R95">
        <f t="shared" si="56"/>
        <v>0</v>
      </c>
      <c r="S95">
        <f t="shared" si="57"/>
        <v>0</v>
      </c>
      <c r="T95">
        <f t="shared" si="58"/>
        <v>0</v>
      </c>
      <c r="U95" t="e">
        <f t="shared" si="59"/>
        <v>#N/A</v>
      </c>
      <c r="V95" t="e">
        <f t="shared" si="60"/>
        <v>#N/A</v>
      </c>
      <c r="W95" t="e">
        <f t="shared" si="61"/>
        <v>#N/A</v>
      </c>
      <c r="X95" t="e">
        <f t="shared" si="62"/>
        <v>#N/A</v>
      </c>
      <c r="Y95" t="e">
        <f t="shared" si="63"/>
        <v>#N/A</v>
      </c>
      <c r="Z95" t="e">
        <f t="shared" si="64"/>
        <v>#N/A</v>
      </c>
      <c r="AA95" t="e">
        <f t="shared" si="65"/>
        <v>#N/A</v>
      </c>
      <c r="AB95" t="e">
        <f t="shared" si="66"/>
        <v>#N/A</v>
      </c>
      <c r="AC95" t="e">
        <f t="shared" si="67"/>
        <v>#N/A</v>
      </c>
      <c r="AD95" t="e">
        <f t="shared" si="68"/>
        <v>#N/A</v>
      </c>
      <c r="AE95" t="e">
        <f t="shared" si="69"/>
        <v>#N/A</v>
      </c>
      <c r="AF95" t="e">
        <f t="shared" si="70"/>
        <v>#N/A</v>
      </c>
      <c r="AG95" t="e">
        <f t="shared" si="71"/>
        <v>#N/A</v>
      </c>
      <c r="AH95" t="e">
        <f t="shared" si="72"/>
        <v>#N/A</v>
      </c>
      <c r="AI95" t="e">
        <f t="shared" si="73"/>
        <v>#N/A</v>
      </c>
      <c r="AJ95" t="e">
        <f t="shared" si="74"/>
        <v>#N/A</v>
      </c>
    </row>
    <row r="96" spans="1:36" x14ac:dyDescent="0.25">
      <c r="A96" s="2"/>
      <c r="L96" t="e">
        <f t="shared" si="50"/>
        <v>#N/A</v>
      </c>
      <c r="M96" t="e">
        <f t="shared" si="51"/>
        <v>#N/A</v>
      </c>
      <c r="N96" t="e">
        <f t="shared" si="52"/>
        <v>#N/A</v>
      </c>
      <c r="O96">
        <f t="shared" si="53"/>
        <v>0</v>
      </c>
      <c r="P96">
        <f t="shared" si="54"/>
        <v>0</v>
      </c>
      <c r="Q96">
        <f t="shared" si="55"/>
        <v>0</v>
      </c>
      <c r="R96">
        <f t="shared" si="56"/>
        <v>0</v>
      </c>
      <c r="S96">
        <f t="shared" si="57"/>
        <v>0</v>
      </c>
      <c r="T96">
        <f t="shared" si="58"/>
        <v>0</v>
      </c>
      <c r="U96" t="e">
        <f t="shared" si="59"/>
        <v>#N/A</v>
      </c>
      <c r="V96" t="e">
        <f t="shared" si="60"/>
        <v>#N/A</v>
      </c>
      <c r="W96" t="e">
        <f t="shared" si="61"/>
        <v>#N/A</v>
      </c>
      <c r="X96" t="e">
        <f t="shared" si="62"/>
        <v>#N/A</v>
      </c>
      <c r="Y96" t="e">
        <f t="shared" si="63"/>
        <v>#N/A</v>
      </c>
      <c r="Z96" t="e">
        <f t="shared" si="64"/>
        <v>#N/A</v>
      </c>
      <c r="AA96" t="e">
        <f t="shared" si="65"/>
        <v>#N/A</v>
      </c>
      <c r="AB96" t="e">
        <f t="shared" si="66"/>
        <v>#N/A</v>
      </c>
      <c r="AC96" t="e">
        <f t="shared" si="67"/>
        <v>#N/A</v>
      </c>
      <c r="AD96" t="e">
        <f t="shared" si="68"/>
        <v>#N/A</v>
      </c>
      <c r="AE96" t="e">
        <f t="shared" si="69"/>
        <v>#N/A</v>
      </c>
      <c r="AF96" t="e">
        <f t="shared" si="70"/>
        <v>#N/A</v>
      </c>
      <c r="AG96" t="e">
        <f t="shared" si="71"/>
        <v>#N/A</v>
      </c>
      <c r="AH96" t="e">
        <f t="shared" si="72"/>
        <v>#N/A</v>
      </c>
      <c r="AI96" t="e">
        <f t="shared" si="73"/>
        <v>#N/A</v>
      </c>
      <c r="AJ96" t="e">
        <f t="shared" si="74"/>
        <v>#N/A</v>
      </c>
    </row>
    <row r="97" spans="1:36" x14ac:dyDescent="0.25">
      <c r="A97" s="2"/>
      <c r="L97" t="e">
        <f t="shared" si="50"/>
        <v>#N/A</v>
      </c>
      <c r="M97" t="e">
        <f t="shared" si="51"/>
        <v>#N/A</v>
      </c>
      <c r="N97" t="e">
        <f t="shared" si="52"/>
        <v>#N/A</v>
      </c>
      <c r="O97">
        <f t="shared" si="53"/>
        <v>0</v>
      </c>
      <c r="P97">
        <f t="shared" si="54"/>
        <v>0</v>
      </c>
      <c r="Q97">
        <f t="shared" si="55"/>
        <v>0</v>
      </c>
      <c r="R97">
        <f t="shared" si="56"/>
        <v>0</v>
      </c>
      <c r="S97">
        <f t="shared" si="57"/>
        <v>0</v>
      </c>
      <c r="T97">
        <f t="shared" si="58"/>
        <v>0</v>
      </c>
      <c r="U97" t="e">
        <f t="shared" si="59"/>
        <v>#N/A</v>
      </c>
      <c r="V97" t="e">
        <f t="shared" si="60"/>
        <v>#N/A</v>
      </c>
      <c r="W97" t="e">
        <f t="shared" si="61"/>
        <v>#N/A</v>
      </c>
      <c r="X97" t="e">
        <f t="shared" si="62"/>
        <v>#N/A</v>
      </c>
      <c r="Y97" t="e">
        <f t="shared" si="63"/>
        <v>#N/A</v>
      </c>
      <c r="Z97" t="e">
        <f t="shared" si="64"/>
        <v>#N/A</v>
      </c>
      <c r="AA97" t="e">
        <f t="shared" si="65"/>
        <v>#N/A</v>
      </c>
      <c r="AB97" t="e">
        <f t="shared" si="66"/>
        <v>#N/A</v>
      </c>
      <c r="AC97" t="e">
        <f t="shared" si="67"/>
        <v>#N/A</v>
      </c>
      <c r="AD97" t="e">
        <f t="shared" si="68"/>
        <v>#N/A</v>
      </c>
      <c r="AE97" t="e">
        <f t="shared" si="69"/>
        <v>#N/A</v>
      </c>
      <c r="AF97" t="e">
        <f t="shared" si="70"/>
        <v>#N/A</v>
      </c>
      <c r="AG97" t="e">
        <f t="shared" si="71"/>
        <v>#N/A</v>
      </c>
      <c r="AH97" t="e">
        <f t="shared" si="72"/>
        <v>#N/A</v>
      </c>
      <c r="AI97" t="e">
        <f t="shared" si="73"/>
        <v>#N/A</v>
      </c>
      <c r="AJ97" t="e">
        <f t="shared" si="74"/>
        <v>#N/A</v>
      </c>
    </row>
    <row r="98" spans="1:36" x14ac:dyDescent="0.25">
      <c r="A98" s="2"/>
      <c r="L98" t="e">
        <f t="shared" ref="L98:L129" si="75">IF(ROW()&lt;=5,NA(),IFERROR(100*(B98/INDEX(B:B,ROW()-4)-1),NA()))</f>
        <v>#N/A</v>
      </c>
      <c r="M98" t="e">
        <f t="shared" ref="M98:M129" si="76">IF(ROW()&lt;=5,NA(),IFERROR(100*(C98/INDEX(C:C,ROW()-4)-1),NA()))</f>
        <v>#N/A</v>
      </c>
      <c r="N98" t="e">
        <f t="shared" ref="N98:N129" si="77">IF(ROW()&lt;=5,NA(),IFERROR(100*(D98/INDEX(D:D,ROW()-4)-1),NA()))</f>
        <v>#N/A</v>
      </c>
      <c r="O98">
        <f t="shared" ref="O98:O129" si="78">100*G98</f>
        <v>0</v>
      </c>
      <c r="P98">
        <f t="shared" ref="P98:P129" si="79">100*H98</f>
        <v>0</v>
      </c>
      <c r="Q98">
        <f t="shared" ref="Q98:Q129" si="80">100*I98</f>
        <v>0</v>
      </c>
      <c r="R98">
        <f t="shared" ref="R98:R129" si="81">100*J98</f>
        <v>0</v>
      </c>
      <c r="S98">
        <f t="shared" ref="S98:S129" si="82">IFERROR(100*E98/INDEX(E:E,MATCH(DATE(2024,12,1),A:A,0)),NA())</f>
        <v>0</v>
      </c>
      <c r="T98">
        <f t="shared" ref="T98:T129" si="83">IFERROR(100*F98/INDEX(F:F,MATCH(DATE(2024,12,1),A:A,0)),NA())</f>
        <v>0</v>
      </c>
      <c r="U98" t="e">
        <f t="shared" ref="U98:U129" si="84">IF($K98="Actual",L98,NA())</f>
        <v>#N/A</v>
      </c>
      <c r="V98" t="e">
        <f t="shared" ref="V98:V129" si="85">IF($A98&gt;=DATE(2024,12,1),L98,NA())</f>
        <v>#N/A</v>
      </c>
      <c r="W98" t="e">
        <f t="shared" ref="W98:W129" si="86">IF($K98="Actual",M98,NA())</f>
        <v>#N/A</v>
      </c>
      <c r="X98" t="e">
        <f t="shared" ref="X98:X129" si="87">IF($A98&gt;=DATE(2024,12,1),M98,NA())</f>
        <v>#N/A</v>
      </c>
      <c r="Y98" t="e">
        <f t="shared" ref="Y98:Y129" si="88">IF($K98="Actual",S98,NA())</f>
        <v>#N/A</v>
      </c>
      <c r="Z98" t="e">
        <f t="shared" ref="Z98:Z129" si="89">IF($A98&gt;=DATE(2024,12,1),S98,NA())</f>
        <v>#N/A</v>
      </c>
      <c r="AA98" t="e">
        <f t="shared" ref="AA98:AA129" si="90">IF($K98="Actual",T98,NA())</f>
        <v>#N/A</v>
      </c>
      <c r="AB98" t="e">
        <f t="shared" ref="AB98:AB129" si="91">IF($A98&gt;=DATE(2024,12,1),T98,NA())</f>
        <v>#N/A</v>
      </c>
      <c r="AC98" t="e">
        <f t="shared" ref="AC98:AC129" si="92">IF($K98="Actual",O98,NA())</f>
        <v>#N/A</v>
      </c>
      <c r="AD98" t="e">
        <f t="shared" ref="AD98:AD129" si="93">IF($A98&gt;=DATE(2024,12,1),O98,NA())</f>
        <v>#N/A</v>
      </c>
      <c r="AE98" t="e">
        <f t="shared" ref="AE98:AE129" si="94">IF($K98="Actual",Q98,NA())</f>
        <v>#N/A</v>
      </c>
      <c r="AF98" t="e">
        <f t="shared" ref="AF98:AF129" si="95">IF($A98&gt;=DATE(2024,12,1),Q98,NA())</f>
        <v>#N/A</v>
      </c>
      <c r="AG98" t="e">
        <f t="shared" ref="AG98:AG129" si="96">IF($K98="Actual",R98,NA())</f>
        <v>#N/A</v>
      </c>
      <c r="AH98" t="e">
        <f t="shared" ref="AH98:AH129" si="97">IF($A98&gt;=DATE(2024,12,1),R98,NA())</f>
        <v>#N/A</v>
      </c>
      <c r="AI98" t="e">
        <f t="shared" ref="AI98:AI129" si="98">IF($K98="Actual",N98,NA())</f>
        <v>#N/A</v>
      </c>
      <c r="AJ98" t="e">
        <f t="shared" ref="AJ98:AJ129" si="99">IF($A98&gt;=DATE(2024,12,1),N98,NA())</f>
        <v>#N/A</v>
      </c>
    </row>
    <row r="99" spans="1:36" x14ac:dyDescent="0.25">
      <c r="A99" s="2"/>
      <c r="L99" t="e">
        <f t="shared" si="75"/>
        <v>#N/A</v>
      </c>
      <c r="M99" t="e">
        <f t="shared" si="76"/>
        <v>#N/A</v>
      </c>
      <c r="N99" t="e">
        <f t="shared" si="77"/>
        <v>#N/A</v>
      </c>
      <c r="O99">
        <f t="shared" si="78"/>
        <v>0</v>
      </c>
      <c r="P99">
        <f t="shared" si="79"/>
        <v>0</v>
      </c>
      <c r="Q99">
        <f t="shared" si="80"/>
        <v>0</v>
      </c>
      <c r="R99">
        <f t="shared" si="81"/>
        <v>0</v>
      </c>
      <c r="S99">
        <f t="shared" si="82"/>
        <v>0</v>
      </c>
      <c r="T99">
        <f t="shared" si="83"/>
        <v>0</v>
      </c>
      <c r="U99" t="e">
        <f t="shared" si="84"/>
        <v>#N/A</v>
      </c>
      <c r="V99" t="e">
        <f t="shared" si="85"/>
        <v>#N/A</v>
      </c>
      <c r="W99" t="e">
        <f t="shared" si="86"/>
        <v>#N/A</v>
      </c>
      <c r="X99" t="e">
        <f t="shared" si="87"/>
        <v>#N/A</v>
      </c>
      <c r="Y99" t="e">
        <f t="shared" si="88"/>
        <v>#N/A</v>
      </c>
      <c r="Z99" t="e">
        <f t="shared" si="89"/>
        <v>#N/A</v>
      </c>
      <c r="AA99" t="e">
        <f t="shared" si="90"/>
        <v>#N/A</v>
      </c>
      <c r="AB99" t="e">
        <f t="shared" si="91"/>
        <v>#N/A</v>
      </c>
      <c r="AC99" t="e">
        <f t="shared" si="92"/>
        <v>#N/A</v>
      </c>
      <c r="AD99" t="e">
        <f t="shared" si="93"/>
        <v>#N/A</v>
      </c>
      <c r="AE99" t="e">
        <f t="shared" si="94"/>
        <v>#N/A</v>
      </c>
      <c r="AF99" t="e">
        <f t="shared" si="95"/>
        <v>#N/A</v>
      </c>
      <c r="AG99" t="e">
        <f t="shared" si="96"/>
        <v>#N/A</v>
      </c>
      <c r="AH99" t="e">
        <f t="shared" si="97"/>
        <v>#N/A</v>
      </c>
      <c r="AI99" t="e">
        <f t="shared" si="98"/>
        <v>#N/A</v>
      </c>
      <c r="AJ99" t="e">
        <f t="shared" si="99"/>
        <v>#N/A</v>
      </c>
    </row>
    <row r="100" spans="1:36" x14ac:dyDescent="0.25">
      <c r="A100" s="2"/>
      <c r="L100" t="e">
        <f t="shared" si="75"/>
        <v>#N/A</v>
      </c>
      <c r="M100" t="e">
        <f t="shared" si="76"/>
        <v>#N/A</v>
      </c>
      <c r="N100" t="e">
        <f t="shared" si="77"/>
        <v>#N/A</v>
      </c>
      <c r="O100">
        <f t="shared" si="78"/>
        <v>0</v>
      </c>
      <c r="P100">
        <f t="shared" si="79"/>
        <v>0</v>
      </c>
      <c r="Q100">
        <f t="shared" si="80"/>
        <v>0</v>
      </c>
      <c r="R100">
        <f t="shared" si="81"/>
        <v>0</v>
      </c>
      <c r="S100">
        <f t="shared" si="82"/>
        <v>0</v>
      </c>
      <c r="T100">
        <f t="shared" si="83"/>
        <v>0</v>
      </c>
      <c r="U100" t="e">
        <f t="shared" si="84"/>
        <v>#N/A</v>
      </c>
      <c r="V100" t="e">
        <f t="shared" si="85"/>
        <v>#N/A</v>
      </c>
      <c r="W100" t="e">
        <f t="shared" si="86"/>
        <v>#N/A</v>
      </c>
      <c r="X100" t="e">
        <f t="shared" si="87"/>
        <v>#N/A</v>
      </c>
      <c r="Y100" t="e">
        <f t="shared" si="88"/>
        <v>#N/A</v>
      </c>
      <c r="Z100" t="e">
        <f t="shared" si="89"/>
        <v>#N/A</v>
      </c>
      <c r="AA100" t="e">
        <f t="shared" si="90"/>
        <v>#N/A</v>
      </c>
      <c r="AB100" t="e">
        <f t="shared" si="91"/>
        <v>#N/A</v>
      </c>
      <c r="AC100" t="e">
        <f t="shared" si="92"/>
        <v>#N/A</v>
      </c>
      <c r="AD100" t="e">
        <f t="shared" si="93"/>
        <v>#N/A</v>
      </c>
      <c r="AE100" t="e">
        <f t="shared" si="94"/>
        <v>#N/A</v>
      </c>
      <c r="AF100" t="e">
        <f t="shared" si="95"/>
        <v>#N/A</v>
      </c>
      <c r="AG100" t="e">
        <f t="shared" si="96"/>
        <v>#N/A</v>
      </c>
      <c r="AH100" t="e">
        <f t="shared" si="97"/>
        <v>#N/A</v>
      </c>
      <c r="AI100" t="e">
        <f t="shared" si="98"/>
        <v>#N/A</v>
      </c>
      <c r="AJ100" t="e">
        <f t="shared" si="99"/>
        <v>#N/A</v>
      </c>
    </row>
    <row r="101" spans="1:36" x14ac:dyDescent="0.25">
      <c r="A101" s="2"/>
      <c r="L101" t="e">
        <f t="shared" si="75"/>
        <v>#N/A</v>
      </c>
      <c r="M101" t="e">
        <f t="shared" si="76"/>
        <v>#N/A</v>
      </c>
      <c r="N101" t="e">
        <f t="shared" si="77"/>
        <v>#N/A</v>
      </c>
      <c r="O101">
        <f t="shared" si="78"/>
        <v>0</v>
      </c>
      <c r="P101">
        <f t="shared" si="79"/>
        <v>0</v>
      </c>
      <c r="Q101">
        <f t="shared" si="80"/>
        <v>0</v>
      </c>
      <c r="R101">
        <f t="shared" si="81"/>
        <v>0</v>
      </c>
      <c r="S101">
        <f t="shared" si="82"/>
        <v>0</v>
      </c>
      <c r="T101">
        <f t="shared" si="83"/>
        <v>0</v>
      </c>
      <c r="U101" t="e">
        <f t="shared" si="84"/>
        <v>#N/A</v>
      </c>
      <c r="V101" t="e">
        <f t="shared" si="85"/>
        <v>#N/A</v>
      </c>
      <c r="W101" t="e">
        <f t="shared" si="86"/>
        <v>#N/A</v>
      </c>
      <c r="X101" t="e">
        <f t="shared" si="87"/>
        <v>#N/A</v>
      </c>
      <c r="Y101" t="e">
        <f t="shared" si="88"/>
        <v>#N/A</v>
      </c>
      <c r="Z101" t="e">
        <f t="shared" si="89"/>
        <v>#N/A</v>
      </c>
      <c r="AA101" t="e">
        <f t="shared" si="90"/>
        <v>#N/A</v>
      </c>
      <c r="AB101" t="e">
        <f t="shared" si="91"/>
        <v>#N/A</v>
      </c>
      <c r="AC101" t="e">
        <f t="shared" si="92"/>
        <v>#N/A</v>
      </c>
      <c r="AD101" t="e">
        <f t="shared" si="93"/>
        <v>#N/A</v>
      </c>
      <c r="AE101" t="e">
        <f t="shared" si="94"/>
        <v>#N/A</v>
      </c>
      <c r="AF101" t="e">
        <f t="shared" si="95"/>
        <v>#N/A</v>
      </c>
      <c r="AG101" t="e">
        <f t="shared" si="96"/>
        <v>#N/A</v>
      </c>
      <c r="AH101" t="e">
        <f t="shared" si="97"/>
        <v>#N/A</v>
      </c>
      <c r="AI101" t="e">
        <f t="shared" si="98"/>
        <v>#N/A</v>
      </c>
      <c r="AJ101" t="e">
        <f t="shared" si="99"/>
        <v>#N/A</v>
      </c>
    </row>
    <row r="102" spans="1:36" x14ac:dyDescent="0.25">
      <c r="A102" s="2"/>
      <c r="L102" t="e">
        <f t="shared" si="75"/>
        <v>#N/A</v>
      </c>
      <c r="M102" t="e">
        <f t="shared" si="76"/>
        <v>#N/A</v>
      </c>
      <c r="N102" t="e">
        <f t="shared" si="77"/>
        <v>#N/A</v>
      </c>
      <c r="O102">
        <f t="shared" si="78"/>
        <v>0</v>
      </c>
      <c r="P102">
        <f t="shared" si="79"/>
        <v>0</v>
      </c>
      <c r="Q102">
        <f t="shared" si="80"/>
        <v>0</v>
      </c>
      <c r="R102">
        <f t="shared" si="81"/>
        <v>0</v>
      </c>
      <c r="S102">
        <f t="shared" si="82"/>
        <v>0</v>
      </c>
      <c r="T102">
        <f t="shared" si="83"/>
        <v>0</v>
      </c>
      <c r="U102" t="e">
        <f t="shared" si="84"/>
        <v>#N/A</v>
      </c>
      <c r="V102" t="e">
        <f t="shared" si="85"/>
        <v>#N/A</v>
      </c>
      <c r="W102" t="e">
        <f t="shared" si="86"/>
        <v>#N/A</v>
      </c>
      <c r="X102" t="e">
        <f t="shared" si="87"/>
        <v>#N/A</v>
      </c>
      <c r="Y102" t="e">
        <f t="shared" si="88"/>
        <v>#N/A</v>
      </c>
      <c r="Z102" t="e">
        <f t="shared" si="89"/>
        <v>#N/A</v>
      </c>
      <c r="AA102" t="e">
        <f t="shared" si="90"/>
        <v>#N/A</v>
      </c>
      <c r="AB102" t="e">
        <f t="shared" si="91"/>
        <v>#N/A</v>
      </c>
      <c r="AC102" t="e">
        <f t="shared" si="92"/>
        <v>#N/A</v>
      </c>
      <c r="AD102" t="e">
        <f t="shared" si="93"/>
        <v>#N/A</v>
      </c>
      <c r="AE102" t="e">
        <f t="shared" si="94"/>
        <v>#N/A</v>
      </c>
      <c r="AF102" t="e">
        <f t="shared" si="95"/>
        <v>#N/A</v>
      </c>
      <c r="AG102" t="e">
        <f t="shared" si="96"/>
        <v>#N/A</v>
      </c>
      <c r="AH102" t="e">
        <f t="shared" si="97"/>
        <v>#N/A</v>
      </c>
      <c r="AI102" t="e">
        <f t="shared" si="98"/>
        <v>#N/A</v>
      </c>
      <c r="AJ102" t="e">
        <f t="shared" si="99"/>
        <v>#N/A</v>
      </c>
    </row>
    <row r="103" spans="1:36" x14ac:dyDescent="0.25">
      <c r="A103" s="2"/>
      <c r="L103" t="e">
        <f t="shared" si="75"/>
        <v>#N/A</v>
      </c>
      <c r="M103" t="e">
        <f t="shared" si="76"/>
        <v>#N/A</v>
      </c>
      <c r="N103" t="e">
        <f t="shared" si="77"/>
        <v>#N/A</v>
      </c>
      <c r="O103">
        <f t="shared" si="78"/>
        <v>0</v>
      </c>
      <c r="P103">
        <f t="shared" si="79"/>
        <v>0</v>
      </c>
      <c r="Q103">
        <f t="shared" si="80"/>
        <v>0</v>
      </c>
      <c r="R103">
        <f t="shared" si="81"/>
        <v>0</v>
      </c>
      <c r="S103">
        <f t="shared" si="82"/>
        <v>0</v>
      </c>
      <c r="T103">
        <f t="shared" si="83"/>
        <v>0</v>
      </c>
      <c r="U103" t="e">
        <f t="shared" si="84"/>
        <v>#N/A</v>
      </c>
      <c r="V103" t="e">
        <f t="shared" si="85"/>
        <v>#N/A</v>
      </c>
      <c r="W103" t="e">
        <f t="shared" si="86"/>
        <v>#N/A</v>
      </c>
      <c r="X103" t="e">
        <f t="shared" si="87"/>
        <v>#N/A</v>
      </c>
      <c r="Y103" t="e">
        <f t="shared" si="88"/>
        <v>#N/A</v>
      </c>
      <c r="Z103" t="e">
        <f t="shared" si="89"/>
        <v>#N/A</v>
      </c>
      <c r="AA103" t="e">
        <f t="shared" si="90"/>
        <v>#N/A</v>
      </c>
      <c r="AB103" t="e">
        <f t="shared" si="91"/>
        <v>#N/A</v>
      </c>
      <c r="AC103" t="e">
        <f t="shared" si="92"/>
        <v>#N/A</v>
      </c>
      <c r="AD103" t="e">
        <f t="shared" si="93"/>
        <v>#N/A</v>
      </c>
      <c r="AE103" t="e">
        <f t="shared" si="94"/>
        <v>#N/A</v>
      </c>
      <c r="AF103" t="e">
        <f t="shared" si="95"/>
        <v>#N/A</v>
      </c>
      <c r="AG103" t="e">
        <f t="shared" si="96"/>
        <v>#N/A</v>
      </c>
      <c r="AH103" t="e">
        <f t="shared" si="97"/>
        <v>#N/A</v>
      </c>
      <c r="AI103" t="e">
        <f t="shared" si="98"/>
        <v>#N/A</v>
      </c>
      <c r="AJ103" t="e">
        <f t="shared" si="99"/>
        <v>#N/A</v>
      </c>
    </row>
    <row r="104" spans="1:36" x14ac:dyDescent="0.25">
      <c r="A104" s="2"/>
      <c r="L104" t="e">
        <f t="shared" si="75"/>
        <v>#N/A</v>
      </c>
      <c r="M104" t="e">
        <f t="shared" si="76"/>
        <v>#N/A</v>
      </c>
      <c r="N104" t="e">
        <f t="shared" si="77"/>
        <v>#N/A</v>
      </c>
      <c r="O104">
        <f t="shared" si="78"/>
        <v>0</v>
      </c>
      <c r="P104">
        <f t="shared" si="79"/>
        <v>0</v>
      </c>
      <c r="Q104">
        <f t="shared" si="80"/>
        <v>0</v>
      </c>
      <c r="R104">
        <f t="shared" si="81"/>
        <v>0</v>
      </c>
      <c r="S104">
        <f t="shared" si="82"/>
        <v>0</v>
      </c>
      <c r="T104">
        <f t="shared" si="83"/>
        <v>0</v>
      </c>
      <c r="U104" t="e">
        <f t="shared" si="84"/>
        <v>#N/A</v>
      </c>
      <c r="V104" t="e">
        <f t="shared" si="85"/>
        <v>#N/A</v>
      </c>
      <c r="W104" t="e">
        <f t="shared" si="86"/>
        <v>#N/A</v>
      </c>
      <c r="X104" t="e">
        <f t="shared" si="87"/>
        <v>#N/A</v>
      </c>
      <c r="Y104" t="e">
        <f t="shared" si="88"/>
        <v>#N/A</v>
      </c>
      <c r="Z104" t="e">
        <f t="shared" si="89"/>
        <v>#N/A</v>
      </c>
      <c r="AA104" t="e">
        <f t="shared" si="90"/>
        <v>#N/A</v>
      </c>
      <c r="AB104" t="e">
        <f t="shared" si="91"/>
        <v>#N/A</v>
      </c>
      <c r="AC104" t="e">
        <f t="shared" si="92"/>
        <v>#N/A</v>
      </c>
      <c r="AD104" t="e">
        <f t="shared" si="93"/>
        <v>#N/A</v>
      </c>
      <c r="AE104" t="e">
        <f t="shared" si="94"/>
        <v>#N/A</v>
      </c>
      <c r="AF104" t="e">
        <f t="shared" si="95"/>
        <v>#N/A</v>
      </c>
      <c r="AG104" t="e">
        <f t="shared" si="96"/>
        <v>#N/A</v>
      </c>
      <c r="AH104" t="e">
        <f t="shared" si="97"/>
        <v>#N/A</v>
      </c>
      <c r="AI104" t="e">
        <f t="shared" si="98"/>
        <v>#N/A</v>
      </c>
      <c r="AJ104" t="e">
        <f t="shared" si="99"/>
        <v>#N/A</v>
      </c>
    </row>
    <row r="105" spans="1:36" x14ac:dyDescent="0.25">
      <c r="A105" s="2"/>
      <c r="L105" t="e">
        <f t="shared" si="75"/>
        <v>#N/A</v>
      </c>
      <c r="M105" t="e">
        <f t="shared" si="76"/>
        <v>#N/A</v>
      </c>
      <c r="N105" t="e">
        <f t="shared" si="77"/>
        <v>#N/A</v>
      </c>
      <c r="O105">
        <f t="shared" si="78"/>
        <v>0</v>
      </c>
      <c r="P105">
        <f t="shared" si="79"/>
        <v>0</v>
      </c>
      <c r="Q105">
        <f t="shared" si="80"/>
        <v>0</v>
      </c>
      <c r="R105">
        <f t="shared" si="81"/>
        <v>0</v>
      </c>
      <c r="S105">
        <f t="shared" si="82"/>
        <v>0</v>
      </c>
      <c r="T105">
        <f t="shared" si="83"/>
        <v>0</v>
      </c>
      <c r="U105" t="e">
        <f t="shared" si="84"/>
        <v>#N/A</v>
      </c>
      <c r="V105" t="e">
        <f t="shared" si="85"/>
        <v>#N/A</v>
      </c>
      <c r="W105" t="e">
        <f t="shared" si="86"/>
        <v>#N/A</v>
      </c>
      <c r="X105" t="e">
        <f t="shared" si="87"/>
        <v>#N/A</v>
      </c>
      <c r="Y105" t="e">
        <f t="shared" si="88"/>
        <v>#N/A</v>
      </c>
      <c r="Z105" t="e">
        <f t="shared" si="89"/>
        <v>#N/A</v>
      </c>
      <c r="AA105" t="e">
        <f t="shared" si="90"/>
        <v>#N/A</v>
      </c>
      <c r="AB105" t="e">
        <f t="shared" si="91"/>
        <v>#N/A</v>
      </c>
      <c r="AC105" t="e">
        <f t="shared" si="92"/>
        <v>#N/A</v>
      </c>
      <c r="AD105" t="e">
        <f t="shared" si="93"/>
        <v>#N/A</v>
      </c>
      <c r="AE105" t="e">
        <f t="shared" si="94"/>
        <v>#N/A</v>
      </c>
      <c r="AF105" t="e">
        <f t="shared" si="95"/>
        <v>#N/A</v>
      </c>
      <c r="AG105" t="e">
        <f t="shared" si="96"/>
        <v>#N/A</v>
      </c>
      <c r="AH105" t="e">
        <f t="shared" si="97"/>
        <v>#N/A</v>
      </c>
      <c r="AI105" t="e">
        <f t="shared" si="98"/>
        <v>#N/A</v>
      </c>
      <c r="AJ105" t="e">
        <f t="shared" si="99"/>
        <v>#N/A</v>
      </c>
    </row>
    <row r="106" spans="1:36" x14ac:dyDescent="0.25">
      <c r="A106" s="2"/>
      <c r="L106" t="e">
        <f t="shared" si="75"/>
        <v>#N/A</v>
      </c>
      <c r="M106" t="e">
        <f t="shared" si="76"/>
        <v>#N/A</v>
      </c>
      <c r="N106" t="e">
        <f t="shared" si="77"/>
        <v>#N/A</v>
      </c>
      <c r="O106">
        <f t="shared" si="78"/>
        <v>0</v>
      </c>
      <c r="P106">
        <f t="shared" si="79"/>
        <v>0</v>
      </c>
      <c r="Q106">
        <f t="shared" si="80"/>
        <v>0</v>
      </c>
      <c r="R106">
        <f t="shared" si="81"/>
        <v>0</v>
      </c>
      <c r="S106">
        <f t="shared" si="82"/>
        <v>0</v>
      </c>
      <c r="T106">
        <f t="shared" si="83"/>
        <v>0</v>
      </c>
      <c r="U106" t="e">
        <f t="shared" si="84"/>
        <v>#N/A</v>
      </c>
      <c r="V106" t="e">
        <f t="shared" si="85"/>
        <v>#N/A</v>
      </c>
      <c r="W106" t="e">
        <f t="shared" si="86"/>
        <v>#N/A</v>
      </c>
      <c r="X106" t="e">
        <f t="shared" si="87"/>
        <v>#N/A</v>
      </c>
      <c r="Y106" t="e">
        <f t="shared" si="88"/>
        <v>#N/A</v>
      </c>
      <c r="Z106" t="e">
        <f t="shared" si="89"/>
        <v>#N/A</v>
      </c>
      <c r="AA106" t="e">
        <f t="shared" si="90"/>
        <v>#N/A</v>
      </c>
      <c r="AB106" t="e">
        <f t="shared" si="91"/>
        <v>#N/A</v>
      </c>
      <c r="AC106" t="e">
        <f t="shared" si="92"/>
        <v>#N/A</v>
      </c>
      <c r="AD106" t="e">
        <f t="shared" si="93"/>
        <v>#N/A</v>
      </c>
      <c r="AE106" t="e">
        <f t="shared" si="94"/>
        <v>#N/A</v>
      </c>
      <c r="AF106" t="e">
        <f t="shared" si="95"/>
        <v>#N/A</v>
      </c>
      <c r="AG106" t="e">
        <f t="shared" si="96"/>
        <v>#N/A</v>
      </c>
      <c r="AH106" t="e">
        <f t="shared" si="97"/>
        <v>#N/A</v>
      </c>
      <c r="AI106" t="e">
        <f t="shared" si="98"/>
        <v>#N/A</v>
      </c>
      <c r="AJ106" t="e">
        <f t="shared" si="99"/>
        <v>#N/A</v>
      </c>
    </row>
    <row r="107" spans="1:36" x14ac:dyDescent="0.25">
      <c r="A107" s="2"/>
      <c r="L107" t="e">
        <f t="shared" si="75"/>
        <v>#N/A</v>
      </c>
      <c r="M107" t="e">
        <f t="shared" si="76"/>
        <v>#N/A</v>
      </c>
      <c r="N107" t="e">
        <f t="shared" si="77"/>
        <v>#N/A</v>
      </c>
      <c r="O107">
        <f t="shared" si="78"/>
        <v>0</v>
      </c>
      <c r="P107">
        <f t="shared" si="79"/>
        <v>0</v>
      </c>
      <c r="Q107">
        <f t="shared" si="80"/>
        <v>0</v>
      </c>
      <c r="R107">
        <f t="shared" si="81"/>
        <v>0</v>
      </c>
      <c r="S107">
        <f t="shared" si="82"/>
        <v>0</v>
      </c>
      <c r="T107">
        <f t="shared" si="83"/>
        <v>0</v>
      </c>
      <c r="U107" t="e">
        <f t="shared" si="84"/>
        <v>#N/A</v>
      </c>
      <c r="V107" t="e">
        <f t="shared" si="85"/>
        <v>#N/A</v>
      </c>
      <c r="W107" t="e">
        <f t="shared" si="86"/>
        <v>#N/A</v>
      </c>
      <c r="X107" t="e">
        <f t="shared" si="87"/>
        <v>#N/A</v>
      </c>
      <c r="Y107" t="e">
        <f t="shared" si="88"/>
        <v>#N/A</v>
      </c>
      <c r="Z107" t="e">
        <f t="shared" si="89"/>
        <v>#N/A</v>
      </c>
      <c r="AA107" t="e">
        <f t="shared" si="90"/>
        <v>#N/A</v>
      </c>
      <c r="AB107" t="e">
        <f t="shared" si="91"/>
        <v>#N/A</v>
      </c>
      <c r="AC107" t="e">
        <f t="shared" si="92"/>
        <v>#N/A</v>
      </c>
      <c r="AD107" t="e">
        <f t="shared" si="93"/>
        <v>#N/A</v>
      </c>
      <c r="AE107" t="e">
        <f t="shared" si="94"/>
        <v>#N/A</v>
      </c>
      <c r="AF107" t="e">
        <f t="shared" si="95"/>
        <v>#N/A</v>
      </c>
      <c r="AG107" t="e">
        <f t="shared" si="96"/>
        <v>#N/A</v>
      </c>
      <c r="AH107" t="e">
        <f t="shared" si="97"/>
        <v>#N/A</v>
      </c>
      <c r="AI107" t="e">
        <f t="shared" si="98"/>
        <v>#N/A</v>
      </c>
      <c r="AJ107" t="e">
        <f t="shared" si="99"/>
        <v>#N/A</v>
      </c>
    </row>
    <row r="108" spans="1:36" x14ac:dyDescent="0.25">
      <c r="A108" s="2"/>
      <c r="L108" t="e">
        <f t="shared" si="75"/>
        <v>#N/A</v>
      </c>
      <c r="M108" t="e">
        <f t="shared" si="76"/>
        <v>#N/A</v>
      </c>
      <c r="N108" t="e">
        <f t="shared" si="77"/>
        <v>#N/A</v>
      </c>
      <c r="O108">
        <f t="shared" si="78"/>
        <v>0</v>
      </c>
      <c r="P108">
        <f t="shared" si="79"/>
        <v>0</v>
      </c>
      <c r="Q108">
        <f t="shared" si="80"/>
        <v>0</v>
      </c>
      <c r="R108">
        <f t="shared" si="81"/>
        <v>0</v>
      </c>
      <c r="S108">
        <f t="shared" si="82"/>
        <v>0</v>
      </c>
      <c r="T108">
        <f t="shared" si="83"/>
        <v>0</v>
      </c>
      <c r="U108" t="e">
        <f t="shared" si="84"/>
        <v>#N/A</v>
      </c>
      <c r="V108" t="e">
        <f t="shared" si="85"/>
        <v>#N/A</v>
      </c>
      <c r="W108" t="e">
        <f t="shared" si="86"/>
        <v>#N/A</v>
      </c>
      <c r="X108" t="e">
        <f t="shared" si="87"/>
        <v>#N/A</v>
      </c>
      <c r="Y108" t="e">
        <f t="shared" si="88"/>
        <v>#N/A</v>
      </c>
      <c r="Z108" t="e">
        <f t="shared" si="89"/>
        <v>#N/A</v>
      </c>
      <c r="AA108" t="e">
        <f t="shared" si="90"/>
        <v>#N/A</v>
      </c>
      <c r="AB108" t="e">
        <f t="shared" si="91"/>
        <v>#N/A</v>
      </c>
      <c r="AC108" t="e">
        <f t="shared" si="92"/>
        <v>#N/A</v>
      </c>
      <c r="AD108" t="e">
        <f t="shared" si="93"/>
        <v>#N/A</v>
      </c>
      <c r="AE108" t="e">
        <f t="shared" si="94"/>
        <v>#N/A</v>
      </c>
      <c r="AF108" t="e">
        <f t="shared" si="95"/>
        <v>#N/A</v>
      </c>
      <c r="AG108" t="e">
        <f t="shared" si="96"/>
        <v>#N/A</v>
      </c>
      <c r="AH108" t="e">
        <f t="shared" si="97"/>
        <v>#N/A</v>
      </c>
      <c r="AI108" t="e">
        <f t="shared" si="98"/>
        <v>#N/A</v>
      </c>
      <c r="AJ108" t="e">
        <f t="shared" si="99"/>
        <v>#N/A</v>
      </c>
    </row>
    <row r="109" spans="1:36" x14ac:dyDescent="0.25">
      <c r="A109" s="2"/>
      <c r="L109" t="e">
        <f t="shared" si="75"/>
        <v>#N/A</v>
      </c>
      <c r="M109" t="e">
        <f t="shared" si="76"/>
        <v>#N/A</v>
      </c>
      <c r="N109" t="e">
        <f t="shared" si="77"/>
        <v>#N/A</v>
      </c>
      <c r="O109">
        <f t="shared" si="78"/>
        <v>0</v>
      </c>
      <c r="P109">
        <f t="shared" si="79"/>
        <v>0</v>
      </c>
      <c r="Q109">
        <f t="shared" si="80"/>
        <v>0</v>
      </c>
      <c r="R109">
        <f t="shared" si="81"/>
        <v>0</v>
      </c>
      <c r="S109">
        <f t="shared" si="82"/>
        <v>0</v>
      </c>
      <c r="T109">
        <f t="shared" si="83"/>
        <v>0</v>
      </c>
      <c r="U109" t="e">
        <f t="shared" si="84"/>
        <v>#N/A</v>
      </c>
      <c r="V109" t="e">
        <f t="shared" si="85"/>
        <v>#N/A</v>
      </c>
      <c r="W109" t="e">
        <f t="shared" si="86"/>
        <v>#N/A</v>
      </c>
      <c r="X109" t="e">
        <f t="shared" si="87"/>
        <v>#N/A</v>
      </c>
      <c r="Y109" t="e">
        <f t="shared" si="88"/>
        <v>#N/A</v>
      </c>
      <c r="Z109" t="e">
        <f t="shared" si="89"/>
        <v>#N/A</v>
      </c>
      <c r="AA109" t="e">
        <f t="shared" si="90"/>
        <v>#N/A</v>
      </c>
      <c r="AB109" t="e">
        <f t="shared" si="91"/>
        <v>#N/A</v>
      </c>
      <c r="AC109" t="e">
        <f t="shared" si="92"/>
        <v>#N/A</v>
      </c>
      <c r="AD109" t="e">
        <f t="shared" si="93"/>
        <v>#N/A</v>
      </c>
      <c r="AE109" t="e">
        <f t="shared" si="94"/>
        <v>#N/A</v>
      </c>
      <c r="AF109" t="e">
        <f t="shared" si="95"/>
        <v>#N/A</v>
      </c>
      <c r="AG109" t="e">
        <f t="shared" si="96"/>
        <v>#N/A</v>
      </c>
      <c r="AH109" t="e">
        <f t="shared" si="97"/>
        <v>#N/A</v>
      </c>
      <c r="AI109" t="e">
        <f t="shared" si="98"/>
        <v>#N/A</v>
      </c>
      <c r="AJ109" t="e">
        <f t="shared" si="99"/>
        <v>#N/A</v>
      </c>
    </row>
    <row r="110" spans="1:36" x14ac:dyDescent="0.25">
      <c r="A110" s="2"/>
      <c r="L110" t="e">
        <f t="shared" si="75"/>
        <v>#N/A</v>
      </c>
      <c r="M110" t="e">
        <f t="shared" si="76"/>
        <v>#N/A</v>
      </c>
      <c r="N110" t="e">
        <f t="shared" si="77"/>
        <v>#N/A</v>
      </c>
      <c r="O110">
        <f t="shared" si="78"/>
        <v>0</v>
      </c>
      <c r="P110">
        <f t="shared" si="79"/>
        <v>0</v>
      </c>
      <c r="Q110">
        <f t="shared" si="80"/>
        <v>0</v>
      </c>
      <c r="R110">
        <f t="shared" si="81"/>
        <v>0</v>
      </c>
      <c r="S110">
        <f t="shared" si="82"/>
        <v>0</v>
      </c>
      <c r="T110">
        <f t="shared" si="83"/>
        <v>0</v>
      </c>
      <c r="U110" t="e">
        <f t="shared" si="84"/>
        <v>#N/A</v>
      </c>
      <c r="V110" t="e">
        <f t="shared" si="85"/>
        <v>#N/A</v>
      </c>
      <c r="W110" t="e">
        <f t="shared" si="86"/>
        <v>#N/A</v>
      </c>
      <c r="X110" t="e">
        <f t="shared" si="87"/>
        <v>#N/A</v>
      </c>
      <c r="Y110" t="e">
        <f t="shared" si="88"/>
        <v>#N/A</v>
      </c>
      <c r="Z110" t="e">
        <f t="shared" si="89"/>
        <v>#N/A</v>
      </c>
      <c r="AA110" t="e">
        <f t="shared" si="90"/>
        <v>#N/A</v>
      </c>
      <c r="AB110" t="e">
        <f t="shared" si="91"/>
        <v>#N/A</v>
      </c>
      <c r="AC110" t="e">
        <f t="shared" si="92"/>
        <v>#N/A</v>
      </c>
      <c r="AD110" t="e">
        <f t="shared" si="93"/>
        <v>#N/A</v>
      </c>
      <c r="AE110" t="e">
        <f t="shared" si="94"/>
        <v>#N/A</v>
      </c>
      <c r="AF110" t="e">
        <f t="shared" si="95"/>
        <v>#N/A</v>
      </c>
      <c r="AG110" t="e">
        <f t="shared" si="96"/>
        <v>#N/A</v>
      </c>
      <c r="AH110" t="e">
        <f t="shared" si="97"/>
        <v>#N/A</v>
      </c>
      <c r="AI110" t="e">
        <f t="shared" si="98"/>
        <v>#N/A</v>
      </c>
      <c r="AJ110" t="e">
        <f t="shared" si="99"/>
        <v>#N/A</v>
      </c>
    </row>
    <row r="111" spans="1:36" x14ac:dyDescent="0.25">
      <c r="A111" s="2"/>
      <c r="L111" t="e">
        <f t="shared" si="75"/>
        <v>#N/A</v>
      </c>
      <c r="M111" t="e">
        <f t="shared" si="76"/>
        <v>#N/A</v>
      </c>
      <c r="N111" t="e">
        <f t="shared" si="77"/>
        <v>#N/A</v>
      </c>
      <c r="O111">
        <f t="shared" si="78"/>
        <v>0</v>
      </c>
      <c r="P111">
        <f t="shared" si="79"/>
        <v>0</v>
      </c>
      <c r="Q111">
        <f t="shared" si="80"/>
        <v>0</v>
      </c>
      <c r="R111">
        <f t="shared" si="81"/>
        <v>0</v>
      </c>
      <c r="S111">
        <f t="shared" si="82"/>
        <v>0</v>
      </c>
      <c r="T111">
        <f t="shared" si="83"/>
        <v>0</v>
      </c>
      <c r="U111" t="e">
        <f t="shared" si="84"/>
        <v>#N/A</v>
      </c>
      <c r="V111" t="e">
        <f t="shared" si="85"/>
        <v>#N/A</v>
      </c>
      <c r="W111" t="e">
        <f t="shared" si="86"/>
        <v>#N/A</v>
      </c>
      <c r="X111" t="e">
        <f t="shared" si="87"/>
        <v>#N/A</v>
      </c>
      <c r="Y111" t="e">
        <f t="shared" si="88"/>
        <v>#N/A</v>
      </c>
      <c r="Z111" t="e">
        <f t="shared" si="89"/>
        <v>#N/A</v>
      </c>
      <c r="AA111" t="e">
        <f t="shared" si="90"/>
        <v>#N/A</v>
      </c>
      <c r="AB111" t="e">
        <f t="shared" si="91"/>
        <v>#N/A</v>
      </c>
      <c r="AC111" t="e">
        <f t="shared" si="92"/>
        <v>#N/A</v>
      </c>
      <c r="AD111" t="e">
        <f t="shared" si="93"/>
        <v>#N/A</v>
      </c>
      <c r="AE111" t="e">
        <f t="shared" si="94"/>
        <v>#N/A</v>
      </c>
      <c r="AF111" t="e">
        <f t="shared" si="95"/>
        <v>#N/A</v>
      </c>
      <c r="AG111" t="e">
        <f t="shared" si="96"/>
        <v>#N/A</v>
      </c>
      <c r="AH111" t="e">
        <f t="shared" si="97"/>
        <v>#N/A</v>
      </c>
      <c r="AI111" t="e">
        <f t="shared" si="98"/>
        <v>#N/A</v>
      </c>
      <c r="AJ111" t="e">
        <f t="shared" si="99"/>
        <v>#N/A</v>
      </c>
    </row>
    <row r="112" spans="1:36" x14ac:dyDescent="0.25">
      <c r="A112" s="2"/>
      <c r="L112" t="e">
        <f t="shared" si="75"/>
        <v>#N/A</v>
      </c>
      <c r="M112" t="e">
        <f t="shared" si="76"/>
        <v>#N/A</v>
      </c>
      <c r="N112" t="e">
        <f t="shared" si="77"/>
        <v>#N/A</v>
      </c>
      <c r="O112">
        <f t="shared" si="78"/>
        <v>0</v>
      </c>
      <c r="P112">
        <f t="shared" si="79"/>
        <v>0</v>
      </c>
      <c r="Q112">
        <f t="shared" si="80"/>
        <v>0</v>
      </c>
      <c r="R112">
        <f t="shared" si="81"/>
        <v>0</v>
      </c>
      <c r="S112">
        <f t="shared" si="82"/>
        <v>0</v>
      </c>
      <c r="T112">
        <f t="shared" si="83"/>
        <v>0</v>
      </c>
      <c r="U112" t="e">
        <f t="shared" si="84"/>
        <v>#N/A</v>
      </c>
      <c r="V112" t="e">
        <f t="shared" si="85"/>
        <v>#N/A</v>
      </c>
      <c r="W112" t="e">
        <f t="shared" si="86"/>
        <v>#N/A</v>
      </c>
      <c r="X112" t="e">
        <f t="shared" si="87"/>
        <v>#N/A</v>
      </c>
      <c r="Y112" t="e">
        <f t="shared" si="88"/>
        <v>#N/A</v>
      </c>
      <c r="Z112" t="e">
        <f t="shared" si="89"/>
        <v>#N/A</v>
      </c>
      <c r="AA112" t="e">
        <f t="shared" si="90"/>
        <v>#N/A</v>
      </c>
      <c r="AB112" t="e">
        <f t="shared" si="91"/>
        <v>#N/A</v>
      </c>
      <c r="AC112" t="e">
        <f t="shared" si="92"/>
        <v>#N/A</v>
      </c>
      <c r="AD112" t="e">
        <f t="shared" si="93"/>
        <v>#N/A</v>
      </c>
      <c r="AE112" t="e">
        <f t="shared" si="94"/>
        <v>#N/A</v>
      </c>
      <c r="AF112" t="e">
        <f t="shared" si="95"/>
        <v>#N/A</v>
      </c>
      <c r="AG112" t="e">
        <f t="shared" si="96"/>
        <v>#N/A</v>
      </c>
      <c r="AH112" t="e">
        <f t="shared" si="97"/>
        <v>#N/A</v>
      </c>
      <c r="AI112" t="e">
        <f t="shared" si="98"/>
        <v>#N/A</v>
      </c>
      <c r="AJ112" t="e">
        <f t="shared" si="99"/>
        <v>#N/A</v>
      </c>
    </row>
    <row r="113" spans="1:36" x14ac:dyDescent="0.25">
      <c r="A113" s="2"/>
      <c r="L113" t="e">
        <f t="shared" si="75"/>
        <v>#N/A</v>
      </c>
      <c r="M113" t="e">
        <f t="shared" si="76"/>
        <v>#N/A</v>
      </c>
      <c r="N113" t="e">
        <f t="shared" si="77"/>
        <v>#N/A</v>
      </c>
      <c r="O113">
        <f t="shared" si="78"/>
        <v>0</v>
      </c>
      <c r="P113">
        <f t="shared" si="79"/>
        <v>0</v>
      </c>
      <c r="Q113">
        <f t="shared" si="80"/>
        <v>0</v>
      </c>
      <c r="R113">
        <f t="shared" si="81"/>
        <v>0</v>
      </c>
      <c r="S113">
        <f t="shared" si="82"/>
        <v>0</v>
      </c>
      <c r="T113">
        <f t="shared" si="83"/>
        <v>0</v>
      </c>
      <c r="U113" t="e">
        <f t="shared" si="84"/>
        <v>#N/A</v>
      </c>
      <c r="V113" t="e">
        <f t="shared" si="85"/>
        <v>#N/A</v>
      </c>
      <c r="W113" t="e">
        <f t="shared" si="86"/>
        <v>#N/A</v>
      </c>
      <c r="X113" t="e">
        <f t="shared" si="87"/>
        <v>#N/A</v>
      </c>
      <c r="Y113" t="e">
        <f t="shared" si="88"/>
        <v>#N/A</v>
      </c>
      <c r="Z113" t="e">
        <f t="shared" si="89"/>
        <v>#N/A</v>
      </c>
      <c r="AA113" t="e">
        <f t="shared" si="90"/>
        <v>#N/A</v>
      </c>
      <c r="AB113" t="e">
        <f t="shared" si="91"/>
        <v>#N/A</v>
      </c>
      <c r="AC113" t="e">
        <f t="shared" si="92"/>
        <v>#N/A</v>
      </c>
      <c r="AD113" t="e">
        <f t="shared" si="93"/>
        <v>#N/A</v>
      </c>
      <c r="AE113" t="e">
        <f t="shared" si="94"/>
        <v>#N/A</v>
      </c>
      <c r="AF113" t="e">
        <f t="shared" si="95"/>
        <v>#N/A</v>
      </c>
      <c r="AG113" t="e">
        <f t="shared" si="96"/>
        <v>#N/A</v>
      </c>
      <c r="AH113" t="e">
        <f t="shared" si="97"/>
        <v>#N/A</v>
      </c>
      <c r="AI113" t="e">
        <f t="shared" si="98"/>
        <v>#N/A</v>
      </c>
      <c r="AJ113" t="e">
        <f t="shared" si="99"/>
        <v>#N/A</v>
      </c>
    </row>
    <row r="114" spans="1:36" x14ac:dyDescent="0.25">
      <c r="A114" s="2"/>
      <c r="L114" t="e">
        <f t="shared" si="75"/>
        <v>#N/A</v>
      </c>
      <c r="M114" t="e">
        <f t="shared" si="76"/>
        <v>#N/A</v>
      </c>
      <c r="N114" t="e">
        <f t="shared" si="77"/>
        <v>#N/A</v>
      </c>
      <c r="O114">
        <f t="shared" si="78"/>
        <v>0</v>
      </c>
      <c r="P114">
        <f t="shared" si="79"/>
        <v>0</v>
      </c>
      <c r="Q114">
        <f t="shared" si="80"/>
        <v>0</v>
      </c>
      <c r="R114">
        <f t="shared" si="81"/>
        <v>0</v>
      </c>
      <c r="S114">
        <f t="shared" si="82"/>
        <v>0</v>
      </c>
      <c r="T114">
        <f t="shared" si="83"/>
        <v>0</v>
      </c>
      <c r="U114" t="e">
        <f t="shared" si="84"/>
        <v>#N/A</v>
      </c>
      <c r="V114" t="e">
        <f t="shared" si="85"/>
        <v>#N/A</v>
      </c>
      <c r="W114" t="e">
        <f t="shared" si="86"/>
        <v>#N/A</v>
      </c>
      <c r="X114" t="e">
        <f t="shared" si="87"/>
        <v>#N/A</v>
      </c>
      <c r="Y114" t="e">
        <f t="shared" si="88"/>
        <v>#N/A</v>
      </c>
      <c r="Z114" t="e">
        <f t="shared" si="89"/>
        <v>#N/A</v>
      </c>
      <c r="AA114" t="e">
        <f t="shared" si="90"/>
        <v>#N/A</v>
      </c>
      <c r="AB114" t="e">
        <f t="shared" si="91"/>
        <v>#N/A</v>
      </c>
      <c r="AC114" t="e">
        <f t="shared" si="92"/>
        <v>#N/A</v>
      </c>
      <c r="AD114" t="e">
        <f t="shared" si="93"/>
        <v>#N/A</v>
      </c>
      <c r="AE114" t="e">
        <f t="shared" si="94"/>
        <v>#N/A</v>
      </c>
      <c r="AF114" t="e">
        <f t="shared" si="95"/>
        <v>#N/A</v>
      </c>
      <c r="AG114" t="e">
        <f t="shared" si="96"/>
        <v>#N/A</v>
      </c>
      <c r="AH114" t="e">
        <f t="shared" si="97"/>
        <v>#N/A</v>
      </c>
      <c r="AI114" t="e">
        <f t="shared" si="98"/>
        <v>#N/A</v>
      </c>
      <c r="AJ114" t="e">
        <f t="shared" si="99"/>
        <v>#N/A</v>
      </c>
    </row>
    <row r="115" spans="1:36" x14ac:dyDescent="0.25">
      <c r="A115" s="2"/>
      <c r="L115" t="e">
        <f t="shared" si="75"/>
        <v>#N/A</v>
      </c>
      <c r="M115" t="e">
        <f t="shared" si="76"/>
        <v>#N/A</v>
      </c>
      <c r="N115" t="e">
        <f t="shared" si="77"/>
        <v>#N/A</v>
      </c>
      <c r="O115">
        <f t="shared" si="78"/>
        <v>0</v>
      </c>
      <c r="P115">
        <f t="shared" si="79"/>
        <v>0</v>
      </c>
      <c r="Q115">
        <f t="shared" si="80"/>
        <v>0</v>
      </c>
      <c r="R115">
        <f t="shared" si="81"/>
        <v>0</v>
      </c>
      <c r="S115">
        <f t="shared" si="82"/>
        <v>0</v>
      </c>
      <c r="T115">
        <f t="shared" si="83"/>
        <v>0</v>
      </c>
      <c r="U115" t="e">
        <f t="shared" si="84"/>
        <v>#N/A</v>
      </c>
      <c r="V115" t="e">
        <f t="shared" si="85"/>
        <v>#N/A</v>
      </c>
      <c r="W115" t="e">
        <f t="shared" si="86"/>
        <v>#N/A</v>
      </c>
      <c r="X115" t="e">
        <f t="shared" si="87"/>
        <v>#N/A</v>
      </c>
      <c r="Y115" t="e">
        <f t="shared" si="88"/>
        <v>#N/A</v>
      </c>
      <c r="Z115" t="e">
        <f t="shared" si="89"/>
        <v>#N/A</v>
      </c>
      <c r="AA115" t="e">
        <f t="shared" si="90"/>
        <v>#N/A</v>
      </c>
      <c r="AB115" t="e">
        <f t="shared" si="91"/>
        <v>#N/A</v>
      </c>
      <c r="AC115" t="e">
        <f t="shared" si="92"/>
        <v>#N/A</v>
      </c>
      <c r="AD115" t="e">
        <f t="shared" si="93"/>
        <v>#N/A</v>
      </c>
      <c r="AE115" t="e">
        <f t="shared" si="94"/>
        <v>#N/A</v>
      </c>
      <c r="AF115" t="e">
        <f t="shared" si="95"/>
        <v>#N/A</v>
      </c>
      <c r="AG115" t="e">
        <f t="shared" si="96"/>
        <v>#N/A</v>
      </c>
      <c r="AH115" t="e">
        <f t="shared" si="97"/>
        <v>#N/A</v>
      </c>
      <c r="AI115" t="e">
        <f t="shared" si="98"/>
        <v>#N/A</v>
      </c>
      <c r="AJ115" t="e">
        <f t="shared" si="99"/>
        <v>#N/A</v>
      </c>
    </row>
    <row r="116" spans="1:36" x14ac:dyDescent="0.25">
      <c r="A116" s="2"/>
      <c r="L116" t="e">
        <f t="shared" si="75"/>
        <v>#N/A</v>
      </c>
      <c r="M116" t="e">
        <f t="shared" si="76"/>
        <v>#N/A</v>
      </c>
      <c r="N116" t="e">
        <f t="shared" si="77"/>
        <v>#N/A</v>
      </c>
      <c r="O116">
        <f t="shared" si="78"/>
        <v>0</v>
      </c>
      <c r="P116">
        <f t="shared" si="79"/>
        <v>0</v>
      </c>
      <c r="Q116">
        <f t="shared" si="80"/>
        <v>0</v>
      </c>
      <c r="R116">
        <f t="shared" si="81"/>
        <v>0</v>
      </c>
      <c r="S116">
        <f t="shared" si="82"/>
        <v>0</v>
      </c>
      <c r="T116">
        <f t="shared" si="83"/>
        <v>0</v>
      </c>
      <c r="U116" t="e">
        <f t="shared" si="84"/>
        <v>#N/A</v>
      </c>
      <c r="V116" t="e">
        <f t="shared" si="85"/>
        <v>#N/A</v>
      </c>
      <c r="W116" t="e">
        <f t="shared" si="86"/>
        <v>#N/A</v>
      </c>
      <c r="X116" t="e">
        <f t="shared" si="87"/>
        <v>#N/A</v>
      </c>
      <c r="Y116" t="e">
        <f t="shared" si="88"/>
        <v>#N/A</v>
      </c>
      <c r="Z116" t="e">
        <f t="shared" si="89"/>
        <v>#N/A</v>
      </c>
      <c r="AA116" t="e">
        <f t="shared" si="90"/>
        <v>#N/A</v>
      </c>
      <c r="AB116" t="e">
        <f t="shared" si="91"/>
        <v>#N/A</v>
      </c>
      <c r="AC116" t="e">
        <f t="shared" si="92"/>
        <v>#N/A</v>
      </c>
      <c r="AD116" t="e">
        <f t="shared" si="93"/>
        <v>#N/A</v>
      </c>
      <c r="AE116" t="e">
        <f t="shared" si="94"/>
        <v>#N/A</v>
      </c>
      <c r="AF116" t="e">
        <f t="shared" si="95"/>
        <v>#N/A</v>
      </c>
      <c r="AG116" t="e">
        <f t="shared" si="96"/>
        <v>#N/A</v>
      </c>
      <c r="AH116" t="e">
        <f t="shared" si="97"/>
        <v>#N/A</v>
      </c>
      <c r="AI116" t="e">
        <f t="shared" si="98"/>
        <v>#N/A</v>
      </c>
      <c r="AJ116" t="e">
        <f t="shared" si="99"/>
        <v>#N/A</v>
      </c>
    </row>
    <row r="117" spans="1:36" x14ac:dyDescent="0.25">
      <c r="A117" s="2"/>
      <c r="L117" t="e">
        <f t="shared" si="75"/>
        <v>#N/A</v>
      </c>
      <c r="M117" t="e">
        <f t="shared" si="76"/>
        <v>#N/A</v>
      </c>
      <c r="N117" t="e">
        <f t="shared" si="77"/>
        <v>#N/A</v>
      </c>
      <c r="O117">
        <f t="shared" si="78"/>
        <v>0</v>
      </c>
      <c r="P117">
        <f t="shared" si="79"/>
        <v>0</v>
      </c>
      <c r="Q117">
        <f t="shared" si="80"/>
        <v>0</v>
      </c>
      <c r="R117">
        <f t="shared" si="81"/>
        <v>0</v>
      </c>
      <c r="S117">
        <f t="shared" si="82"/>
        <v>0</v>
      </c>
      <c r="T117">
        <f t="shared" si="83"/>
        <v>0</v>
      </c>
      <c r="U117" t="e">
        <f t="shared" si="84"/>
        <v>#N/A</v>
      </c>
      <c r="V117" t="e">
        <f t="shared" si="85"/>
        <v>#N/A</v>
      </c>
      <c r="W117" t="e">
        <f t="shared" si="86"/>
        <v>#N/A</v>
      </c>
      <c r="X117" t="e">
        <f t="shared" si="87"/>
        <v>#N/A</v>
      </c>
      <c r="Y117" t="e">
        <f t="shared" si="88"/>
        <v>#N/A</v>
      </c>
      <c r="Z117" t="e">
        <f t="shared" si="89"/>
        <v>#N/A</v>
      </c>
      <c r="AA117" t="e">
        <f t="shared" si="90"/>
        <v>#N/A</v>
      </c>
      <c r="AB117" t="e">
        <f t="shared" si="91"/>
        <v>#N/A</v>
      </c>
      <c r="AC117" t="e">
        <f t="shared" si="92"/>
        <v>#N/A</v>
      </c>
      <c r="AD117" t="e">
        <f t="shared" si="93"/>
        <v>#N/A</v>
      </c>
      <c r="AE117" t="e">
        <f t="shared" si="94"/>
        <v>#N/A</v>
      </c>
      <c r="AF117" t="e">
        <f t="shared" si="95"/>
        <v>#N/A</v>
      </c>
      <c r="AG117" t="e">
        <f t="shared" si="96"/>
        <v>#N/A</v>
      </c>
      <c r="AH117" t="e">
        <f t="shared" si="97"/>
        <v>#N/A</v>
      </c>
      <c r="AI117" t="e">
        <f t="shared" si="98"/>
        <v>#N/A</v>
      </c>
      <c r="AJ117" t="e">
        <f t="shared" si="99"/>
        <v>#N/A</v>
      </c>
    </row>
    <row r="118" spans="1:36" x14ac:dyDescent="0.25">
      <c r="A118" s="2"/>
      <c r="L118" t="e">
        <f t="shared" si="75"/>
        <v>#N/A</v>
      </c>
      <c r="M118" t="e">
        <f t="shared" si="76"/>
        <v>#N/A</v>
      </c>
      <c r="N118" t="e">
        <f t="shared" si="77"/>
        <v>#N/A</v>
      </c>
      <c r="O118">
        <f t="shared" si="78"/>
        <v>0</v>
      </c>
      <c r="P118">
        <f t="shared" si="79"/>
        <v>0</v>
      </c>
      <c r="Q118">
        <f t="shared" si="80"/>
        <v>0</v>
      </c>
      <c r="R118">
        <f t="shared" si="81"/>
        <v>0</v>
      </c>
      <c r="S118">
        <f t="shared" si="82"/>
        <v>0</v>
      </c>
      <c r="T118">
        <f t="shared" si="83"/>
        <v>0</v>
      </c>
      <c r="U118" t="e">
        <f t="shared" si="84"/>
        <v>#N/A</v>
      </c>
      <c r="V118" t="e">
        <f t="shared" si="85"/>
        <v>#N/A</v>
      </c>
      <c r="W118" t="e">
        <f t="shared" si="86"/>
        <v>#N/A</v>
      </c>
      <c r="X118" t="e">
        <f t="shared" si="87"/>
        <v>#N/A</v>
      </c>
      <c r="Y118" t="e">
        <f t="shared" si="88"/>
        <v>#N/A</v>
      </c>
      <c r="Z118" t="e">
        <f t="shared" si="89"/>
        <v>#N/A</v>
      </c>
      <c r="AA118" t="e">
        <f t="shared" si="90"/>
        <v>#N/A</v>
      </c>
      <c r="AB118" t="e">
        <f t="shared" si="91"/>
        <v>#N/A</v>
      </c>
      <c r="AC118" t="e">
        <f t="shared" si="92"/>
        <v>#N/A</v>
      </c>
      <c r="AD118" t="e">
        <f t="shared" si="93"/>
        <v>#N/A</v>
      </c>
      <c r="AE118" t="e">
        <f t="shared" si="94"/>
        <v>#N/A</v>
      </c>
      <c r="AF118" t="e">
        <f t="shared" si="95"/>
        <v>#N/A</v>
      </c>
      <c r="AG118" t="e">
        <f t="shared" si="96"/>
        <v>#N/A</v>
      </c>
      <c r="AH118" t="e">
        <f t="shared" si="97"/>
        <v>#N/A</v>
      </c>
      <c r="AI118" t="e">
        <f t="shared" si="98"/>
        <v>#N/A</v>
      </c>
      <c r="AJ118" t="e">
        <f t="shared" si="99"/>
        <v>#N/A</v>
      </c>
    </row>
    <row r="119" spans="1:36" x14ac:dyDescent="0.25">
      <c r="A119" s="2"/>
      <c r="L119" t="e">
        <f t="shared" si="75"/>
        <v>#N/A</v>
      </c>
      <c r="M119" t="e">
        <f t="shared" si="76"/>
        <v>#N/A</v>
      </c>
      <c r="N119" t="e">
        <f t="shared" si="77"/>
        <v>#N/A</v>
      </c>
      <c r="O119">
        <f t="shared" si="78"/>
        <v>0</v>
      </c>
      <c r="P119">
        <f t="shared" si="79"/>
        <v>0</v>
      </c>
      <c r="Q119">
        <f t="shared" si="80"/>
        <v>0</v>
      </c>
      <c r="R119">
        <f t="shared" si="81"/>
        <v>0</v>
      </c>
      <c r="S119">
        <f t="shared" si="82"/>
        <v>0</v>
      </c>
      <c r="T119">
        <f t="shared" si="83"/>
        <v>0</v>
      </c>
      <c r="U119" t="e">
        <f t="shared" si="84"/>
        <v>#N/A</v>
      </c>
      <c r="V119" t="e">
        <f t="shared" si="85"/>
        <v>#N/A</v>
      </c>
      <c r="W119" t="e">
        <f t="shared" si="86"/>
        <v>#N/A</v>
      </c>
      <c r="X119" t="e">
        <f t="shared" si="87"/>
        <v>#N/A</v>
      </c>
      <c r="Y119" t="e">
        <f t="shared" si="88"/>
        <v>#N/A</v>
      </c>
      <c r="Z119" t="e">
        <f t="shared" si="89"/>
        <v>#N/A</v>
      </c>
      <c r="AA119" t="e">
        <f t="shared" si="90"/>
        <v>#N/A</v>
      </c>
      <c r="AB119" t="e">
        <f t="shared" si="91"/>
        <v>#N/A</v>
      </c>
      <c r="AC119" t="e">
        <f t="shared" si="92"/>
        <v>#N/A</v>
      </c>
      <c r="AD119" t="e">
        <f t="shared" si="93"/>
        <v>#N/A</v>
      </c>
      <c r="AE119" t="e">
        <f t="shared" si="94"/>
        <v>#N/A</v>
      </c>
      <c r="AF119" t="e">
        <f t="shared" si="95"/>
        <v>#N/A</v>
      </c>
      <c r="AG119" t="e">
        <f t="shared" si="96"/>
        <v>#N/A</v>
      </c>
      <c r="AH119" t="e">
        <f t="shared" si="97"/>
        <v>#N/A</v>
      </c>
      <c r="AI119" t="e">
        <f t="shared" si="98"/>
        <v>#N/A</v>
      </c>
      <c r="AJ119" t="e">
        <f t="shared" si="99"/>
        <v>#N/A</v>
      </c>
    </row>
    <row r="120" spans="1:36" x14ac:dyDescent="0.25">
      <c r="A120" s="2"/>
      <c r="L120" t="e">
        <f t="shared" si="75"/>
        <v>#N/A</v>
      </c>
      <c r="M120" t="e">
        <f t="shared" si="76"/>
        <v>#N/A</v>
      </c>
      <c r="N120" t="e">
        <f t="shared" si="77"/>
        <v>#N/A</v>
      </c>
      <c r="O120">
        <f t="shared" si="78"/>
        <v>0</v>
      </c>
      <c r="P120">
        <f t="shared" si="79"/>
        <v>0</v>
      </c>
      <c r="Q120">
        <f t="shared" si="80"/>
        <v>0</v>
      </c>
      <c r="R120">
        <f t="shared" si="81"/>
        <v>0</v>
      </c>
      <c r="S120">
        <f t="shared" si="82"/>
        <v>0</v>
      </c>
      <c r="T120">
        <f t="shared" si="83"/>
        <v>0</v>
      </c>
      <c r="U120" t="e">
        <f t="shared" si="84"/>
        <v>#N/A</v>
      </c>
      <c r="V120" t="e">
        <f t="shared" si="85"/>
        <v>#N/A</v>
      </c>
      <c r="W120" t="e">
        <f t="shared" si="86"/>
        <v>#N/A</v>
      </c>
      <c r="X120" t="e">
        <f t="shared" si="87"/>
        <v>#N/A</v>
      </c>
      <c r="Y120" t="e">
        <f t="shared" si="88"/>
        <v>#N/A</v>
      </c>
      <c r="Z120" t="e">
        <f t="shared" si="89"/>
        <v>#N/A</v>
      </c>
      <c r="AA120" t="e">
        <f t="shared" si="90"/>
        <v>#N/A</v>
      </c>
      <c r="AB120" t="e">
        <f t="shared" si="91"/>
        <v>#N/A</v>
      </c>
      <c r="AC120" t="e">
        <f t="shared" si="92"/>
        <v>#N/A</v>
      </c>
      <c r="AD120" t="e">
        <f t="shared" si="93"/>
        <v>#N/A</v>
      </c>
      <c r="AE120" t="e">
        <f t="shared" si="94"/>
        <v>#N/A</v>
      </c>
      <c r="AF120" t="e">
        <f t="shared" si="95"/>
        <v>#N/A</v>
      </c>
      <c r="AG120" t="e">
        <f t="shared" si="96"/>
        <v>#N/A</v>
      </c>
      <c r="AH120" t="e">
        <f t="shared" si="97"/>
        <v>#N/A</v>
      </c>
      <c r="AI120" t="e">
        <f t="shared" si="98"/>
        <v>#N/A</v>
      </c>
      <c r="AJ120" t="e">
        <f t="shared" si="99"/>
        <v>#N/A</v>
      </c>
    </row>
    <row r="121" spans="1:36" x14ac:dyDescent="0.25">
      <c r="A121" s="2"/>
      <c r="L121" t="e">
        <f t="shared" si="75"/>
        <v>#N/A</v>
      </c>
      <c r="M121" t="e">
        <f t="shared" si="76"/>
        <v>#N/A</v>
      </c>
      <c r="N121" t="e">
        <f t="shared" si="77"/>
        <v>#N/A</v>
      </c>
      <c r="O121">
        <f t="shared" si="78"/>
        <v>0</v>
      </c>
      <c r="P121">
        <f t="shared" si="79"/>
        <v>0</v>
      </c>
      <c r="Q121">
        <f t="shared" si="80"/>
        <v>0</v>
      </c>
      <c r="R121">
        <f t="shared" si="81"/>
        <v>0</v>
      </c>
      <c r="S121">
        <f t="shared" si="82"/>
        <v>0</v>
      </c>
      <c r="T121">
        <f t="shared" si="83"/>
        <v>0</v>
      </c>
      <c r="U121" t="e">
        <f t="shared" si="84"/>
        <v>#N/A</v>
      </c>
      <c r="V121" t="e">
        <f t="shared" si="85"/>
        <v>#N/A</v>
      </c>
      <c r="W121" t="e">
        <f t="shared" si="86"/>
        <v>#N/A</v>
      </c>
      <c r="X121" t="e">
        <f t="shared" si="87"/>
        <v>#N/A</v>
      </c>
      <c r="Y121" t="e">
        <f t="shared" si="88"/>
        <v>#N/A</v>
      </c>
      <c r="Z121" t="e">
        <f t="shared" si="89"/>
        <v>#N/A</v>
      </c>
      <c r="AA121" t="e">
        <f t="shared" si="90"/>
        <v>#N/A</v>
      </c>
      <c r="AB121" t="e">
        <f t="shared" si="91"/>
        <v>#N/A</v>
      </c>
      <c r="AC121" t="e">
        <f t="shared" si="92"/>
        <v>#N/A</v>
      </c>
      <c r="AD121" t="e">
        <f t="shared" si="93"/>
        <v>#N/A</v>
      </c>
      <c r="AE121" t="e">
        <f t="shared" si="94"/>
        <v>#N/A</v>
      </c>
      <c r="AF121" t="e">
        <f t="shared" si="95"/>
        <v>#N/A</v>
      </c>
      <c r="AG121" t="e">
        <f t="shared" si="96"/>
        <v>#N/A</v>
      </c>
      <c r="AH121" t="e">
        <f t="shared" si="97"/>
        <v>#N/A</v>
      </c>
      <c r="AI121" t="e">
        <f t="shared" si="98"/>
        <v>#N/A</v>
      </c>
      <c r="AJ121" t="e">
        <f t="shared" si="99"/>
        <v>#N/A</v>
      </c>
    </row>
    <row r="122" spans="1:36" x14ac:dyDescent="0.25">
      <c r="A122" s="2"/>
      <c r="L122" t="e">
        <f t="shared" si="75"/>
        <v>#N/A</v>
      </c>
      <c r="M122" t="e">
        <f t="shared" si="76"/>
        <v>#N/A</v>
      </c>
      <c r="N122" t="e">
        <f t="shared" si="77"/>
        <v>#N/A</v>
      </c>
      <c r="O122">
        <f t="shared" si="78"/>
        <v>0</v>
      </c>
      <c r="P122">
        <f t="shared" si="79"/>
        <v>0</v>
      </c>
      <c r="Q122">
        <f t="shared" si="80"/>
        <v>0</v>
      </c>
      <c r="R122">
        <f t="shared" si="81"/>
        <v>0</v>
      </c>
      <c r="S122">
        <f t="shared" si="82"/>
        <v>0</v>
      </c>
      <c r="T122">
        <f t="shared" si="83"/>
        <v>0</v>
      </c>
      <c r="U122" t="e">
        <f t="shared" si="84"/>
        <v>#N/A</v>
      </c>
      <c r="V122" t="e">
        <f t="shared" si="85"/>
        <v>#N/A</v>
      </c>
      <c r="W122" t="e">
        <f t="shared" si="86"/>
        <v>#N/A</v>
      </c>
      <c r="X122" t="e">
        <f t="shared" si="87"/>
        <v>#N/A</v>
      </c>
      <c r="Y122" t="e">
        <f t="shared" si="88"/>
        <v>#N/A</v>
      </c>
      <c r="Z122" t="e">
        <f t="shared" si="89"/>
        <v>#N/A</v>
      </c>
      <c r="AA122" t="e">
        <f t="shared" si="90"/>
        <v>#N/A</v>
      </c>
      <c r="AB122" t="e">
        <f t="shared" si="91"/>
        <v>#N/A</v>
      </c>
      <c r="AC122" t="e">
        <f t="shared" si="92"/>
        <v>#N/A</v>
      </c>
      <c r="AD122" t="e">
        <f t="shared" si="93"/>
        <v>#N/A</v>
      </c>
      <c r="AE122" t="e">
        <f t="shared" si="94"/>
        <v>#N/A</v>
      </c>
      <c r="AF122" t="e">
        <f t="shared" si="95"/>
        <v>#N/A</v>
      </c>
      <c r="AG122" t="e">
        <f t="shared" si="96"/>
        <v>#N/A</v>
      </c>
      <c r="AH122" t="e">
        <f t="shared" si="97"/>
        <v>#N/A</v>
      </c>
      <c r="AI122" t="e">
        <f t="shared" si="98"/>
        <v>#N/A</v>
      </c>
      <c r="AJ122" t="e">
        <f t="shared" si="99"/>
        <v>#N/A</v>
      </c>
    </row>
    <row r="123" spans="1:36" x14ac:dyDescent="0.25">
      <c r="A123" s="2"/>
      <c r="L123" t="e">
        <f t="shared" si="75"/>
        <v>#N/A</v>
      </c>
      <c r="M123" t="e">
        <f t="shared" si="76"/>
        <v>#N/A</v>
      </c>
      <c r="N123" t="e">
        <f t="shared" si="77"/>
        <v>#N/A</v>
      </c>
      <c r="O123">
        <f t="shared" si="78"/>
        <v>0</v>
      </c>
      <c r="P123">
        <f t="shared" si="79"/>
        <v>0</v>
      </c>
      <c r="Q123">
        <f t="shared" si="80"/>
        <v>0</v>
      </c>
      <c r="R123">
        <f t="shared" si="81"/>
        <v>0</v>
      </c>
      <c r="S123">
        <f t="shared" si="82"/>
        <v>0</v>
      </c>
      <c r="T123">
        <f t="shared" si="83"/>
        <v>0</v>
      </c>
      <c r="U123" t="e">
        <f t="shared" si="84"/>
        <v>#N/A</v>
      </c>
      <c r="V123" t="e">
        <f t="shared" si="85"/>
        <v>#N/A</v>
      </c>
      <c r="W123" t="e">
        <f t="shared" si="86"/>
        <v>#N/A</v>
      </c>
      <c r="X123" t="e">
        <f t="shared" si="87"/>
        <v>#N/A</v>
      </c>
      <c r="Y123" t="e">
        <f t="shared" si="88"/>
        <v>#N/A</v>
      </c>
      <c r="Z123" t="e">
        <f t="shared" si="89"/>
        <v>#N/A</v>
      </c>
      <c r="AA123" t="e">
        <f t="shared" si="90"/>
        <v>#N/A</v>
      </c>
      <c r="AB123" t="e">
        <f t="shared" si="91"/>
        <v>#N/A</v>
      </c>
      <c r="AC123" t="e">
        <f t="shared" si="92"/>
        <v>#N/A</v>
      </c>
      <c r="AD123" t="e">
        <f t="shared" si="93"/>
        <v>#N/A</v>
      </c>
      <c r="AE123" t="e">
        <f t="shared" si="94"/>
        <v>#N/A</v>
      </c>
      <c r="AF123" t="e">
        <f t="shared" si="95"/>
        <v>#N/A</v>
      </c>
      <c r="AG123" t="e">
        <f t="shared" si="96"/>
        <v>#N/A</v>
      </c>
      <c r="AH123" t="e">
        <f t="shared" si="97"/>
        <v>#N/A</v>
      </c>
      <c r="AI123" t="e">
        <f t="shared" si="98"/>
        <v>#N/A</v>
      </c>
      <c r="AJ123" t="e">
        <f t="shared" si="99"/>
        <v>#N/A</v>
      </c>
    </row>
    <row r="124" spans="1:36" x14ac:dyDescent="0.25">
      <c r="A124" s="2"/>
      <c r="L124" t="e">
        <f t="shared" si="75"/>
        <v>#N/A</v>
      </c>
      <c r="M124" t="e">
        <f t="shared" si="76"/>
        <v>#N/A</v>
      </c>
      <c r="N124" t="e">
        <f t="shared" si="77"/>
        <v>#N/A</v>
      </c>
      <c r="O124">
        <f t="shared" si="78"/>
        <v>0</v>
      </c>
      <c r="P124">
        <f t="shared" si="79"/>
        <v>0</v>
      </c>
      <c r="Q124">
        <f t="shared" si="80"/>
        <v>0</v>
      </c>
      <c r="R124">
        <f t="shared" si="81"/>
        <v>0</v>
      </c>
      <c r="S124">
        <f t="shared" si="82"/>
        <v>0</v>
      </c>
      <c r="T124">
        <f t="shared" si="83"/>
        <v>0</v>
      </c>
      <c r="U124" t="e">
        <f t="shared" si="84"/>
        <v>#N/A</v>
      </c>
      <c r="V124" t="e">
        <f t="shared" si="85"/>
        <v>#N/A</v>
      </c>
      <c r="W124" t="e">
        <f t="shared" si="86"/>
        <v>#N/A</v>
      </c>
      <c r="X124" t="e">
        <f t="shared" si="87"/>
        <v>#N/A</v>
      </c>
      <c r="Y124" t="e">
        <f t="shared" si="88"/>
        <v>#N/A</v>
      </c>
      <c r="Z124" t="e">
        <f t="shared" si="89"/>
        <v>#N/A</v>
      </c>
      <c r="AA124" t="e">
        <f t="shared" si="90"/>
        <v>#N/A</v>
      </c>
      <c r="AB124" t="e">
        <f t="shared" si="91"/>
        <v>#N/A</v>
      </c>
      <c r="AC124" t="e">
        <f t="shared" si="92"/>
        <v>#N/A</v>
      </c>
      <c r="AD124" t="e">
        <f t="shared" si="93"/>
        <v>#N/A</v>
      </c>
      <c r="AE124" t="e">
        <f t="shared" si="94"/>
        <v>#N/A</v>
      </c>
      <c r="AF124" t="e">
        <f t="shared" si="95"/>
        <v>#N/A</v>
      </c>
      <c r="AG124" t="e">
        <f t="shared" si="96"/>
        <v>#N/A</v>
      </c>
      <c r="AH124" t="e">
        <f t="shared" si="97"/>
        <v>#N/A</v>
      </c>
      <c r="AI124" t="e">
        <f t="shared" si="98"/>
        <v>#N/A</v>
      </c>
      <c r="AJ124" t="e">
        <f t="shared" si="99"/>
        <v>#N/A</v>
      </c>
    </row>
    <row r="125" spans="1:36" x14ac:dyDescent="0.25">
      <c r="A125" s="2"/>
      <c r="L125" t="e">
        <f t="shared" si="75"/>
        <v>#N/A</v>
      </c>
      <c r="M125" t="e">
        <f t="shared" si="76"/>
        <v>#N/A</v>
      </c>
      <c r="N125" t="e">
        <f t="shared" si="77"/>
        <v>#N/A</v>
      </c>
      <c r="O125">
        <f t="shared" si="78"/>
        <v>0</v>
      </c>
      <c r="P125">
        <f t="shared" si="79"/>
        <v>0</v>
      </c>
      <c r="Q125">
        <f t="shared" si="80"/>
        <v>0</v>
      </c>
      <c r="R125">
        <f t="shared" si="81"/>
        <v>0</v>
      </c>
      <c r="S125">
        <f t="shared" si="82"/>
        <v>0</v>
      </c>
      <c r="T125">
        <f t="shared" si="83"/>
        <v>0</v>
      </c>
      <c r="U125" t="e">
        <f t="shared" si="84"/>
        <v>#N/A</v>
      </c>
      <c r="V125" t="e">
        <f t="shared" si="85"/>
        <v>#N/A</v>
      </c>
      <c r="W125" t="e">
        <f t="shared" si="86"/>
        <v>#N/A</v>
      </c>
      <c r="X125" t="e">
        <f t="shared" si="87"/>
        <v>#N/A</v>
      </c>
      <c r="Y125" t="e">
        <f t="shared" si="88"/>
        <v>#N/A</v>
      </c>
      <c r="Z125" t="e">
        <f t="shared" si="89"/>
        <v>#N/A</v>
      </c>
      <c r="AA125" t="e">
        <f t="shared" si="90"/>
        <v>#N/A</v>
      </c>
      <c r="AB125" t="e">
        <f t="shared" si="91"/>
        <v>#N/A</v>
      </c>
      <c r="AC125" t="e">
        <f t="shared" si="92"/>
        <v>#N/A</v>
      </c>
      <c r="AD125" t="e">
        <f t="shared" si="93"/>
        <v>#N/A</v>
      </c>
      <c r="AE125" t="e">
        <f t="shared" si="94"/>
        <v>#N/A</v>
      </c>
      <c r="AF125" t="e">
        <f t="shared" si="95"/>
        <v>#N/A</v>
      </c>
      <c r="AG125" t="e">
        <f t="shared" si="96"/>
        <v>#N/A</v>
      </c>
      <c r="AH125" t="e">
        <f t="shared" si="97"/>
        <v>#N/A</v>
      </c>
      <c r="AI125" t="e">
        <f t="shared" si="98"/>
        <v>#N/A</v>
      </c>
      <c r="AJ125" t="e">
        <f t="shared" si="99"/>
        <v>#N/A</v>
      </c>
    </row>
    <row r="126" spans="1:36" x14ac:dyDescent="0.25">
      <c r="A126" s="2"/>
      <c r="L126" t="e">
        <f t="shared" si="75"/>
        <v>#N/A</v>
      </c>
      <c r="M126" t="e">
        <f t="shared" si="76"/>
        <v>#N/A</v>
      </c>
      <c r="N126" t="e">
        <f t="shared" si="77"/>
        <v>#N/A</v>
      </c>
      <c r="O126">
        <f t="shared" si="78"/>
        <v>0</v>
      </c>
      <c r="P126">
        <f t="shared" si="79"/>
        <v>0</v>
      </c>
      <c r="Q126">
        <f t="shared" si="80"/>
        <v>0</v>
      </c>
      <c r="R126">
        <f t="shared" si="81"/>
        <v>0</v>
      </c>
      <c r="S126">
        <f t="shared" si="82"/>
        <v>0</v>
      </c>
      <c r="T126">
        <f t="shared" si="83"/>
        <v>0</v>
      </c>
      <c r="U126" t="e">
        <f t="shared" si="84"/>
        <v>#N/A</v>
      </c>
      <c r="V126" t="e">
        <f t="shared" si="85"/>
        <v>#N/A</v>
      </c>
      <c r="W126" t="e">
        <f t="shared" si="86"/>
        <v>#N/A</v>
      </c>
      <c r="X126" t="e">
        <f t="shared" si="87"/>
        <v>#N/A</v>
      </c>
      <c r="Y126" t="e">
        <f t="shared" si="88"/>
        <v>#N/A</v>
      </c>
      <c r="Z126" t="e">
        <f t="shared" si="89"/>
        <v>#N/A</v>
      </c>
      <c r="AA126" t="e">
        <f t="shared" si="90"/>
        <v>#N/A</v>
      </c>
      <c r="AB126" t="e">
        <f t="shared" si="91"/>
        <v>#N/A</v>
      </c>
      <c r="AC126" t="e">
        <f t="shared" si="92"/>
        <v>#N/A</v>
      </c>
      <c r="AD126" t="e">
        <f t="shared" si="93"/>
        <v>#N/A</v>
      </c>
      <c r="AE126" t="e">
        <f t="shared" si="94"/>
        <v>#N/A</v>
      </c>
      <c r="AF126" t="e">
        <f t="shared" si="95"/>
        <v>#N/A</v>
      </c>
      <c r="AG126" t="e">
        <f t="shared" si="96"/>
        <v>#N/A</v>
      </c>
      <c r="AH126" t="e">
        <f t="shared" si="97"/>
        <v>#N/A</v>
      </c>
      <c r="AI126" t="e">
        <f t="shared" si="98"/>
        <v>#N/A</v>
      </c>
      <c r="AJ126" t="e">
        <f t="shared" si="99"/>
        <v>#N/A</v>
      </c>
    </row>
    <row r="127" spans="1:36" x14ac:dyDescent="0.25">
      <c r="A127" s="2"/>
      <c r="L127" t="e">
        <f t="shared" si="75"/>
        <v>#N/A</v>
      </c>
      <c r="M127" t="e">
        <f t="shared" si="76"/>
        <v>#N/A</v>
      </c>
      <c r="N127" t="e">
        <f t="shared" si="77"/>
        <v>#N/A</v>
      </c>
      <c r="O127">
        <f t="shared" si="78"/>
        <v>0</v>
      </c>
      <c r="P127">
        <f t="shared" si="79"/>
        <v>0</v>
      </c>
      <c r="Q127">
        <f t="shared" si="80"/>
        <v>0</v>
      </c>
      <c r="R127">
        <f t="shared" si="81"/>
        <v>0</v>
      </c>
      <c r="S127">
        <f t="shared" si="82"/>
        <v>0</v>
      </c>
      <c r="T127">
        <f t="shared" si="83"/>
        <v>0</v>
      </c>
      <c r="U127" t="e">
        <f t="shared" si="84"/>
        <v>#N/A</v>
      </c>
      <c r="V127" t="e">
        <f t="shared" si="85"/>
        <v>#N/A</v>
      </c>
      <c r="W127" t="e">
        <f t="shared" si="86"/>
        <v>#N/A</v>
      </c>
      <c r="X127" t="e">
        <f t="shared" si="87"/>
        <v>#N/A</v>
      </c>
      <c r="Y127" t="e">
        <f t="shared" si="88"/>
        <v>#N/A</v>
      </c>
      <c r="Z127" t="e">
        <f t="shared" si="89"/>
        <v>#N/A</v>
      </c>
      <c r="AA127" t="e">
        <f t="shared" si="90"/>
        <v>#N/A</v>
      </c>
      <c r="AB127" t="e">
        <f t="shared" si="91"/>
        <v>#N/A</v>
      </c>
      <c r="AC127" t="e">
        <f t="shared" si="92"/>
        <v>#N/A</v>
      </c>
      <c r="AD127" t="e">
        <f t="shared" si="93"/>
        <v>#N/A</v>
      </c>
      <c r="AE127" t="e">
        <f t="shared" si="94"/>
        <v>#N/A</v>
      </c>
      <c r="AF127" t="e">
        <f t="shared" si="95"/>
        <v>#N/A</v>
      </c>
      <c r="AG127" t="e">
        <f t="shared" si="96"/>
        <v>#N/A</v>
      </c>
      <c r="AH127" t="e">
        <f t="shared" si="97"/>
        <v>#N/A</v>
      </c>
      <c r="AI127" t="e">
        <f t="shared" si="98"/>
        <v>#N/A</v>
      </c>
      <c r="AJ127" t="e">
        <f t="shared" si="99"/>
        <v>#N/A</v>
      </c>
    </row>
    <row r="128" spans="1:36" x14ac:dyDescent="0.25">
      <c r="A128" s="2"/>
      <c r="L128" t="e">
        <f t="shared" si="75"/>
        <v>#N/A</v>
      </c>
      <c r="M128" t="e">
        <f t="shared" si="76"/>
        <v>#N/A</v>
      </c>
      <c r="N128" t="e">
        <f t="shared" si="77"/>
        <v>#N/A</v>
      </c>
      <c r="O128">
        <f t="shared" si="78"/>
        <v>0</v>
      </c>
      <c r="P128">
        <f t="shared" si="79"/>
        <v>0</v>
      </c>
      <c r="Q128">
        <f t="shared" si="80"/>
        <v>0</v>
      </c>
      <c r="R128">
        <f t="shared" si="81"/>
        <v>0</v>
      </c>
      <c r="S128">
        <f t="shared" si="82"/>
        <v>0</v>
      </c>
      <c r="T128">
        <f t="shared" si="83"/>
        <v>0</v>
      </c>
      <c r="U128" t="e">
        <f t="shared" si="84"/>
        <v>#N/A</v>
      </c>
      <c r="V128" t="e">
        <f t="shared" si="85"/>
        <v>#N/A</v>
      </c>
      <c r="W128" t="e">
        <f t="shared" si="86"/>
        <v>#N/A</v>
      </c>
      <c r="X128" t="e">
        <f t="shared" si="87"/>
        <v>#N/A</v>
      </c>
      <c r="Y128" t="e">
        <f t="shared" si="88"/>
        <v>#N/A</v>
      </c>
      <c r="Z128" t="e">
        <f t="shared" si="89"/>
        <v>#N/A</v>
      </c>
      <c r="AA128" t="e">
        <f t="shared" si="90"/>
        <v>#N/A</v>
      </c>
      <c r="AB128" t="e">
        <f t="shared" si="91"/>
        <v>#N/A</v>
      </c>
      <c r="AC128" t="e">
        <f t="shared" si="92"/>
        <v>#N/A</v>
      </c>
      <c r="AD128" t="e">
        <f t="shared" si="93"/>
        <v>#N/A</v>
      </c>
      <c r="AE128" t="e">
        <f t="shared" si="94"/>
        <v>#N/A</v>
      </c>
      <c r="AF128" t="e">
        <f t="shared" si="95"/>
        <v>#N/A</v>
      </c>
      <c r="AG128" t="e">
        <f t="shared" si="96"/>
        <v>#N/A</v>
      </c>
      <c r="AH128" t="e">
        <f t="shared" si="97"/>
        <v>#N/A</v>
      </c>
      <c r="AI128" t="e">
        <f t="shared" si="98"/>
        <v>#N/A</v>
      </c>
      <c r="AJ128" t="e">
        <f t="shared" si="99"/>
        <v>#N/A</v>
      </c>
    </row>
    <row r="129" spans="1:36" x14ac:dyDescent="0.25">
      <c r="A129" s="2"/>
      <c r="L129" t="e">
        <f t="shared" si="75"/>
        <v>#N/A</v>
      </c>
      <c r="M129" t="e">
        <f t="shared" si="76"/>
        <v>#N/A</v>
      </c>
      <c r="N129" t="e">
        <f t="shared" si="77"/>
        <v>#N/A</v>
      </c>
      <c r="O129">
        <f t="shared" si="78"/>
        <v>0</v>
      </c>
      <c r="P129">
        <f t="shared" si="79"/>
        <v>0</v>
      </c>
      <c r="Q129">
        <f t="shared" si="80"/>
        <v>0</v>
      </c>
      <c r="R129">
        <f t="shared" si="81"/>
        <v>0</v>
      </c>
      <c r="S129">
        <f t="shared" si="82"/>
        <v>0</v>
      </c>
      <c r="T129">
        <f t="shared" si="83"/>
        <v>0</v>
      </c>
      <c r="U129" t="e">
        <f t="shared" si="84"/>
        <v>#N/A</v>
      </c>
      <c r="V129" t="e">
        <f t="shared" si="85"/>
        <v>#N/A</v>
      </c>
      <c r="W129" t="e">
        <f t="shared" si="86"/>
        <v>#N/A</v>
      </c>
      <c r="X129" t="e">
        <f t="shared" si="87"/>
        <v>#N/A</v>
      </c>
      <c r="Y129" t="e">
        <f t="shared" si="88"/>
        <v>#N/A</v>
      </c>
      <c r="Z129" t="e">
        <f t="shared" si="89"/>
        <v>#N/A</v>
      </c>
      <c r="AA129" t="e">
        <f t="shared" si="90"/>
        <v>#N/A</v>
      </c>
      <c r="AB129" t="e">
        <f t="shared" si="91"/>
        <v>#N/A</v>
      </c>
      <c r="AC129" t="e">
        <f t="shared" si="92"/>
        <v>#N/A</v>
      </c>
      <c r="AD129" t="e">
        <f t="shared" si="93"/>
        <v>#N/A</v>
      </c>
      <c r="AE129" t="e">
        <f t="shared" si="94"/>
        <v>#N/A</v>
      </c>
      <c r="AF129" t="e">
        <f t="shared" si="95"/>
        <v>#N/A</v>
      </c>
      <c r="AG129" t="e">
        <f t="shared" si="96"/>
        <v>#N/A</v>
      </c>
      <c r="AH129" t="e">
        <f t="shared" si="97"/>
        <v>#N/A</v>
      </c>
      <c r="AI129" t="e">
        <f t="shared" si="98"/>
        <v>#N/A</v>
      </c>
      <c r="AJ129" t="e">
        <f t="shared" si="99"/>
        <v>#N/A</v>
      </c>
    </row>
    <row r="130" spans="1:36" x14ac:dyDescent="0.25">
      <c r="A130" s="2"/>
      <c r="L130" t="e">
        <f t="shared" ref="L130:L161" si="100">IF(ROW()&lt;=5,NA(),IFERROR(100*(B130/INDEX(B:B,ROW()-4)-1),NA()))</f>
        <v>#N/A</v>
      </c>
      <c r="M130" t="e">
        <f t="shared" ref="M130:M161" si="101">IF(ROW()&lt;=5,NA(),IFERROR(100*(C130/INDEX(C:C,ROW()-4)-1),NA()))</f>
        <v>#N/A</v>
      </c>
      <c r="N130" t="e">
        <f t="shared" ref="N130:N161" si="102">IF(ROW()&lt;=5,NA(),IFERROR(100*(D130/INDEX(D:D,ROW()-4)-1),NA()))</f>
        <v>#N/A</v>
      </c>
      <c r="O130">
        <f t="shared" ref="O130:O161" si="103">100*G130</f>
        <v>0</v>
      </c>
      <c r="P130">
        <f t="shared" ref="P130:P161" si="104">100*H130</f>
        <v>0</v>
      </c>
      <c r="Q130">
        <f t="shared" ref="Q130:Q161" si="105">100*I130</f>
        <v>0</v>
      </c>
      <c r="R130">
        <f t="shared" ref="R130:R161" si="106">100*J130</f>
        <v>0</v>
      </c>
      <c r="S130">
        <f t="shared" ref="S130:S161" si="107">IFERROR(100*E130/INDEX(E:E,MATCH(DATE(2024,12,1),A:A,0)),NA())</f>
        <v>0</v>
      </c>
      <c r="T130">
        <f t="shared" ref="T130:T161" si="108">IFERROR(100*F130/INDEX(F:F,MATCH(DATE(2024,12,1),A:A,0)),NA())</f>
        <v>0</v>
      </c>
      <c r="U130" t="e">
        <f t="shared" ref="U130:U161" si="109">IF($K130="Actual",L130,NA())</f>
        <v>#N/A</v>
      </c>
      <c r="V130" t="e">
        <f t="shared" ref="V130:V161" si="110">IF($A130&gt;=DATE(2024,12,1),L130,NA())</f>
        <v>#N/A</v>
      </c>
      <c r="W130" t="e">
        <f t="shared" ref="W130:W161" si="111">IF($K130="Actual",M130,NA())</f>
        <v>#N/A</v>
      </c>
      <c r="X130" t="e">
        <f t="shared" ref="X130:X161" si="112">IF($A130&gt;=DATE(2024,12,1),M130,NA())</f>
        <v>#N/A</v>
      </c>
      <c r="Y130" t="e">
        <f t="shared" ref="Y130:Y161" si="113">IF($K130="Actual",S130,NA())</f>
        <v>#N/A</v>
      </c>
      <c r="Z130" t="e">
        <f t="shared" ref="Z130:Z161" si="114">IF($A130&gt;=DATE(2024,12,1),S130,NA())</f>
        <v>#N/A</v>
      </c>
      <c r="AA130" t="e">
        <f t="shared" ref="AA130:AA161" si="115">IF($K130="Actual",T130,NA())</f>
        <v>#N/A</v>
      </c>
      <c r="AB130" t="e">
        <f t="shared" ref="AB130:AB161" si="116">IF($A130&gt;=DATE(2024,12,1),T130,NA())</f>
        <v>#N/A</v>
      </c>
      <c r="AC130" t="e">
        <f t="shared" ref="AC130:AC161" si="117">IF($K130="Actual",O130,NA())</f>
        <v>#N/A</v>
      </c>
      <c r="AD130" t="e">
        <f t="shared" ref="AD130:AD161" si="118">IF($A130&gt;=DATE(2024,12,1),O130,NA())</f>
        <v>#N/A</v>
      </c>
      <c r="AE130" t="e">
        <f t="shared" ref="AE130:AE161" si="119">IF($K130="Actual",Q130,NA())</f>
        <v>#N/A</v>
      </c>
      <c r="AF130" t="e">
        <f t="shared" ref="AF130:AF161" si="120">IF($A130&gt;=DATE(2024,12,1),Q130,NA())</f>
        <v>#N/A</v>
      </c>
      <c r="AG130" t="e">
        <f t="shared" ref="AG130:AG161" si="121">IF($K130="Actual",R130,NA())</f>
        <v>#N/A</v>
      </c>
      <c r="AH130" t="e">
        <f t="shared" ref="AH130:AH161" si="122">IF($A130&gt;=DATE(2024,12,1),R130,NA())</f>
        <v>#N/A</v>
      </c>
      <c r="AI130" t="e">
        <f t="shared" ref="AI130:AI161" si="123">IF($K130="Actual",N130,NA())</f>
        <v>#N/A</v>
      </c>
      <c r="AJ130" t="e">
        <f t="shared" ref="AJ130:AJ161" si="124">IF($A130&gt;=DATE(2024,12,1),N130,NA())</f>
        <v>#N/A</v>
      </c>
    </row>
    <row r="131" spans="1:36" x14ac:dyDescent="0.25">
      <c r="A131" s="2"/>
      <c r="L131" t="e">
        <f t="shared" si="100"/>
        <v>#N/A</v>
      </c>
      <c r="M131" t="e">
        <f t="shared" si="101"/>
        <v>#N/A</v>
      </c>
      <c r="N131" t="e">
        <f t="shared" si="102"/>
        <v>#N/A</v>
      </c>
      <c r="O131">
        <f t="shared" si="103"/>
        <v>0</v>
      </c>
      <c r="P131">
        <f t="shared" si="104"/>
        <v>0</v>
      </c>
      <c r="Q131">
        <f t="shared" si="105"/>
        <v>0</v>
      </c>
      <c r="R131">
        <f t="shared" si="106"/>
        <v>0</v>
      </c>
      <c r="S131">
        <f t="shared" si="107"/>
        <v>0</v>
      </c>
      <c r="T131">
        <f t="shared" si="108"/>
        <v>0</v>
      </c>
      <c r="U131" t="e">
        <f t="shared" si="109"/>
        <v>#N/A</v>
      </c>
      <c r="V131" t="e">
        <f t="shared" si="110"/>
        <v>#N/A</v>
      </c>
      <c r="W131" t="e">
        <f t="shared" si="111"/>
        <v>#N/A</v>
      </c>
      <c r="X131" t="e">
        <f t="shared" si="112"/>
        <v>#N/A</v>
      </c>
      <c r="Y131" t="e">
        <f t="shared" si="113"/>
        <v>#N/A</v>
      </c>
      <c r="Z131" t="e">
        <f t="shared" si="114"/>
        <v>#N/A</v>
      </c>
      <c r="AA131" t="e">
        <f t="shared" si="115"/>
        <v>#N/A</v>
      </c>
      <c r="AB131" t="e">
        <f t="shared" si="116"/>
        <v>#N/A</v>
      </c>
      <c r="AC131" t="e">
        <f t="shared" si="117"/>
        <v>#N/A</v>
      </c>
      <c r="AD131" t="e">
        <f t="shared" si="118"/>
        <v>#N/A</v>
      </c>
      <c r="AE131" t="e">
        <f t="shared" si="119"/>
        <v>#N/A</v>
      </c>
      <c r="AF131" t="e">
        <f t="shared" si="120"/>
        <v>#N/A</v>
      </c>
      <c r="AG131" t="e">
        <f t="shared" si="121"/>
        <v>#N/A</v>
      </c>
      <c r="AH131" t="e">
        <f t="shared" si="122"/>
        <v>#N/A</v>
      </c>
      <c r="AI131" t="e">
        <f t="shared" si="123"/>
        <v>#N/A</v>
      </c>
      <c r="AJ131" t="e">
        <f t="shared" si="124"/>
        <v>#N/A</v>
      </c>
    </row>
    <row r="132" spans="1:36" x14ac:dyDescent="0.25">
      <c r="A132" s="2"/>
      <c r="L132" t="e">
        <f t="shared" si="100"/>
        <v>#N/A</v>
      </c>
      <c r="M132" t="e">
        <f t="shared" si="101"/>
        <v>#N/A</v>
      </c>
      <c r="N132" t="e">
        <f t="shared" si="102"/>
        <v>#N/A</v>
      </c>
      <c r="O132">
        <f t="shared" si="103"/>
        <v>0</v>
      </c>
      <c r="P132">
        <f t="shared" si="104"/>
        <v>0</v>
      </c>
      <c r="Q132">
        <f t="shared" si="105"/>
        <v>0</v>
      </c>
      <c r="R132">
        <f t="shared" si="106"/>
        <v>0</v>
      </c>
      <c r="S132">
        <f t="shared" si="107"/>
        <v>0</v>
      </c>
      <c r="T132">
        <f t="shared" si="108"/>
        <v>0</v>
      </c>
      <c r="U132" t="e">
        <f t="shared" si="109"/>
        <v>#N/A</v>
      </c>
      <c r="V132" t="e">
        <f t="shared" si="110"/>
        <v>#N/A</v>
      </c>
      <c r="W132" t="e">
        <f t="shared" si="111"/>
        <v>#N/A</v>
      </c>
      <c r="X132" t="e">
        <f t="shared" si="112"/>
        <v>#N/A</v>
      </c>
      <c r="Y132" t="e">
        <f t="shared" si="113"/>
        <v>#N/A</v>
      </c>
      <c r="Z132" t="e">
        <f t="shared" si="114"/>
        <v>#N/A</v>
      </c>
      <c r="AA132" t="e">
        <f t="shared" si="115"/>
        <v>#N/A</v>
      </c>
      <c r="AB132" t="e">
        <f t="shared" si="116"/>
        <v>#N/A</v>
      </c>
      <c r="AC132" t="e">
        <f t="shared" si="117"/>
        <v>#N/A</v>
      </c>
      <c r="AD132" t="e">
        <f t="shared" si="118"/>
        <v>#N/A</v>
      </c>
      <c r="AE132" t="e">
        <f t="shared" si="119"/>
        <v>#N/A</v>
      </c>
      <c r="AF132" t="e">
        <f t="shared" si="120"/>
        <v>#N/A</v>
      </c>
      <c r="AG132" t="e">
        <f t="shared" si="121"/>
        <v>#N/A</v>
      </c>
      <c r="AH132" t="e">
        <f t="shared" si="122"/>
        <v>#N/A</v>
      </c>
      <c r="AI132" t="e">
        <f t="shared" si="123"/>
        <v>#N/A</v>
      </c>
      <c r="AJ132" t="e">
        <f t="shared" si="124"/>
        <v>#N/A</v>
      </c>
    </row>
    <row r="133" spans="1:36" x14ac:dyDescent="0.25">
      <c r="A133" s="2"/>
      <c r="L133" t="e">
        <f t="shared" si="100"/>
        <v>#N/A</v>
      </c>
      <c r="M133" t="e">
        <f t="shared" si="101"/>
        <v>#N/A</v>
      </c>
      <c r="N133" t="e">
        <f t="shared" si="102"/>
        <v>#N/A</v>
      </c>
      <c r="O133">
        <f t="shared" si="103"/>
        <v>0</v>
      </c>
      <c r="P133">
        <f t="shared" si="104"/>
        <v>0</v>
      </c>
      <c r="Q133">
        <f t="shared" si="105"/>
        <v>0</v>
      </c>
      <c r="R133">
        <f t="shared" si="106"/>
        <v>0</v>
      </c>
      <c r="S133">
        <f t="shared" si="107"/>
        <v>0</v>
      </c>
      <c r="T133">
        <f t="shared" si="108"/>
        <v>0</v>
      </c>
      <c r="U133" t="e">
        <f t="shared" si="109"/>
        <v>#N/A</v>
      </c>
      <c r="V133" t="e">
        <f t="shared" si="110"/>
        <v>#N/A</v>
      </c>
      <c r="W133" t="e">
        <f t="shared" si="111"/>
        <v>#N/A</v>
      </c>
      <c r="X133" t="e">
        <f t="shared" si="112"/>
        <v>#N/A</v>
      </c>
      <c r="Y133" t="e">
        <f t="shared" si="113"/>
        <v>#N/A</v>
      </c>
      <c r="Z133" t="e">
        <f t="shared" si="114"/>
        <v>#N/A</v>
      </c>
      <c r="AA133" t="e">
        <f t="shared" si="115"/>
        <v>#N/A</v>
      </c>
      <c r="AB133" t="e">
        <f t="shared" si="116"/>
        <v>#N/A</v>
      </c>
      <c r="AC133" t="e">
        <f t="shared" si="117"/>
        <v>#N/A</v>
      </c>
      <c r="AD133" t="e">
        <f t="shared" si="118"/>
        <v>#N/A</v>
      </c>
      <c r="AE133" t="e">
        <f t="shared" si="119"/>
        <v>#N/A</v>
      </c>
      <c r="AF133" t="e">
        <f t="shared" si="120"/>
        <v>#N/A</v>
      </c>
      <c r="AG133" t="e">
        <f t="shared" si="121"/>
        <v>#N/A</v>
      </c>
      <c r="AH133" t="e">
        <f t="shared" si="122"/>
        <v>#N/A</v>
      </c>
      <c r="AI133" t="e">
        <f t="shared" si="123"/>
        <v>#N/A</v>
      </c>
      <c r="AJ133" t="e">
        <f t="shared" si="124"/>
        <v>#N/A</v>
      </c>
    </row>
    <row r="134" spans="1:36" x14ac:dyDescent="0.25">
      <c r="A134" s="2"/>
      <c r="L134" t="e">
        <f t="shared" si="100"/>
        <v>#N/A</v>
      </c>
      <c r="M134" t="e">
        <f t="shared" si="101"/>
        <v>#N/A</v>
      </c>
      <c r="N134" t="e">
        <f t="shared" si="102"/>
        <v>#N/A</v>
      </c>
      <c r="O134">
        <f t="shared" si="103"/>
        <v>0</v>
      </c>
      <c r="P134">
        <f t="shared" si="104"/>
        <v>0</v>
      </c>
      <c r="Q134">
        <f t="shared" si="105"/>
        <v>0</v>
      </c>
      <c r="R134">
        <f t="shared" si="106"/>
        <v>0</v>
      </c>
      <c r="S134">
        <f t="shared" si="107"/>
        <v>0</v>
      </c>
      <c r="T134">
        <f t="shared" si="108"/>
        <v>0</v>
      </c>
      <c r="U134" t="e">
        <f t="shared" si="109"/>
        <v>#N/A</v>
      </c>
      <c r="V134" t="e">
        <f t="shared" si="110"/>
        <v>#N/A</v>
      </c>
      <c r="W134" t="e">
        <f t="shared" si="111"/>
        <v>#N/A</v>
      </c>
      <c r="X134" t="e">
        <f t="shared" si="112"/>
        <v>#N/A</v>
      </c>
      <c r="Y134" t="e">
        <f t="shared" si="113"/>
        <v>#N/A</v>
      </c>
      <c r="Z134" t="e">
        <f t="shared" si="114"/>
        <v>#N/A</v>
      </c>
      <c r="AA134" t="e">
        <f t="shared" si="115"/>
        <v>#N/A</v>
      </c>
      <c r="AB134" t="e">
        <f t="shared" si="116"/>
        <v>#N/A</v>
      </c>
      <c r="AC134" t="e">
        <f t="shared" si="117"/>
        <v>#N/A</v>
      </c>
      <c r="AD134" t="e">
        <f t="shared" si="118"/>
        <v>#N/A</v>
      </c>
      <c r="AE134" t="e">
        <f t="shared" si="119"/>
        <v>#N/A</v>
      </c>
      <c r="AF134" t="e">
        <f t="shared" si="120"/>
        <v>#N/A</v>
      </c>
      <c r="AG134" t="e">
        <f t="shared" si="121"/>
        <v>#N/A</v>
      </c>
      <c r="AH134" t="e">
        <f t="shared" si="122"/>
        <v>#N/A</v>
      </c>
      <c r="AI134" t="e">
        <f t="shared" si="123"/>
        <v>#N/A</v>
      </c>
      <c r="AJ134" t="e">
        <f t="shared" si="124"/>
        <v>#N/A</v>
      </c>
    </row>
    <row r="135" spans="1:36" x14ac:dyDescent="0.25">
      <c r="A135" s="2"/>
      <c r="L135" t="e">
        <f t="shared" si="100"/>
        <v>#N/A</v>
      </c>
      <c r="M135" t="e">
        <f t="shared" si="101"/>
        <v>#N/A</v>
      </c>
      <c r="N135" t="e">
        <f t="shared" si="102"/>
        <v>#N/A</v>
      </c>
      <c r="O135">
        <f t="shared" si="103"/>
        <v>0</v>
      </c>
      <c r="P135">
        <f t="shared" si="104"/>
        <v>0</v>
      </c>
      <c r="Q135">
        <f t="shared" si="105"/>
        <v>0</v>
      </c>
      <c r="R135">
        <f t="shared" si="106"/>
        <v>0</v>
      </c>
      <c r="S135">
        <f t="shared" si="107"/>
        <v>0</v>
      </c>
      <c r="T135">
        <f t="shared" si="108"/>
        <v>0</v>
      </c>
      <c r="U135" t="e">
        <f t="shared" si="109"/>
        <v>#N/A</v>
      </c>
      <c r="V135" t="e">
        <f t="shared" si="110"/>
        <v>#N/A</v>
      </c>
      <c r="W135" t="e">
        <f t="shared" si="111"/>
        <v>#N/A</v>
      </c>
      <c r="X135" t="e">
        <f t="shared" si="112"/>
        <v>#N/A</v>
      </c>
      <c r="Y135" t="e">
        <f t="shared" si="113"/>
        <v>#N/A</v>
      </c>
      <c r="Z135" t="e">
        <f t="shared" si="114"/>
        <v>#N/A</v>
      </c>
      <c r="AA135" t="e">
        <f t="shared" si="115"/>
        <v>#N/A</v>
      </c>
      <c r="AB135" t="e">
        <f t="shared" si="116"/>
        <v>#N/A</v>
      </c>
      <c r="AC135" t="e">
        <f t="shared" si="117"/>
        <v>#N/A</v>
      </c>
      <c r="AD135" t="e">
        <f t="shared" si="118"/>
        <v>#N/A</v>
      </c>
      <c r="AE135" t="e">
        <f t="shared" si="119"/>
        <v>#N/A</v>
      </c>
      <c r="AF135" t="e">
        <f t="shared" si="120"/>
        <v>#N/A</v>
      </c>
      <c r="AG135" t="e">
        <f t="shared" si="121"/>
        <v>#N/A</v>
      </c>
      <c r="AH135" t="e">
        <f t="shared" si="122"/>
        <v>#N/A</v>
      </c>
      <c r="AI135" t="e">
        <f t="shared" si="123"/>
        <v>#N/A</v>
      </c>
      <c r="AJ135" t="e">
        <f t="shared" si="124"/>
        <v>#N/A</v>
      </c>
    </row>
    <row r="136" spans="1:36" x14ac:dyDescent="0.25">
      <c r="A136" s="2"/>
      <c r="L136" t="e">
        <f t="shared" si="100"/>
        <v>#N/A</v>
      </c>
      <c r="M136" t="e">
        <f t="shared" si="101"/>
        <v>#N/A</v>
      </c>
      <c r="N136" t="e">
        <f t="shared" si="102"/>
        <v>#N/A</v>
      </c>
      <c r="O136">
        <f t="shared" si="103"/>
        <v>0</v>
      </c>
      <c r="P136">
        <f t="shared" si="104"/>
        <v>0</v>
      </c>
      <c r="Q136">
        <f t="shared" si="105"/>
        <v>0</v>
      </c>
      <c r="R136">
        <f t="shared" si="106"/>
        <v>0</v>
      </c>
      <c r="S136">
        <f t="shared" si="107"/>
        <v>0</v>
      </c>
      <c r="T136">
        <f t="shared" si="108"/>
        <v>0</v>
      </c>
      <c r="U136" t="e">
        <f t="shared" si="109"/>
        <v>#N/A</v>
      </c>
      <c r="V136" t="e">
        <f t="shared" si="110"/>
        <v>#N/A</v>
      </c>
      <c r="W136" t="e">
        <f t="shared" si="111"/>
        <v>#N/A</v>
      </c>
      <c r="X136" t="e">
        <f t="shared" si="112"/>
        <v>#N/A</v>
      </c>
      <c r="Y136" t="e">
        <f t="shared" si="113"/>
        <v>#N/A</v>
      </c>
      <c r="Z136" t="e">
        <f t="shared" si="114"/>
        <v>#N/A</v>
      </c>
      <c r="AA136" t="e">
        <f t="shared" si="115"/>
        <v>#N/A</v>
      </c>
      <c r="AB136" t="e">
        <f t="shared" si="116"/>
        <v>#N/A</v>
      </c>
      <c r="AC136" t="e">
        <f t="shared" si="117"/>
        <v>#N/A</v>
      </c>
      <c r="AD136" t="e">
        <f t="shared" si="118"/>
        <v>#N/A</v>
      </c>
      <c r="AE136" t="e">
        <f t="shared" si="119"/>
        <v>#N/A</v>
      </c>
      <c r="AF136" t="e">
        <f t="shared" si="120"/>
        <v>#N/A</v>
      </c>
      <c r="AG136" t="e">
        <f t="shared" si="121"/>
        <v>#N/A</v>
      </c>
      <c r="AH136" t="e">
        <f t="shared" si="122"/>
        <v>#N/A</v>
      </c>
      <c r="AI136" t="e">
        <f t="shared" si="123"/>
        <v>#N/A</v>
      </c>
      <c r="AJ136" t="e">
        <f t="shared" si="124"/>
        <v>#N/A</v>
      </c>
    </row>
    <row r="137" spans="1:36" x14ac:dyDescent="0.25">
      <c r="A137" s="2"/>
      <c r="L137" t="e">
        <f t="shared" si="100"/>
        <v>#N/A</v>
      </c>
      <c r="M137" t="e">
        <f t="shared" si="101"/>
        <v>#N/A</v>
      </c>
      <c r="N137" t="e">
        <f t="shared" si="102"/>
        <v>#N/A</v>
      </c>
      <c r="O137">
        <f t="shared" si="103"/>
        <v>0</v>
      </c>
      <c r="P137">
        <f t="shared" si="104"/>
        <v>0</v>
      </c>
      <c r="Q137">
        <f t="shared" si="105"/>
        <v>0</v>
      </c>
      <c r="R137">
        <f t="shared" si="106"/>
        <v>0</v>
      </c>
      <c r="S137">
        <f t="shared" si="107"/>
        <v>0</v>
      </c>
      <c r="T137">
        <f t="shared" si="108"/>
        <v>0</v>
      </c>
      <c r="U137" t="e">
        <f t="shared" si="109"/>
        <v>#N/A</v>
      </c>
      <c r="V137" t="e">
        <f t="shared" si="110"/>
        <v>#N/A</v>
      </c>
      <c r="W137" t="e">
        <f t="shared" si="111"/>
        <v>#N/A</v>
      </c>
      <c r="X137" t="e">
        <f t="shared" si="112"/>
        <v>#N/A</v>
      </c>
      <c r="Y137" t="e">
        <f t="shared" si="113"/>
        <v>#N/A</v>
      </c>
      <c r="Z137" t="e">
        <f t="shared" si="114"/>
        <v>#N/A</v>
      </c>
      <c r="AA137" t="e">
        <f t="shared" si="115"/>
        <v>#N/A</v>
      </c>
      <c r="AB137" t="e">
        <f t="shared" si="116"/>
        <v>#N/A</v>
      </c>
      <c r="AC137" t="e">
        <f t="shared" si="117"/>
        <v>#N/A</v>
      </c>
      <c r="AD137" t="e">
        <f t="shared" si="118"/>
        <v>#N/A</v>
      </c>
      <c r="AE137" t="e">
        <f t="shared" si="119"/>
        <v>#N/A</v>
      </c>
      <c r="AF137" t="e">
        <f t="shared" si="120"/>
        <v>#N/A</v>
      </c>
      <c r="AG137" t="e">
        <f t="shared" si="121"/>
        <v>#N/A</v>
      </c>
      <c r="AH137" t="e">
        <f t="shared" si="122"/>
        <v>#N/A</v>
      </c>
      <c r="AI137" t="e">
        <f t="shared" si="123"/>
        <v>#N/A</v>
      </c>
      <c r="AJ137" t="e">
        <f t="shared" si="124"/>
        <v>#N/A</v>
      </c>
    </row>
    <row r="138" spans="1:36" x14ac:dyDescent="0.25">
      <c r="A138" s="2"/>
      <c r="L138" t="e">
        <f t="shared" si="100"/>
        <v>#N/A</v>
      </c>
      <c r="M138" t="e">
        <f t="shared" si="101"/>
        <v>#N/A</v>
      </c>
      <c r="N138" t="e">
        <f t="shared" si="102"/>
        <v>#N/A</v>
      </c>
      <c r="O138">
        <f t="shared" si="103"/>
        <v>0</v>
      </c>
      <c r="P138">
        <f t="shared" si="104"/>
        <v>0</v>
      </c>
      <c r="Q138">
        <f t="shared" si="105"/>
        <v>0</v>
      </c>
      <c r="R138">
        <f t="shared" si="106"/>
        <v>0</v>
      </c>
      <c r="S138">
        <f t="shared" si="107"/>
        <v>0</v>
      </c>
      <c r="T138">
        <f t="shared" si="108"/>
        <v>0</v>
      </c>
      <c r="U138" t="e">
        <f t="shared" si="109"/>
        <v>#N/A</v>
      </c>
      <c r="V138" t="e">
        <f t="shared" si="110"/>
        <v>#N/A</v>
      </c>
      <c r="W138" t="e">
        <f t="shared" si="111"/>
        <v>#N/A</v>
      </c>
      <c r="X138" t="e">
        <f t="shared" si="112"/>
        <v>#N/A</v>
      </c>
      <c r="Y138" t="e">
        <f t="shared" si="113"/>
        <v>#N/A</v>
      </c>
      <c r="Z138" t="e">
        <f t="shared" si="114"/>
        <v>#N/A</v>
      </c>
      <c r="AA138" t="e">
        <f t="shared" si="115"/>
        <v>#N/A</v>
      </c>
      <c r="AB138" t="e">
        <f t="shared" si="116"/>
        <v>#N/A</v>
      </c>
      <c r="AC138" t="e">
        <f t="shared" si="117"/>
        <v>#N/A</v>
      </c>
      <c r="AD138" t="e">
        <f t="shared" si="118"/>
        <v>#N/A</v>
      </c>
      <c r="AE138" t="e">
        <f t="shared" si="119"/>
        <v>#N/A</v>
      </c>
      <c r="AF138" t="e">
        <f t="shared" si="120"/>
        <v>#N/A</v>
      </c>
      <c r="AG138" t="e">
        <f t="shared" si="121"/>
        <v>#N/A</v>
      </c>
      <c r="AH138" t="e">
        <f t="shared" si="122"/>
        <v>#N/A</v>
      </c>
      <c r="AI138" t="e">
        <f t="shared" si="123"/>
        <v>#N/A</v>
      </c>
      <c r="AJ138" t="e">
        <f t="shared" si="124"/>
        <v>#N/A</v>
      </c>
    </row>
    <row r="139" spans="1:36" x14ac:dyDescent="0.25">
      <c r="A139" s="2"/>
      <c r="L139" t="e">
        <f t="shared" si="100"/>
        <v>#N/A</v>
      </c>
      <c r="M139" t="e">
        <f t="shared" si="101"/>
        <v>#N/A</v>
      </c>
      <c r="N139" t="e">
        <f t="shared" si="102"/>
        <v>#N/A</v>
      </c>
      <c r="O139">
        <f t="shared" si="103"/>
        <v>0</v>
      </c>
      <c r="P139">
        <f t="shared" si="104"/>
        <v>0</v>
      </c>
      <c r="Q139">
        <f t="shared" si="105"/>
        <v>0</v>
      </c>
      <c r="R139">
        <f t="shared" si="106"/>
        <v>0</v>
      </c>
      <c r="S139">
        <f t="shared" si="107"/>
        <v>0</v>
      </c>
      <c r="T139">
        <f t="shared" si="108"/>
        <v>0</v>
      </c>
      <c r="U139" t="e">
        <f t="shared" si="109"/>
        <v>#N/A</v>
      </c>
      <c r="V139" t="e">
        <f t="shared" si="110"/>
        <v>#N/A</v>
      </c>
      <c r="W139" t="e">
        <f t="shared" si="111"/>
        <v>#N/A</v>
      </c>
      <c r="X139" t="e">
        <f t="shared" si="112"/>
        <v>#N/A</v>
      </c>
      <c r="Y139" t="e">
        <f t="shared" si="113"/>
        <v>#N/A</v>
      </c>
      <c r="Z139" t="e">
        <f t="shared" si="114"/>
        <v>#N/A</v>
      </c>
      <c r="AA139" t="e">
        <f t="shared" si="115"/>
        <v>#N/A</v>
      </c>
      <c r="AB139" t="e">
        <f t="shared" si="116"/>
        <v>#N/A</v>
      </c>
      <c r="AC139" t="e">
        <f t="shared" si="117"/>
        <v>#N/A</v>
      </c>
      <c r="AD139" t="e">
        <f t="shared" si="118"/>
        <v>#N/A</v>
      </c>
      <c r="AE139" t="e">
        <f t="shared" si="119"/>
        <v>#N/A</v>
      </c>
      <c r="AF139" t="e">
        <f t="shared" si="120"/>
        <v>#N/A</v>
      </c>
      <c r="AG139" t="e">
        <f t="shared" si="121"/>
        <v>#N/A</v>
      </c>
      <c r="AH139" t="e">
        <f t="shared" si="122"/>
        <v>#N/A</v>
      </c>
      <c r="AI139" t="e">
        <f t="shared" si="123"/>
        <v>#N/A</v>
      </c>
      <c r="AJ139" t="e">
        <f t="shared" si="124"/>
        <v>#N/A</v>
      </c>
    </row>
    <row r="140" spans="1:36" x14ac:dyDescent="0.25">
      <c r="A140" s="2"/>
      <c r="L140" t="e">
        <f t="shared" si="100"/>
        <v>#N/A</v>
      </c>
      <c r="M140" t="e">
        <f t="shared" si="101"/>
        <v>#N/A</v>
      </c>
      <c r="N140" t="e">
        <f t="shared" si="102"/>
        <v>#N/A</v>
      </c>
      <c r="O140">
        <f t="shared" si="103"/>
        <v>0</v>
      </c>
      <c r="P140">
        <f t="shared" si="104"/>
        <v>0</v>
      </c>
      <c r="Q140">
        <f t="shared" si="105"/>
        <v>0</v>
      </c>
      <c r="R140">
        <f t="shared" si="106"/>
        <v>0</v>
      </c>
      <c r="S140">
        <f t="shared" si="107"/>
        <v>0</v>
      </c>
      <c r="T140">
        <f t="shared" si="108"/>
        <v>0</v>
      </c>
      <c r="U140" t="e">
        <f t="shared" si="109"/>
        <v>#N/A</v>
      </c>
      <c r="V140" t="e">
        <f t="shared" si="110"/>
        <v>#N/A</v>
      </c>
      <c r="W140" t="e">
        <f t="shared" si="111"/>
        <v>#N/A</v>
      </c>
      <c r="X140" t="e">
        <f t="shared" si="112"/>
        <v>#N/A</v>
      </c>
      <c r="Y140" t="e">
        <f t="shared" si="113"/>
        <v>#N/A</v>
      </c>
      <c r="Z140" t="e">
        <f t="shared" si="114"/>
        <v>#N/A</v>
      </c>
      <c r="AA140" t="e">
        <f t="shared" si="115"/>
        <v>#N/A</v>
      </c>
      <c r="AB140" t="e">
        <f t="shared" si="116"/>
        <v>#N/A</v>
      </c>
      <c r="AC140" t="e">
        <f t="shared" si="117"/>
        <v>#N/A</v>
      </c>
      <c r="AD140" t="e">
        <f t="shared" si="118"/>
        <v>#N/A</v>
      </c>
      <c r="AE140" t="e">
        <f t="shared" si="119"/>
        <v>#N/A</v>
      </c>
      <c r="AF140" t="e">
        <f t="shared" si="120"/>
        <v>#N/A</v>
      </c>
      <c r="AG140" t="e">
        <f t="shared" si="121"/>
        <v>#N/A</v>
      </c>
      <c r="AH140" t="e">
        <f t="shared" si="122"/>
        <v>#N/A</v>
      </c>
      <c r="AI140" t="e">
        <f t="shared" si="123"/>
        <v>#N/A</v>
      </c>
      <c r="AJ140" t="e">
        <f t="shared" si="124"/>
        <v>#N/A</v>
      </c>
    </row>
    <row r="141" spans="1:36" x14ac:dyDescent="0.25">
      <c r="A141" s="2"/>
      <c r="L141" t="e">
        <f t="shared" si="100"/>
        <v>#N/A</v>
      </c>
      <c r="M141" t="e">
        <f t="shared" si="101"/>
        <v>#N/A</v>
      </c>
      <c r="N141" t="e">
        <f t="shared" si="102"/>
        <v>#N/A</v>
      </c>
      <c r="O141">
        <f t="shared" si="103"/>
        <v>0</v>
      </c>
      <c r="P141">
        <f t="shared" si="104"/>
        <v>0</v>
      </c>
      <c r="Q141">
        <f t="shared" si="105"/>
        <v>0</v>
      </c>
      <c r="R141">
        <f t="shared" si="106"/>
        <v>0</v>
      </c>
      <c r="S141">
        <f t="shared" si="107"/>
        <v>0</v>
      </c>
      <c r="T141">
        <f t="shared" si="108"/>
        <v>0</v>
      </c>
      <c r="U141" t="e">
        <f t="shared" si="109"/>
        <v>#N/A</v>
      </c>
      <c r="V141" t="e">
        <f t="shared" si="110"/>
        <v>#N/A</v>
      </c>
      <c r="W141" t="e">
        <f t="shared" si="111"/>
        <v>#N/A</v>
      </c>
      <c r="X141" t="e">
        <f t="shared" si="112"/>
        <v>#N/A</v>
      </c>
      <c r="Y141" t="e">
        <f t="shared" si="113"/>
        <v>#N/A</v>
      </c>
      <c r="Z141" t="e">
        <f t="shared" si="114"/>
        <v>#N/A</v>
      </c>
      <c r="AA141" t="e">
        <f t="shared" si="115"/>
        <v>#N/A</v>
      </c>
      <c r="AB141" t="e">
        <f t="shared" si="116"/>
        <v>#N/A</v>
      </c>
      <c r="AC141" t="e">
        <f t="shared" si="117"/>
        <v>#N/A</v>
      </c>
      <c r="AD141" t="e">
        <f t="shared" si="118"/>
        <v>#N/A</v>
      </c>
      <c r="AE141" t="e">
        <f t="shared" si="119"/>
        <v>#N/A</v>
      </c>
      <c r="AF141" t="e">
        <f t="shared" si="120"/>
        <v>#N/A</v>
      </c>
      <c r="AG141" t="e">
        <f t="shared" si="121"/>
        <v>#N/A</v>
      </c>
      <c r="AH141" t="e">
        <f t="shared" si="122"/>
        <v>#N/A</v>
      </c>
      <c r="AI141" t="e">
        <f t="shared" si="123"/>
        <v>#N/A</v>
      </c>
      <c r="AJ141" t="e">
        <f t="shared" si="124"/>
        <v>#N/A</v>
      </c>
    </row>
    <row r="142" spans="1:36" x14ac:dyDescent="0.25">
      <c r="A142" s="2"/>
      <c r="L142" t="e">
        <f t="shared" si="100"/>
        <v>#N/A</v>
      </c>
      <c r="M142" t="e">
        <f t="shared" si="101"/>
        <v>#N/A</v>
      </c>
      <c r="N142" t="e">
        <f t="shared" si="102"/>
        <v>#N/A</v>
      </c>
      <c r="O142">
        <f t="shared" si="103"/>
        <v>0</v>
      </c>
      <c r="P142">
        <f t="shared" si="104"/>
        <v>0</v>
      </c>
      <c r="Q142">
        <f t="shared" si="105"/>
        <v>0</v>
      </c>
      <c r="R142">
        <f t="shared" si="106"/>
        <v>0</v>
      </c>
      <c r="S142">
        <f t="shared" si="107"/>
        <v>0</v>
      </c>
      <c r="T142">
        <f t="shared" si="108"/>
        <v>0</v>
      </c>
      <c r="U142" t="e">
        <f t="shared" si="109"/>
        <v>#N/A</v>
      </c>
      <c r="V142" t="e">
        <f t="shared" si="110"/>
        <v>#N/A</v>
      </c>
      <c r="W142" t="e">
        <f t="shared" si="111"/>
        <v>#N/A</v>
      </c>
      <c r="X142" t="e">
        <f t="shared" si="112"/>
        <v>#N/A</v>
      </c>
      <c r="Y142" t="e">
        <f t="shared" si="113"/>
        <v>#N/A</v>
      </c>
      <c r="Z142" t="e">
        <f t="shared" si="114"/>
        <v>#N/A</v>
      </c>
      <c r="AA142" t="e">
        <f t="shared" si="115"/>
        <v>#N/A</v>
      </c>
      <c r="AB142" t="e">
        <f t="shared" si="116"/>
        <v>#N/A</v>
      </c>
      <c r="AC142" t="e">
        <f t="shared" si="117"/>
        <v>#N/A</v>
      </c>
      <c r="AD142" t="e">
        <f t="shared" si="118"/>
        <v>#N/A</v>
      </c>
      <c r="AE142" t="e">
        <f t="shared" si="119"/>
        <v>#N/A</v>
      </c>
      <c r="AF142" t="e">
        <f t="shared" si="120"/>
        <v>#N/A</v>
      </c>
      <c r="AG142" t="e">
        <f t="shared" si="121"/>
        <v>#N/A</v>
      </c>
      <c r="AH142" t="e">
        <f t="shared" si="122"/>
        <v>#N/A</v>
      </c>
      <c r="AI142" t="e">
        <f t="shared" si="123"/>
        <v>#N/A</v>
      </c>
      <c r="AJ142" t="e">
        <f t="shared" si="124"/>
        <v>#N/A</v>
      </c>
    </row>
    <row r="143" spans="1:36" x14ac:dyDescent="0.25">
      <c r="A143" s="2"/>
      <c r="L143" t="e">
        <f t="shared" si="100"/>
        <v>#N/A</v>
      </c>
      <c r="M143" t="e">
        <f t="shared" si="101"/>
        <v>#N/A</v>
      </c>
      <c r="N143" t="e">
        <f t="shared" si="102"/>
        <v>#N/A</v>
      </c>
      <c r="O143">
        <f t="shared" si="103"/>
        <v>0</v>
      </c>
      <c r="P143">
        <f t="shared" si="104"/>
        <v>0</v>
      </c>
      <c r="Q143">
        <f t="shared" si="105"/>
        <v>0</v>
      </c>
      <c r="R143">
        <f t="shared" si="106"/>
        <v>0</v>
      </c>
      <c r="S143">
        <f t="shared" si="107"/>
        <v>0</v>
      </c>
      <c r="T143">
        <f t="shared" si="108"/>
        <v>0</v>
      </c>
      <c r="U143" t="e">
        <f t="shared" si="109"/>
        <v>#N/A</v>
      </c>
      <c r="V143" t="e">
        <f t="shared" si="110"/>
        <v>#N/A</v>
      </c>
      <c r="W143" t="e">
        <f t="shared" si="111"/>
        <v>#N/A</v>
      </c>
      <c r="X143" t="e">
        <f t="shared" si="112"/>
        <v>#N/A</v>
      </c>
      <c r="Y143" t="e">
        <f t="shared" si="113"/>
        <v>#N/A</v>
      </c>
      <c r="Z143" t="e">
        <f t="shared" si="114"/>
        <v>#N/A</v>
      </c>
      <c r="AA143" t="e">
        <f t="shared" si="115"/>
        <v>#N/A</v>
      </c>
      <c r="AB143" t="e">
        <f t="shared" si="116"/>
        <v>#N/A</v>
      </c>
      <c r="AC143" t="e">
        <f t="shared" si="117"/>
        <v>#N/A</v>
      </c>
      <c r="AD143" t="e">
        <f t="shared" si="118"/>
        <v>#N/A</v>
      </c>
      <c r="AE143" t="e">
        <f t="shared" si="119"/>
        <v>#N/A</v>
      </c>
      <c r="AF143" t="e">
        <f t="shared" si="120"/>
        <v>#N/A</v>
      </c>
      <c r="AG143" t="e">
        <f t="shared" si="121"/>
        <v>#N/A</v>
      </c>
      <c r="AH143" t="e">
        <f t="shared" si="122"/>
        <v>#N/A</v>
      </c>
      <c r="AI143" t="e">
        <f t="shared" si="123"/>
        <v>#N/A</v>
      </c>
      <c r="AJ143" t="e">
        <f t="shared" si="124"/>
        <v>#N/A</v>
      </c>
    </row>
    <row r="144" spans="1:36" x14ac:dyDescent="0.25">
      <c r="A144" s="2"/>
      <c r="L144" t="e">
        <f t="shared" si="100"/>
        <v>#N/A</v>
      </c>
      <c r="M144" t="e">
        <f t="shared" si="101"/>
        <v>#N/A</v>
      </c>
      <c r="N144" t="e">
        <f t="shared" si="102"/>
        <v>#N/A</v>
      </c>
      <c r="O144">
        <f t="shared" si="103"/>
        <v>0</v>
      </c>
      <c r="P144">
        <f t="shared" si="104"/>
        <v>0</v>
      </c>
      <c r="Q144">
        <f t="shared" si="105"/>
        <v>0</v>
      </c>
      <c r="R144">
        <f t="shared" si="106"/>
        <v>0</v>
      </c>
      <c r="S144">
        <f t="shared" si="107"/>
        <v>0</v>
      </c>
      <c r="T144">
        <f t="shared" si="108"/>
        <v>0</v>
      </c>
      <c r="U144" t="e">
        <f t="shared" si="109"/>
        <v>#N/A</v>
      </c>
      <c r="V144" t="e">
        <f t="shared" si="110"/>
        <v>#N/A</v>
      </c>
      <c r="W144" t="e">
        <f t="shared" si="111"/>
        <v>#N/A</v>
      </c>
      <c r="X144" t="e">
        <f t="shared" si="112"/>
        <v>#N/A</v>
      </c>
      <c r="Y144" t="e">
        <f t="shared" si="113"/>
        <v>#N/A</v>
      </c>
      <c r="Z144" t="e">
        <f t="shared" si="114"/>
        <v>#N/A</v>
      </c>
      <c r="AA144" t="e">
        <f t="shared" si="115"/>
        <v>#N/A</v>
      </c>
      <c r="AB144" t="e">
        <f t="shared" si="116"/>
        <v>#N/A</v>
      </c>
      <c r="AC144" t="e">
        <f t="shared" si="117"/>
        <v>#N/A</v>
      </c>
      <c r="AD144" t="e">
        <f t="shared" si="118"/>
        <v>#N/A</v>
      </c>
      <c r="AE144" t="e">
        <f t="shared" si="119"/>
        <v>#N/A</v>
      </c>
      <c r="AF144" t="e">
        <f t="shared" si="120"/>
        <v>#N/A</v>
      </c>
      <c r="AG144" t="e">
        <f t="shared" si="121"/>
        <v>#N/A</v>
      </c>
      <c r="AH144" t="e">
        <f t="shared" si="122"/>
        <v>#N/A</v>
      </c>
      <c r="AI144" t="e">
        <f t="shared" si="123"/>
        <v>#N/A</v>
      </c>
      <c r="AJ144" t="e">
        <f t="shared" si="124"/>
        <v>#N/A</v>
      </c>
    </row>
    <row r="145" spans="1:36" x14ac:dyDescent="0.25">
      <c r="A145" s="2"/>
      <c r="L145" t="e">
        <f t="shared" si="100"/>
        <v>#N/A</v>
      </c>
      <c r="M145" t="e">
        <f t="shared" si="101"/>
        <v>#N/A</v>
      </c>
      <c r="N145" t="e">
        <f t="shared" si="102"/>
        <v>#N/A</v>
      </c>
      <c r="O145">
        <f t="shared" si="103"/>
        <v>0</v>
      </c>
      <c r="P145">
        <f t="shared" si="104"/>
        <v>0</v>
      </c>
      <c r="Q145">
        <f t="shared" si="105"/>
        <v>0</v>
      </c>
      <c r="R145">
        <f t="shared" si="106"/>
        <v>0</v>
      </c>
      <c r="S145">
        <f t="shared" si="107"/>
        <v>0</v>
      </c>
      <c r="T145">
        <f t="shared" si="108"/>
        <v>0</v>
      </c>
      <c r="U145" t="e">
        <f t="shared" si="109"/>
        <v>#N/A</v>
      </c>
      <c r="V145" t="e">
        <f t="shared" si="110"/>
        <v>#N/A</v>
      </c>
      <c r="W145" t="e">
        <f t="shared" si="111"/>
        <v>#N/A</v>
      </c>
      <c r="X145" t="e">
        <f t="shared" si="112"/>
        <v>#N/A</v>
      </c>
      <c r="Y145" t="e">
        <f t="shared" si="113"/>
        <v>#N/A</v>
      </c>
      <c r="Z145" t="e">
        <f t="shared" si="114"/>
        <v>#N/A</v>
      </c>
      <c r="AA145" t="e">
        <f t="shared" si="115"/>
        <v>#N/A</v>
      </c>
      <c r="AB145" t="e">
        <f t="shared" si="116"/>
        <v>#N/A</v>
      </c>
      <c r="AC145" t="e">
        <f t="shared" si="117"/>
        <v>#N/A</v>
      </c>
      <c r="AD145" t="e">
        <f t="shared" si="118"/>
        <v>#N/A</v>
      </c>
      <c r="AE145" t="e">
        <f t="shared" si="119"/>
        <v>#N/A</v>
      </c>
      <c r="AF145" t="e">
        <f t="shared" si="120"/>
        <v>#N/A</v>
      </c>
      <c r="AG145" t="e">
        <f t="shared" si="121"/>
        <v>#N/A</v>
      </c>
      <c r="AH145" t="e">
        <f t="shared" si="122"/>
        <v>#N/A</v>
      </c>
      <c r="AI145" t="e">
        <f t="shared" si="123"/>
        <v>#N/A</v>
      </c>
      <c r="AJ145" t="e">
        <f t="shared" si="124"/>
        <v>#N/A</v>
      </c>
    </row>
    <row r="146" spans="1:36" x14ac:dyDescent="0.25">
      <c r="A146" s="2"/>
      <c r="L146" t="e">
        <f t="shared" si="100"/>
        <v>#N/A</v>
      </c>
      <c r="M146" t="e">
        <f t="shared" si="101"/>
        <v>#N/A</v>
      </c>
      <c r="N146" t="e">
        <f t="shared" si="102"/>
        <v>#N/A</v>
      </c>
      <c r="O146">
        <f t="shared" si="103"/>
        <v>0</v>
      </c>
      <c r="P146">
        <f t="shared" si="104"/>
        <v>0</v>
      </c>
      <c r="Q146">
        <f t="shared" si="105"/>
        <v>0</v>
      </c>
      <c r="R146">
        <f t="shared" si="106"/>
        <v>0</v>
      </c>
      <c r="S146">
        <f t="shared" si="107"/>
        <v>0</v>
      </c>
      <c r="T146">
        <f t="shared" si="108"/>
        <v>0</v>
      </c>
      <c r="U146" t="e">
        <f t="shared" si="109"/>
        <v>#N/A</v>
      </c>
      <c r="V146" t="e">
        <f t="shared" si="110"/>
        <v>#N/A</v>
      </c>
      <c r="W146" t="e">
        <f t="shared" si="111"/>
        <v>#N/A</v>
      </c>
      <c r="X146" t="e">
        <f t="shared" si="112"/>
        <v>#N/A</v>
      </c>
      <c r="Y146" t="e">
        <f t="shared" si="113"/>
        <v>#N/A</v>
      </c>
      <c r="Z146" t="e">
        <f t="shared" si="114"/>
        <v>#N/A</v>
      </c>
      <c r="AA146" t="e">
        <f t="shared" si="115"/>
        <v>#N/A</v>
      </c>
      <c r="AB146" t="e">
        <f t="shared" si="116"/>
        <v>#N/A</v>
      </c>
      <c r="AC146" t="e">
        <f t="shared" si="117"/>
        <v>#N/A</v>
      </c>
      <c r="AD146" t="e">
        <f t="shared" si="118"/>
        <v>#N/A</v>
      </c>
      <c r="AE146" t="e">
        <f t="shared" si="119"/>
        <v>#N/A</v>
      </c>
      <c r="AF146" t="e">
        <f t="shared" si="120"/>
        <v>#N/A</v>
      </c>
      <c r="AG146" t="e">
        <f t="shared" si="121"/>
        <v>#N/A</v>
      </c>
      <c r="AH146" t="e">
        <f t="shared" si="122"/>
        <v>#N/A</v>
      </c>
      <c r="AI146" t="e">
        <f t="shared" si="123"/>
        <v>#N/A</v>
      </c>
      <c r="AJ146" t="e">
        <f t="shared" si="124"/>
        <v>#N/A</v>
      </c>
    </row>
    <row r="147" spans="1:36" x14ac:dyDescent="0.25">
      <c r="A147" s="2"/>
      <c r="L147" t="e">
        <f t="shared" si="100"/>
        <v>#N/A</v>
      </c>
      <c r="M147" t="e">
        <f t="shared" si="101"/>
        <v>#N/A</v>
      </c>
      <c r="N147" t="e">
        <f t="shared" si="102"/>
        <v>#N/A</v>
      </c>
      <c r="O147">
        <f t="shared" si="103"/>
        <v>0</v>
      </c>
      <c r="P147">
        <f t="shared" si="104"/>
        <v>0</v>
      </c>
      <c r="Q147">
        <f t="shared" si="105"/>
        <v>0</v>
      </c>
      <c r="R147">
        <f t="shared" si="106"/>
        <v>0</v>
      </c>
      <c r="S147">
        <f t="shared" si="107"/>
        <v>0</v>
      </c>
      <c r="T147">
        <f t="shared" si="108"/>
        <v>0</v>
      </c>
      <c r="U147" t="e">
        <f t="shared" si="109"/>
        <v>#N/A</v>
      </c>
      <c r="V147" t="e">
        <f t="shared" si="110"/>
        <v>#N/A</v>
      </c>
      <c r="W147" t="e">
        <f t="shared" si="111"/>
        <v>#N/A</v>
      </c>
      <c r="X147" t="e">
        <f t="shared" si="112"/>
        <v>#N/A</v>
      </c>
      <c r="Y147" t="e">
        <f t="shared" si="113"/>
        <v>#N/A</v>
      </c>
      <c r="Z147" t="e">
        <f t="shared" si="114"/>
        <v>#N/A</v>
      </c>
      <c r="AA147" t="e">
        <f t="shared" si="115"/>
        <v>#N/A</v>
      </c>
      <c r="AB147" t="e">
        <f t="shared" si="116"/>
        <v>#N/A</v>
      </c>
      <c r="AC147" t="e">
        <f t="shared" si="117"/>
        <v>#N/A</v>
      </c>
      <c r="AD147" t="e">
        <f t="shared" si="118"/>
        <v>#N/A</v>
      </c>
      <c r="AE147" t="e">
        <f t="shared" si="119"/>
        <v>#N/A</v>
      </c>
      <c r="AF147" t="e">
        <f t="shared" si="120"/>
        <v>#N/A</v>
      </c>
      <c r="AG147" t="e">
        <f t="shared" si="121"/>
        <v>#N/A</v>
      </c>
      <c r="AH147" t="e">
        <f t="shared" si="122"/>
        <v>#N/A</v>
      </c>
      <c r="AI147" t="e">
        <f t="shared" si="123"/>
        <v>#N/A</v>
      </c>
      <c r="AJ147" t="e">
        <f t="shared" si="124"/>
        <v>#N/A</v>
      </c>
    </row>
    <row r="148" spans="1:36" x14ac:dyDescent="0.25">
      <c r="A148" s="2"/>
      <c r="L148" t="e">
        <f t="shared" si="100"/>
        <v>#N/A</v>
      </c>
      <c r="M148" t="e">
        <f t="shared" si="101"/>
        <v>#N/A</v>
      </c>
      <c r="N148" t="e">
        <f t="shared" si="102"/>
        <v>#N/A</v>
      </c>
      <c r="O148">
        <f t="shared" si="103"/>
        <v>0</v>
      </c>
      <c r="P148">
        <f t="shared" si="104"/>
        <v>0</v>
      </c>
      <c r="Q148">
        <f t="shared" si="105"/>
        <v>0</v>
      </c>
      <c r="R148">
        <f t="shared" si="106"/>
        <v>0</v>
      </c>
      <c r="S148">
        <f t="shared" si="107"/>
        <v>0</v>
      </c>
      <c r="T148">
        <f t="shared" si="108"/>
        <v>0</v>
      </c>
      <c r="U148" t="e">
        <f t="shared" si="109"/>
        <v>#N/A</v>
      </c>
      <c r="V148" t="e">
        <f t="shared" si="110"/>
        <v>#N/A</v>
      </c>
      <c r="W148" t="e">
        <f t="shared" si="111"/>
        <v>#N/A</v>
      </c>
      <c r="X148" t="e">
        <f t="shared" si="112"/>
        <v>#N/A</v>
      </c>
      <c r="Y148" t="e">
        <f t="shared" si="113"/>
        <v>#N/A</v>
      </c>
      <c r="Z148" t="e">
        <f t="shared" si="114"/>
        <v>#N/A</v>
      </c>
      <c r="AA148" t="e">
        <f t="shared" si="115"/>
        <v>#N/A</v>
      </c>
      <c r="AB148" t="e">
        <f t="shared" si="116"/>
        <v>#N/A</v>
      </c>
      <c r="AC148" t="e">
        <f t="shared" si="117"/>
        <v>#N/A</v>
      </c>
      <c r="AD148" t="e">
        <f t="shared" si="118"/>
        <v>#N/A</v>
      </c>
      <c r="AE148" t="e">
        <f t="shared" si="119"/>
        <v>#N/A</v>
      </c>
      <c r="AF148" t="e">
        <f t="shared" si="120"/>
        <v>#N/A</v>
      </c>
      <c r="AG148" t="e">
        <f t="shared" si="121"/>
        <v>#N/A</v>
      </c>
      <c r="AH148" t="e">
        <f t="shared" si="122"/>
        <v>#N/A</v>
      </c>
      <c r="AI148" t="e">
        <f t="shared" si="123"/>
        <v>#N/A</v>
      </c>
      <c r="AJ148" t="e">
        <f t="shared" si="124"/>
        <v>#N/A</v>
      </c>
    </row>
    <row r="149" spans="1:36" x14ac:dyDescent="0.25">
      <c r="A149" s="2"/>
      <c r="L149" t="e">
        <f t="shared" si="100"/>
        <v>#N/A</v>
      </c>
      <c r="M149" t="e">
        <f t="shared" si="101"/>
        <v>#N/A</v>
      </c>
      <c r="N149" t="e">
        <f t="shared" si="102"/>
        <v>#N/A</v>
      </c>
      <c r="O149">
        <f t="shared" si="103"/>
        <v>0</v>
      </c>
      <c r="P149">
        <f t="shared" si="104"/>
        <v>0</v>
      </c>
      <c r="Q149">
        <f t="shared" si="105"/>
        <v>0</v>
      </c>
      <c r="R149">
        <f t="shared" si="106"/>
        <v>0</v>
      </c>
      <c r="S149">
        <f t="shared" si="107"/>
        <v>0</v>
      </c>
      <c r="T149">
        <f t="shared" si="108"/>
        <v>0</v>
      </c>
      <c r="U149" t="e">
        <f t="shared" si="109"/>
        <v>#N/A</v>
      </c>
      <c r="V149" t="e">
        <f t="shared" si="110"/>
        <v>#N/A</v>
      </c>
      <c r="W149" t="e">
        <f t="shared" si="111"/>
        <v>#N/A</v>
      </c>
      <c r="X149" t="e">
        <f t="shared" si="112"/>
        <v>#N/A</v>
      </c>
      <c r="Y149" t="e">
        <f t="shared" si="113"/>
        <v>#N/A</v>
      </c>
      <c r="Z149" t="e">
        <f t="shared" si="114"/>
        <v>#N/A</v>
      </c>
      <c r="AA149" t="e">
        <f t="shared" si="115"/>
        <v>#N/A</v>
      </c>
      <c r="AB149" t="e">
        <f t="shared" si="116"/>
        <v>#N/A</v>
      </c>
      <c r="AC149" t="e">
        <f t="shared" si="117"/>
        <v>#N/A</v>
      </c>
      <c r="AD149" t="e">
        <f t="shared" si="118"/>
        <v>#N/A</v>
      </c>
      <c r="AE149" t="e">
        <f t="shared" si="119"/>
        <v>#N/A</v>
      </c>
      <c r="AF149" t="e">
        <f t="shared" si="120"/>
        <v>#N/A</v>
      </c>
      <c r="AG149" t="e">
        <f t="shared" si="121"/>
        <v>#N/A</v>
      </c>
      <c r="AH149" t="e">
        <f t="shared" si="122"/>
        <v>#N/A</v>
      </c>
      <c r="AI149" t="e">
        <f t="shared" si="123"/>
        <v>#N/A</v>
      </c>
      <c r="AJ149" t="e">
        <f t="shared" si="124"/>
        <v>#N/A</v>
      </c>
    </row>
    <row r="150" spans="1:36" x14ac:dyDescent="0.25">
      <c r="A150" s="2"/>
      <c r="L150" t="e">
        <f t="shared" si="100"/>
        <v>#N/A</v>
      </c>
      <c r="M150" t="e">
        <f t="shared" si="101"/>
        <v>#N/A</v>
      </c>
      <c r="N150" t="e">
        <f t="shared" si="102"/>
        <v>#N/A</v>
      </c>
      <c r="O150">
        <f t="shared" si="103"/>
        <v>0</v>
      </c>
      <c r="P150">
        <f t="shared" si="104"/>
        <v>0</v>
      </c>
      <c r="Q150">
        <f t="shared" si="105"/>
        <v>0</v>
      </c>
      <c r="R150">
        <f t="shared" si="106"/>
        <v>0</v>
      </c>
      <c r="S150">
        <f t="shared" si="107"/>
        <v>0</v>
      </c>
      <c r="T150">
        <f t="shared" si="108"/>
        <v>0</v>
      </c>
      <c r="U150" t="e">
        <f t="shared" si="109"/>
        <v>#N/A</v>
      </c>
      <c r="V150" t="e">
        <f t="shared" si="110"/>
        <v>#N/A</v>
      </c>
      <c r="W150" t="e">
        <f t="shared" si="111"/>
        <v>#N/A</v>
      </c>
      <c r="X150" t="e">
        <f t="shared" si="112"/>
        <v>#N/A</v>
      </c>
      <c r="Y150" t="e">
        <f t="shared" si="113"/>
        <v>#N/A</v>
      </c>
      <c r="Z150" t="e">
        <f t="shared" si="114"/>
        <v>#N/A</v>
      </c>
      <c r="AA150" t="e">
        <f t="shared" si="115"/>
        <v>#N/A</v>
      </c>
      <c r="AB150" t="e">
        <f t="shared" si="116"/>
        <v>#N/A</v>
      </c>
      <c r="AC150" t="e">
        <f t="shared" si="117"/>
        <v>#N/A</v>
      </c>
      <c r="AD150" t="e">
        <f t="shared" si="118"/>
        <v>#N/A</v>
      </c>
      <c r="AE150" t="e">
        <f t="shared" si="119"/>
        <v>#N/A</v>
      </c>
      <c r="AF150" t="e">
        <f t="shared" si="120"/>
        <v>#N/A</v>
      </c>
      <c r="AG150" t="e">
        <f t="shared" si="121"/>
        <v>#N/A</v>
      </c>
      <c r="AH150" t="e">
        <f t="shared" si="122"/>
        <v>#N/A</v>
      </c>
      <c r="AI150" t="e">
        <f t="shared" si="123"/>
        <v>#N/A</v>
      </c>
      <c r="AJ150" t="e">
        <f t="shared" si="124"/>
        <v>#N/A</v>
      </c>
    </row>
    <row r="151" spans="1:36" x14ac:dyDescent="0.25">
      <c r="A151" s="2"/>
      <c r="L151" t="e">
        <f t="shared" si="100"/>
        <v>#N/A</v>
      </c>
      <c r="M151" t="e">
        <f t="shared" si="101"/>
        <v>#N/A</v>
      </c>
      <c r="N151" t="e">
        <f t="shared" si="102"/>
        <v>#N/A</v>
      </c>
      <c r="O151">
        <f t="shared" si="103"/>
        <v>0</v>
      </c>
      <c r="P151">
        <f t="shared" si="104"/>
        <v>0</v>
      </c>
      <c r="Q151">
        <f t="shared" si="105"/>
        <v>0</v>
      </c>
      <c r="R151">
        <f t="shared" si="106"/>
        <v>0</v>
      </c>
      <c r="S151">
        <f t="shared" si="107"/>
        <v>0</v>
      </c>
      <c r="T151">
        <f t="shared" si="108"/>
        <v>0</v>
      </c>
      <c r="U151" t="e">
        <f t="shared" si="109"/>
        <v>#N/A</v>
      </c>
      <c r="V151" t="e">
        <f t="shared" si="110"/>
        <v>#N/A</v>
      </c>
      <c r="W151" t="e">
        <f t="shared" si="111"/>
        <v>#N/A</v>
      </c>
      <c r="X151" t="e">
        <f t="shared" si="112"/>
        <v>#N/A</v>
      </c>
      <c r="Y151" t="e">
        <f t="shared" si="113"/>
        <v>#N/A</v>
      </c>
      <c r="Z151" t="e">
        <f t="shared" si="114"/>
        <v>#N/A</v>
      </c>
      <c r="AA151" t="e">
        <f t="shared" si="115"/>
        <v>#N/A</v>
      </c>
      <c r="AB151" t="e">
        <f t="shared" si="116"/>
        <v>#N/A</v>
      </c>
      <c r="AC151" t="e">
        <f t="shared" si="117"/>
        <v>#N/A</v>
      </c>
      <c r="AD151" t="e">
        <f t="shared" si="118"/>
        <v>#N/A</v>
      </c>
      <c r="AE151" t="e">
        <f t="shared" si="119"/>
        <v>#N/A</v>
      </c>
      <c r="AF151" t="e">
        <f t="shared" si="120"/>
        <v>#N/A</v>
      </c>
      <c r="AG151" t="e">
        <f t="shared" si="121"/>
        <v>#N/A</v>
      </c>
      <c r="AH151" t="e">
        <f t="shared" si="122"/>
        <v>#N/A</v>
      </c>
      <c r="AI151" t="e">
        <f t="shared" si="123"/>
        <v>#N/A</v>
      </c>
      <c r="AJ151" t="e">
        <f t="shared" si="124"/>
        <v>#N/A</v>
      </c>
    </row>
    <row r="152" spans="1:36" x14ac:dyDescent="0.25">
      <c r="A152" s="2"/>
      <c r="L152" t="e">
        <f t="shared" si="100"/>
        <v>#N/A</v>
      </c>
      <c r="M152" t="e">
        <f t="shared" si="101"/>
        <v>#N/A</v>
      </c>
      <c r="N152" t="e">
        <f t="shared" si="102"/>
        <v>#N/A</v>
      </c>
      <c r="O152">
        <f t="shared" si="103"/>
        <v>0</v>
      </c>
      <c r="P152">
        <f t="shared" si="104"/>
        <v>0</v>
      </c>
      <c r="Q152">
        <f t="shared" si="105"/>
        <v>0</v>
      </c>
      <c r="R152">
        <f t="shared" si="106"/>
        <v>0</v>
      </c>
      <c r="S152">
        <f t="shared" si="107"/>
        <v>0</v>
      </c>
      <c r="T152">
        <f t="shared" si="108"/>
        <v>0</v>
      </c>
      <c r="U152" t="e">
        <f t="shared" si="109"/>
        <v>#N/A</v>
      </c>
      <c r="V152" t="e">
        <f t="shared" si="110"/>
        <v>#N/A</v>
      </c>
      <c r="W152" t="e">
        <f t="shared" si="111"/>
        <v>#N/A</v>
      </c>
      <c r="X152" t="e">
        <f t="shared" si="112"/>
        <v>#N/A</v>
      </c>
      <c r="Y152" t="e">
        <f t="shared" si="113"/>
        <v>#N/A</v>
      </c>
      <c r="Z152" t="e">
        <f t="shared" si="114"/>
        <v>#N/A</v>
      </c>
      <c r="AA152" t="e">
        <f t="shared" si="115"/>
        <v>#N/A</v>
      </c>
      <c r="AB152" t="e">
        <f t="shared" si="116"/>
        <v>#N/A</v>
      </c>
      <c r="AC152" t="e">
        <f t="shared" si="117"/>
        <v>#N/A</v>
      </c>
      <c r="AD152" t="e">
        <f t="shared" si="118"/>
        <v>#N/A</v>
      </c>
      <c r="AE152" t="e">
        <f t="shared" si="119"/>
        <v>#N/A</v>
      </c>
      <c r="AF152" t="e">
        <f t="shared" si="120"/>
        <v>#N/A</v>
      </c>
      <c r="AG152" t="e">
        <f t="shared" si="121"/>
        <v>#N/A</v>
      </c>
      <c r="AH152" t="e">
        <f t="shared" si="122"/>
        <v>#N/A</v>
      </c>
      <c r="AI152" t="e">
        <f t="shared" si="123"/>
        <v>#N/A</v>
      </c>
      <c r="AJ152" t="e">
        <f t="shared" si="124"/>
        <v>#N/A</v>
      </c>
    </row>
    <row r="153" spans="1:36" x14ac:dyDescent="0.25">
      <c r="A153" s="2"/>
      <c r="L153" t="e">
        <f t="shared" si="100"/>
        <v>#N/A</v>
      </c>
      <c r="M153" t="e">
        <f t="shared" si="101"/>
        <v>#N/A</v>
      </c>
      <c r="N153" t="e">
        <f t="shared" si="102"/>
        <v>#N/A</v>
      </c>
      <c r="O153">
        <f t="shared" si="103"/>
        <v>0</v>
      </c>
      <c r="P153">
        <f t="shared" si="104"/>
        <v>0</v>
      </c>
      <c r="Q153">
        <f t="shared" si="105"/>
        <v>0</v>
      </c>
      <c r="R153">
        <f t="shared" si="106"/>
        <v>0</v>
      </c>
      <c r="S153">
        <f t="shared" si="107"/>
        <v>0</v>
      </c>
      <c r="T153">
        <f t="shared" si="108"/>
        <v>0</v>
      </c>
      <c r="U153" t="e">
        <f t="shared" si="109"/>
        <v>#N/A</v>
      </c>
      <c r="V153" t="e">
        <f t="shared" si="110"/>
        <v>#N/A</v>
      </c>
      <c r="W153" t="e">
        <f t="shared" si="111"/>
        <v>#N/A</v>
      </c>
      <c r="X153" t="e">
        <f t="shared" si="112"/>
        <v>#N/A</v>
      </c>
      <c r="Y153" t="e">
        <f t="shared" si="113"/>
        <v>#N/A</v>
      </c>
      <c r="Z153" t="e">
        <f t="shared" si="114"/>
        <v>#N/A</v>
      </c>
      <c r="AA153" t="e">
        <f t="shared" si="115"/>
        <v>#N/A</v>
      </c>
      <c r="AB153" t="e">
        <f t="shared" si="116"/>
        <v>#N/A</v>
      </c>
      <c r="AC153" t="e">
        <f t="shared" si="117"/>
        <v>#N/A</v>
      </c>
      <c r="AD153" t="e">
        <f t="shared" si="118"/>
        <v>#N/A</v>
      </c>
      <c r="AE153" t="e">
        <f t="shared" si="119"/>
        <v>#N/A</v>
      </c>
      <c r="AF153" t="e">
        <f t="shared" si="120"/>
        <v>#N/A</v>
      </c>
      <c r="AG153" t="e">
        <f t="shared" si="121"/>
        <v>#N/A</v>
      </c>
      <c r="AH153" t="e">
        <f t="shared" si="122"/>
        <v>#N/A</v>
      </c>
      <c r="AI153" t="e">
        <f t="shared" si="123"/>
        <v>#N/A</v>
      </c>
      <c r="AJ153" t="e">
        <f t="shared" si="124"/>
        <v>#N/A</v>
      </c>
    </row>
    <row r="154" spans="1:36" x14ac:dyDescent="0.25">
      <c r="A154" s="2"/>
      <c r="L154" t="e">
        <f t="shared" si="100"/>
        <v>#N/A</v>
      </c>
      <c r="M154" t="e">
        <f t="shared" si="101"/>
        <v>#N/A</v>
      </c>
      <c r="N154" t="e">
        <f t="shared" si="102"/>
        <v>#N/A</v>
      </c>
      <c r="O154">
        <f t="shared" si="103"/>
        <v>0</v>
      </c>
      <c r="P154">
        <f t="shared" si="104"/>
        <v>0</v>
      </c>
      <c r="Q154">
        <f t="shared" si="105"/>
        <v>0</v>
      </c>
      <c r="R154">
        <f t="shared" si="106"/>
        <v>0</v>
      </c>
      <c r="S154">
        <f t="shared" si="107"/>
        <v>0</v>
      </c>
      <c r="T154">
        <f t="shared" si="108"/>
        <v>0</v>
      </c>
      <c r="U154" t="e">
        <f t="shared" si="109"/>
        <v>#N/A</v>
      </c>
      <c r="V154" t="e">
        <f t="shared" si="110"/>
        <v>#N/A</v>
      </c>
      <c r="W154" t="e">
        <f t="shared" si="111"/>
        <v>#N/A</v>
      </c>
      <c r="X154" t="e">
        <f t="shared" si="112"/>
        <v>#N/A</v>
      </c>
      <c r="Y154" t="e">
        <f t="shared" si="113"/>
        <v>#N/A</v>
      </c>
      <c r="Z154" t="e">
        <f t="shared" si="114"/>
        <v>#N/A</v>
      </c>
      <c r="AA154" t="e">
        <f t="shared" si="115"/>
        <v>#N/A</v>
      </c>
      <c r="AB154" t="e">
        <f t="shared" si="116"/>
        <v>#N/A</v>
      </c>
      <c r="AC154" t="e">
        <f t="shared" si="117"/>
        <v>#N/A</v>
      </c>
      <c r="AD154" t="e">
        <f t="shared" si="118"/>
        <v>#N/A</v>
      </c>
      <c r="AE154" t="e">
        <f t="shared" si="119"/>
        <v>#N/A</v>
      </c>
      <c r="AF154" t="e">
        <f t="shared" si="120"/>
        <v>#N/A</v>
      </c>
      <c r="AG154" t="e">
        <f t="shared" si="121"/>
        <v>#N/A</v>
      </c>
      <c r="AH154" t="e">
        <f t="shared" si="122"/>
        <v>#N/A</v>
      </c>
      <c r="AI154" t="e">
        <f t="shared" si="123"/>
        <v>#N/A</v>
      </c>
      <c r="AJ154" t="e">
        <f t="shared" si="124"/>
        <v>#N/A</v>
      </c>
    </row>
    <row r="155" spans="1:36" x14ac:dyDescent="0.25">
      <c r="A155" s="2"/>
      <c r="L155" t="e">
        <f t="shared" si="100"/>
        <v>#N/A</v>
      </c>
      <c r="M155" t="e">
        <f t="shared" si="101"/>
        <v>#N/A</v>
      </c>
      <c r="N155" t="e">
        <f t="shared" si="102"/>
        <v>#N/A</v>
      </c>
      <c r="O155">
        <f t="shared" si="103"/>
        <v>0</v>
      </c>
      <c r="P155">
        <f t="shared" si="104"/>
        <v>0</v>
      </c>
      <c r="Q155">
        <f t="shared" si="105"/>
        <v>0</v>
      </c>
      <c r="R155">
        <f t="shared" si="106"/>
        <v>0</v>
      </c>
      <c r="S155">
        <f t="shared" si="107"/>
        <v>0</v>
      </c>
      <c r="T155">
        <f t="shared" si="108"/>
        <v>0</v>
      </c>
      <c r="U155" t="e">
        <f t="shared" si="109"/>
        <v>#N/A</v>
      </c>
      <c r="V155" t="e">
        <f t="shared" si="110"/>
        <v>#N/A</v>
      </c>
      <c r="W155" t="e">
        <f t="shared" si="111"/>
        <v>#N/A</v>
      </c>
      <c r="X155" t="e">
        <f t="shared" si="112"/>
        <v>#N/A</v>
      </c>
      <c r="Y155" t="e">
        <f t="shared" si="113"/>
        <v>#N/A</v>
      </c>
      <c r="Z155" t="e">
        <f t="shared" si="114"/>
        <v>#N/A</v>
      </c>
      <c r="AA155" t="e">
        <f t="shared" si="115"/>
        <v>#N/A</v>
      </c>
      <c r="AB155" t="e">
        <f t="shared" si="116"/>
        <v>#N/A</v>
      </c>
      <c r="AC155" t="e">
        <f t="shared" si="117"/>
        <v>#N/A</v>
      </c>
      <c r="AD155" t="e">
        <f t="shared" si="118"/>
        <v>#N/A</v>
      </c>
      <c r="AE155" t="e">
        <f t="shared" si="119"/>
        <v>#N/A</v>
      </c>
      <c r="AF155" t="e">
        <f t="shared" si="120"/>
        <v>#N/A</v>
      </c>
      <c r="AG155" t="e">
        <f t="shared" si="121"/>
        <v>#N/A</v>
      </c>
      <c r="AH155" t="e">
        <f t="shared" si="122"/>
        <v>#N/A</v>
      </c>
      <c r="AI155" t="e">
        <f t="shared" si="123"/>
        <v>#N/A</v>
      </c>
      <c r="AJ155" t="e">
        <f t="shared" si="124"/>
        <v>#N/A</v>
      </c>
    </row>
    <row r="156" spans="1:36" x14ac:dyDescent="0.25">
      <c r="A156" s="2"/>
      <c r="L156" t="e">
        <f t="shared" si="100"/>
        <v>#N/A</v>
      </c>
      <c r="M156" t="e">
        <f t="shared" si="101"/>
        <v>#N/A</v>
      </c>
      <c r="N156" t="e">
        <f t="shared" si="102"/>
        <v>#N/A</v>
      </c>
      <c r="O156">
        <f t="shared" si="103"/>
        <v>0</v>
      </c>
      <c r="P156">
        <f t="shared" si="104"/>
        <v>0</v>
      </c>
      <c r="Q156">
        <f t="shared" si="105"/>
        <v>0</v>
      </c>
      <c r="R156">
        <f t="shared" si="106"/>
        <v>0</v>
      </c>
      <c r="S156">
        <f t="shared" si="107"/>
        <v>0</v>
      </c>
      <c r="T156">
        <f t="shared" si="108"/>
        <v>0</v>
      </c>
      <c r="U156" t="e">
        <f t="shared" si="109"/>
        <v>#N/A</v>
      </c>
      <c r="V156" t="e">
        <f t="shared" si="110"/>
        <v>#N/A</v>
      </c>
      <c r="W156" t="e">
        <f t="shared" si="111"/>
        <v>#N/A</v>
      </c>
      <c r="X156" t="e">
        <f t="shared" si="112"/>
        <v>#N/A</v>
      </c>
      <c r="Y156" t="e">
        <f t="shared" si="113"/>
        <v>#N/A</v>
      </c>
      <c r="Z156" t="e">
        <f t="shared" si="114"/>
        <v>#N/A</v>
      </c>
      <c r="AA156" t="e">
        <f t="shared" si="115"/>
        <v>#N/A</v>
      </c>
      <c r="AB156" t="e">
        <f t="shared" si="116"/>
        <v>#N/A</v>
      </c>
      <c r="AC156" t="e">
        <f t="shared" si="117"/>
        <v>#N/A</v>
      </c>
      <c r="AD156" t="e">
        <f t="shared" si="118"/>
        <v>#N/A</v>
      </c>
      <c r="AE156" t="e">
        <f t="shared" si="119"/>
        <v>#N/A</v>
      </c>
      <c r="AF156" t="e">
        <f t="shared" si="120"/>
        <v>#N/A</v>
      </c>
      <c r="AG156" t="e">
        <f t="shared" si="121"/>
        <v>#N/A</v>
      </c>
      <c r="AH156" t="e">
        <f t="shared" si="122"/>
        <v>#N/A</v>
      </c>
      <c r="AI156" t="e">
        <f t="shared" si="123"/>
        <v>#N/A</v>
      </c>
      <c r="AJ156" t="e">
        <f t="shared" si="124"/>
        <v>#N/A</v>
      </c>
    </row>
    <row r="157" spans="1:36" x14ac:dyDescent="0.25">
      <c r="A157" s="2"/>
      <c r="L157" t="e">
        <f t="shared" si="100"/>
        <v>#N/A</v>
      </c>
      <c r="M157" t="e">
        <f t="shared" si="101"/>
        <v>#N/A</v>
      </c>
      <c r="N157" t="e">
        <f t="shared" si="102"/>
        <v>#N/A</v>
      </c>
      <c r="O157">
        <f t="shared" si="103"/>
        <v>0</v>
      </c>
      <c r="P157">
        <f t="shared" si="104"/>
        <v>0</v>
      </c>
      <c r="Q157">
        <f t="shared" si="105"/>
        <v>0</v>
      </c>
      <c r="R157">
        <f t="shared" si="106"/>
        <v>0</v>
      </c>
      <c r="S157">
        <f t="shared" si="107"/>
        <v>0</v>
      </c>
      <c r="T157">
        <f t="shared" si="108"/>
        <v>0</v>
      </c>
      <c r="U157" t="e">
        <f t="shared" si="109"/>
        <v>#N/A</v>
      </c>
      <c r="V157" t="e">
        <f t="shared" si="110"/>
        <v>#N/A</v>
      </c>
      <c r="W157" t="e">
        <f t="shared" si="111"/>
        <v>#N/A</v>
      </c>
      <c r="X157" t="e">
        <f t="shared" si="112"/>
        <v>#N/A</v>
      </c>
      <c r="Y157" t="e">
        <f t="shared" si="113"/>
        <v>#N/A</v>
      </c>
      <c r="Z157" t="e">
        <f t="shared" si="114"/>
        <v>#N/A</v>
      </c>
      <c r="AA157" t="e">
        <f t="shared" si="115"/>
        <v>#N/A</v>
      </c>
      <c r="AB157" t="e">
        <f t="shared" si="116"/>
        <v>#N/A</v>
      </c>
      <c r="AC157" t="e">
        <f t="shared" si="117"/>
        <v>#N/A</v>
      </c>
      <c r="AD157" t="e">
        <f t="shared" si="118"/>
        <v>#N/A</v>
      </c>
      <c r="AE157" t="e">
        <f t="shared" si="119"/>
        <v>#N/A</v>
      </c>
      <c r="AF157" t="e">
        <f t="shared" si="120"/>
        <v>#N/A</v>
      </c>
      <c r="AG157" t="e">
        <f t="shared" si="121"/>
        <v>#N/A</v>
      </c>
      <c r="AH157" t="e">
        <f t="shared" si="122"/>
        <v>#N/A</v>
      </c>
      <c r="AI157" t="e">
        <f t="shared" si="123"/>
        <v>#N/A</v>
      </c>
      <c r="AJ157" t="e">
        <f t="shared" si="124"/>
        <v>#N/A</v>
      </c>
    </row>
    <row r="158" spans="1:36" x14ac:dyDescent="0.25">
      <c r="A158" s="2"/>
      <c r="L158" t="e">
        <f t="shared" si="100"/>
        <v>#N/A</v>
      </c>
      <c r="M158" t="e">
        <f t="shared" si="101"/>
        <v>#N/A</v>
      </c>
      <c r="N158" t="e">
        <f t="shared" si="102"/>
        <v>#N/A</v>
      </c>
      <c r="O158">
        <f t="shared" si="103"/>
        <v>0</v>
      </c>
      <c r="P158">
        <f t="shared" si="104"/>
        <v>0</v>
      </c>
      <c r="Q158">
        <f t="shared" si="105"/>
        <v>0</v>
      </c>
      <c r="R158">
        <f t="shared" si="106"/>
        <v>0</v>
      </c>
      <c r="S158">
        <f t="shared" si="107"/>
        <v>0</v>
      </c>
      <c r="T158">
        <f t="shared" si="108"/>
        <v>0</v>
      </c>
      <c r="U158" t="e">
        <f t="shared" si="109"/>
        <v>#N/A</v>
      </c>
      <c r="V158" t="e">
        <f t="shared" si="110"/>
        <v>#N/A</v>
      </c>
      <c r="W158" t="e">
        <f t="shared" si="111"/>
        <v>#N/A</v>
      </c>
      <c r="X158" t="e">
        <f t="shared" si="112"/>
        <v>#N/A</v>
      </c>
      <c r="Y158" t="e">
        <f t="shared" si="113"/>
        <v>#N/A</v>
      </c>
      <c r="Z158" t="e">
        <f t="shared" si="114"/>
        <v>#N/A</v>
      </c>
      <c r="AA158" t="e">
        <f t="shared" si="115"/>
        <v>#N/A</v>
      </c>
      <c r="AB158" t="e">
        <f t="shared" si="116"/>
        <v>#N/A</v>
      </c>
      <c r="AC158" t="e">
        <f t="shared" si="117"/>
        <v>#N/A</v>
      </c>
      <c r="AD158" t="e">
        <f t="shared" si="118"/>
        <v>#N/A</v>
      </c>
      <c r="AE158" t="e">
        <f t="shared" si="119"/>
        <v>#N/A</v>
      </c>
      <c r="AF158" t="e">
        <f t="shared" si="120"/>
        <v>#N/A</v>
      </c>
      <c r="AG158" t="e">
        <f t="shared" si="121"/>
        <v>#N/A</v>
      </c>
      <c r="AH158" t="e">
        <f t="shared" si="122"/>
        <v>#N/A</v>
      </c>
      <c r="AI158" t="e">
        <f t="shared" si="123"/>
        <v>#N/A</v>
      </c>
      <c r="AJ158" t="e">
        <f t="shared" si="124"/>
        <v>#N/A</v>
      </c>
    </row>
    <row r="159" spans="1:36" x14ac:dyDescent="0.25">
      <c r="A159" s="2"/>
      <c r="L159" t="e">
        <f t="shared" si="100"/>
        <v>#N/A</v>
      </c>
      <c r="M159" t="e">
        <f t="shared" si="101"/>
        <v>#N/A</v>
      </c>
      <c r="N159" t="e">
        <f t="shared" si="102"/>
        <v>#N/A</v>
      </c>
      <c r="O159">
        <f t="shared" si="103"/>
        <v>0</v>
      </c>
      <c r="P159">
        <f t="shared" si="104"/>
        <v>0</v>
      </c>
      <c r="Q159">
        <f t="shared" si="105"/>
        <v>0</v>
      </c>
      <c r="R159">
        <f t="shared" si="106"/>
        <v>0</v>
      </c>
      <c r="S159">
        <f t="shared" si="107"/>
        <v>0</v>
      </c>
      <c r="T159">
        <f t="shared" si="108"/>
        <v>0</v>
      </c>
      <c r="U159" t="e">
        <f t="shared" si="109"/>
        <v>#N/A</v>
      </c>
      <c r="V159" t="e">
        <f t="shared" si="110"/>
        <v>#N/A</v>
      </c>
      <c r="W159" t="e">
        <f t="shared" si="111"/>
        <v>#N/A</v>
      </c>
      <c r="X159" t="e">
        <f t="shared" si="112"/>
        <v>#N/A</v>
      </c>
      <c r="Y159" t="e">
        <f t="shared" si="113"/>
        <v>#N/A</v>
      </c>
      <c r="Z159" t="e">
        <f t="shared" si="114"/>
        <v>#N/A</v>
      </c>
      <c r="AA159" t="e">
        <f t="shared" si="115"/>
        <v>#N/A</v>
      </c>
      <c r="AB159" t="e">
        <f t="shared" si="116"/>
        <v>#N/A</v>
      </c>
      <c r="AC159" t="e">
        <f t="shared" si="117"/>
        <v>#N/A</v>
      </c>
      <c r="AD159" t="e">
        <f t="shared" si="118"/>
        <v>#N/A</v>
      </c>
      <c r="AE159" t="e">
        <f t="shared" si="119"/>
        <v>#N/A</v>
      </c>
      <c r="AF159" t="e">
        <f t="shared" si="120"/>
        <v>#N/A</v>
      </c>
      <c r="AG159" t="e">
        <f t="shared" si="121"/>
        <v>#N/A</v>
      </c>
      <c r="AH159" t="e">
        <f t="shared" si="122"/>
        <v>#N/A</v>
      </c>
      <c r="AI159" t="e">
        <f t="shared" si="123"/>
        <v>#N/A</v>
      </c>
      <c r="AJ159" t="e">
        <f t="shared" si="124"/>
        <v>#N/A</v>
      </c>
    </row>
    <row r="160" spans="1:36" x14ac:dyDescent="0.25">
      <c r="A160" s="2"/>
      <c r="L160" t="e">
        <f t="shared" si="100"/>
        <v>#N/A</v>
      </c>
      <c r="M160" t="e">
        <f t="shared" si="101"/>
        <v>#N/A</v>
      </c>
      <c r="N160" t="e">
        <f t="shared" si="102"/>
        <v>#N/A</v>
      </c>
      <c r="O160">
        <f t="shared" si="103"/>
        <v>0</v>
      </c>
      <c r="P160">
        <f t="shared" si="104"/>
        <v>0</v>
      </c>
      <c r="Q160">
        <f t="shared" si="105"/>
        <v>0</v>
      </c>
      <c r="R160">
        <f t="shared" si="106"/>
        <v>0</v>
      </c>
      <c r="S160">
        <f t="shared" si="107"/>
        <v>0</v>
      </c>
      <c r="T160">
        <f t="shared" si="108"/>
        <v>0</v>
      </c>
      <c r="U160" t="e">
        <f t="shared" si="109"/>
        <v>#N/A</v>
      </c>
      <c r="V160" t="e">
        <f t="shared" si="110"/>
        <v>#N/A</v>
      </c>
      <c r="W160" t="e">
        <f t="shared" si="111"/>
        <v>#N/A</v>
      </c>
      <c r="X160" t="e">
        <f t="shared" si="112"/>
        <v>#N/A</v>
      </c>
      <c r="Y160" t="e">
        <f t="shared" si="113"/>
        <v>#N/A</v>
      </c>
      <c r="Z160" t="e">
        <f t="shared" si="114"/>
        <v>#N/A</v>
      </c>
      <c r="AA160" t="e">
        <f t="shared" si="115"/>
        <v>#N/A</v>
      </c>
      <c r="AB160" t="e">
        <f t="shared" si="116"/>
        <v>#N/A</v>
      </c>
      <c r="AC160" t="e">
        <f t="shared" si="117"/>
        <v>#N/A</v>
      </c>
      <c r="AD160" t="e">
        <f t="shared" si="118"/>
        <v>#N/A</v>
      </c>
      <c r="AE160" t="e">
        <f t="shared" si="119"/>
        <v>#N/A</v>
      </c>
      <c r="AF160" t="e">
        <f t="shared" si="120"/>
        <v>#N/A</v>
      </c>
      <c r="AG160" t="e">
        <f t="shared" si="121"/>
        <v>#N/A</v>
      </c>
      <c r="AH160" t="e">
        <f t="shared" si="122"/>
        <v>#N/A</v>
      </c>
      <c r="AI160" t="e">
        <f t="shared" si="123"/>
        <v>#N/A</v>
      </c>
      <c r="AJ160" t="e">
        <f t="shared" si="124"/>
        <v>#N/A</v>
      </c>
    </row>
    <row r="161" spans="1:36" x14ac:dyDescent="0.25">
      <c r="A161" s="2"/>
      <c r="L161" t="e">
        <f t="shared" si="100"/>
        <v>#N/A</v>
      </c>
      <c r="M161" t="e">
        <f t="shared" si="101"/>
        <v>#N/A</v>
      </c>
      <c r="N161" t="e">
        <f t="shared" si="102"/>
        <v>#N/A</v>
      </c>
      <c r="O161">
        <f t="shared" si="103"/>
        <v>0</v>
      </c>
      <c r="P161">
        <f t="shared" si="104"/>
        <v>0</v>
      </c>
      <c r="Q161">
        <f t="shared" si="105"/>
        <v>0</v>
      </c>
      <c r="R161">
        <f t="shared" si="106"/>
        <v>0</v>
      </c>
      <c r="S161">
        <f t="shared" si="107"/>
        <v>0</v>
      </c>
      <c r="T161">
        <f t="shared" si="108"/>
        <v>0</v>
      </c>
      <c r="U161" t="e">
        <f t="shared" si="109"/>
        <v>#N/A</v>
      </c>
      <c r="V161" t="e">
        <f t="shared" si="110"/>
        <v>#N/A</v>
      </c>
      <c r="W161" t="e">
        <f t="shared" si="111"/>
        <v>#N/A</v>
      </c>
      <c r="X161" t="e">
        <f t="shared" si="112"/>
        <v>#N/A</v>
      </c>
      <c r="Y161" t="e">
        <f t="shared" si="113"/>
        <v>#N/A</v>
      </c>
      <c r="Z161" t="e">
        <f t="shared" si="114"/>
        <v>#N/A</v>
      </c>
      <c r="AA161" t="e">
        <f t="shared" si="115"/>
        <v>#N/A</v>
      </c>
      <c r="AB161" t="e">
        <f t="shared" si="116"/>
        <v>#N/A</v>
      </c>
      <c r="AC161" t="e">
        <f t="shared" si="117"/>
        <v>#N/A</v>
      </c>
      <c r="AD161" t="e">
        <f t="shared" si="118"/>
        <v>#N/A</v>
      </c>
      <c r="AE161" t="e">
        <f t="shared" si="119"/>
        <v>#N/A</v>
      </c>
      <c r="AF161" t="e">
        <f t="shared" si="120"/>
        <v>#N/A</v>
      </c>
      <c r="AG161" t="e">
        <f t="shared" si="121"/>
        <v>#N/A</v>
      </c>
      <c r="AH161" t="e">
        <f t="shared" si="122"/>
        <v>#N/A</v>
      </c>
      <c r="AI161" t="e">
        <f t="shared" si="123"/>
        <v>#N/A</v>
      </c>
      <c r="AJ161" t="e">
        <f t="shared" si="124"/>
        <v>#N/A</v>
      </c>
    </row>
    <row r="162" spans="1:36" x14ac:dyDescent="0.25">
      <c r="A162" s="2"/>
      <c r="L162" t="e">
        <f t="shared" ref="L162:L193" si="125">IF(ROW()&lt;=5,NA(),IFERROR(100*(B162/INDEX(B:B,ROW()-4)-1),NA()))</f>
        <v>#N/A</v>
      </c>
      <c r="M162" t="e">
        <f t="shared" ref="M162:M193" si="126">IF(ROW()&lt;=5,NA(),IFERROR(100*(C162/INDEX(C:C,ROW()-4)-1),NA()))</f>
        <v>#N/A</v>
      </c>
      <c r="N162" t="e">
        <f t="shared" ref="N162:N193" si="127">IF(ROW()&lt;=5,NA(),IFERROR(100*(D162/INDEX(D:D,ROW()-4)-1),NA()))</f>
        <v>#N/A</v>
      </c>
      <c r="O162">
        <f t="shared" ref="O162:O193" si="128">100*G162</f>
        <v>0</v>
      </c>
      <c r="P162">
        <f t="shared" ref="P162:P193" si="129">100*H162</f>
        <v>0</v>
      </c>
      <c r="Q162">
        <f t="shared" ref="Q162:Q193" si="130">100*I162</f>
        <v>0</v>
      </c>
      <c r="R162">
        <f t="shared" ref="R162:R193" si="131">100*J162</f>
        <v>0</v>
      </c>
      <c r="S162">
        <f t="shared" ref="S162:S193" si="132">IFERROR(100*E162/INDEX(E:E,MATCH(DATE(2024,12,1),A:A,0)),NA())</f>
        <v>0</v>
      </c>
      <c r="T162">
        <f t="shared" ref="T162:T193" si="133">IFERROR(100*F162/INDEX(F:F,MATCH(DATE(2024,12,1),A:A,0)),NA())</f>
        <v>0</v>
      </c>
      <c r="U162" t="e">
        <f t="shared" ref="U162:U193" si="134">IF($K162="Actual",L162,NA())</f>
        <v>#N/A</v>
      </c>
      <c r="V162" t="e">
        <f t="shared" ref="V162:V193" si="135">IF($A162&gt;=DATE(2024,12,1),L162,NA())</f>
        <v>#N/A</v>
      </c>
      <c r="W162" t="e">
        <f t="shared" ref="W162:W193" si="136">IF($K162="Actual",M162,NA())</f>
        <v>#N/A</v>
      </c>
      <c r="X162" t="e">
        <f t="shared" ref="X162:X193" si="137">IF($A162&gt;=DATE(2024,12,1),M162,NA())</f>
        <v>#N/A</v>
      </c>
      <c r="Y162" t="e">
        <f t="shared" ref="Y162:Y193" si="138">IF($K162="Actual",S162,NA())</f>
        <v>#N/A</v>
      </c>
      <c r="Z162" t="e">
        <f t="shared" ref="Z162:Z193" si="139">IF($A162&gt;=DATE(2024,12,1),S162,NA())</f>
        <v>#N/A</v>
      </c>
      <c r="AA162" t="e">
        <f t="shared" ref="AA162:AA193" si="140">IF($K162="Actual",T162,NA())</f>
        <v>#N/A</v>
      </c>
      <c r="AB162" t="e">
        <f t="shared" ref="AB162:AB193" si="141">IF($A162&gt;=DATE(2024,12,1),T162,NA())</f>
        <v>#N/A</v>
      </c>
      <c r="AC162" t="e">
        <f t="shared" ref="AC162:AC193" si="142">IF($K162="Actual",O162,NA())</f>
        <v>#N/A</v>
      </c>
      <c r="AD162" t="e">
        <f t="shared" ref="AD162:AD193" si="143">IF($A162&gt;=DATE(2024,12,1),O162,NA())</f>
        <v>#N/A</v>
      </c>
      <c r="AE162" t="e">
        <f t="shared" ref="AE162:AE193" si="144">IF($K162="Actual",Q162,NA())</f>
        <v>#N/A</v>
      </c>
      <c r="AF162" t="e">
        <f t="shared" ref="AF162:AF193" si="145">IF($A162&gt;=DATE(2024,12,1),Q162,NA())</f>
        <v>#N/A</v>
      </c>
      <c r="AG162" t="e">
        <f t="shared" ref="AG162:AG193" si="146">IF($K162="Actual",R162,NA())</f>
        <v>#N/A</v>
      </c>
      <c r="AH162" t="e">
        <f t="shared" ref="AH162:AH193" si="147">IF($A162&gt;=DATE(2024,12,1),R162,NA())</f>
        <v>#N/A</v>
      </c>
      <c r="AI162" t="e">
        <f t="shared" ref="AI162:AI193" si="148">IF($K162="Actual",N162,NA())</f>
        <v>#N/A</v>
      </c>
      <c r="AJ162" t="e">
        <f t="shared" ref="AJ162:AJ193" si="149">IF($A162&gt;=DATE(2024,12,1),N162,NA())</f>
        <v>#N/A</v>
      </c>
    </row>
    <row r="163" spans="1:36" x14ac:dyDescent="0.25">
      <c r="A163" s="2"/>
      <c r="L163" t="e">
        <f t="shared" si="125"/>
        <v>#N/A</v>
      </c>
      <c r="M163" t="e">
        <f t="shared" si="126"/>
        <v>#N/A</v>
      </c>
      <c r="N163" t="e">
        <f t="shared" si="127"/>
        <v>#N/A</v>
      </c>
      <c r="O163">
        <f t="shared" si="128"/>
        <v>0</v>
      </c>
      <c r="P163">
        <f t="shared" si="129"/>
        <v>0</v>
      </c>
      <c r="Q163">
        <f t="shared" si="130"/>
        <v>0</v>
      </c>
      <c r="R163">
        <f t="shared" si="131"/>
        <v>0</v>
      </c>
      <c r="S163">
        <f t="shared" si="132"/>
        <v>0</v>
      </c>
      <c r="T163">
        <f t="shared" si="133"/>
        <v>0</v>
      </c>
      <c r="U163" t="e">
        <f t="shared" si="134"/>
        <v>#N/A</v>
      </c>
      <c r="V163" t="e">
        <f t="shared" si="135"/>
        <v>#N/A</v>
      </c>
      <c r="W163" t="e">
        <f t="shared" si="136"/>
        <v>#N/A</v>
      </c>
      <c r="X163" t="e">
        <f t="shared" si="137"/>
        <v>#N/A</v>
      </c>
      <c r="Y163" t="e">
        <f t="shared" si="138"/>
        <v>#N/A</v>
      </c>
      <c r="Z163" t="e">
        <f t="shared" si="139"/>
        <v>#N/A</v>
      </c>
      <c r="AA163" t="e">
        <f t="shared" si="140"/>
        <v>#N/A</v>
      </c>
      <c r="AB163" t="e">
        <f t="shared" si="141"/>
        <v>#N/A</v>
      </c>
      <c r="AC163" t="e">
        <f t="shared" si="142"/>
        <v>#N/A</v>
      </c>
      <c r="AD163" t="e">
        <f t="shared" si="143"/>
        <v>#N/A</v>
      </c>
      <c r="AE163" t="e">
        <f t="shared" si="144"/>
        <v>#N/A</v>
      </c>
      <c r="AF163" t="e">
        <f t="shared" si="145"/>
        <v>#N/A</v>
      </c>
      <c r="AG163" t="e">
        <f t="shared" si="146"/>
        <v>#N/A</v>
      </c>
      <c r="AH163" t="e">
        <f t="shared" si="147"/>
        <v>#N/A</v>
      </c>
      <c r="AI163" t="e">
        <f t="shared" si="148"/>
        <v>#N/A</v>
      </c>
      <c r="AJ163" t="e">
        <f t="shared" si="149"/>
        <v>#N/A</v>
      </c>
    </row>
    <row r="164" spans="1:36" x14ac:dyDescent="0.25">
      <c r="A164" s="2"/>
      <c r="L164" t="e">
        <f t="shared" si="125"/>
        <v>#N/A</v>
      </c>
      <c r="M164" t="e">
        <f t="shared" si="126"/>
        <v>#N/A</v>
      </c>
      <c r="N164" t="e">
        <f t="shared" si="127"/>
        <v>#N/A</v>
      </c>
      <c r="O164">
        <f t="shared" si="128"/>
        <v>0</v>
      </c>
      <c r="P164">
        <f t="shared" si="129"/>
        <v>0</v>
      </c>
      <c r="Q164">
        <f t="shared" si="130"/>
        <v>0</v>
      </c>
      <c r="R164">
        <f t="shared" si="131"/>
        <v>0</v>
      </c>
      <c r="S164">
        <f t="shared" si="132"/>
        <v>0</v>
      </c>
      <c r="T164">
        <f t="shared" si="133"/>
        <v>0</v>
      </c>
      <c r="U164" t="e">
        <f t="shared" si="134"/>
        <v>#N/A</v>
      </c>
      <c r="V164" t="e">
        <f t="shared" si="135"/>
        <v>#N/A</v>
      </c>
      <c r="W164" t="e">
        <f t="shared" si="136"/>
        <v>#N/A</v>
      </c>
      <c r="X164" t="e">
        <f t="shared" si="137"/>
        <v>#N/A</v>
      </c>
      <c r="Y164" t="e">
        <f t="shared" si="138"/>
        <v>#N/A</v>
      </c>
      <c r="Z164" t="e">
        <f t="shared" si="139"/>
        <v>#N/A</v>
      </c>
      <c r="AA164" t="e">
        <f t="shared" si="140"/>
        <v>#N/A</v>
      </c>
      <c r="AB164" t="e">
        <f t="shared" si="141"/>
        <v>#N/A</v>
      </c>
      <c r="AC164" t="e">
        <f t="shared" si="142"/>
        <v>#N/A</v>
      </c>
      <c r="AD164" t="e">
        <f t="shared" si="143"/>
        <v>#N/A</v>
      </c>
      <c r="AE164" t="e">
        <f t="shared" si="144"/>
        <v>#N/A</v>
      </c>
      <c r="AF164" t="e">
        <f t="shared" si="145"/>
        <v>#N/A</v>
      </c>
      <c r="AG164" t="e">
        <f t="shared" si="146"/>
        <v>#N/A</v>
      </c>
      <c r="AH164" t="e">
        <f t="shared" si="147"/>
        <v>#N/A</v>
      </c>
      <c r="AI164" t="e">
        <f t="shared" si="148"/>
        <v>#N/A</v>
      </c>
      <c r="AJ164" t="e">
        <f t="shared" si="149"/>
        <v>#N/A</v>
      </c>
    </row>
    <row r="165" spans="1:36" x14ac:dyDescent="0.25">
      <c r="A165" s="2"/>
      <c r="L165" t="e">
        <f t="shared" si="125"/>
        <v>#N/A</v>
      </c>
      <c r="M165" t="e">
        <f t="shared" si="126"/>
        <v>#N/A</v>
      </c>
      <c r="N165" t="e">
        <f t="shared" si="127"/>
        <v>#N/A</v>
      </c>
      <c r="O165">
        <f t="shared" si="128"/>
        <v>0</v>
      </c>
      <c r="P165">
        <f t="shared" si="129"/>
        <v>0</v>
      </c>
      <c r="Q165">
        <f t="shared" si="130"/>
        <v>0</v>
      </c>
      <c r="R165">
        <f t="shared" si="131"/>
        <v>0</v>
      </c>
      <c r="S165">
        <f t="shared" si="132"/>
        <v>0</v>
      </c>
      <c r="T165">
        <f t="shared" si="133"/>
        <v>0</v>
      </c>
      <c r="U165" t="e">
        <f t="shared" si="134"/>
        <v>#N/A</v>
      </c>
      <c r="V165" t="e">
        <f t="shared" si="135"/>
        <v>#N/A</v>
      </c>
      <c r="W165" t="e">
        <f t="shared" si="136"/>
        <v>#N/A</v>
      </c>
      <c r="X165" t="e">
        <f t="shared" si="137"/>
        <v>#N/A</v>
      </c>
      <c r="Y165" t="e">
        <f t="shared" si="138"/>
        <v>#N/A</v>
      </c>
      <c r="Z165" t="e">
        <f t="shared" si="139"/>
        <v>#N/A</v>
      </c>
      <c r="AA165" t="e">
        <f t="shared" si="140"/>
        <v>#N/A</v>
      </c>
      <c r="AB165" t="e">
        <f t="shared" si="141"/>
        <v>#N/A</v>
      </c>
      <c r="AC165" t="e">
        <f t="shared" si="142"/>
        <v>#N/A</v>
      </c>
      <c r="AD165" t="e">
        <f t="shared" si="143"/>
        <v>#N/A</v>
      </c>
      <c r="AE165" t="e">
        <f t="shared" si="144"/>
        <v>#N/A</v>
      </c>
      <c r="AF165" t="e">
        <f t="shared" si="145"/>
        <v>#N/A</v>
      </c>
      <c r="AG165" t="e">
        <f t="shared" si="146"/>
        <v>#N/A</v>
      </c>
      <c r="AH165" t="e">
        <f t="shared" si="147"/>
        <v>#N/A</v>
      </c>
      <c r="AI165" t="e">
        <f t="shared" si="148"/>
        <v>#N/A</v>
      </c>
      <c r="AJ165" t="e">
        <f t="shared" si="149"/>
        <v>#N/A</v>
      </c>
    </row>
    <row r="166" spans="1:36" x14ac:dyDescent="0.25">
      <c r="A166" s="2"/>
      <c r="L166" t="e">
        <f t="shared" si="125"/>
        <v>#N/A</v>
      </c>
      <c r="M166" t="e">
        <f t="shared" si="126"/>
        <v>#N/A</v>
      </c>
      <c r="N166" t="e">
        <f t="shared" si="127"/>
        <v>#N/A</v>
      </c>
      <c r="O166">
        <f t="shared" si="128"/>
        <v>0</v>
      </c>
      <c r="P166">
        <f t="shared" si="129"/>
        <v>0</v>
      </c>
      <c r="Q166">
        <f t="shared" si="130"/>
        <v>0</v>
      </c>
      <c r="R166">
        <f t="shared" si="131"/>
        <v>0</v>
      </c>
      <c r="S166">
        <f t="shared" si="132"/>
        <v>0</v>
      </c>
      <c r="T166">
        <f t="shared" si="133"/>
        <v>0</v>
      </c>
      <c r="U166" t="e">
        <f t="shared" si="134"/>
        <v>#N/A</v>
      </c>
      <c r="V166" t="e">
        <f t="shared" si="135"/>
        <v>#N/A</v>
      </c>
      <c r="W166" t="e">
        <f t="shared" si="136"/>
        <v>#N/A</v>
      </c>
      <c r="X166" t="e">
        <f t="shared" si="137"/>
        <v>#N/A</v>
      </c>
      <c r="Y166" t="e">
        <f t="shared" si="138"/>
        <v>#N/A</v>
      </c>
      <c r="Z166" t="e">
        <f t="shared" si="139"/>
        <v>#N/A</v>
      </c>
      <c r="AA166" t="e">
        <f t="shared" si="140"/>
        <v>#N/A</v>
      </c>
      <c r="AB166" t="e">
        <f t="shared" si="141"/>
        <v>#N/A</v>
      </c>
      <c r="AC166" t="e">
        <f t="shared" si="142"/>
        <v>#N/A</v>
      </c>
      <c r="AD166" t="e">
        <f t="shared" si="143"/>
        <v>#N/A</v>
      </c>
      <c r="AE166" t="e">
        <f t="shared" si="144"/>
        <v>#N/A</v>
      </c>
      <c r="AF166" t="e">
        <f t="shared" si="145"/>
        <v>#N/A</v>
      </c>
      <c r="AG166" t="e">
        <f t="shared" si="146"/>
        <v>#N/A</v>
      </c>
      <c r="AH166" t="e">
        <f t="shared" si="147"/>
        <v>#N/A</v>
      </c>
      <c r="AI166" t="e">
        <f t="shared" si="148"/>
        <v>#N/A</v>
      </c>
      <c r="AJ166" t="e">
        <f t="shared" si="149"/>
        <v>#N/A</v>
      </c>
    </row>
    <row r="167" spans="1:36" x14ac:dyDescent="0.25">
      <c r="A167" s="2"/>
      <c r="L167" t="e">
        <f t="shared" si="125"/>
        <v>#N/A</v>
      </c>
      <c r="M167" t="e">
        <f t="shared" si="126"/>
        <v>#N/A</v>
      </c>
      <c r="N167" t="e">
        <f t="shared" si="127"/>
        <v>#N/A</v>
      </c>
      <c r="O167">
        <f t="shared" si="128"/>
        <v>0</v>
      </c>
      <c r="P167">
        <f t="shared" si="129"/>
        <v>0</v>
      </c>
      <c r="Q167">
        <f t="shared" si="130"/>
        <v>0</v>
      </c>
      <c r="R167">
        <f t="shared" si="131"/>
        <v>0</v>
      </c>
      <c r="S167">
        <f t="shared" si="132"/>
        <v>0</v>
      </c>
      <c r="T167">
        <f t="shared" si="133"/>
        <v>0</v>
      </c>
      <c r="U167" t="e">
        <f t="shared" si="134"/>
        <v>#N/A</v>
      </c>
      <c r="V167" t="e">
        <f t="shared" si="135"/>
        <v>#N/A</v>
      </c>
      <c r="W167" t="e">
        <f t="shared" si="136"/>
        <v>#N/A</v>
      </c>
      <c r="X167" t="e">
        <f t="shared" si="137"/>
        <v>#N/A</v>
      </c>
      <c r="Y167" t="e">
        <f t="shared" si="138"/>
        <v>#N/A</v>
      </c>
      <c r="Z167" t="e">
        <f t="shared" si="139"/>
        <v>#N/A</v>
      </c>
      <c r="AA167" t="e">
        <f t="shared" si="140"/>
        <v>#N/A</v>
      </c>
      <c r="AB167" t="e">
        <f t="shared" si="141"/>
        <v>#N/A</v>
      </c>
      <c r="AC167" t="e">
        <f t="shared" si="142"/>
        <v>#N/A</v>
      </c>
      <c r="AD167" t="e">
        <f t="shared" si="143"/>
        <v>#N/A</v>
      </c>
      <c r="AE167" t="e">
        <f t="shared" si="144"/>
        <v>#N/A</v>
      </c>
      <c r="AF167" t="e">
        <f t="shared" si="145"/>
        <v>#N/A</v>
      </c>
      <c r="AG167" t="e">
        <f t="shared" si="146"/>
        <v>#N/A</v>
      </c>
      <c r="AH167" t="e">
        <f t="shared" si="147"/>
        <v>#N/A</v>
      </c>
      <c r="AI167" t="e">
        <f t="shared" si="148"/>
        <v>#N/A</v>
      </c>
      <c r="AJ167" t="e">
        <f t="shared" si="149"/>
        <v>#N/A</v>
      </c>
    </row>
    <row r="168" spans="1:36" x14ac:dyDescent="0.25">
      <c r="A168" s="2"/>
      <c r="L168" t="e">
        <f t="shared" si="125"/>
        <v>#N/A</v>
      </c>
      <c r="M168" t="e">
        <f t="shared" si="126"/>
        <v>#N/A</v>
      </c>
      <c r="N168" t="e">
        <f t="shared" si="127"/>
        <v>#N/A</v>
      </c>
      <c r="O168">
        <f t="shared" si="128"/>
        <v>0</v>
      </c>
      <c r="P168">
        <f t="shared" si="129"/>
        <v>0</v>
      </c>
      <c r="Q168">
        <f t="shared" si="130"/>
        <v>0</v>
      </c>
      <c r="R168">
        <f t="shared" si="131"/>
        <v>0</v>
      </c>
      <c r="S168">
        <f t="shared" si="132"/>
        <v>0</v>
      </c>
      <c r="T168">
        <f t="shared" si="133"/>
        <v>0</v>
      </c>
      <c r="U168" t="e">
        <f t="shared" si="134"/>
        <v>#N/A</v>
      </c>
      <c r="V168" t="e">
        <f t="shared" si="135"/>
        <v>#N/A</v>
      </c>
      <c r="W168" t="e">
        <f t="shared" si="136"/>
        <v>#N/A</v>
      </c>
      <c r="X168" t="e">
        <f t="shared" si="137"/>
        <v>#N/A</v>
      </c>
      <c r="Y168" t="e">
        <f t="shared" si="138"/>
        <v>#N/A</v>
      </c>
      <c r="Z168" t="e">
        <f t="shared" si="139"/>
        <v>#N/A</v>
      </c>
      <c r="AA168" t="e">
        <f t="shared" si="140"/>
        <v>#N/A</v>
      </c>
      <c r="AB168" t="e">
        <f t="shared" si="141"/>
        <v>#N/A</v>
      </c>
      <c r="AC168" t="e">
        <f t="shared" si="142"/>
        <v>#N/A</v>
      </c>
      <c r="AD168" t="e">
        <f t="shared" si="143"/>
        <v>#N/A</v>
      </c>
      <c r="AE168" t="e">
        <f t="shared" si="144"/>
        <v>#N/A</v>
      </c>
      <c r="AF168" t="e">
        <f t="shared" si="145"/>
        <v>#N/A</v>
      </c>
      <c r="AG168" t="e">
        <f t="shared" si="146"/>
        <v>#N/A</v>
      </c>
      <c r="AH168" t="e">
        <f t="shared" si="147"/>
        <v>#N/A</v>
      </c>
      <c r="AI168" t="e">
        <f t="shared" si="148"/>
        <v>#N/A</v>
      </c>
      <c r="AJ168" t="e">
        <f t="shared" si="149"/>
        <v>#N/A</v>
      </c>
    </row>
    <row r="169" spans="1:36" x14ac:dyDescent="0.25">
      <c r="A169" s="2"/>
      <c r="L169" t="e">
        <f t="shared" si="125"/>
        <v>#N/A</v>
      </c>
      <c r="M169" t="e">
        <f t="shared" si="126"/>
        <v>#N/A</v>
      </c>
      <c r="N169" t="e">
        <f t="shared" si="127"/>
        <v>#N/A</v>
      </c>
      <c r="O169">
        <f t="shared" si="128"/>
        <v>0</v>
      </c>
      <c r="P169">
        <f t="shared" si="129"/>
        <v>0</v>
      </c>
      <c r="Q169">
        <f t="shared" si="130"/>
        <v>0</v>
      </c>
      <c r="R169">
        <f t="shared" si="131"/>
        <v>0</v>
      </c>
      <c r="S169">
        <f t="shared" si="132"/>
        <v>0</v>
      </c>
      <c r="T169">
        <f t="shared" si="133"/>
        <v>0</v>
      </c>
      <c r="U169" t="e">
        <f t="shared" si="134"/>
        <v>#N/A</v>
      </c>
      <c r="V169" t="e">
        <f t="shared" si="135"/>
        <v>#N/A</v>
      </c>
      <c r="W169" t="e">
        <f t="shared" si="136"/>
        <v>#N/A</v>
      </c>
      <c r="X169" t="e">
        <f t="shared" si="137"/>
        <v>#N/A</v>
      </c>
      <c r="Y169" t="e">
        <f t="shared" si="138"/>
        <v>#N/A</v>
      </c>
      <c r="Z169" t="e">
        <f t="shared" si="139"/>
        <v>#N/A</v>
      </c>
      <c r="AA169" t="e">
        <f t="shared" si="140"/>
        <v>#N/A</v>
      </c>
      <c r="AB169" t="e">
        <f t="shared" si="141"/>
        <v>#N/A</v>
      </c>
      <c r="AC169" t="e">
        <f t="shared" si="142"/>
        <v>#N/A</v>
      </c>
      <c r="AD169" t="e">
        <f t="shared" si="143"/>
        <v>#N/A</v>
      </c>
      <c r="AE169" t="e">
        <f t="shared" si="144"/>
        <v>#N/A</v>
      </c>
      <c r="AF169" t="e">
        <f t="shared" si="145"/>
        <v>#N/A</v>
      </c>
      <c r="AG169" t="e">
        <f t="shared" si="146"/>
        <v>#N/A</v>
      </c>
      <c r="AH169" t="e">
        <f t="shared" si="147"/>
        <v>#N/A</v>
      </c>
      <c r="AI169" t="e">
        <f t="shared" si="148"/>
        <v>#N/A</v>
      </c>
      <c r="AJ169" t="e">
        <f t="shared" si="149"/>
        <v>#N/A</v>
      </c>
    </row>
    <row r="170" spans="1:36" x14ac:dyDescent="0.25">
      <c r="A170" s="2"/>
      <c r="L170" t="e">
        <f t="shared" si="125"/>
        <v>#N/A</v>
      </c>
      <c r="M170" t="e">
        <f t="shared" si="126"/>
        <v>#N/A</v>
      </c>
      <c r="N170" t="e">
        <f t="shared" si="127"/>
        <v>#N/A</v>
      </c>
      <c r="O170">
        <f t="shared" si="128"/>
        <v>0</v>
      </c>
      <c r="P170">
        <f t="shared" si="129"/>
        <v>0</v>
      </c>
      <c r="Q170">
        <f t="shared" si="130"/>
        <v>0</v>
      </c>
      <c r="R170">
        <f t="shared" si="131"/>
        <v>0</v>
      </c>
      <c r="S170">
        <f t="shared" si="132"/>
        <v>0</v>
      </c>
      <c r="T170">
        <f t="shared" si="133"/>
        <v>0</v>
      </c>
      <c r="U170" t="e">
        <f t="shared" si="134"/>
        <v>#N/A</v>
      </c>
      <c r="V170" t="e">
        <f t="shared" si="135"/>
        <v>#N/A</v>
      </c>
      <c r="W170" t="e">
        <f t="shared" si="136"/>
        <v>#N/A</v>
      </c>
      <c r="X170" t="e">
        <f t="shared" si="137"/>
        <v>#N/A</v>
      </c>
      <c r="Y170" t="e">
        <f t="shared" si="138"/>
        <v>#N/A</v>
      </c>
      <c r="Z170" t="e">
        <f t="shared" si="139"/>
        <v>#N/A</v>
      </c>
      <c r="AA170" t="e">
        <f t="shared" si="140"/>
        <v>#N/A</v>
      </c>
      <c r="AB170" t="e">
        <f t="shared" si="141"/>
        <v>#N/A</v>
      </c>
      <c r="AC170" t="e">
        <f t="shared" si="142"/>
        <v>#N/A</v>
      </c>
      <c r="AD170" t="e">
        <f t="shared" si="143"/>
        <v>#N/A</v>
      </c>
      <c r="AE170" t="e">
        <f t="shared" si="144"/>
        <v>#N/A</v>
      </c>
      <c r="AF170" t="e">
        <f t="shared" si="145"/>
        <v>#N/A</v>
      </c>
      <c r="AG170" t="e">
        <f t="shared" si="146"/>
        <v>#N/A</v>
      </c>
      <c r="AH170" t="e">
        <f t="shared" si="147"/>
        <v>#N/A</v>
      </c>
      <c r="AI170" t="e">
        <f t="shared" si="148"/>
        <v>#N/A</v>
      </c>
      <c r="AJ170" t="e">
        <f t="shared" si="149"/>
        <v>#N/A</v>
      </c>
    </row>
    <row r="171" spans="1:36" x14ac:dyDescent="0.25">
      <c r="A171" s="2"/>
      <c r="L171" t="e">
        <f t="shared" si="125"/>
        <v>#N/A</v>
      </c>
      <c r="M171" t="e">
        <f t="shared" si="126"/>
        <v>#N/A</v>
      </c>
      <c r="N171" t="e">
        <f t="shared" si="127"/>
        <v>#N/A</v>
      </c>
      <c r="O171">
        <f t="shared" si="128"/>
        <v>0</v>
      </c>
      <c r="P171">
        <f t="shared" si="129"/>
        <v>0</v>
      </c>
      <c r="Q171">
        <f t="shared" si="130"/>
        <v>0</v>
      </c>
      <c r="R171">
        <f t="shared" si="131"/>
        <v>0</v>
      </c>
      <c r="S171">
        <f t="shared" si="132"/>
        <v>0</v>
      </c>
      <c r="T171">
        <f t="shared" si="133"/>
        <v>0</v>
      </c>
      <c r="U171" t="e">
        <f t="shared" si="134"/>
        <v>#N/A</v>
      </c>
      <c r="V171" t="e">
        <f t="shared" si="135"/>
        <v>#N/A</v>
      </c>
      <c r="W171" t="e">
        <f t="shared" si="136"/>
        <v>#N/A</v>
      </c>
      <c r="X171" t="e">
        <f t="shared" si="137"/>
        <v>#N/A</v>
      </c>
      <c r="Y171" t="e">
        <f t="shared" si="138"/>
        <v>#N/A</v>
      </c>
      <c r="Z171" t="e">
        <f t="shared" si="139"/>
        <v>#N/A</v>
      </c>
      <c r="AA171" t="e">
        <f t="shared" si="140"/>
        <v>#N/A</v>
      </c>
      <c r="AB171" t="e">
        <f t="shared" si="141"/>
        <v>#N/A</v>
      </c>
      <c r="AC171" t="e">
        <f t="shared" si="142"/>
        <v>#N/A</v>
      </c>
      <c r="AD171" t="e">
        <f t="shared" si="143"/>
        <v>#N/A</v>
      </c>
      <c r="AE171" t="e">
        <f t="shared" si="144"/>
        <v>#N/A</v>
      </c>
      <c r="AF171" t="e">
        <f t="shared" si="145"/>
        <v>#N/A</v>
      </c>
      <c r="AG171" t="e">
        <f t="shared" si="146"/>
        <v>#N/A</v>
      </c>
      <c r="AH171" t="e">
        <f t="shared" si="147"/>
        <v>#N/A</v>
      </c>
      <c r="AI171" t="e">
        <f t="shared" si="148"/>
        <v>#N/A</v>
      </c>
      <c r="AJ171" t="e">
        <f t="shared" si="149"/>
        <v>#N/A</v>
      </c>
    </row>
    <row r="172" spans="1:36" x14ac:dyDescent="0.25">
      <c r="A172" s="2"/>
      <c r="L172" t="e">
        <f t="shared" si="125"/>
        <v>#N/A</v>
      </c>
      <c r="M172" t="e">
        <f t="shared" si="126"/>
        <v>#N/A</v>
      </c>
      <c r="N172" t="e">
        <f t="shared" si="127"/>
        <v>#N/A</v>
      </c>
      <c r="O172">
        <f t="shared" si="128"/>
        <v>0</v>
      </c>
      <c r="P172">
        <f t="shared" si="129"/>
        <v>0</v>
      </c>
      <c r="Q172">
        <f t="shared" si="130"/>
        <v>0</v>
      </c>
      <c r="R172">
        <f t="shared" si="131"/>
        <v>0</v>
      </c>
      <c r="S172">
        <f t="shared" si="132"/>
        <v>0</v>
      </c>
      <c r="T172">
        <f t="shared" si="133"/>
        <v>0</v>
      </c>
      <c r="U172" t="e">
        <f t="shared" si="134"/>
        <v>#N/A</v>
      </c>
      <c r="V172" t="e">
        <f t="shared" si="135"/>
        <v>#N/A</v>
      </c>
      <c r="W172" t="e">
        <f t="shared" si="136"/>
        <v>#N/A</v>
      </c>
      <c r="X172" t="e">
        <f t="shared" si="137"/>
        <v>#N/A</v>
      </c>
      <c r="Y172" t="e">
        <f t="shared" si="138"/>
        <v>#N/A</v>
      </c>
      <c r="Z172" t="e">
        <f t="shared" si="139"/>
        <v>#N/A</v>
      </c>
      <c r="AA172" t="e">
        <f t="shared" si="140"/>
        <v>#N/A</v>
      </c>
      <c r="AB172" t="e">
        <f t="shared" si="141"/>
        <v>#N/A</v>
      </c>
      <c r="AC172" t="e">
        <f t="shared" si="142"/>
        <v>#N/A</v>
      </c>
      <c r="AD172" t="e">
        <f t="shared" si="143"/>
        <v>#N/A</v>
      </c>
      <c r="AE172" t="e">
        <f t="shared" si="144"/>
        <v>#N/A</v>
      </c>
      <c r="AF172" t="e">
        <f t="shared" si="145"/>
        <v>#N/A</v>
      </c>
      <c r="AG172" t="e">
        <f t="shared" si="146"/>
        <v>#N/A</v>
      </c>
      <c r="AH172" t="e">
        <f t="shared" si="147"/>
        <v>#N/A</v>
      </c>
      <c r="AI172" t="e">
        <f t="shared" si="148"/>
        <v>#N/A</v>
      </c>
      <c r="AJ172" t="e">
        <f t="shared" si="149"/>
        <v>#N/A</v>
      </c>
    </row>
    <row r="173" spans="1:36" x14ac:dyDescent="0.25">
      <c r="A173" s="2"/>
      <c r="L173" t="e">
        <f t="shared" si="125"/>
        <v>#N/A</v>
      </c>
      <c r="M173" t="e">
        <f t="shared" si="126"/>
        <v>#N/A</v>
      </c>
      <c r="N173" t="e">
        <f t="shared" si="127"/>
        <v>#N/A</v>
      </c>
      <c r="O173">
        <f t="shared" si="128"/>
        <v>0</v>
      </c>
      <c r="P173">
        <f t="shared" si="129"/>
        <v>0</v>
      </c>
      <c r="Q173">
        <f t="shared" si="130"/>
        <v>0</v>
      </c>
      <c r="R173">
        <f t="shared" si="131"/>
        <v>0</v>
      </c>
      <c r="S173">
        <f t="shared" si="132"/>
        <v>0</v>
      </c>
      <c r="T173">
        <f t="shared" si="133"/>
        <v>0</v>
      </c>
      <c r="U173" t="e">
        <f t="shared" si="134"/>
        <v>#N/A</v>
      </c>
      <c r="V173" t="e">
        <f t="shared" si="135"/>
        <v>#N/A</v>
      </c>
      <c r="W173" t="e">
        <f t="shared" si="136"/>
        <v>#N/A</v>
      </c>
      <c r="X173" t="e">
        <f t="shared" si="137"/>
        <v>#N/A</v>
      </c>
      <c r="Y173" t="e">
        <f t="shared" si="138"/>
        <v>#N/A</v>
      </c>
      <c r="Z173" t="e">
        <f t="shared" si="139"/>
        <v>#N/A</v>
      </c>
      <c r="AA173" t="e">
        <f t="shared" si="140"/>
        <v>#N/A</v>
      </c>
      <c r="AB173" t="e">
        <f t="shared" si="141"/>
        <v>#N/A</v>
      </c>
      <c r="AC173" t="e">
        <f t="shared" si="142"/>
        <v>#N/A</v>
      </c>
      <c r="AD173" t="e">
        <f t="shared" si="143"/>
        <v>#N/A</v>
      </c>
      <c r="AE173" t="e">
        <f t="shared" si="144"/>
        <v>#N/A</v>
      </c>
      <c r="AF173" t="e">
        <f t="shared" si="145"/>
        <v>#N/A</v>
      </c>
      <c r="AG173" t="e">
        <f t="shared" si="146"/>
        <v>#N/A</v>
      </c>
      <c r="AH173" t="e">
        <f t="shared" si="147"/>
        <v>#N/A</v>
      </c>
      <c r="AI173" t="e">
        <f t="shared" si="148"/>
        <v>#N/A</v>
      </c>
      <c r="AJ173" t="e">
        <f t="shared" si="149"/>
        <v>#N/A</v>
      </c>
    </row>
    <row r="174" spans="1:36" x14ac:dyDescent="0.25">
      <c r="A174" s="2"/>
      <c r="L174" t="e">
        <f t="shared" si="125"/>
        <v>#N/A</v>
      </c>
      <c r="M174" t="e">
        <f t="shared" si="126"/>
        <v>#N/A</v>
      </c>
      <c r="N174" t="e">
        <f t="shared" si="127"/>
        <v>#N/A</v>
      </c>
      <c r="O174">
        <f t="shared" si="128"/>
        <v>0</v>
      </c>
      <c r="P174">
        <f t="shared" si="129"/>
        <v>0</v>
      </c>
      <c r="Q174">
        <f t="shared" si="130"/>
        <v>0</v>
      </c>
      <c r="R174">
        <f t="shared" si="131"/>
        <v>0</v>
      </c>
      <c r="S174">
        <f t="shared" si="132"/>
        <v>0</v>
      </c>
      <c r="T174">
        <f t="shared" si="133"/>
        <v>0</v>
      </c>
      <c r="U174" t="e">
        <f t="shared" si="134"/>
        <v>#N/A</v>
      </c>
      <c r="V174" t="e">
        <f t="shared" si="135"/>
        <v>#N/A</v>
      </c>
      <c r="W174" t="e">
        <f t="shared" si="136"/>
        <v>#N/A</v>
      </c>
      <c r="X174" t="e">
        <f t="shared" si="137"/>
        <v>#N/A</v>
      </c>
      <c r="Y174" t="e">
        <f t="shared" si="138"/>
        <v>#N/A</v>
      </c>
      <c r="Z174" t="e">
        <f t="shared" si="139"/>
        <v>#N/A</v>
      </c>
      <c r="AA174" t="e">
        <f t="shared" si="140"/>
        <v>#N/A</v>
      </c>
      <c r="AB174" t="e">
        <f t="shared" si="141"/>
        <v>#N/A</v>
      </c>
      <c r="AC174" t="e">
        <f t="shared" si="142"/>
        <v>#N/A</v>
      </c>
      <c r="AD174" t="e">
        <f t="shared" si="143"/>
        <v>#N/A</v>
      </c>
      <c r="AE174" t="e">
        <f t="shared" si="144"/>
        <v>#N/A</v>
      </c>
      <c r="AF174" t="e">
        <f t="shared" si="145"/>
        <v>#N/A</v>
      </c>
      <c r="AG174" t="e">
        <f t="shared" si="146"/>
        <v>#N/A</v>
      </c>
      <c r="AH174" t="e">
        <f t="shared" si="147"/>
        <v>#N/A</v>
      </c>
      <c r="AI174" t="e">
        <f t="shared" si="148"/>
        <v>#N/A</v>
      </c>
      <c r="AJ174" t="e">
        <f t="shared" si="149"/>
        <v>#N/A</v>
      </c>
    </row>
    <row r="175" spans="1:36" x14ac:dyDescent="0.25">
      <c r="A175" s="2"/>
      <c r="L175" t="e">
        <f t="shared" si="125"/>
        <v>#N/A</v>
      </c>
      <c r="M175" t="e">
        <f t="shared" si="126"/>
        <v>#N/A</v>
      </c>
      <c r="N175" t="e">
        <f t="shared" si="127"/>
        <v>#N/A</v>
      </c>
      <c r="O175">
        <f t="shared" si="128"/>
        <v>0</v>
      </c>
      <c r="P175">
        <f t="shared" si="129"/>
        <v>0</v>
      </c>
      <c r="Q175">
        <f t="shared" si="130"/>
        <v>0</v>
      </c>
      <c r="R175">
        <f t="shared" si="131"/>
        <v>0</v>
      </c>
      <c r="S175">
        <f t="shared" si="132"/>
        <v>0</v>
      </c>
      <c r="T175">
        <f t="shared" si="133"/>
        <v>0</v>
      </c>
      <c r="U175" t="e">
        <f t="shared" si="134"/>
        <v>#N/A</v>
      </c>
      <c r="V175" t="e">
        <f t="shared" si="135"/>
        <v>#N/A</v>
      </c>
      <c r="W175" t="e">
        <f t="shared" si="136"/>
        <v>#N/A</v>
      </c>
      <c r="X175" t="e">
        <f t="shared" si="137"/>
        <v>#N/A</v>
      </c>
      <c r="Y175" t="e">
        <f t="shared" si="138"/>
        <v>#N/A</v>
      </c>
      <c r="Z175" t="e">
        <f t="shared" si="139"/>
        <v>#N/A</v>
      </c>
      <c r="AA175" t="e">
        <f t="shared" si="140"/>
        <v>#N/A</v>
      </c>
      <c r="AB175" t="e">
        <f t="shared" si="141"/>
        <v>#N/A</v>
      </c>
      <c r="AC175" t="e">
        <f t="shared" si="142"/>
        <v>#N/A</v>
      </c>
      <c r="AD175" t="e">
        <f t="shared" si="143"/>
        <v>#N/A</v>
      </c>
      <c r="AE175" t="e">
        <f t="shared" si="144"/>
        <v>#N/A</v>
      </c>
      <c r="AF175" t="e">
        <f t="shared" si="145"/>
        <v>#N/A</v>
      </c>
      <c r="AG175" t="e">
        <f t="shared" si="146"/>
        <v>#N/A</v>
      </c>
      <c r="AH175" t="e">
        <f t="shared" si="147"/>
        <v>#N/A</v>
      </c>
      <c r="AI175" t="e">
        <f t="shared" si="148"/>
        <v>#N/A</v>
      </c>
      <c r="AJ175" t="e">
        <f t="shared" si="149"/>
        <v>#N/A</v>
      </c>
    </row>
    <row r="176" spans="1:36" x14ac:dyDescent="0.25">
      <c r="A176" s="2"/>
      <c r="L176" t="e">
        <f t="shared" si="125"/>
        <v>#N/A</v>
      </c>
      <c r="M176" t="e">
        <f t="shared" si="126"/>
        <v>#N/A</v>
      </c>
      <c r="N176" t="e">
        <f t="shared" si="127"/>
        <v>#N/A</v>
      </c>
      <c r="O176">
        <f t="shared" si="128"/>
        <v>0</v>
      </c>
      <c r="P176">
        <f t="shared" si="129"/>
        <v>0</v>
      </c>
      <c r="Q176">
        <f t="shared" si="130"/>
        <v>0</v>
      </c>
      <c r="R176">
        <f t="shared" si="131"/>
        <v>0</v>
      </c>
      <c r="S176">
        <f t="shared" si="132"/>
        <v>0</v>
      </c>
      <c r="T176">
        <f t="shared" si="133"/>
        <v>0</v>
      </c>
      <c r="U176" t="e">
        <f t="shared" si="134"/>
        <v>#N/A</v>
      </c>
      <c r="V176" t="e">
        <f t="shared" si="135"/>
        <v>#N/A</v>
      </c>
      <c r="W176" t="e">
        <f t="shared" si="136"/>
        <v>#N/A</v>
      </c>
      <c r="X176" t="e">
        <f t="shared" si="137"/>
        <v>#N/A</v>
      </c>
      <c r="Y176" t="e">
        <f t="shared" si="138"/>
        <v>#N/A</v>
      </c>
      <c r="Z176" t="e">
        <f t="shared" si="139"/>
        <v>#N/A</v>
      </c>
      <c r="AA176" t="e">
        <f t="shared" si="140"/>
        <v>#N/A</v>
      </c>
      <c r="AB176" t="e">
        <f t="shared" si="141"/>
        <v>#N/A</v>
      </c>
      <c r="AC176" t="e">
        <f t="shared" si="142"/>
        <v>#N/A</v>
      </c>
      <c r="AD176" t="e">
        <f t="shared" si="143"/>
        <v>#N/A</v>
      </c>
      <c r="AE176" t="e">
        <f t="shared" si="144"/>
        <v>#N/A</v>
      </c>
      <c r="AF176" t="e">
        <f t="shared" si="145"/>
        <v>#N/A</v>
      </c>
      <c r="AG176" t="e">
        <f t="shared" si="146"/>
        <v>#N/A</v>
      </c>
      <c r="AH176" t="e">
        <f t="shared" si="147"/>
        <v>#N/A</v>
      </c>
      <c r="AI176" t="e">
        <f t="shared" si="148"/>
        <v>#N/A</v>
      </c>
      <c r="AJ176" t="e">
        <f t="shared" si="149"/>
        <v>#N/A</v>
      </c>
    </row>
    <row r="177" spans="1:36" x14ac:dyDescent="0.25">
      <c r="A177" s="2"/>
      <c r="L177" t="e">
        <f t="shared" si="125"/>
        <v>#N/A</v>
      </c>
      <c r="M177" t="e">
        <f t="shared" si="126"/>
        <v>#N/A</v>
      </c>
      <c r="N177" t="e">
        <f t="shared" si="127"/>
        <v>#N/A</v>
      </c>
      <c r="O177">
        <f t="shared" si="128"/>
        <v>0</v>
      </c>
      <c r="P177">
        <f t="shared" si="129"/>
        <v>0</v>
      </c>
      <c r="Q177">
        <f t="shared" si="130"/>
        <v>0</v>
      </c>
      <c r="R177">
        <f t="shared" si="131"/>
        <v>0</v>
      </c>
      <c r="S177">
        <f t="shared" si="132"/>
        <v>0</v>
      </c>
      <c r="T177">
        <f t="shared" si="133"/>
        <v>0</v>
      </c>
      <c r="U177" t="e">
        <f t="shared" si="134"/>
        <v>#N/A</v>
      </c>
      <c r="V177" t="e">
        <f t="shared" si="135"/>
        <v>#N/A</v>
      </c>
      <c r="W177" t="e">
        <f t="shared" si="136"/>
        <v>#N/A</v>
      </c>
      <c r="X177" t="e">
        <f t="shared" si="137"/>
        <v>#N/A</v>
      </c>
      <c r="Y177" t="e">
        <f t="shared" si="138"/>
        <v>#N/A</v>
      </c>
      <c r="Z177" t="e">
        <f t="shared" si="139"/>
        <v>#N/A</v>
      </c>
      <c r="AA177" t="e">
        <f t="shared" si="140"/>
        <v>#N/A</v>
      </c>
      <c r="AB177" t="e">
        <f t="shared" si="141"/>
        <v>#N/A</v>
      </c>
      <c r="AC177" t="e">
        <f t="shared" si="142"/>
        <v>#N/A</v>
      </c>
      <c r="AD177" t="e">
        <f t="shared" si="143"/>
        <v>#N/A</v>
      </c>
      <c r="AE177" t="e">
        <f t="shared" si="144"/>
        <v>#N/A</v>
      </c>
      <c r="AF177" t="e">
        <f t="shared" si="145"/>
        <v>#N/A</v>
      </c>
      <c r="AG177" t="e">
        <f t="shared" si="146"/>
        <v>#N/A</v>
      </c>
      <c r="AH177" t="e">
        <f t="shared" si="147"/>
        <v>#N/A</v>
      </c>
      <c r="AI177" t="e">
        <f t="shared" si="148"/>
        <v>#N/A</v>
      </c>
      <c r="AJ177" t="e">
        <f t="shared" si="149"/>
        <v>#N/A</v>
      </c>
    </row>
    <row r="178" spans="1:36" x14ac:dyDescent="0.25">
      <c r="A178" s="2"/>
      <c r="L178" t="e">
        <f t="shared" si="125"/>
        <v>#N/A</v>
      </c>
      <c r="M178" t="e">
        <f t="shared" si="126"/>
        <v>#N/A</v>
      </c>
      <c r="N178" t="e">
        <f t="shared" si="127"/>
        <v>#N/A</v>
      </c>
      <c r="O178">
        <f t="shared" si="128"/>
        <v>0</v>
      </c>
      <c r="P178">
        <f t="shared" si="129"/>
        <v>0</v>
      </c>
      <c r="Q178">
        <f t="shared" si="130"/>
        <v>0</v>
      </c>
      <c r="R178">
        <f t="shared" si="131"/>
        <v>0</v>
      </c>
      <c r="S178">
        <f t="shared" si="132"/>
        <v>0</v>
      </c>
      <c r="T178">
        <f t="shared" si="133"/>
        <v>0</v>
      </c>
      <c r="U178" t="e">
        <f t="shared" si="134"/>
        <v>#N/A</v>
      </c>
      <c r="V178" t="e">
        <f t="shared" si="135"/>
        <v>#N/A</v>
      </c>
      <c r="W178" t="e">
        <f t="shared" si="136"/>
        <v>#N/A</v>
      </c>
      <c r="X178" t="e">
        <f t="shared" si="137"/>
        <v>#N/A</v>
      </c>
      <c r="Y178" t="e">
        <f t="shared" si="138"/>
        <v>#N/A</v>
      </c>
      <c r="Z178" t="e">
        <f t="shared" si="139"/>
        <v>#N/A</v>
      </c>
      <c r="AA178" t="e">
        <f t="shared" si="140"/>
        <v>#N/A</v>
      </c>
      <c r="AB178" t="e">
        <f t="shared" si="141"/>
        <v>#N/A</v>
      </c>
      <c r="AC178" t="e">
        <f t="shared" si="142"/>
        <v>#N/A</v>
      </c>
      <c r="AD178" t="e">
        <f t="shared" si="143"/>
        <v>#N/A</v>
      </c>
      <c r="AE178" t="e">
        <f t="shared" si="144"/>
        <v>#N/A</v>
      </c>
      <c r="AF178" t="e">
        <f t="shared" si="145"/>
        <v>#N/A</v>
      </c>
      <c r="AG178" t="e">
        <f t="shared" si="146"/>
        <v>#N/A</v>
      </c>
      <c r="AH178" t="e">
        <f t="shared" si="147"/>
        <v>#N/A</v>
      </c>
      <c r="AI178" t="e">
        <f t="shared" si="148"/>
        <v>#N/A</v>
      </c>
      <c r="AJ178" t="e">
        <f t="shared" si="149"/>
        <v>#N/A</v>
      </c>
    </row>
    <row r="179" spans="1:36" x14ac:dyDescent="0.25">
      <c r="A179" s="2"/>
      <c r="L179" t="e">
        <f t="shared" si="125"/>
        <v>#N/A</v>
      </c>
      <c r="M179" t="e">
        <f t="shared" si="126"/>
        <v>#N/A</v>
      </c>
      <c r="N179" t="e">
        <f t="shared" si="127"/>
        <v>#N/A</v>
      </c>
      <c r="O179">
        <f t="shared" si="128"/>
        <v>0</v>
      </c>
      <c r="P179">
        <f t="shared" si="129"/>
        <v>0</v>
      </c>
      <c r="Q179">
        <f t="shared" si="130"/>
        <v>0</v>
      </c>
      <c r="R179">
        <f t="shared" si="131"/>
        <v>0</v>
      </c>
      <c r="S179">
        <f t="shared" si="132"/>
        <v>0</v>
      </c>
      <c r="T179">
        <f t="shared" si="133"/>
        <v>0</v>
      </c>
      <c r="U179" t="e">
        <f t="shared" si="134"/>
        <v>#N/A</v>
      </c>
      <c r="V179" t="e">
        <f t="shared" si="135"/>
        <v>#N/A</v>
      </c>
      <c r="W179" t="e">
        <f t="shared" si="136"/>
        <v>#N/A</v>
      </c>
      <c r="X179" t="e">
        <f t="shared" si="137"/>
        <v>#N/A</v>
      </c>
      <c r="Y179" t="e">
        <f t="shared" si="138"/>
        <v>#N/A</v>
      </c>
      <c r="Z179" t="e">
        <f t="shared" si="139"/>
        <v>#N/A</v>
      </c>
      <c r="AA179" t="e">
        <f t="shared" si="140"/>
        <v>#N/A</v>
      </c>
      <c r="AB179" t="e">
        <f t="shared" si="141"/>
        <v>#N/A</v>
      </c>
      <c r="AC179" t="e">
        <f t="shared" si="142"/>
        <v>#N/A</v>
      </c>
      <c r="AD179" t="e">
        <f t="shared" si="143"/>
        <v>#N/A</v>
      </c>
      <c r="AE179" t="e">
        <f t="shared" si="144"/>
        <v>#N/A</v>
      </c>
      <c r="AF179" t="e">
        <f t="shared" si="145"/>
        <v>#N/A</v>
      </c>
      <c r="AG179" t="e">
        <f t="shared" si="146"/>
        <v>#N/A</v>
      </c>
      <c r="AH179" t="e">
        <f t="shared" si="147"/>
        <v>#N/A</v>
      </c>
      <c r="AI179" t="e">
        <f t="shared" si="148"/>
        <v>#N/A</v>
      </c>
      <c r="AJ179" t="e">
        <f t="shared" si="149"/>
        <v>#N/A</v>
      </c>
    </row>
    <row r="180" spans="1:36" x14ac:dyDescent="0.25">
      <c r="A180" s="2"/>
      <c r="L180" t="e">
        <f t="shared" si="125"/>
        <v>#N/A</v>
      </c>
      <c r="M180" t="e">
        <f t="shared" si="126"/>
        <v>#N/A</v>
      </c>
      <c r="N180" t="e">
        <f t="shared" si="127"/>
        <v>#N/A</v>
      </c>
      <c r="O180">
        <f t="shared" si="128"/>
        <v>0</v>
      </c>
      <c r="P180">
        <f t="shared" si="129"/>
        <v>0</v>
      </c>
      <c r="Q180">
        <f t="shared" si="130"/>
        <v>0</v>
      </c>
      <c r="R180">
        <f t="shared" si="131"/>
        <v>0</v>
      </c>
      <c r="S180">
        <f t="shared" si="132"/>
        <v>0</v>
      </c>
      <c r="T180">
        <f t="shared" si="133"/>
        <v>0</v>
      </c>
      <c r="U180" t="e">
        <f t="shared" si="134"/>
        <v>#N/A</v>
      </c>
      <c r="V180" t="e">
        <f t="shared" si="135"/>
        <v>#N/A</v>
      </c>
      <c r="W180" t="e">
        <f t="shared" si="136"/>
        <v>#N/A</v>
      </c>
      <c r="X180" t="e">
        <f t="shared" si="137"/>
        <v>#N/A</v>
      </c>
      <c r="Y180" t="e">
        <f t="shared" si="138"/>
        <v>#N/A</v>
      </c>
      <c r="Z180" t="e">
        <f t="shared" si="139"/>
        <v>#N/A</v>
      </c>
      <c r="AA180" t="e">
        <f t="shared" si="140"/>
        <v>#N/A</v>
      </c>
      <c r="AB180" t="e">
        <f t="shared" si="141"/>
        <v>#N/A</v>
      </c>
      <c r="AC180" t="e">
        <f t="shared" si="142"/>
        <v>#N/A</v>
      </c>
      <c r="AD180" t="e">
        <f t="shared" si="143"/>
        <v>#N/A</v>
      </c>
      <c r="AE180" t="e">
        <f t="shared" si="144"/>
        <v>#N/A</v>
      </c>
      <c r="AF180" t="e">
        <f t="shared" si="145"/>
        <v>#N/A</v>
      </c>
      <c r="AG180" t="e">
        <f t="shared" si="146"/>
        <v>#N/A</v>
      </c>
      <c r="AH180" t="e">
        <f t="shared" si="147"/>
        <v>#N/A</v>
      </c>
      <c r="AI180" t="e">
        <f t="shared" si="148"/>
        <v>#N/A</v>
      </c>
      <c r="AJ180" t="e">
        <f t="shared" si="149"/>
        <v>#N/A</v>
      </c>
    </row>
    <row r="181" spans="1:36" x14ac:dyDescent="0.25">
      <c r="A181" s="2"/>
      <c r="L181" t="e">
        <f t="shared" si="125"/>
        <v>#N/A</v>
      </c>
      <c r="M181" t="e">
        <f t="shared" si="126"/>
        <v>#N/A</v>
      </c>
      <c r="N181" t="e">
        <f t="shared" si="127"/>
        <v>#N/A</v>
      </c>
      <c r="O181">
        <f t="shared" si="128"/>
        <v>0</v>
      </c>
      <c r="P181">
        <f t="shared" si="129"/>
        <v>0</v>
      </c>
      <c r="Q181">
        <f t="shared" si="130"/>
        <v>0</v>
      </c>
      <c r="R181">
        <f t="shared" si="131"/>
        <v>0</v>
      </c>
      <c r="S181">
        <f t="shared" si="132"/>
        <v>0</v>
      </c>
      <c r="T181">
        <f t="shared" si="133"/>
        <v>0</v>
      </c>
      <c r="U181" t="e">
        <f t="shared" si="134"/>
        <v>#N/A</v>
      </c>
      <c r="V181" t="e">
        <f t="shared" si="135"/>
        <v>#N/A</v>
      </c>
      <c r="W181" t="e">
        <f t="shared" si="136"/>
        <v>#N/A</v>
      </c>
      <c r="X181" t="e">
        <f t="shared" si="137"/>
        <v>#N/A</v>
      </c>
      <c r="Y181" t="e">
        <f t="shared" si="138"/>
        <v>#N/A</v>
      </c>
      <c r="Z181" t="e">
        <f t="shared" si="139"/>
        <v>#N/A</v>
      </c>
      <c r="AA181" t="e">
        <f t="shared" si="140"/>
        <v>#N/A</v>
      </c>
      <c r="AB181" t="e">
        <f t="shared" si="141"/>
        <v>#N/A</v>
      </c>
      <c r="AC181" t="e">
        <f t="shared" si="142"/>
        <v>#N/A</v>
      </c>
      <c r="AD181" t="e">
        <f t="shared" si="143"/>
        <v>#N/A</v>
      </c>
      <c r="AE181" t="e">
        <f t="shared" si="144"/>
        <v>#N/A</v>
      </c>
      <c r="AF181" t="e">
        <f t="shared" si="145"/>
        <v>#N/A</v>
      </c>
      <c r="AG181" t="e">
        <f t="shared" si="146"/>
        <v>#N/A</v>
      </c>
      <c r="AH181" t="e">
        <f t="shared" si="147"/>
        <v>#N/A</v>
      </c>
      <c r="AI181" t="e">
        <f t="shared" si="148"/>
        <v>#N/A</v>
      </c>
      <c r="AJ181" t="e">
        <f t="shared" si="149"/>
        <v>#N/A</v>
      </c>
    </row>
    <row r="182" spans="1:36" x14ac:dyDescent="0.25">
      <c r="A182" s="2"/>
      <c r="L182" t="e">
        <f t="shared" si="125"/>
        <v>#N/A</v>
      </c>
      <c r="M182" t="e">
        <f t="shared" si="126"/>
        <v>#N/A</v>
      </c>
      <c r="N182" t="e">
        <f t="shared" si="127"/>
        <v>#N/A</v>
      </c>
      <c r="O182">
        <f t="shared" si="128"/>
        <v>0</v>
      </c>
      <c r="P182">
        <f t="shared" si="129"/>
        <v>0</v>
      </c>
      <c r="Q182">
        <f t="shared" si="130"/>
        <v>0</v>
      </c>
      <c r="R182">
        <f t="shared" si="131"/>
        <v>0</v>
      </c>
      <c r="S182">
        <f t="shared" si="132"/>
        <v>0</v>
      </c>
      <c r="T182">
        <f t="shared" si="133"/>
        <v>0</v>
      </c>
      <c r="U182" t="e">
        <f t="shared" si="134"/>
        <v>#N/A</v>
      </c>
      <c r="V182" t="e">
        <f t="shared" si="135"/>
        <v>#N/A</v>
      </c>
      <c r="W182" t="e">
        <f t="shared" si="136"/>
        <v>#N/A</v>
      </c>
      <c r="X182" t="e">
        <f t="shared" si="137"/>
        <v>#N/A</v>
      </c>
      <c r="Y182" t="e">
        <f t="shared" si="138"/>
        <v>#N/A</v>
      </c>
      <c r="Z182" t="e">
        <f t="shared" si="139"/>
        <v>#N/A</v>
      </c>
      <c r="AA182" t="e">
        <f t="shared" si="140"/>
        <v>#N/A</v>
      </c>
      <c r="AB182" t="e">
        <f t="shared" si="141"/>
        <v>#N/A</v>
      </c>
      <c r="AC182" t="e">
        <f t="shared" si="142"/>
        <v>#N/A</v>
      </c>
      <c r="AD182" t="e">
        <f t="shared" si="143"/>
        <v>#N/A</v>
      </c>
      <c r="AE182" t="e">
        <f t="shared" si="144"/>
        <v>#N/A</v>
      </c>
      <c r="AF182" t="e">
        <f t="shared" si="145"/>
        <v>#N/A</v>
      </c>
      <c r="AG182" t="e">
        <f t="shared" si="146"/>
        <v>#N/A</v>
      </c>
      <c r="AH182" t="e">
        <f t="shared" si="147"/>
        <v>#N/A</v>
      </c>
      <c r="AI182" t="e">
        <f t="shared" si="148"/>
        <v>#N/A</v>
      </c>
      <c r="AJ182" t="e">
        <f t="shared" si="149"/>
        <v>#N/A</v>
      </c>
    </row>
    <row r="183" spans="1:36" x14ac:dyDescent="0.25">
      <c r="A183" s="2"/>
      <c r="L183" t="e">
        <f t="shared" si="125"/>
        <v>#N/A</v>
      </c>
      <c r="M183" t="e">
        <f t="shared" si="126"/>
        <v>#N/A</v>
      </c>
      <c r="N183" t="e">
        <f t="shared" si="127"/>
        <v>#N/A</v>
      </c>
      <c r="O183">
        <f t="shared" si="128"/>
        <v>0</v>
      </c>
      <c r="P183">
        <f t="shared" si="129"/>
        <v>0</v>
      </c>
      <c r="Q183">
        <f t="shared" si="130"/>
        <v>0</v>
      </c>
      <c r="R183">
        <f t="shared" si="131"/>
        <v>0</v>
      </c>
      <c r="S183">
        <f t="shared" si="132"/>
        <v>0</v>
      </c>
      <c r="T183">
        <f t="shared" si="133"/>
        <v>0</v>
      </c>
      <c r="U183" t="e">
        <f t="shared" si="134"/>
        <v>#N/A</v>
      </c>
      <c r="V183" t="e">
        <f t="shared" si="135"/>
        <v>#N/A</v>
      </c>
      <c r="W183" t="e">
        <f t="shared" si="136"/>
        <v>#N/A</v>
      </c>
      <c r="X183" t="e">
        <f t="shared" si="137"/>
        <v>#N/A</v>
      </c>
      <c r="Y183" t="e">
        <f t="shared" si="138"/>
        <v>#N/A</v>
      </c>
      <c r="Z183" t="e">
        <f t="shared" si="139"/>
        <v>#N/A</v>
      </c>
      <c r="AA183" t="e">
        <f t="shared" si="140"/>
        <v>#N/A</v>
      </c>
      <c r="AB183" t="e">
        <f t="shared" si="141"/>
        <v>#N/A</v>
      </c>
      <c r="AC183" t="e">
        <f t="shared" si="142"/>
        <v>#N/A</v>
      </c>
      <c r="AD183" t="e">
        <f t="shared" si="143"/>
        <v>#N/A</v>
      </c>
      <c r="AE183" t="e">
        <f t="shared" si="144"/>
        <v>#N/A</v>
      </c>
      <c r="AF183" t="e">
        <f t="shared" si="145"/>
        <v>#N/A</v>
      </c>
      <c r="AG183" t="e">
        <f t="shared" si="146"/>
        <v>#N/A</v>
      </c>
      <c r="AH183" t="e">
        <f t="shared" si="147"/>
        <v>#N/A</v>
      </c>
      <c r="AI183" t="e">
        <f t="shared" si="148"/>
        <v>#N/A</v>
      </c>
      <c r="AJ183" t="e">
        <f t="shared" si="149"/>
        <v>#N/A</v>
      </c>
    </row>
    <row r="184" spans="1:36" x14ac:dyDescent="0.25">
      <c r="A184" s="2"/>
      <c r="L184" t="e">
        <f t="shared" si="125"/>
        <v>#N/A</v>
      </c>
      <c r="M184" t="e">
        <f t="shared" si="126"/>
        <v>#N/A</v>
      </c>
      <c r="N184" t="e">
        <f t="shared" si="127"/>
        <v>#N/A</v>
      </c>
      <c r="O184">
        <f t="shared" si="128"/>
        <v>0</v>
      </c>
      <c r="P184">
        <f t="shared" si="129"/>
        <v>0</v>
      </c>
      <c r="Q184">
        <f t="shared" si="130"/>
        <v>0</v>
      </c>
      <c r="R184">
        <f t="shared" si="131"/>
        <v>0</v>
      </c>
      <c r="S184">
        <f t="shared" si="132"/>
        <v>0</v>
      </c>
      <c r="T184">
        <f t="shared" si="133"/>
        <v>0</v>
      </c>
      <c r="U184" t="e">
        <f t="shared" si="134"/>
        <v>#N/A</v>
      </c>
      <c r="V184" t="e">
        <f t="shared" si="135"/>
        <v>#N/A</v>
      </c>
      <c r="W184" t="e">
        <f t="shared" si="136"/>
        <v>#N/A</v>
      </c>
      <c r="X184" t="e">
        <f t="shared" si="137"/>
        <v>#N/A</v>
      </c>
      <c r="Y184" t="e">
        <f t="shared" si="138"/>
        <v>#N/A</v>
      </c>
      <c r="Z184" t="e">
        <f t="shared" si="139"/>
        <v>#N/A</v>
      </c>
      <c r="AA184" t="e">
        <f t="shared" si="140"/>
        <v>#N/A</v>
      </c>
      <c r="AB184" t="e">
        <f t="shared" si="141"/>
        <v>#N/A</v>
      </c>
      <c r="AC184" t="e">
        <f t="shared" si="142"/>
        <v>#N/A</v>
      </c>
      <c r="AD184" t="e">
        <f t="shared" si="143"/>
        <v>#N/A</v>
      </c>
      <c r="AE184" t="e">
        <f t="shared" si="144"/>
        <v>#N/A</v>
      </c>
      <c r="AF184" t="e">
        <f t="shared" si="145"/>
        <v>#N/A</v>
      </c>
      <c r="AG184" t="e">
        <f t="shared" si="146"/>
        <v>#N/A</v>
      </c>
      <c r="AH184" t="e">
        <f t="shared" si="147"/>
        <v>#N/A</v>
      </c>
      <c r="AI184" t="e">
        <f t="shared" si="148"/>
        <v>#N/A</v>
      </c>
      <c r="AJ184" t="e">
        <f t="shared" si="149"/>
        <v>#N/A</v>
      </c>
    </row>
    <row r="185" spans="1:36" x14ac:dyDescent="0.25">
      <c r="A185" s="2"/>
      <c r="L185" t="e">
        <f t="shared" si="125"/>
        <v>#N/A</v>
      </c>
      <c r="M185" t="e">
        <f t="shared" si="126"/>
        <v>#N/A</v>
      </c>
      <c r="N185" t="e">
        <f t="shared" si="127"/>
        <v>#N/A</v>
      </c>
      <c r="O185">
        <f t="shared" si="128"/>
        <v>0</v>
      </c>
      <c r="P185">
        <f t="shared" si="129"/>
        <v>0</v>
      </c>
      <c r="Q185">
        <f t="shared" si="130"/>
        <v>0</v>
      </c>
      <c r="R185">
        <f t="shared" si="131"/>
        <v>0</v>
      </c>
      <c r="S185">
        <f t="shared" si="132"/>
        <v>0</v>
      </c>
      <c r="T185">
        <f t="shared" si="133"/>
        <v>0</v>
      </c>
      <c r="U185" t="e">
        <f t="shared" si="134"/>
        <v>#N/A</v>
      </c>
      <c r="V185" t="e">
        <f t="shared" si="135"/>
        <v>#N/A</v>
      </c>
      <c r="W185" t="e">
        <f t="shared" si="136"/>
        <v>#N/A</v>
      </c>
      <c r="X185" t="e">
        <f t="shared" si="137"/>
        <v>#N/A</v>
      </c>
      <c r="Y185" t="e">
        <f t="shared" si="138"/>
        <v>#N/A</v>
      </c>
      <c r="Z185" t="e">
        <f t="shared" si="139"/>
        <v>#N/A</v>
      </c>
      <c r="AA185" t="e">
        <f t="shared" si="140"/>
        <v>#N/A</v>
      </c>
      <c r="AB185" t="e">
        <f t="shared" si="141"/>
        <v>#N/A</v>
      </c>
      <c r="AC185" t="e">
        <f t="shared" si="142"/>
        <v>#N/A</v>
      </c>
      <c r="AD185" t="e">
        <f t="shared" si="143"/>
        <v>#N/A</v>
      </c>
      <c r="AE185" t="e">
        <f t="shared" si="144"/>
        <v>#N/A</v>
      </c>
      <c r="AF185" t="e">
        <f t="shared" si="145"/>
        <v>#N/A</v>
      </c>
      <c r="AG185" t="e">
        <f t="shared" si="146"/>
        <v>#N/A</v>
      </c>
      <c r="AH185" t="e">
        <f t="shared" si="147"/>
        <v>#N/A</v>
      </c>
      <c r="AI185" t="e">
        <f t="shared" si="148"/>
        <v>#N/A</v>
      </c>
      <c r="AJ185" t="e">
        <f t="shared" si="149"/>
        <v>#N/A</v>
      </c>
    </row>
    <row r="186" spans="1:36" x14ac:dyDescent="0.25">
      <c r="A186" s="2"/>
      <c r="L186" t="e">
        <f t="shared" si="125"/>
        <v>#N/A</v>
      </c>
      <c r="M186" t="e">
        <f t="shared" si="126"/>
        <v>#N/A</v>
      </c>
      <c r="N186" t="e">
        <f t="shared" si="127"/>
        <v>#N/A</v>
      </c>
      <c r="O186">
        <f t="shared" si="128"/>
        <v>0</v>
      </c>
      <c r="P186">
        <f t="shared" si="129"/>
        <v>0</v>
      </c>
      <c r="Q186">
        <f t="shared" si="130"/>
        <v>0</v>
      </c>
      <c r="R186">
        <f t="shared" si="131"/>
        <v>0</v>
      </c>
      <c r="S186">
        <f t="shared" si="132"/>
        <v>0</v>
      </c>
      <c r="T186">
        <f t="shared" si="133"/>
        <v>0</v>
      </c>
      <c r="U186" t="e">
        <f t="shared" si="134"/>
        <v>#N/A</v>
      </c>
      <c r="V186" t="e">
        <f t="shared" si="135"/>
        <v>#N/A</v>
      </c>
      <c r="W186" t="e">
        <f t="shared" si="136"/>
        <v>#N/A</v>
      </c>
      <c r="X186" t="e">
        <f t="shared" si="137"/>
        <v>#N/A</v>
      </c>
      <c r="Y186" t="e">
        <f t="shared" si="138"/>
        <v>#N/A</v>
      </c>
      <c r="Z186" t="e">
        <f t="shared" si="139"/>
        <v>#N/A</v>
      </c>
      <c r="AA186" t="e">
        <f t="shared" si="140"/>
        <v>#N/A</v>
      </c>
      <c r="AB186" t="e">
        <f t="shared" si="141"/>
        <v>#N/A</v>
      </c>
      <c r="AC186" t="e">
        <f t="shared" si="142"/>
        <v>#N/A</v>
      </c>
      <c r="AD186" t="e">
        <f t="shared" si="143"/>
        <v>#N/A</v>
      </c>
      <c r="AE186" t="e">
        <f t="shared" si="144"/>
        <v>#N/A</v>
      </c>
      <c r="AF186" t="e">
        <f t="shared" si="145"/>
        <v>#N/A</v>
      </c>
      <c r="AG186" t="e">
        <f t="shared" si="146"/>
        <v>#N/A</v>
      </c>
      <c r="AH186" t="e">
        <f t="shared" si="147"/>
        <v>#N/A</v>
      </c>
      <c r="AI186" t="e">
        <f t="shared" si="148"/>
        <v>#N/A</v>
      </c>
      <c r="AJ186" t="e">
        <f t="shared" si="149"/>
        <v>#N/A</v>
      </c>
    </row>
    <row r="187" spans="1:36" x14ac:dyDescent="0.25">
      <c r="A187" s="2"/>
      <c r="L187" t="e">
        <f t="shared" si="125"/>
        <v>#N/A</v>
      </c>
      <c r="M187" t="e">
        <f t="shared" si="126"/>
        <v>#N/A</v>
      </c>
      <c r="N187" t="e">
        <f t="shared" si="127"/>
        <v>#N/A</v>
      </c>
      <c r="O187">
        <f t="shared" si="128"/>
        <v>0</v>
      </c>
      <c r="P187">
        <f t="shared" si="129"/>
        <v>0</v>
      </c>
      <c r="Q187">
        <f t="shared" si="130"/>
        <v>0</v>
      </c>
      <c r="R187">
        <f t="shared" si="131"/>
        <v>0</v>
      </c>
      <c r="S187">
        <f t="shared" si="132"/>
        <v>0</v>
      </c>
      <c r="T187">
        <f t="shared" si="133"/>
        <v>0</v>
      </c>
      <c r="U187" t="e">
        <f t="shared" si="134"/>
        <v>#N/A</v>
      </c>
      <c r="V187" t="e">
        <f t="shared" si="135"/>
        <v>#N/A</v>
      </c>
      <c r="W187" t="e">
        <f t="shared" si="136"/>
        <v>#N/A</v>
      </c>
      <c r="X187" t="e">
        <f t="shared" si="137"/>
        <v>#N/A</v>
      </c>
      <c r="Y187" t="e">
        <f t="shared" si="138"/>
        <v>#N/A</v>
      </c>
      <c r="Z187" t="e">
        <f t="shared" si="139"/>
        <v>#N/A</v>
      </c>
      <c r="AA187" t="e">
        <f t="shared" si="140"/>
        <v>#N/A</v>
      </c>
      <c r="AB187" t="e">
        <f t="shared" si="141"/>
        <v>#N/A</v>
      </c>
      <c r="AC187" t="e">
        <f t="shared" si="142"/>
        <v>#N/A</v>
      </c>
      <c r="AD187" t="e">
        <f t="shared" si="143"/>
        <v>#N/A</v>
      </c>
      <c r="AE187" t="e">
        <f t="shared" si="144"/>
        <v>#N/A</v>
      </c>
      <c r="AF187" t="e">
        <f t="shared" si="145"/>
        <v>#N/A</v>
      </c>
      <c r="AG187" t="e">
        <f t="shared" si="146"/>
        <v>#N/A</v>
      </c>
      <c r="AH187" t="e">
        <f t="shared" si="147"/>
        <v>#N/A</v>
      </c>
      <c r="AI187" t="e">
        <f t="shared" si="148"/>
        <v>#N/A</v>
      </c>
      <c r="AJ187" t="e">
        <f t="shared" si="149"/>
        <v>#N/A</v>
      </c>
    </row>
    <row r="188" spans="1:36" x14ac:dyDescent="0.25">
      <c r="A188" s="2"/>
      <c r="L188" t="e">
        <f t="shared" si="125"/>
        <v>#N/A</v>
      </c>
      <c r="M188" t="e">
        <f t="shared" si="126"/>
        <v>#N/A</v>
      </c>
      <c r="N188" t="e">
        <f t="shared" si="127"/>
        <v>#N/A</v>
      </c>
      <c r="O188">
        <f t="shared" si="128"/>
        <v>0</v>
      </c>
      <c r="P188">
        <f t="shared" si="129"/>
        <v>0</v>
      </c>
      <c r="Q188">
        <f t="shared" si="130"/>
        <v>0</v>
      </c>
      <c r="R188">
        <f t="shared" si="131"/>
        <v>0</v>
      </c>
      <c r="S188">
        <f t="shared" si="132"/>
        <v>0</v>
      </c>
      <c r="T188">
        <f t="shared" si="133"/>
        <v>0</v>
      </c>
      <c r="U188" t="e">
        <f t="shared" si="134"/>
        <v>#N/A</v>
      </c>
      <c r="V188" t="e">
        <f t="shared" si="135"/>
        <v>#N/A</v>
      </c>
      <c r="W188" t="e">
        <f t="shared" si="136"/>
        <v>#N/A</v>
      </c>
      <c r="X188" t="e">
        <f t="shared" si="137"/>
        <v>#N/A</v>
      </c>
      <c r="Y188" t="e">
        <f t="shared" si="138"/>
        <v>#N/A</v>
      </c>
      <c r="Z188" t="e">
        <f t="shared" si="139"/>
        <v>#N/A</v>
      </c>
      <c r="AA188" t="e">
        <f t="shared" si="140"/>
        <v>#N/A</v>
      </c>
      <c r="AB188" t="e">
        <f t="shared" si="141"/>
        <v>#N/A</v>
      </c>
      <c r="AC188" t="e">
        <f t="shared" si="142"/>
        <v>#N/A</v>
      </c>
      <c r="AD188" t="e">
        <f t="shared" si="143"/>
        <v>#N/A</v>
      </c>
      <c r="AE188" t="e">
        <f t="shared" si="144"/>
        <v>#N/A</v>
      </c>
      <c r="AF188" t="e">
        <f t="shared" si="145"/>
        <v>#N/A</v>
      </c>
      <c r="AG188" t="e">
        <f t="shared" si="146"/>
        <v>#N/A</v>
      </c>
      <c r="AH188" t="e">
        <f t="shared" si="147"/>
        <v>#N/A</v>
      </c>
      <c r="AI188" t="e">
        <f t="shared" si="148"/>
        <v>#N/A</v>
      </c>
      <c r="AJ188" t="e">
        <f t="shared" si="149"/>
        <v>#N/A</v>
      </c>
    </row>
    <row r="189" spans="1:36" x14ac:dyDescent="0.25">
      <c r="A189" s="2"/>
      <c r="L189" t="e">
        <f t="shared" si="125"/>
        <v>#N/A</v>
      </c>
      <c r="M189" t="e">
        <f t="shared" si="126"/>
        <v>#N/A</v>
      </c>
      <c r="N189" t="e">
        <f t="shared" si="127"/>
        <v>#N/A</v>
      </c>
      <c r="O189">
        <f t="shared" si="128"/>
        <v>0</v>
      </c>
      <c r="P189">
        <f t="shared" si="129"/>
        <v>0</v>
      </c>
      <c r="Q189">
        <f t="shared" si="130"/>
        <v>0</v>
      </c>
      <c r="R189">
        <f t="shared" si="131"/>
        <v>0</v>
      </c>
      <c r="S189">
        <f t="shared" si="132"/>
        <v>0</v>
      </c>
      <c r="T189">
        <f t="shared" si="133"/>
        <v>0</v>
      </c>
      <c r="U189" t="e">
        <f t="shared" si="134"/>
        <v>#N/A</v>
      </c>
      <c r="V189" t="e">
        <f t="shared" si="135"/>
        <v>#N/A</v>
      </c>
      <c r="W189" t="e">
        <f t="shared" si="136"/>
        <v>#N/A</v>
      </c>
      <c r="X189" t="e">
        <f t="shared" si="137"/>
        <v>#N/A</v>
      </c>
      <c r="Y189" t="e">
        <f t="shared" si="138"/>
        <v>#N/A</v>
      </c>
      <c r="Z189" t="e">
        <f t="shared" si="139"/>
        <v>#N/A</v>
      </c>
      <c r="AA189" t="e">
        <f t="shared" si="140"/>
        <v>#N/A</v>
      </c>
      <c r="AB189" t="e">
        <f t="shared" si="141"/>
        <v>#N/A</v>
      </c>
      <c r="AC189" t="e">
        <f t="shared" si="142"/>
        <v>#N/A</v>
      </c>
      <c r="AD189" t="e">
        <f t="shared" si="143"/>
        <v>#N/A</v>
      </c>
      <c r="AE189" t="e">
        <f t="shared" si="144"/>
        <v>#N/A</v>
      </c>
      <c r="AF189" t="e">
        <f t="shared" si="145"/>
        <v>#N/A</v>
      </c>
      <c r="AG189" t="e">
        <f t="shared" si="146"/>
        <v>#N/A</v>
      </c>
      <c r="AH189" t="e">
        <f t="shared" si="147"/>
        <v>#N/A</v>
      </c>
      <c r="AI189" t="e">
        <f t="shared" si="148"/>
        <v>#N/A</v>
      </c>
      <c r="AJ189" t="e">
        <f t="shared" si="149"/>
        <v>#N/A</v>
      </c>
    </row>
    <row r="190" spans="1:36" x14ac:dyDescent="0.25">
      <c r="A190" s="2"/>
      <c r="L190" t="e">
        <f t="shared" si="125"/>
        <v>#N/A</v>
      </c>
      <c r="M190" t="e">
        <f t="shared" si="126"/>
        <v>#N/A</v>
      </c>
      <c r="N190" t="e">
        <f t="shared" si="127"/>
        <v>#N/A</v>
      </c>
      <c r="O190">
        <f t="shared" si="128"/>
        <v>0</v>
      </c>
      <c r="P190">
        <f t="shared" si="129"/>
        <v>0</v>
      </c>
      <c r="Q190">
        <f t="shared" si="130"/>
        <v>0</v>
      </c>
      <c r="R190">
        <f t="shared" si="131"/>
        <v>0</v>
      </c>
      <c r="S190">
        <f t="shared" si="132"/>
        <v>0</v>
      </c>
      <c r="T190">
        <f t="shared" si="133"/>
        <v>0</v>
      </c>
      <c r="U190" t="e">
        <f t="shared" si="134"/>
        <v>#N/A</v>
      </c>
      <c r="V190" t="e">
        <f t="shared" si="135"/>
        <v>#N/A</v>
      </c>
      <c r="W190" t="e">
        <f t="shared" si="136"/>
        <v>#N/A</v>
      </c>
      <c r="X190" t="e">
        <f t="shared" si="137"/>
        <v>#N/A</v>
      </c>
      <c r="Y190" t="e">
        <f t="shared" si="138"/>
        <v>#N/A</v>
      </c>
      <c r="Z190" t="e">
        <f t="shared" si="139"/>
        <v>#N/A</v>
      </c>
      <c r="AA190" t="e">
        <f t="shared" si="140"/>
        <v>#N/A</v>
      </c>
      <c r="AB190" t="e">
        <f t="shared" si="141"/>
        <v>#N/A</v>
      </c>
      <c r="AC190" t="e">
        <f t="shared" si="142"/>
        <v>#N/A</v>
      </c>
      <c r="AD190" t="e">
        <f t="shared" si="143"/>
        <v>#N/A</v>
      </c>
      <c r="AE190" t="e">
        <f t="shared" si="144"/>
        <v>#N/A</v>
      </c>
      <c r="AF190" t="e">
        <f t="shared" si="145"/>
        <v>#N/A</v>
      </c>
      <c r="AG190" t="e">
        <f t="shared" si="146"/>
        <v>#N/A</v>
      </c>
      <c r="AH190" t="e">
        <f t="shared" si="147"/>
        <v>#N/A</v>
      </c>
      <c r="AI190" t="e">
        <f t="shared" si="148"/>
        <v>#N/A</v>
      </c>
      <c r="AJ190" t="e">
        <f t="shared" si="149"/>
        <v>#N/A</v>
      </c>
    </row>
    <row r="191" spans="1:36" x14ac:dyDescent="0.25">
      <c r="A191" s="2"/>
      <c r="L191" t="e">
        <f t="shared" si="125"/>
        <v>#N/A</v>
      </c>
      <c r="M191" t="e">
        <f t="shared" si="126"/>
        <v>#N/A</v>
      </c>
      <c r="N191" t="e">
        <f t="shared" si="127"/>
        <v>#N/A</v>
      </c>
      <c r="O191">
        <f t="shared" si="128"/>
        <v>0</v>
      </c>
      <c r="P191">
        <f t="shared" si="129"/>
        <v>0</v>
      </c>
      <c r="Q191">
        <f t="shared" si="130"/>
        <v>0</v>
      </c>
      <c r="R191">
        <f t="shared" si="131"/>
        <v>0</v>
      </c>
      <c r="S191">
        <f t="shared" si="132"/>
        <v>0</v>
      </c>
      <c r="T191">
        <f t="shared" si="133"/>
        <v>0</v>
      </c>
      <c r="U191" t="e">
        <f t="shared" si="134"/>
        <v>#N/A</v>
      </c>
      <c r="V191" t="e">
        <f t="shared" si="135"/>
        <v>#N/A</v>
      </c>
      <c r="W191" t="e">
        <f t="shared" si="136"/>
        <v>#N/A</v>
      </c>
      <c r="X191" t="e">
        <f t="shared" si="137"/>
        <v>#N/A</v>
      </c>
      <c r="Y191" t="e">
        <f t="shared" si="138"/>
        <v>#N/A</v>
      </c>
      <c r="Z191" t="e">
        <f t="shared" si="139"/>
        <v>#N/A</v>
      </c>
      <c r="AA191" t="e">
        <f t="shared" si="140"/>
        <v>#N/A</v>
      </c>
      <c r="AB191" t="e">
        <f t="shared" si="141"/>
        <v>#N/A</v>
      </c>
      <c r="AC191" t="e">
        <f t="shared" si="142"/>
        <v>#N/A</v>
      </c>
      <c r="AD191" t="e">
        <f t="shared" si="143"/>
        <v>#N/A</v>
      </c>
      <c r="AE191" t="e">
        <f t="shared" si="144"/>
        <v>#N/A</v>
      </c>
      <c r="AF191" t="e">
        <f t="shared" si="145"/>
        <v>#N/A</v>
      </c>
      <c r="AG191" t="e">
        <f t="shared" si="146"/>
        <v>#N/A</v>
      </c>
      <c r="AH191" t="e">
        <f t="shared" si="147"/>
        <v>#N/A</v>
      </c>
      <c r="AI191" t="e">
        <f t="shared" si="148"/>
        <v>#N/A</v>
      </c>
      <c r="AJ191" t="e">
        <f t="shared" si="149"/>
        <v>#N/A</v>
      </c>
    </row>
    <row r="192" spans="1:36" x14ac:dyDescent="0.25">
      <c r="A192" s="2"/>
      <c r="L192" t="e">
        <f t="shared" si="125"/>
        <v>#N/A</v>
      </c>
      <c r="M192" t="e">
        <f t="shared" si="126"/>
        <v>#N/A</v>
      </c>
      <c r="N192" t="e">
        <f t="shared" si="127"/>
        <v>#N/A</v>
      </c>
      <c r="O192">
        <f t="shared" si="128"/>
        <v>0</v>
      </c>
      <c r="P192">
        <f t="shared" si="129"/>
        <v>0</v>
      </c>
      <c r="Q192">
        <f t="shared" si="130"/>
        <v>0</v>
      </c>
      <c r="R192">
        <f t="shared" si="131"/>
        <v>0</v>
      </c>
      <c r="S192">
        <f t="shared" si="132"/>
        <v>0</v>
      </c>
      <c r="T192">
        <f t="shared" si="133"/>
        <v>0</v>
      </c>
      <c r="U192" t="e">
        <f t="shared" si="134"/>
        <v>#N/A</v>
      </c>
      <c r="V192" t="e">
        <f t="shared" si="135"/>
        <v>#N/A</v>
      </c>
      <c r="W192" t="e">
        <f t="shared" si="136"/>
        <v>#N/A</v>
      </c>
      <c r="X192" t="e">
        <f t="shared" si="137"/>
        <v>#N/A</v>
      </c>
      <c r="Y192" t="e">
        <f t="shared" si="138"/>
        <v>#N/A</v>
      </c>
      <c r="Z192" t="e">
        <f t="shared" si="139"/>
        <v>#N/A</v>
      </c>
      <c r="AA192" t="e">
        <f t="shared" si="140"/>
        <v>#N/A</v>
      </c>
      <c r="AB192" t="e">
        <f t="shared" si="141"/>
        <v>#N/A</v>
      </c>
      <c r="AC192" t="e">
        <f t="shared" si="142"/>
        <v>#N/A</v>
      </c>
      <c r="AD192" t="e">
        <f t="shared" si="143"/>
        <v>#N/A</v>
      </c>
      <c r="AE192" t="e">
        <f t="shared" si="144"/>
        <v>#N/A</v>
      </c>
      <c r="AF192" t="e">
        <f t="shared" si="145"/>
        <v>#N/A</v>
      </c>
      <c r="AG192" t="e">
        <f t="shared" si="146"/>
        <v>#N/A</v>
      </c>
      <c r="AH192" t="e">
        <f t="shared" si="147"/>
        <v>#N/A</v>
      </c>
      <c r="AI192" t="e">
        <f t="shared" si="148"/>
        <v>#N/A</v>
      </c>
      <c r="AJ192" t="e">
        <f t="shared" si="149"/>
        <v>#N/A</v>
      </c>
    </row>
    <row r="193" spans="1:36" x14ac:dyDescent="0.25">
      <c r="A193" s="2"/>
      <c r="L193" t="e">
        <f t="shared" si="125"/>
        <v>#N/A</v>
      </c>
      <c r="M193" t="e">
        <f t="shared" si="126"/>
        <v>#N/A</v>
      </c>
      <c r="N193" t="e">
        <f t="shared" si="127"/>
        <v>#N/A</v>
      </c>
      <c r="O193">
        <f t="shared" si="128"/>
        <v>0</v>
      </c>
      <c r="P193">
        <f t="shared" si="129"/>
        <v>0</v>
      </c>
      <c r="Q193">
        <f t="shared" si="130"/>
        <v>0</v>
      </c>
      <c r="R193">
        <f t="shared" si="131"/>
        <v>0</v>
      </c>
      <c r="S193">
        <f t="shared" si="132"/>
        <v>0</v>
      </c>
      <c r="T193">
        <f t="shared" si="133"/>
        <v>0</v>
      </c>
      <c r="U193" t="e">
        <f t="shared" si="134"/>
        <v>#N/A</v>
      </c>
      <c r="V193" t="e">
        <f t="shared" si="135"/>
        <v>#N/A</v>
      </c>
      <c r="W193" t="e">
        <f t="shared" si="136"/>
        <v>#N/A</v>
      </c>
      <c r="X193" t="e">
        <f t="shared" si="137"/>
        <v>#N/A</v>
      </c>
      <c r="Y193" t="e">
        <f t="shared" si="138"/>
        <v>#N/A</v>
      </c>
      <c r="Z193" t="e">
        <f t="shared" si="139"/>
        <v>#N/A</v>
      </c>
      <c r="AA193" t="e">
        <f t="shared" si="140"/>
        <v>#N/A</v>
      </c>
      <c r="AB193" t="e">
        <f t="shared" si="141"/>
        <v>#N/A</v>
      </c>
      <c r="AC193" t="e">
        <f t="shared" si="142"/>
        <v>#N/A</v>
      </c>
      <c r="AD193" t="e">
        <f t="shared" si="143"/>
        <v>#N/A</v>
      </c>
      <c r="AE193" t="e">
        <f t="shared" si="144"/>
        <v>#N/A</v>
      </c>
      <c r="AF193" t="e">
        <f t="shared" si="145"/>
        <v>#N/A</v>
      </c>
      <c r="AG193" t="e">
        <f t="shared" si="146"/>
        <v>#N/A</v>
      </c>
      <c r="AH193" t="e">
        <f t="shared" si="147"/>
        <v>#N/A</v>
      </c>
      <c r="AI193" t="e">
        <f t="shared" si="148"/>
        <v>#N/A</v>
      </c>
      <c r="AJ193" t="e">
        <f t="shared" si="149"/>
        <v>#N/A</v>
      </c>
    </row>
    <row r="194" spans="1:36" x14ac:dyDescent="0.25">
      <c r="A194" s="2"/>
      <c r="L194" t="e">
        <f t="shared" ref="L194:L201" si="150">IF(ROW()&lt;=5,NA(),IFERROR(100*(B194/INDEX(B:B,ROW()-4)-1),NA()))</f>
        <v>#N/A</v>
      </c>
      <c r="M194" t="e">
        <f t="shared" ref="M194:M201" si="151">IF(ROW()&lt;=5,NA(),IFERROR(100*(C194/INDEX(C:C,ROW()-4)-1),NA()))</f>
        <v>#N/A</v>
      </c>
      <c r="N194" t="e">
        <f t="shared" ref="N194:N201" si="152">IF(ROW()&lt;=5,NA(),IFERROR(100*(D194/INDEX(D:D,ROW()-4)-1),NA()))</f>
        <v>#N/A</v>
      </c>
      <c r="O194">
        <f t="shared" ref="O194:O201" si="153">100*G194</f>
        <v>0</v>
      </c>
      <c r="P194">
        <f t="shared" ref="P194:P201" si="154">100*H194</f>
        <v>0</v>
      </c>
      <c r="Q194">
        <f t="shared" ref="Q194:Q201" si="155">100*I194</f>
        <v>0</v>
      </c>
      <c r="R194">
        <f t="shared" ref="R194:R201" si="156">100*J194</f>
        <v>0</v>
      </c>
      <c r="S194">
        <f t="shared" ref="S194:S201" si="157">IFERROR(100*E194/INDEX(E:E,MATCH(DATE(2024,12,1),A:A,0)),NA())</f>
        <v>0</v>
      </c>
      <c r="T194">
        <f t="shared" ref="T194:T201" si="158">IFERROR(100*F194/INDEX(F:F,MATCH(DATE(2024,12,1),A:A,0)),NA())</f>
        <v>0</v>
      </c>
      <c r="U194" t="e">
        <f t="shared" ref="U194:U201" si="159">IF($K194="Actual",L194,NA())</f>
        <v>#N/A</v>
      </c>
      <c r="V194" t="e">
        <f t="shared" ref="V194:V201" si="160">IF($A194&gt;=DATE(2024,12,1),L194,NA())</f>
        <v>#N/A</v>
      </c>
      <c r="W194" t="e">
        <f t="shared" ref="W194:W201" si="161">IF($K194="Actual",M194,NA())</f>
        <v>#N/A</v>
      </c>
      <c r="X194" t="e">
        <f t="shared" ref="X194:X201" si="162">IF($A194&gt;=DATE(2024,12,1),M194,NA())</f>
        <v>#N/A</v>
      </c>
      <c r="Y194" t="e">
        <f t="shared" ref="Y194:Y201" si="163">IF($K194="Actual",S194,NA())</f>
        <v>#N/A</v>
      </c>
      <c r="Z194" t="e">
        <f t="shared" ref="Z194:Z201" si="164">IF($A194&gt;=DATE(2024,12,1),S194,NA())</f>
        <v>#N/A</v>
      </c>
      <c r="AA194" t="e">
        <f t="shared" ref="AA194:AA201" si="165">IF($K194="Actual",T194,NA())</f>
        <v>#N/A</v>
      </c>
      <c r="AB194" t="e">
        <f t="shared" ref="AB194:AB201" si="166">IF($A194&gt;=DATE(2024,12,1),T194,NA())</f>
        <v>#N/A</v>
      </c>
      <c r="AC194" t="e">
        <f t="shared" ref="AC194:AC201" si="167">IF($K194="Actual",O194,NA())</f>
        <v>#N/A</v>
      </c>
      <c r="AD194" t="e">
        <f t="shared" ref="AD194:AD201" si="168">IF($A194&gt;=DATE(2024,12,1),O194,NA())</f>
        <v>#N/A</v>
      </c>
      <c r="AE194" t="e">
        <f t="shared" ref="AE194:AE201" si="169">IF($K194="Actual",Q194,NA())</f>
        <v>#N/A</v>
      </c>
      <c r="AF194" t="e">
        <f t="shared" ref="AF194:AF201" si="170">IF($A194&gt;=DATE(2024,12,1),Q194,NA())</f>
        <v>#N/A</v>
      </c>
      <c r="AG194" t="e">
        <f t="shared" ref="AG194:AG201" si="171">IF($K194="Actual",R194,NA())</f>
        <v>#N/A</v>
      </c>
      <c r="AH194" t="e">
        <f t="shared" ref="AH194:AH201" si="172">IF($A194&gt;=DATE(2024,12,1),R194,NA())</f>
        <v>#N/A</v>
      </c>
      <c r="AI194" t="e">
        <f t="shared" ref="AI194:AI201" si="173">IF($K194="Actual",N194,NA())</f>
        <v>#N/A</v>
      </c>
      <c r="AJ194" t="e">
        <f t="shared" ref="AJ194:AJ201" si="174">IF($A194&gt;=DATE(2024,12,1),N194,NA())</f>
        <v>#N/A</v>
      </c>
    </row>
    <row r="195" spans="1:36" x14ac:dyDescent="0.25">
      <c r="A195" s="2"/>
      <c r="L195" t="e">
        <f t="shared" si="150"/>
        <v>#N/A</v>
      </c>
      <c r="M195" t="e">
        <f t="shared" si="151"/>
        <v>#N/A</v>
      </c>
      <c r="N195" t="e">
        <f t="shared" si="152"/>
        <v>#N/A</v>
      </c>
      <c r="O195">
        <f t="shared" si="153"/>
        <v>0</v>
      </c>
      <c r="P195">
        <f t="shared" si="154"/>
        <v>0</v>
      </c>
      <c r="Q195">
        <f t="shared" si="155"/>
        <v>0</v>
      </c>
      <c r="R195">
        <f t="shared" si="156"/>
        <v>0</v>
      </c>
      <c r="S195">
        <f t="shared" si="157"/>
        <v>0</v>
      </c>
      <c r="T195">
        <f t="shared" si="158"/>
        <v>0</v>
      </c>
      <c r="U195" t="e">
        <f t="shared" si="159"/>
        <v>#N/A</v>
      </c>
      <c r="V195" t="e">
        <f t="shared" si="160"/>
        <v>#N/A</v>
      </c>
      <c r="W195" t="e">
        <f t="shared" si="161"/>
        <v>#N/A</v>
      </c>
      <c r="X195" t="e">
        <f t="shared" si="162"/>
        <v>#N/A</v>
      </c>
      <c r="Y195" t="e">
        <f t="shared" si="163"/>
        <v>#N/A</v>
      </c>
      <c r="Z195" t="e">
        <f t="shared" si="164"/>
        <v>#N/A</v>
      </c>
      <c r="AA195" t="e">
        <f t="shared" si="165"/>
        <v>#N/A</v>
      </c>
      <c r="AB195" t="e">
        <f t="shared" si="166"/>
        <v>#N/A</v>
      </c>
      <c r="AC195" t="e">
        <f t="shared" si="167"/>
        <v>#N/A</v>
      </c>
      <c r="AD195" t="e">
        <f t="shared" si="168"/>
        <v>#N/A</v>
      </c>
      <c r="AE195" t="e">
        <f t="shared" si="169"/>
        <v>#N/A</v>
      </c>
      <c r="AF195" t="e">
        <f t="shared" si="170"/>
        <v>#N/A</v>
      </c>
      <c r="AG195" t="e">
        <f t="shared" si="171"/>
        <v>#N/A</v>
      </c>
      <c r="AH195" t="e">
        <f t="shared" si="172"/>
        <v>#N/A</v>
      </c>
      <c r="AI195" t="e">
        <f t="shared" si="173"/>
        <v>#N/A</v>
      </c>
      <c r="AJ195" t="e">
        <f t="shared" si="174"/>
        <v>#N/A</v>
      </c>
    </row>
    <row r="196" spans="1:36" x14ac:dyDescent="0.25">
      <c r="A196" s="2"/>
      <c r="L196" t="e">
        <f t="shared" si="150"/>
        <v>#N/A</v>
      </c>
      <c r="M196" t="e">
        <f t="shared" si="151"/>
        <v>#N/A</v>
      </c>
      <c r="N196" t="e">
        <f t="shared" si="152"/>
        <v>#N/A</v>
      </c>
      <c r="O196">
        <f t="shared" si="153"/>
        <v>0</v>
      </c>
      <c r="P196">
        <f t="shared" si="154"/>
        <v>0</v>
      </c>
      <c r="Q196">
        <f t="shared" si="155"/>
        <v>0</v>
      </c>
      <c r="R196">
        <f t="shared" si="156"/>
        <v>0</v>
      </c>
      <c r="S196">
        <f t="shared" si="157"/>
        <v>0</v>
      </c>
      <c r="T196">
        <f t="shared" si="158"/>
        <v>0</v>
      </c>
      <c r="U196" t="e">
        <f t="shared" si="159"/>
        <v>#N/A</v>
      </c>
      <c r="V196" t="e">
        <f t="shared" si="160"/>
        <v>#N/A</v>
      </c>
      <c r="W196" t="e">
        <f t="shared" si="161"/>
        <v>#N/A</v>
      </c>
      <c r="X196" t="e">
        <f t="shared" si="162"/>
        <v>#N/A</v>
      </c>
      <c r="Y196" t="e">
        <f t="shared" si="163"/>
        <v>#N/A</v>
      </c>
      <c r="Z196" t="e">
        <f t="shared" si="164"/>
        <v>#N/A</v>
      </c>
      <c r="AA196" t="e">
        <f t="shared" si="165"/>
        <v>#N/A</v>
      </c>
      <c r="AB196" t="e">
        <f t="shared" si="166"/>
        <v>#N/A</v>
      </c>
      <c r="AC196" t="e">
        <f t="shared" si="167"/>
        <v>#N/A</v>
      </c>
      <c r="AD196" t="e">
        <f t="shared" si="168"/>
        <v>#N/A</v>
      </c>
      <c r="AE196" t="e">
        <f t="shared" si="169"/>
        <v>#N/A</v>
      </c>
      <c r="AF196" t="e">
        <f t="shared" si="170"/>
        <v>#N/A</v>
      </c>
      <c r="AG196" t="e">
        <f t="shared" si="171"/>
        <v>#N/A</v>
      </c>
      <c r="AH196" t="e">
        <f t="shared" si="172"/>
        <v>#N/A</v>
      </c>
      <c r="AI196" t="e">
        <f t="shared" si="173"/>
        <v>#N/A</v>
      </c>
      <c r="AJ196" t="e">
        <f t="shared" si="174"/>
        <v>#N/A</v>
      </c>
    </row>
    <row r="197" spans="1:36" x14ac:dyDescent="0.25">
      <c r="A197" s="2"/>
      <c r="L197" t="e">
        <f t="shared" si="150"/>
        <v>#N/A</v>
      </c>
      <c r="M197" t="e">
        <f t="shared" si="151"/>
        <v>#N/A</v>
      </c>
      <c r="N197" t="e">
        <f t="shared" si="152"/>
        <v>#N/A</v>
      </c>
      <c r="O197">
        <f t="shared" si="153"/>
        <v>0</v>
      </c>
      <c r="P197">
        <f t="shared" si="154"/>
        <v>0</v>
      </c>
      <c r="Q197">
        <f t="shared" si="155"/>
        <v>0</v>
      </c>
      <c r="R197">
        <f t="shared" si="156"/>
        <v>0</v>
      </c>
      <c r="S197">
        <f t="shared" si="157"/>
        <v>0</v>
      </c>
      <c r="T197">
        <f t="shared" si="158"/>
        <v>0</v>
      </c>
      <c r="U197" t="e">
        <f t="shared" si="159"/>
        <v>#N/A</v>
      </c>
      <c r="V197" t="e">
        <f t="shared" si="160"/>
        <v>#N/A</v>
      </c>
      <c r="W197" t="e">
        <f t="shared" si="161"/>
        <v>#N/A</v>
      </c>
      <c r="X197" t="e">
        <f t="shared" si="162"/>
        <v>#N/A</v>
      </c>
      <c r="Y197" t="e">
        <f t="shared" si="163"/>
        <v>#N/A</v>
      </c>
      <c r="Z197" t="e">
        <f t="shared" si="164"/>
        <v>#N/A</v>
      </c>
      <c r="AA197" t="e">
        <f t="shared" si="165"/>
        <v>#N/A</v>
      </c>
      <c r="AB197" t="e">
        <f t="shared" si="166"/>
        <v>#N/A</v>
      </c>
      <c r="AC197" t="e">
        <f t="shared" si="167"/>
        <v>#N/A</v>
      </c>
      <c r="AD197" t="e">
        <f t="shared" si="168"/>
        <v>#N/A</v>
      </c>
      <c r="AE197" t="e">
        <f t="shared" si="169"/>
        <v>#N/A</v>
      </c>
      <c r="AF197" t="e">
        <f t="shared" si="170"/>
        <v>#N/A</v>
      </c>
      <c r="AG197" t="e">
        <f t="shared" si="171"/>
        <v>#N/A</v>
      </c>
      <c r="AH197" t="e">
        <f t="shared" si="172"/>
        <v>#N/A</v>
      </c>
      <c r="AI197" t="e">
        <f t="shared" si="173"/>
        <v>#N/A</v>
      </c>
      <c r="AJ197" t="e">
        <f t="shared" si="174"/>
        <v>#N/A</v>
      </c>
    </row>
    <row r="198" spans="1:36" x14ac:dyDescent="0.25">
      <c r="A198" s="2"/>
      <c r="L198" t="e">
        <f t="shared" si="150"/>
        <v>#N/A</v>
      </c>
      <c r="M198" t="e">
        <f t="shared" si="151"/>
        <v>#N/A</v>
      </c>
      <c r="N198" t="e">
        <f t="shared" si="152"/>
        <v>#N/A</v>
      </c>
      <c r="O198">
        <f t="shared" si="153"/>
        <v>0</v>
      </c>
      <c r="P198">
        <f t="shared" si="154"/>
        <v>0</v>
      </c>
      <c r="Q198">
        <f t="shared" si="155"/>
        <v>0</v>
      </c>
      <c r="R198">
        <f t="shared" si="156"/>
        <v>0</v>
      </c>
      <c r="S198">
        <f t="shared" si="157"/>
        <v>0</v>
      </c>
      <c r="T198">
        <f t="shared" si="158"/>
        <v>0</v>
      </c>
      <c r="U198" t="e">
        <f t="shared" si="159"/>
        <v>#N/A</v>
      </c>
      <c r="V198" t="e">
        <f t="shared" si="160"/>
        <v>#N/A</v>
      </c>
      <c r="W198" t="e">
        <f t="shared" si="161"/>
        <v>#N/A</v>
      </c>
      <c r="X198" t="e">
        <f t="shared" si="162"/>
        <v>#N/A</v>
      </c>
      <c r="Y198" t="e">
        <f t="shared" si="163"/>
        <v>#N/A</v>
      </c>
      <c r="Z198" t="e">
        <f t="shared" si="164"/>
        <v>#N/A</v>
      </c>
      <c r="AA198" t="e">
        <f t="shared" si="165"/>
        <v>#N/A</v>
      </c>
      <c r="AB198" t="e">
        <f t="shared" si="166"/>
        <v>#N/A</v>
      </c>
      <c r="AC198" t="e">
        <f t="shared" si="167"/>
        <v>#N/A</v>
      </c>
      <c r="AD198" t="e">
        <f t="shared" si="168"/>
        <v>#N/A</v>
      </c>
      <c r="AE198" t="e">
        <f t="shared" si="169"/>
        <v>#N/A</v>
      </c>
      <c r="AF198" t="e">
        <f t="shared" si="170"/>
        <v>#N/A</v>
      </c>
      <c r="AG198" t="e">
        <f t="shared" si="171"/>
        <v>#N/A</v>
      </c>
      <c r="AH198" t="e">
        <f t="shared" si="172"/>
        <v>#N/A</v>
      </c>
      <c r="AI198" t="e">
        <f t="shared" si="173"/>
        <v>#N/A</v>
      </c>
      <c r="AJ198" t="e">
        <f t="shared" si="174"/>
        <v>#N/A</v>
      </c>
    </row>
    <row r="199" spans="1:36" x14ac:dyDescent="0.25">
      <c r="A199" s="2"/>
      <c r="L199" t="e">
        <f t="shared" si="150"/>
        <v>#N/A</v>
      </c>
      <c r="M199" t="e">
        <f t="shared" si="151"/>
        <v>#N/A</v>
      </c>
      <c r="N199" t="e">
        <f t="shared" si="152"/>
        <v>#N/A</v>
      </c>
      <c r="O199">
        <f t="shared" si="153"/>
        <v>0</v>
      </c>
      <c r="P199">
        <f t="shared" si="154"/>
        <v>0</v>
      </c>
      <c r="Q199">
        <f t="shared" si="155"/>
        <v>0</v>
      </c>
      <c r="R199">
        <f t="shared" si="156"/>
        <v>0</v>
      </c>
      <c r="S199">
        <f t="shared" si="157"/>
        <v>0</v>
      </c>
      <c r="T199">
        <f t="shared" si="158"/>
        <v>0</v>
      </c>
      <c r="U199" t="e">
        <f t="shared" si="159"/>
        <v>#N/A</v>
      </c>
      <c r="V199" t="e">
        <f t="shared" si="160"/>
        <v>#N/A</v>
      </c>
      <c r="W199" t="e">
        <f t="shared" si="161"/>
        <v>#N/A</v>
      </c>
      <c r="X199" t="e">
        <f t="shared" si="162"/>
        <v>#N/A</v>
      </c>
      <c r="Y199" t="e">
        <f t="shared" si="163"/>
        <v>#N/A</v>
      </c>
      <c r="Z199" t="e">
        <f t="shared" si="164"/>
        <v>#N/A</v>
      </c>
      <c r="AA199" t="e">
        <f t="shared" si="165"/>
        <v>#N/A</v>
      </c>
      <c r="AB199" t="e">
        <f t="shared" si="166"/>
        <v>#N/A</v>
      </c>
      <c r="AC199" t="e">
        <f t="shared" si="167"/>
        <v>#N/A</v>
      </c>
      <c r="AD199" t="e">
        <f t="shared" si="168"/>
        <v>#N/A</v>
      </c>
      <c r="AE199" t="e">
        <f t="shared" si="169"/>
        <v>#N/A</v>
      </c>
      <c r="AF199" t="e">
        <f t="shared" si="170"/>
        <v>#N/A</v>
      </c>
      <c r="AG199" t="e">
        <f t="shared" si="171"/>
        <v>#N/A</v>
      </c>
      <c r="AH199" t="e">
        <f t="shared" si="172"/>
        <v>#N/A</v>
      </c>
      <c r="AI199" t="e">
        <f t="shared" si="173"/>
        <v>#N/A</v>
      </c>
      <c r="AJ199" t="e">
        <f t="shared" si="174"/>
        <v>#N/A</v>
      </c>
    </row>
    <row r="200" spans="1:36" x14ac:dyDescent="0.25">
      <c r="A200" s="2"/>
      <c r="L200" t="e">
        <f t="shared" si="150"/>
        <v>#N/A</v>
      </c>
      <c r="M200" t="e">
        <f t="shared" si="151"/>
        <v>#N/A</v>
      </c>
      <c r="N200" t="e">
        <f t="shared" si="152"/>
        <v>#N/A</v>
      </c>
      <c r="O200">
        <f t="shared" si="153"/>
        <v>0</v>
      </c>
      <c r="P200">
        <f t="shared" si="154"/>
        <v>0</v>
      </c>
      <c r="Q200">
        <f t="shared" si="155"/>
        <v>0</v>
      </c>
      <c r="R200">
        <f t="shared" si="156"/>
        <v>0</v>
      </c>
      <c r="S200">
        <f t="shared" si="157"/>
        <v>0</v>
      </c>
      <c r="T200">
        <f t="shared" si="158"/>
        <v>0</v>
      </c>
      <c r="U200" t="e">
        <f t="shared" si="159"/>
        <v>#N/A</v>
      </c>
      <c r="V200" t="e">
        <f t="shared" si="160"/>
        <v>#N/A</v>
      </c>
      <c r="W200" t="e">
        <f t="shared" si="161"/>
        <v>#N/A</v>
      </c>
      <c r="X200" t="e">
        <f t="shared" si="162"/>
        <v>#N/A</v>
      </c>
      <c r="Y200" t="e">
        <f t="shared" si="163"/>
        <v>#N/A</v>
      </c>
      <c r="Z200" t="e">
        <f t="shared" si="164"/>
        <v>#N/A</v>
      </c>
      <c r="AA200" t="e">
        <f t="shared" si="165"/>
        <v>#N/A</v>
      </c>
      <c r="AB200" t="e">
        <f t="shared" si="166"/>
        <v>#N/A</v>
      </c>
      <c r="AC200" t="e">
        <f t="shared" si="167"/>
        <v>#N/A</v>
      </c>
      <c r="AD200" t="e">
        <f t="shared" si="168"/>
        <v>#N/A</v>
      </c>
      <c r="AE200" t="e">
        <f t="shared" si="169"/>
        <v>#N/A</v>
      </c>
      <c r="AF200" t="e">
        <f t="shared" si="170"/>
        <v>#N/A</v>
      </c>
      <c r="AG200" t="e">
        <f t="shared" si="171"/>
        <v>#N/A</v>
      </c>
      <c r="AH200" t="e">
        <f t="shared" si="172"/>
        <v>#N/A</v>
      </c>
      <c r="AI200" t="e">
        <f t="shared" si="173"/>
        <v>#N/A</v>
      </c>
      <c r="AJ200" t="e">
        <f t="shared" si="174"/>
        <v>#N/A</v>
      </c>
    </row>
    <row r="201" spans="1:36" x14ac:dyDescent="0.25">
      <c r="A201" s="2"/>
      <c r="L201" t="e">
        <f t="shared" si="150"/>
        <v>#N/A</v>
      </c>
      <c r="M201" t="e">
        <f t="shared" si="151"/>
        <v>#N/A</v>
      </c>
      <c r="N201" t="e">
        <f t="shared" si="152"/>
        <v>#N/A</v>
      </c>
      <c r="O201">
        <f t="shared" si="153"/>
        <v>0</v>
      </c>
      <c r="P201">
        <f t="shared" si="154"/>
        <v>0</v>
      </c>
      <c r="Q201">
        <f t="shared" si="155"/>
        <v>0</v>
      </c>
      <c r="R201">
        <f t="shared" si="156"/>
        <v>0</v>
      </c>
      <c r="S201">
        <f t="shared" si="157"/>
        <v>0</v>
      </c>
      <c r="T201">
        <f t="shared" si="158"/>
        <v>0</v>
      </c>
      <c r="U201" t="e">
        <f t="shared" si="159"/>
        <v>#N/A</v>
      </c>
      <c r="V201" t="e">
        <f t="shared" si="160"/>
        <v>#N/A</v>
      </c>
      <c r="W201" t="e">
        <f t="shared" si="161"/>
        <v>#N/A</v>
      </c>
      <c r="X201" t="e">
        <f t="shared" si="162"/>
        <v>#N/A</v>
      </c>
      <c r="Y201" t="e">
        <f t="shared" si="163"/>
        <v>#N/A</v>
      </c>
      <c r="Z201" t="e">
        <f t="shared" si="164"/>
        <v>#N/A</v>
      </c>
      <c r="AA201" t="e">
        <f t="shared" si="165"/>
        <v>#N/A</v>
      </c>
      <c r="AB201" t="e">
        <f t="shared" si="166"/>
        <v>#N/A</v>
      </c>
      <c r="AC201" t="e">
        <f t="shared" si="167"/>
        <v>#N/A</v>
      </c>
      <c r="AD201" t="e">
        <f t="shared" si="168"/>
        <v>#N/A</v>
      </c>
      <c r="AE201" t="e">
        <f t="shared" si="169"/>
        <v>#N/A</v>
      </c>
      <c r="AF201" t="e">
        <f t="shared" si="170"/>
        <v>#N/A</v>
      </c>
      <c r="AG201" t="e">
        <f t="shared" si="171"/>
        <v>#N/A</v>
      </c>
      <c r="AH201" t="e">
        <f t="shared" si="172"/>
        <v>#N/A</v>
      </c>
      <c r="AI201" t="e">
        <f t="shared" si="173"/>
        <v>#N/A</v>
      </c>
      <c r="AJ201" t="e">
        <f t="shared" si="174"/>
        <v>#N/A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I49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9" sqref="E9"/>
    </sheetView>
  </sheetViews>
  <sheetFormatPr defaultColWidth="11.42578125" defaultRowHeight="15" x14ac:dyDescent="0.25"/>
  <cols>
    <col min="1" max="1" width="13.7109375" customWidth="1"/>
    <col min="2" max="139" width="15.7109375" customWidth="1"/>
  </cols>
  <sheetData>
    <row r="1" spans="1:139" x14ac:dyDescent="0.25">
      <c r="A1" s="1" t="s">
        <v>0</v>
      </c>
      <c r="B1" t="s">
        <v>2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7</v>
      </c>
      <c r="N1" t="s">
        <v>46</v>
      </c>
      <c r="O1" t="s">
        <v>3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73</v>
      </c>
      <c r="AR1" t="s">
        <v>74</v>
      </c>
      <c r="AS1" t="s">
        <v>75</v>
      </c>
      <c r="AT1" t="s">
        <v>8</v>
      </c>
      <c r="AU1" t="s">
        <v>9</v>
      </c>
      <c r="AV1" t="s">
        <v>76</v>
      </c>
      <c r="AW1" t="s">
        <v>77</v>
      </c>
      <c r="AX1" t="s">
        <v>78</v>
      </c>
      <c r="AY1" t="s">
        <v>79</v>
      </c>
      <c r="AZ1" t="s">
        <v>80</v>
      </c>
      <c r="BA1" t="s">
        <v>81</v>
      </c>
      <c r="BB1" t="s">
        <v>82</v>
      </c>
      <c r="BC1" t="s">
        <v>83</v>
      </c>
      <c r="BD1" t="s">
        <v>84</v>
      </c>
      <c r="BE1" t="s">
        <v>85</v>
      </c>
      <c r="BF1" t="s">
        <v>86</v>
      </c>
      <c r="BG1" t="s">
        <v>87</v>
      </c>
      <c r="BH1" t="s">
        <v>88</v>
      </c>
      <c r="BI1" t="s">
        <v>89</v>
      </c>
      <c r="BJ1" t="s">
        <v>90</v>
      </c>
      <c r="BK1" t="s">
        <v>91</v>
      </c>
      <c r="BL1" t="s">
        <v>92</v>
      </c>
      <c r="BM1" t="s">
        <v>93</v>
      </c>
      <c r="BN1" t="s">
        <v>94</v>
      </c>
      <c r="BO1" t="s">
        <v>1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  <c r="BX1" t="s">
        <v>103</v>
      </c>
      <c r="BY1" t="s">
        <v>4</v>
      </c>
      <c r="BZ1" t="s">
        <v>104</v>
      </c>
      <c r="CA1" t="s">
        <v>105</v>
      </c>
      <c r="CB1" t="s">
        <v>6</v>
      </c>
      <c r="CC1" t="s">
        <v>106</v>
      </c>
      <c r="CD1" t="s">
        <v>107</v>
      </c>
      <c r="CE1" t="s">
        <v>108</v>
      </c>
      <c r="CF1" t="s">
        <v>109</v>
      </c>
      <c r="CG1" t="s">
        <v>110</v>
      </c>
      <c r="CH1" t="s">
        <v>111</v>
      </c>
      <c r="CI1" t="s">
        <v>112</v>
      </c>
      <c r="CJ1" t="s">
        <v>113</v>
      </c>
      <c r="CK1" t="s">
        <v>114</v>
      </c>
      <c r="CL1" t="s">
        <v>115</v>
      </c>
      <c r="CM1" t="s">
        <v>116</v>
      </c>
      <c r="CN1" t="s">
        <v>117</v>
      </c>
      <c r="CO1" t="s">
        <v>118</v>
      </c>
      <c r="CP1" t="s">
        <v>119</v>
      </c>
      <c r="CQ1" t="s">
        <v>120</v>
      </c>
      <c r="CR1" t="s">
        <v>121</v>
      </c>
      <c r="CS1" t="s">
        <v>122</v>
      </c>
      <c r="CT1" t="s">
        <v>123</v>
      </c>
      <c r="CU1" t="s">
        <v>124</v>
      </c>
      <c r="CV1" t="s">
        <v>125</v>
      </c>
      <c r="CW1" t="s">
        <v>126</v>
      </c>
      <c r="CX1" t="s">
        <v>127</v>
      </c>
      <c r="CY1" t="s">
        <v>128</v>
      </c>
      <c r="CZ1" t="s">
        <v>129</v>
      </c>
      <c r="DA1" t="s">
        <v>130</v>
      </c>
      <c r="DB1" t="s">
        <v>131</v>
      </c>
      <c r="DC1" t="s">
        <v>132</v>
      </c>
      <c r="DD1" t="s">
        <v>133</v>
      </c>
      <c r="DE1" t="s">
        <v>134</v>
      </c>
      <c r="DF1" t="s">
        <v>135</v>
      </c>
      <c r="DG1" t="s">
        <v>136</v>
      </c>
      <c r="DH1" t="s">
        <v>137</v>
      </c>
      <c r="DI1" t="s">
        <v>138</v>
      </c>
      <c r="DJ1" t="s">
        <v>139</v>
      </c>
      <c r="DK1" t="s">
        <v>140</v>
      </c>
      <c r="DL1" t="s">
        <v>141</v>
      </c>
      <c r="DM1" t="s">
        <v>142</v>
      </c>
      <c r="DN1" t="s">
        <v>143</v>
      </c>
      <c r="DO1" t="s">
        <v>144</v>
      </c>
      <c r="DP1" t="s">
        <v>145</v>
      </c>
      <c r="DQ1" t="s">
        <v>146</v>
      </c>
      <c r="DR1" t="s">
        <v>147</v>
      </c>
      <c r="DS1" t="s">
        <v>148</v>
      </c>
      <c r="DT1" t="s">
        <v>149</v>
      </c>
      <c r="DU1" t="s">
        <v>150</v>
      </c>
      <c r="DV1" t="s">
        <v>151</v>
      </c>
      <c r="DW1" t="s">
        <v>152</v>
      </c>
      <c r="DX1" t="s">
        <v>153</v>
      </c>
      <c r="DY1" t="s">
        <v>154</v>
      </c>
      <c r="DZ1" t="s">
        <v>155</v>
      </c>
      <c r="EA1" t="s">
        <v>156</v>
      </c>
      <c r="EB1" t="s">
        <v>157</v>
      </c>
      <c r="EC1" t="s">
        <v>158</v>
      </c>
      <c r="ED1" t="s">
        <v>159</v>
      </c>
      <c r="EE1" t="s">
        <v>160</v>
      </c>
      <c r="EF1" t="s">
        <v>161</v>
      </c>
      <c r="EG1" t="s">
        <v>162</v>
      </c>
      <c r="EH1" t="s">
        <v>163</v>
      </c>
      <c r="EI1" t="s">
        <v>164</v>
      </c>
    </row>
    <row r="2" spans="1:139" x14ac:dyDescent="0.25">
      <c r="A2" s="2">
        <v>45717</v>
      </c>
      <c r="B2">
        <v>347065.53275086801</v>
      </c>
      <c r="C2">
        <v>35109.737235765802</v>
      </c>
      <c r="D2">
        <v>18823.725591351402</v>
      </c>
      <c r="E2">
        <v>217925.663363406</v>
      </c>
      <c r="F2">
        <v>38152.705050526798</v>
      </c>
      <c r="G2">
        <v>11113.1766993696</v>
      </c>
      <c r="H2">
        <v>45802.127359817699</v>
      </c>
      <c r="I2">
        <v>43585.912822621198</v>
      </c>
      <c r="J2">
        <v>89293.681467970397</v>
      </c>
      <c r="K2">
        <v>412.95679003510497</v>
      </c>
      <c r="L2">
        <v>4497.07158215857</v>
      </c>
      <c r="M2">
        <v>0.66974073637412701</v>
      </c>
      <c r="N2">
        <v>25553.047714104599</v>
      </c>
      <c r="O2">
        <v>141.331528902766</v>
      </c>
      <c r="P2">
        <v>1.2618796443337601</v>
      </c>
      <c r="Q2">
        <v>1.06455724567065</v>
      </c>
      <c r="R2">
        <v>0.97913890959249394</v>
      </c>
      <c r="S2">
        <v>8.2371685472652098E-2</v>
      </c>
      <c r="T2">
        <v>8312.6094336985207</v>
      </c>
      <c r="U2">
        <v>0.43106291996225599</v>
      </c>
      <c r="V2">
        <v>0.66464613566940001</v>
      </c>
      <c r="W2">
        <v>17489581.554745499</v>
      </c>
      <c r="X2">
        <v>57712.108477279602</v>
      </c>
      <c r="Y2">
        <v>4262310.4797371896</v>
      </c>
      <c r="Z2">
        <v>793.25170917347305</v>
      </c>
      <c r="AA2">
        <v>1.0289702787987101</v>
      </c>
      <c r="AB2">
        <v>1.01650009926554</v>
      </c>
      <c r="AC2">
        <v>1.0397212428281699</v>
      </c>
      <c r="AD2">
        <v>1.0519900897138399</v>
      </c>
      <c r="AE2">
        <v>104.955510903789</v>
      </c>
      <c r="AF2">
        <v>84799.434409603404</v>
      </c>
      <c r="AG2">
        <v>841.48626824647999</v>
      </c>
      <c r="AH2">
        <v>98.867120376236301</v>
      </c>
      <c r="AI2">
        <v>61279.321370599202</v>
      </c>
      <c r="AJ2">
        <v>82728.920437756795</v>
      </c>
      <c r="AK2">
        <v>506.60878246922198</v>
      </c>
      <c r="AL2">
        <v>22510.444007596801</v>
      </c>
      <c r="AM2">
        <v>19301.789067934598</v>
      </c>
      <c r="AN2">
        <v>0.85820319359988695</v>
      </c>
      <c r="AO2">
        <v>0.92772270614728802</v>
      </c>
      <c r="AP2">
        <v>1.02740260275373</v>
      </c>
      <c r="AQ2">
        <v>1.04057973987986</v>
      </c>
      <c r="AR2">
        <v>31985.951413501502</v>
      </c>
      <c r="AS2">
        <v>155298.99682343201</v>
      </c>
      <c r="AT2">
        <v>3.4119946689521799E-2</v>
      </c>
      <c r="AU2">
        <v>4.4647855758787103E-2</v>
      </c>
      <c r="AV2">
        <v>5.8198556266196501E-2</v>
      </c>
      <c r="AW2">
        <v>217925.663363406</v>
      </c>
      <c r="AX2">
        <v>10391.1709586367</v>
      </c>
      <c r="AY2">
        <v>17053.2478420853</v>
      </c>
      <c r="AZ2">
        <v>165679.66979149199</v>
      </c>
      <c r="BA2">
        <v>361149.357476776</v>
      </c>
      <c r="BB2">
        <v>162327.10027386399</v>
      </c>
      <c r="BC2">
        <v>36935.095624482397</v>
      </c>
      <c r="BD2">
        <v>13112.407113495899</v>
      </c>
      <c r="BE2">
        <v>19369.0541697632</v>
      </c>
      <c r="BF2">
        <v>62290.436127252302</v>
      </c>
      <c r="BG2">
        <v>38932.487117643999</v>
      </c>
      <c r="BH2">
        <v>76632.122604103293</v>
      </c>
      <c r="BI2">
        <v>18154.158552509201</v>
      </c>
      <c r="BJ2">
        <v>17906.707987588499</v>
      </c>
      <c r="BK2">
        <v>33571.018723478199</v>
      </c>
      <c r="BL2">
        <v>157853.567867679</v>
      </c>
      <c r="BM2">
        <v>152059.29041050299</v>
      </c>
      <c r="BN2">
        <v>699910.21536045405</v>
      </c>
      <c r="BO2">
        <v>678833.92586055305</v>
      </c>
      <c r="BP2">
        <v>668883.25277556397</v>
      </c>
      <c r="BQ2">
        <v>103.64176764514301</v>
      </c>
      <c r="BR2">
        <v>1.03104774453963</v>
      </c>
      <c r="BS2">
        <v>0.95276365571188104</v>
      </c>
      <c r="BT2">
        <v>97.306280689877795</v>
      </c>
      <c r="BU2">
        <v>73844.220363157801</v>
      </c>
      <c r="BV2">
        <v>1.0910026867707601</v>
      </c>
      <c r="BW2">
        <v>80564.242818697399</v>
      </c>
      <c r="BX2">
        <v>9948.7487628454601</v>
      </c>
      <c r="BY2">
        <v>14445.820345004</v>
      </c>
      <c r="BZ2">
        <v>15176.3621613334</v>
      </c>
      <c r="CA2">
        <v>730.54181632937298</v>
      </c>
      <c r="CB2">
        <v>4.8136859322403198E-2</v>
      </c>
      <c r="CC2">
        <v>10809825.7335879</v>
      </c>
      <c r="CD2">
        <v>339155.327270896</v>
      </c>
      <c r="CE2">
        <v>432705.42637437599</v>
      </c>
      <c r="CF2">
        <v>245662.689311411</v>
      </c>
      <c r="CG2">
        <v>12641.3718202781</v>
      </c>
      <c r="CH2">
        <v>640952.06248502794</v>
      </c>
      <c r="CI2">
        <v>6.0944615106717101E-2</v>
      </c>
      <c r="CJ2">
        <v>16.408340560506499</v>
      </c>
      <c r="CK2">
        <v>1137697.0257592101</v>
      </c>
      <c r="CL2">
        <v>2537800.3208594099</v>
      </c>
      <c r="CM2">
        <v>3102677.61831014</v>
      </c>
      <c r="CN2">
        <v>3675497.3466186202</v>
      </c>
      <c r="CO2">
        <v>8834487.4760717005</v>
      </c>
      <c r="CP2">
        <v>6.2542819421328201E-3</v>
      </c>
      <c r="CQ2">
        <v>1.67821910113982E-2</v>
      </c>
      <c r="CR2">
        <v>5.4506020725263199E-2</v>
      </c>
      <c r="CS2">
        <v>1.36491493761619</v>
      </c>
      <c r="CT2">
        <v>4.78056914257756E-2</v>
      </c>
      <c r="CU2">
        <v>3.5988333333333303E-2</v>
      </c>
      <c r="CV2">
        <v>1.92742085963046E-2</v>
      </c>
      <c r="CW2">
        <v>-2.4920175849064701E-3</v>
      </c>
      <c r="CX2">
        <v>0.63611854390401001</v>
      </c>
      <c r="CY2">
        <v>5.6127016762071502</v>
      </c>
      <c r="CZ2">
        <v>5.1849437939521799E-2</v>
      </c>
      <c r="DA2">
        <v>3.5440327521735301E-2</v>
      </c>
      <c r="DB2">
        <v>7.2907656523169698E-3</v>
      </c>
      <c r="DC2">
        <v>0.117830861195912</v>
      </c>
      <c r="DD2">
        <v>195464.13980288699</v>
      </c>
      <c r="DE2">
        <v>106.083721368121</v>
      </c>
      <c r="DF2">
        <v>4.6959837803732496</v>
      </c>
      <c r="DG2">
        <v>4.10590060659261</v>
      </c>
      <c r="DH2">
        <v>686407.69087705004</v>
      </c>
      <c r="DI2">
        <v>352392.13701553899</v>
      </c>
      <c r="DJ2">
        <v>797.75628063857698</v>
      </c>
      <c r="DK2">
        <v>4.1125687527523401E-2</v>
      </c>
      <c r="DL2">
        <v>0.67022357421816503</v>
      </c>
      <c r="DM2">
        <v>1.03449629207622</v>
      </c>
      <c r="DN2">
        <v>3.57615042376472E-2</v>
      </c>
      <c r="DO2">
        <v>4.6545582279544397E-2</v>
      </c>
      <c r="DP2">
        <v>27499.25</v>
      </c>
      <c r="DQ2">
        <v>22660.055357384801</v>
      </c>
      <c r="DR2">
        <v>4.5335367702810796</v>
      </c>
      <c r="DS2">
        <v>156125.597503725</v>
      </c>
      <c r="DT2">
        <v>27565.067021472601</v>
      </c>
      <c r="DU2">
        <v>11773.475277690201</v>
      </c>
      <c r="DV2">
        <v>11.201499999999999</v>
      </c>
      <c r="DW2">
        <v>0</v>
      </c>
      <c r="DX2">
        <v>76.25</v>
      </c>
      <c r="DY2">
        <v>258921.25</v>
      </c>
      <c r="DZ2">
        <v>2.0020835478183998</v>
      </c>
      <c r="EA2">
        <v>72.831427359217102</v>
      </c>
      <c r="EB2">
        <v>1.02687319303511</v>
      </c>
      <c r="EC2">
        <v>1.1816878478036501</v>
      </c>
      <c r="ED2">
        <v>135100737.56355101</v>
      </c>
      <c r="EE2">
        <v>3.3974844822144998</v>
      </c>
      <c r="EF2">
        <v>4.2900000000000001E-2</v>
      </c>
      <c r="EG2">
        <v>1.5100000000000001E-2</v>
      </c>
      <c r="EH2">
        <v>2.6100000000000002E-2</v>
      </c>
      <c r="EI2">
        <v>4.58E-2</v>
      </c>
    </row>
    <row r="3" spans="1:139" x14ac:dyDescent="0.25">
      <c r="A3" s="2">
        <v>45809</v>
      </c>
      <c r="B3">
        <v>348249.47075251502</v>
      </c>
      <c r="C3">
        <v>35020.572302902299</v>
      </c>
      <c r="D3">
        <v>19121.782203529001</v>
      </c>
      <c r="E3">
        <v>218242.04379269201</v>
      </c>
      <c r="F3">
        <v>39086.789796534402</v>
      </c>
      <c r="G3">
        <v>10869.474638997701</v>
      </c>
      <c r="H3">
        <v>46439.1587714493</v>
      </c>
      <c r="I3">
        <v>46453.202835644603</v>
      </c>
      <c r="J3">
        <v>90137.806391030594</v>
      </c>
      <c r="K3">
        <v>410.80679268549397</v>
      </c>
      <c r="L3">
        <v>4522.7516777137798</v>
      </c>
      <c r="M3">
        <v>0.66814891953259803</v>
      </c>
      <c r="N3">
        <v>25661.4846604042</v>
      </c>
      <c r="O3">
        <v>143.30972542258101</v>
      </c>
      <c r="P3">
        <v>1.2817591085507201</v>
      </c>
      <c r="Q3">
        <v>1.0716803341355201</v>
      </c>
      <c r="R3">
        <v>0.97354448032394603</v>
      </c>
      <c r="S3">
        <v>7.5672058798386801E-2</v>
      </c>
      <c r="T3">
        <v>7848.2956482190102</v>
      </c>
      <c r="U3">
        <v>0.436197009161222</v>
      </c>
      <c r="V3">
        <v>0.67018316662904498</v>
      </c>
      <c r="W3">
        <v>17786721.854620598</v>
      </c>
      <c r="X3">
        <v>58445.369259417603</v>
      </c>
      <c r="Y3">
        <v>4227609.6240862198</v>
      </c>
      <c r="Z3">
        <v>811.38026206196798</v>
      </c>
      <c r="AA3">
        <v>1.03387167965563</v>
      </c>
      <c r="AB3">
        <v>1.01801084757869</v>
      </c>
      <c r="AC3">
        <v>1.0488053362669501</v>
      </c>
      <c r="AD3">
        <v>1.0620473038457801</v>
      </c>
      <c r="AE3">
        <v>105.817212007183</v>
      </c>
      <c r="AF3">
        <v>83182.804383107097</v>
      </c>
      <c r="AG3">
        <v>857.08348227778197</v>
      </c>
      <c r="AH3">
        <v>101.96021835705299</v>
      </c>
      <c r="AI3">
        <v>61890.268465844303</v>
      </c>
      <c r="AJ3">
        <v>84153.985151404602</v>
      </c>
      <c r="AK3">
        <v>488.66640152685898</v>
      </c>
      <c r="AL3">
        <v>22603.4571659457</v>
      </c>
      <c r="AM3">
        <v>19317.555023873301</v>
      </c>
      <c r="AN3">
        <v>0.84234650339320305</v>
      </c>
      <c r="AO3">
        <v>0.92020486568883197</v>
      </c>
      <c r="AP3">
        <v>1.03319401084273</v>
      </c>
      <c r="AQ3">
        <v>1.0516984085610199</v>
      </c>
      <c r="AR3">
        <v>32080.6960667282</v>
      </c>
      <c r="AS3">
        <v>156709.311237238</v>
      </c>
      <c r="AT3">
        <v>2.6016158634047298E-2</v>
      </c>
      <c r="AU3">
        <v>4.4989210609206701E-2</v>
      </c>
      <c r="AV3">
        <v>0.13847809668642599</v>
      </c>
      <c r="AW3">
        <v>218242.04379269201</v>
      </c>
      <c r="AX3">
        <v>10364.781468602199</v>
      </c>
      <c r="AY3">
        <v>17152.687817423801</v>
      </c>
      <c r="AZ3">
        <v>166733.745299056</v>
      </c>
      <c r="BA3">
        <v>366253.41347360797</v>
      </c>
      <c r="BB3">
        <v>165438.251550791</v>
      </c>
      <c r="BC3">
        <v>37193.504393433599</v>
      </c>
      <c r="BD3">
        <v>13285.1530555186</v>
      </c>
      <c r="BE3">
        <v>19769.469084771601</v>
      </c>
      <c r="BF3">
        <v>63004.964057593599</v>
      </c>
      <c r="BG3">
        <v>39099.938523833698</v>
      </c>
      <c r="BH3">
        <v>75927.266037018097</v>
      </c>
      <c r="BI3">
        <v>18382.198211499101</v>
      </c>
      <c r="BJ3">
        <v>17776.108126179999</v>
      </c>
      <c r="BK3">
        <v>33946.89817031</v>
      </c>
      <c r="BL3">
        <v>157622.030545007</v>
      </c>
      <c r="BM3">
        <v>152563.48497038099</v>
      </c>
      <c r="BN3">
        <v>709103.23971417698</v>
      </c>
      <c r="BO3">
        <v>682792.30217553605</v>
      </c>
      <c r="BP3">
        <v>673197.85061770095</v>
      </c>
      <c r="BQ3">
        <v>104.377281049644</v>
      </c>
      <c r="BR3">
        <v>1.03853434221606</v>
      </c>
      <c r="BS3">
        <v>0.94535170587270201</v>
      </c>
      <c r="BT3">
        <v>97.1041102876097</v>
      </c>
      <c r="BU3">
        <v>74096.123737131595</v>
      </c>
      <c r="BV3">
        <v>1.1251351485505201</v>
      </c>
      <c r="BW3">
        <v>83368.153187995398</v>
      </c>
      <c r="BX3">
        <v>9919.3966089020705</v>
      </c>
      <c r="BY3">
        <v>14442.1482866158</v>
      </c>
      <c r="BZ3">
        <v>15246.825556161</v>
      </c>
      <c r="CA3">
        <v>804.67726954516502</v>
      </c>
      <c r="CB3">
        <v>5.2776712485239699E-2</v>
      </c>
      <c r="CC3">
        <v>10853518.275395</v>
      </c>
      <c r="CD3">
        <v>340507.98974718997</v>
      </c>
      <c r="CE3">
        <v>440959.68378107902</v>
      </c>
      <c r="CF3">
        <v>251424.08567436301</v>
      </c>
      <c r="CG3">
        <v>12882.5177145016</v>
      </c>
      <c r="CH3">
        <v>649370.69646218501</v>
      </c>
      <c r="CI3">
        <v>6.2264015453820203E-2</v>
      </c>
      <c r="CJ3">
        <v>16.0606410092789</v>
      </c>
      <c r="CK3">
        <v>1138365.02551811</v>
      </c>
      <c r="CL3">
        <v>2557266.9673040202</v>
      </c>
      <c r="CM3">
        <v>3113037.0092019299</v>
      </c>
      <c r="CN3">
        <v>3695631.9928221302</v>
      </c>
      <c r="CO3">
        <v>8864981.5131669994</v>
      </c>
      <c r="CP3">
        <v>-5.7313246098748801E-3</v>
      </c>
      <c r="CQ3">
        <v>1.3241727365284501E-2</v>
      </c>
      <c r="CR3">
        <v>4.39245755544646E-2</v>
      </c>
      <c r="CS3">
        <v>1.3840194502497001</v>
      </c>
      <c r="CT3">
        <v>3.5560330662270101E-2</v>
      </c>
      <c r="CU3">
        <v>3.5988333333333303E-2</v>
      </c>
      <c r="CV3">
        <v>2.2838260147680499E-2</v>
      </c>
      <c r="CW3">
        <v>-9.5965327823960608E-3</v>
      </c>
      <c r="CX3">
        <v>0.63982218329741603</v>
      </c>
      <c r="CY3">
        <v>5.66172504810425</v>
      </c>
      <c r="CZ3">
        <v>4.3745649884047298E-2</v>
      </c>
      <c r="DA3">
        <v>2.9939852967084998E-2</v>
      </c>
      <c r="DB3">
        <v>7.3160306497140701E-3</v>
      </c>
      <c r="DC3">
        <v>0.11727765428473499</v>
      </c>
      <c r="DD3">
        <v>197484.95817766001</v>
      </c>
      <c r="DE3">
        <v>105.88936232613599</v>
      </c>
      <c r="DF3">
        <v>4.6943071749950196</v>
      </c>
      <c r="DG3">
        <v>4.1013027973837701</v>
      </c>
      <c r="DH3">
        <v>690453.31596293603</v>
      </c>
      <c r="DI3">
        <v>354749.84880333801</v>
      </c>
      <c r="DJ3">
        <v>809.29655334685799</v>
      </c>
      <c r="DK3">
        <v>4.1125687527523401E-2</v>
      </c>
      <c r="DL3">
        <v>0.67022357421816503</v>
      </c>
      <c r="DM3">
        <v>1.0450937357694501</v>
      </c>
      <c r="DN3">
        <v>3.57615042376472E-2</v>
      </c>
      <c r="DO3">
        <v>4.6545582279544397E-2</v>
      </c>
      <c r="DP3">
        <v>27610.400000000001</v>
      </c>
      <c r="DQ3">
        <v>22819.501926048</v>
      </c>
      <c r="DR3">
        <v>4.5468294162248704</v>
      </c>
      <c r="DS3">
        <v>157739.71187030899</v>
      </c>
      <c r="DT3">
        <v>27850.050210690799</v>
      </c>
      <c r="DU3">
        <v>11895.1960966602</v>
      </c>
      <c r="DV3">
        <v>11.201499999999999</v>
      </c>
      <c r="DW3">
        <v>0</v>
      </c>
      <c r="DX3">
        <v>76.25</v>
      </c>
      <c r="DY3">
        <v>246475.5</v>
      </c>
      <c r="DZ3">
        <v>2.01472165420273</v>
      </c>
      <c r="EA3">
        <v>71.092076633053793</v>
      </c>
      <c r="EB3">
        <v>1.0237034541596599</v>
      </c>
      <c r="EC3">
        <v>1.17590217315243</v>
      </c>
      <c r="ED3">
        <v>136745373.27462599</v>
      </c>
      <c r="EE3">
        <v>3.3652772031744398</v>
      </c>
      <c r="EF3">
        <v>4.2900000000000001E-2</v>
      </c>
      <c r="EG3">
        <v>1.5100000000000001E-2</v>
      </c>
      <c r="EH3">
        <v>2.6100000000000002E-2</v>
      </c>
      <c r="EI3">
        <v>4.58E-2</v>
      </c>
    </row>
    <row r="4" spans="1:139" x14ac:dyDescent="0.25">
      <c r="A4" s="2">
        <v>45901</v>
      </c>
      <c r="B4">
        <v>350724.78891126899</v>
      </c>
      <c r="C4">
        <v>35014.951791507599</v>
      </c>
      <c r="D4">
        <v>19011.804319732099</v>
      </c>
      <c r="E4">
        <v>218734.85363162699</v>
      </c>
      <c r="F4">
        <v>39906.037851014997</v>
      </c>
      <c r="G4">
        <v>10651.9000513845</v>
      </c>
      <c r="H4">
        <v>47073.9081940459</v>
      </c>
      <c r="I4">
        <v>51404.635240840304</v>
      </c>
      <c r="J4">
        <v>90769.838022192998</v>
      </c>
      <c r="K4">
        <v>409.59803941408001</v>
      </c>
      <c r="L4">
        <v>4542.8615965605104</v>
      </c>
      <c r="M4">
        <v>0.66683458200344903</v>
      </c>
      <c r="N4">
        <v>25803.9961943872</v>
      </c>
      <c r="O4">
        <v>145.30261818912001</v>
      </c>
      <c r="P4">
        <v>1.30217914269252</v>
      </c>
      <c r="Q4">
        <v>1.08356459401533</v>
      </c>
      <c r="R4">
        <v>0.97018254803881598</v>
      </c>
      <c r="S4">
        <v>7.0783430923108404E-2</v>
      </c>
      <c r="T4">
        <v>7494.2406249860696</v>
      </c>
      <c r="U4">
        <v>0.440119695437241</v>
      </c>
      <c r="V4">
        <v>0.67375989048181895</v>
      </c>
      <c r="W4">
        <v>18166271.893128</v>
      </c>
      <c r="X4">
        <v>59215.296740817503</v>
      </c>
      <c r="Y4">
        <v>4207019.5009046402</v>
      </c>
      <c r="Z4">
        <v>835.29786844148498</v>
      </c>
      <c r="AA4">
        <v>1.0368918216612899</v>
      </c>
      <c r="AB4">
        <v>1.0178810917982399</v>
      </c>
      <c r="AC4">
        <v>1.05825636534325</v>
      </c>
      <c r="AD4">
        <v>1.07303048379132</v>
      </c>
      <c r="AE4">
        <v>106.60642891626</v>
      </c>
      <c r="AF4">
        <v>82559.277551291903</v>
      </c>
      <c r="AG4">
        <v>874.27728314543299</v>
      </c>
      <c r="AH4">
        <v>105.28394851293</v>
      </c>
      <c r="AI4">
        <v>62664.719333148103</v>
      </c>
      <c r="AJ4">
        <v>86218.038662102001</v>
      </c>
      <c r="AK4">
        <v>480.369165350738</v>
      </c>
      <c r="AL4">
        <v>22750.570804825798</v>
      </c>
      <c r="AM4">
        <v>19318.3039517701</v>
      </c>
      <c r="AN4">
        <v>0.82997692761332598</v>
      </c>
      <c r="AO4">
        <v>0.91574974129151998</v>
      </c>
      <c r="AP4">
        <v>1.0389626122781399</v>
      </c>
      <c r="AQ4">
        <v>1.06315932635628</v>
      </c>
      <c r="AR4">
        <v>32061.0465628608</v>
      </c>
      <c r="AS4">
        <v>158696.721011124</v>
      </c>
      <c r="AT4">
        <v>2.0166663581785801E-2</v>
      </c>
      <c r="AU4">
        <v>4.49711339098273E-2</v>
      </c>
      <c r="AV4">
        <v>0.17040928907816799</v>
      </c>
      <c r="AW4">
        <v>218734.85363162699</v>
      </c>
      <c r="AX4">
        <v>10363.1180071418</v>
      </c>
      <c r="AY4">
        <v>17245.325673447802</v>
      </c>
      <c r="AZ4">
        <v>167439.514210272</v>
      </c>
      <c r="BA4">
        <v>372876.33005687501</v>
      </c>
      <c r="BB4">
        <v>168065.04272867501</v>
      </c>
      <c r="BC4">
        <v>37572.110660771403</v>
      </c>
      <c r="BD4">
        <v>13494.636122161301</v>
      </c>
      <c r="BE4">
        <v>19713.184414154999</v>
      </c>
      <c r="BF4">
        <v>63785.232335121102</v>
      </c>
      <c r="BG4">
        <v>39210.621735380002</v>
      </c>
      <c r="BH4">
        <v>75336.871281618995</v>
      </c>
      <c r="BI4">
        <v>18686.424312011601</v>
      </c>
      <c r="BJ4">
        <v>17690.731846024399</v>
      </c>
      <c r="BK4">
        <v>34179.136813845202</v>
      </c>
      <c r="BL4">
        <v>157482.7242535</v>
      </c>
      <c r="BM4">
        <v>153964.78915597801</v>
      </c>
      <c r="BN4">
        <v>718235.09315066098</v>
      </c>
      <c r="BO4">
        <v>686479.91117450001</v>
      </c>
      <c r="BP4">
        <v>678167.09988804103</v>
      </c>
      <c r="BQ4">
        <v>105.13041532987199</v>
      </c>
      <c r="BR4">
        <v>1.0462580107392701</v>
      </c>
      <c r="BS4">
        <v>0.94053500451352401</v>
      </c>
      <c r="BT4">
        <v>96.944127310347596</v>
      </c>
      <c r="BU4">
        <v>74622.790669843394</v>
      </c>
      <c r="BV4">
        <v>1.1618126457443601</v>
      </c>
      <c r="BW4">
        <v>86697.701860958201</v>
      </c>
      <c r="BX4">
        <v>9900.2155248294093</v>
      </c>
      <c r="BY4">
        <v>14443.077121389901</v>
      </c>
      <c r="BZ4">
        <v>15283.1673945453</v>
      </c>
      <c r="CA4">
        <v>840.09027315539799</v>
      </c>
      <c r="CB4">
        <v>5.4968335606228103E-2</v>
      </c>
      <c r="CC4">
        <v>10892257.8165114</v>
      </c>
      <c r="CD4">
        <v>342421.02833098301</v>
      </c>
      <c r="CE4">
        <v>451817.42555244401</v>
      </c>
      <c r="CF4">
        <v>256651.89877957801</v>
      </c>
      <c r="CG4">
        <v>13199.723699206899</v>
      </c>
      <c r="CH4">
        <v>657733.31236058497</v>
      </c>
      <c r="CI4">
        <v>6.4098444310577499E-2</v>
      </c>
      <c r="CJ4">
        <v>15.6010026570174</v>
      </c>
      <c r="CK4">
        <v>1139320.4217395899</v>
      </c>
      <c r="CL4">
        <v>2577023.82932179</v>
      </c>
      <c r="CM4">
        <v>3123224.59734151</v>
      </c>
      <c r="CN4">
        <v>3716344.2510613799</v>
      </c>
      <c r="CO4">
        <v>8895881.3595458306</v>
      </c>
      <c r="CP4">
        <v>-2.4424408949633301E-2</v>
      </c>
      <c r="CQ4">
        <v>3.8006137840813198E-4</v>
      </c>
      <c r="CR4">
        <v>2.6192358391689201E-2</v>
      </c>
      <c r="CS4">
        <v>1.4032658924783701</v>
      </c>
      <c r="CT4">
        <v>2.46465345233478E-2</v>
      </c>
      <c r="CU4">
        <v>3.5988333333333303E-2</v>
      </c>
      <c r="CV4">
        <v>2.6214592836478898E-2</v>
      </c>
      <c r="CW4">
        <v>-2.58345314580707E-2</v>
      </c>
      <c r="CX4">
        <v>0.64068368451703706</v>
      </c>
      <c r="CY4">
        <v>5.7486773387269103</v>
      </c>
      <c r="CZ4">
        <v>3.7896154831785801E-2</v>
      </c>
      <c r="DA4">
        <v>2.59241673897188E-2</v>
      </c>
      <c r="DB4">
        <v>7.3146923481585899E-3</v>
      </c>
      <c r="DC4">
        <v>0.11750502646484801</v>
      </c>
      <c r="DD4">
        <v>198828.886334829</v>
      </c>
      <c r="DE4">
        <v>105.91226044182299</v>
      </c>
      <c r="DF4">
        <v>4.6946806011139799</v>
      </c>
      <c r="DG4">
        <v>4.0987550196721303</v>
      </c>
      <c r="DH4">
        <v>694522.78559857502</v>
      </c>
      <c r="DI4">
        <v>357123.33507725701</v>
      </c>
      <c r="DJ4">
        <v>821.00376663262296</v>
      </c>
      <c r="DK4">
        <v>4.1125687527523401E-2</v>
      </c>
      <c r="DL4">
        <v>0.67022357421816503</v>
      </c>
      <c r="DM4">
        <v>1.05579974032818</v>
      </c>
      <c r="DN4">
        <v>3.57615042376472E-2</v>
      </c>
      <c r="DO4">
        <v>4.6545582279544397E-2</v>
      </c>
      <c r="DP4">
        <v>27708.95</v>
      </c>
      <c r="DQ4">
        <v>22918.978419847899</v>
      </c>
      <c r="DR4">
        <v>4.5601220621686496</v>
      </c>
      <c r="DS4">
        <v>158813.16496892701</v>
      </c>
      <c r="DT4">
        <v>28039.575868756699</v>
      </c>
      <c r="DU4">
        <v>11976.1454971455</v>
      </c>
      <c r="DV4">
        <v>12.534750000000001</v>
      </c>
      <c r="DW4">
        <v>0</v>
      </c>
      <c r="DX4">
        <v>73.75</v>
      </c>
      <c r="DY4">
        <v>234029.75</v>
      </c>
      <c r="DZ4">
        <v>2.02743953834316</v>
      </c>
      <c r="EA4">
        <v>69.3942648559171</v>
      </c>
      <c r="EB4">
        <v>1.02054349959312</v>
      </c>
      <c r="EC4">
        <v>1.1701448258054401</v>
      </c>
      <c r="ED4">
        <v>138410029.79884499</v>
      </c>
      <c r="EE4">
        <v>3.3333752408557999</v>
      </c>
      <c r="EF4">
        <v>4.2900000000000001E-2</v>
      </c>
      <c r="EG4">
        <v>1.5100000000000001E-2</v>
      </c>
      <c r="EH4">
        <v>2.6100000000000002E-2</v>
      </c>
      <c r="EI4">
        <v>4.58E-2</v>
      </c>
    </row>
    <row r="5" spans="1:139" x14ac:dyDescent="0.25">
      <c r="A5" s="2">
        <v>45992</v>
      </c>
      <c r="B5">
        <v>353971.17038775398</v>
      </c>
      <c r="C5">
        <v>35139.841593058802</v>
      </c>
      <c r="D5">
        <v>19288.483822807801</v>
      </c>
      <c r="E5">
        <v>219348.06651695599</v>
      </c>
      <c r="F5">
        <v>40840.083520141103</v>
      </c>
      <c r="G5">
        <v>10524.2177536863</v>
      </c>
      <c r="H5">
        <v>47836.569281436503</v>
      </c>
      <c r="I5">
        <v>53097.0480717276</v>
      </c>
      <c r="J5">
        <v>91615.502228276397</v>
      </c>
      <c r="K5">
        <v>408.82446181234701</v>
      </c>
      <c r="L5">
        <v>4568.35265554944</v>
      </c>
      <c r="M5">
        <v>0.66602423183673898</v>
      </c>
      <c r="N5">
        <v>25986.2339348635</v>
      </c>
      <c r="O5">
        <v>147.27919479738301</v>
      </c>
      <c r="P5">
        <v>1.3237353441695201</v>
      </c>
      <c r="Q5">
        <v>1.10125849444123</v>
      </c>
      <c r="R5">
        <v>0.97711218502561004</v>
      </c>
      <c r="S5">
        <v>6.7321590050724897E-2</v>
      </c>
      <c r="T5">
        <v>7201.3255500393998</v>
      </c>
      <c r="U5">
        <v>0.43590491457911901</v>
      </c>
      <c r="V5">
        <v>0.66461653044198199</v>
      </c>
      <c r="W5">
        <v>18551070.2199689</v>
      </c>
      <c r="X5">
        <v>60015.2908214485</v>
      </c>
      <c r="Y5">
        <v>4201365.4124888303</v>
      </c>
      <c r="Z5">
        <v>859.26710265485497</v>
      </c>
      <c r="AA5">
        <v>1.0408994974250101</v>
      </c>
      <c r="AB5">
        <v>1.0208517954668801</v>
      </c>
      <c r="AC5">
        <v>1.0672729254742701</v>
      </c>
      <c r="AD5">
        <v>1.0845839816692</v>
      </c>
      <c r="AE5">
        <v>107.39004983817701</v>
      </c>
      <c r="AF5">
        <v>82824.904219949996</v>
      </c>
      <c r="AG5">
        <v>891.33830869071005</v>
      </c>
      <c r="AH5">
        <v>108.66997995852</v>
      </c>
      <c r="AI5">
        <v>63553.757229257601</v>
      </c>
      <c r="AJ5">
        <v>89150.337021097905</v>
      </c>
      <c r="AK5">
        <v>481.70564799260001</v>
      </c>
      <c r="AL5">
        <v>22930.289365831701</v>
      </c>
      <c r="AM5">
        <v>19338.736322922399</v>
      </c>
      <c r="AN5">
        <v>0.83554169251473598</v>
      </c>
      <c r="AO5">
        <v>0.91947999568291106</v>
      </c>
      <c r="AP5">
        <v>1.0448462645932599</v>
      </c>
      <c r="AQ5">
        <v>1.07472289116464</v>
      </c>
      <c r="AR5">
        <v>32042.142982154099</v>
      </c>
      <c r="AS5">
        <v>161046.38137194299</v>
      </c>
      <c r="AT5">
        <v>1.5821666966947201E-2</v>
      </c>
      <c r="AU5">
        <v>4.4725321457063497E-2</v>
      </c>
      <c r="AV5">
        <v>0.18182370883308199</v>
      </c>
      <c r="AW5">
        <v>219348.06651695599</v>
      </c>
      <c r="AX5">
        <v>10400.0807240711</v>
      </c>
      <c r="AY5">
        <v>17375.1427120601</v>
      </c>
      <c r="AZ5">
        <v>168416.52424541299</v>
      </c>
      <c r="BA5">
        <v>380420.91962514602</v>
      </c>
      <c r="BB5">
        <v>170650.45512554201</v>
      </c>
      <c r="BC5">
        <v>38112.109310224703</v>
      </c>
      <c r="BD5">
        <v>13766.954436669001</v>
      </c>
      <c r="BE5">
        <v>20077.3731172511</v>
      </c>
      <c r="BF5">
        <v>64878.966561816902</v>
      </c>
      <c r="BG5">
        <v>39459.641751713403</v>
      </c>
      <c r="BH5">
        <v>76548.571792401606</v>
      </c>
      <c r="BI5">
        <v>19134.5235037848</v>
      </c>
      <c r="BJ5">
        <v>17781.581190713699</v>
      </c>
      <c r="BK5">
        <v>34410.073317755203</v>
      </c>
      <c r="BL5">
        <v>159464.309804655</v>
      </c>
      <c r="BM5">
        <v>157360.38159280701</v>
      </c>
      <c r="BN5">
        <v>729470.34814021096</v>
      </c>
      <c r="BO5">
        <v>691647.50182194996</v>
      </c>
      <c r="BP5">
        <v>684707.33991432399</v>
      </c>
      <c r="BQ5">
        <v>105.954074736658</v>
      </c>
      <c r="BR5">
        <v>1.05468516540782</v>
      </c>
      <c r="BS5">
        <v>0.94684479755850603</v>
      </c>
      <c r="BT5">
        <v>96.902363113370598</v>
      </c>
      <c r="BU5">
        <v>75313.514716199599</v>
      </c>
      <c r="BV5">
        <v>1.19917764019926</v>
      </c>
      <c r="BW5">
        <v>90314.282852484204</v>
      </c>
      <c r="BX5">
        <v>9905.6179882287997</v>
      </c>
      <c r="BY5">
        <v>14473.970643778201</v>
      </c>
      <c r="BZ5">
        <v>15330.934154779299</v>
      </c>
      <c r="CA5">
        <v>856.96351100107904</v>
      </c>
      <c r="CB5">
        <v>5.5897668714865602E-2</v>
      </c>
      <c r="CC5">
        <v>10930997.3576278</v>
      </c>
      <c r="CD5">
        <v>345576.94336352398</v>
      </c>
      <c r="CE5">
        <v>460359.66655753797</v>
      </c>
      <c r="CF5">
        <v>262552.92597681697</v>
      </c>
      <c r="CG5">
        <v>13449.2829562484</v>
      </c>
      <c r="CH5">
        <v>668022.14612819697</v>
      </c>
      <c r="CI5">
        <v>6.6891247263493603E-2</v>
      </c>
      <c r="CJ5">
        <v>14.949639017207501</v>
      </c>
      <c r="CK5">
        <v>1140150.59356483</v>
      </c>
      <c r="CL5">
        <v>2597229.6291070599</v>
      </c>
      <c r="CM5">
        <v>3133325.2976368102</v>
      </c>
      <c r="CN5">
        <v>3737380.2226718902</v>
      </c>
      <c r="CO5">
        <v>8927018.0314516407</v>
      </c>
      <c r="CP5">
        <v>-3.9186891753564601E-2</v>
      </c>
      <c r="CQ5">
        <v>-1.02832372634483E-2</v>
      </c>
      <c r="CR5">
        <v>1.23130313302131E-2</v>
      </c>
      <c r="CS5">
        <v>1.4223547607507601</v>
      </c>
      <c r="CT5">
        <v>1.23130313302128E-2</v>
      </c>
      <c r="CU5">
        <v>3.5988333333333303E-2</v>
      </c>
      <c r="CV5">
        <v>2.5114715251635701E-2</v>
      </c>
      <c r="CW5">
        <v>-3.5397952515083903E-2</v>
      </c>
      <c r="CX5">
        <v>0.62979572411195295</v>
      </c>
      <c r="CY5">
        <v>5.8342734955672197</v>
      </c>
      <c r="CZ5">
        <v>3.3551158216947201E-2</v>
      </c>
      <c r="DA5">
        <v>2.29696856802332E-2</v>
      </c>
      <c r="DB5">
        <v>7.2964978779668102E-3</v>
      </c>
      <c r="DC5">
        <v>0.118717449851862</v>
      </c>
      <c r="DD5">
        <v>200181.96021584701</v>
      </c>
      <c r="DE5">
        <v>106.089789841685</v>
      </c>
      <c r="DF5">
        <v>4.69651259479798</v>
      </c>
      <c r="DG5">
        <v>4.09766580952554</v>
      </c>
      <c r="DH5">
        <v>698616.24032159301</v>
      </c>
      <c r="DI5">
        <v>359512.70137793699</v>
      </c>
      <c r="DJ5">
        <v>832.88033544369205</v>
      </c>
      <c r="DK5">
        <v>4.1125687527523401E-2</v>
      </c>
      <c r="DL5">
        <v>0.67022357421816503</v>
      </c>
      <c r="DM5">
        <v>1.0666154178566101</v>
      </c>
      <c r="DN5">
        <v>3.57615042376472E-2</v>
      </c>
      <c r="DO5">
        <v>4.6545582279544397E-2</v>
      </c>
      <c r="DP5">
        <v>27807.5</v>
      </c>
      <c r="DQ5">
        <v>23018.583141487499</v>
      </c>
      <c r="DR5">
        <v>4.5734147081124297</v>
      </c>
      <c r="DS5">
        <v>159893.923149704</v>
      </c>
      <c r="DT5">
        <v>28230.391290208801</v>
      </c>
      <c r="DU5">
        <v>12057.645775933801</v>
      </c>
      <c r="DV5">
        <v>12.534750000000001</v>
      </c>
      <c r="DW5">
        <v>0</v>
      </c>
      <c r="DX5">
        <v>73.75</v>
      </c>
      <c r="DY5">
        <v>221584</v>
      </c>
      <c r="DZ5">
        <v>2.0402377038349599</v>
      </c>
      <c r="EA5">
        <v>67.736999999999995</v>
      </c>
      <c r="EB5">
        <v>1.01739329913342</v>
      </c>
      <c r="EC5">
        <v>1.16441566706905</v>
      </c>
      <c r="ED5">
        <v>140094950.85763001</v>
      </c>
      <c r="EE5">
        <v>3.3017757009345798</v>
      </c>
      <c r="EF5">
        <v>4.2900000000000001E-2</v>
      </c>
      <c r="EG5">
        <v>1.5100000000000001E-2</v>
      </c>
      <c r="EH5">
        <v>2.6100000000000002E-2</v>
      </c>
      <c r="EI5">
        <v>4.58E-2</v>
      </c>
    </row>
    <row r="6" spans="1:139" x14ac:dyDescent="0.25">
      <c r="A6" s="2">
        <v>46082</v>
      </c>
      <c r="B6">
        <v>358162.59590250102</v>
      </c>
      <c r="C6">
        <v>35418.1252725429</v>
      </c>
      <c r="D6">
        <v>19535.770164336798</v>
      </c>
      <c r="E6">
        <v>220194.78594368999</v>
      </c>
      <c r="F6">
        <v>42500.720249712802</v>
      </c>
      <c r="G6">
        <v>10435.031397882</v>
      </c>
      <c r="H6">
        <v>48804.599569760401</v>
      </c>
      <c r="I6">
        <v>54480.503396722401</v>
      </c>
      <c r="J6">
        <v>92374.904653146499</v>
      </c>
      <c r="K6">
        <v>408.54366964089002</v>
      </c>
      <c r="L6">
        <v>4600.7411001481496</v>
      </c>
      <c r="M6">
        <v>0.66575191090500296</v>
      </c>
      <c r="N6">
        <v>26181.6383398379</v>
      </c>
      <c r="O6">
        <v>149.28401031033101</v>
      </c>
      <c r="P6">
        <v>1.3484936374385801</v>
      </c>
      <c r="Q6">
        <v>1.1307196884198301</v>
      </c>
      <c r="R6">
        <v>0.99464613966987703</v>
      </c>
      <c r="S6">
        <v>6.5323565800017205E-2</v>
      </c>
      <c r="T6">
        <v>7060.7557844766898</v>
      </c>
      <c r="U6">
        <v>0.42574934063409198</v>
      </c>
      <c r="V6">
        <v>0.64615957201414798</v>
      </c>
      <c r="W6">
        <v>18956788.606481999</v>
      </c>
      <c r="X6">
        <v>60852.668829145601</v>
      </c>
      <c r="Y6">
        <v>4214003.4209541501</v>
      </c>
      <c r="Z6">
        <v>881.43145359916298</v>
      </c>
      <c r="AA6">
        <v>1.0457473657043901</v>
      </c>
      <c r="AB6">
        <v>1.02647039114548</v>
      </c>
      <c r="AC6">
        <v>1.0760578322146901</v>
      </c>
      <c r="AD6">
        <v>1.09656119833932</v>
      </c>
      <c r="AE6">
        <v>108.168379798902</v>
      </c>
      <c r="AF6">
        <v>83755.344424622395</v>
      </c>
      <c r="AG6">
        <v>908.82741512132395</v>
      </c>
      <c r="AH6">
        <v>112.046240294949</v>
      </c>
      <c r="AI6">
        <v>64653.7323389464</v>
      </c>
      <c r="AJ6">
        <v>92775.082138839905</v>
      </c>
      <c r="AK6">
        <v>494.703581816677</v>
      </c>
      <c r="AL6">
        <v>23159.9955894552</v>
      </c>
      <c r="AM6">
        <v>19385.876572134501</v>
      </c>
      <c r="AN6">
        <v>0.87024130834592694</v>
      </c>
      <c r="AO6">
        <v>0.93091658358762897</v>
      </c>
      <c r="AP6">
        <v>1.0513451309852599</v>
      </c>
      <c r="AQ6">
        <v>1.08666549657311</v>
      </c>
      <c r="AR6">
        <v>32397.056617590799</v>
      </c>
      <c r="AS6">
        <v>163736.225799476</v>
      </c>
      <c r="AT6">
        <v>1.328702460073E-2</v>
      </c>
      <c r="AU6">
        <v>4.4380654618739697E-2</v>
      </c>
      <c r="AV6">
        <v>0.16759709531637701</v>
      </c>
      <c r="AW6">
        <v>220194.78594368999</v>
      </c>
      <c r="AX6">
        <v>10482.442299980899</v>
      </c>
      <c r="AY6">
        <v>17544.699654133299</v>
      </c>
      <c r="AZ6">
        <v>169747.53749700499</v>
      </c>
      <c r="BA6">
        <v>389202.93546082499</v>
      </c>
      <c r="BB6">
        <v>173225.980818515</v>
      </c>
      <c r="BC6">
        <v>38838.141891791798</v>
      </c>
      <c r="BD6">
        <v>14135.5067463413</v>
      </c>
      <c r="BE6">
        <v>20429.480186361601</v>
      </c>
      <c r="BF6">
        <v>66365.141274025504</v>
      </c>
      <c r="BG6">
        <v>39848.111780035499</v>
      </c>
      <c r="BH6">
        <v>80388.457883684503</v>
      </c>
      <c r="BI6">
        <v>19838.137326341101</v>
      </c>
      <c r="BJ6">
        <v>18046.633988382899</v>
      </c>
      <c r="BK6">
        <v>35043.371245781098</v>
      </c>
      <c r="BL6">
        <v>164906.16044419</v>
      </c>
      <c r="BM6">
        <v>162859.60491556401</v>
      </c>
      <c r="BN6">
        <v>744091.85368652095</v>
      </c>
      <c r="BO6">
        <v>698397.00773007597</v>
      </c>
      <c r="BP6">
        <v>692815.67546250101</v>
      </c>
      <c r="BQ6">
        <v>106.848536708078</v>
      </c>
      <c r="BR6">
        <v>1.06542819542393</v>
      </c>
      <c r="BS6">
        <v>0.97147895560546205</v>
      </c>
      <c r="BT6">
        <v>97.670811443343695</v>
      </c>
      <c r="BU6">
        <v>76205.313296408698</v>
      </c>
      <c r="BV6">
        <v>1.2364348100678999</v>
      </c>
      <c r="BW6">
        <v>94222.902071810095</v>
      </c>
      <c r="BX6">
        <v>9942.2434107274603</v>
      </c>
      <c r="BY6">
        <v>14542.9845108756</v>
      </c>
      <c r="BZ6">
        <v>15391.063114467101</v>
      </c>
      <c r="CA6">
        <v>848.07860359147298</v>
      </c>
      <c r="CB6">
        <v>5.5102010976520101E-2</v>
      </c>
      <c r="CC6">
        <v>10969736.898744101</v>
      </c>
      <c r="CD6">
        <v>349835.66980602097</v>
      </c>
      <c r="CE6">
        <v>469835.685531542</v>
      </c>
      <c r="CF6">
        <v>270274.72569445299</v>
      </c>
      <c r="CG6">
        <v>13726.122283709799</v>
      </c>
      <c r="CH6">
        <v>681411.98375432403</v>
      </c>
      <c r="CI6">
        <v>7.0063828422489802E-2</v>
      </c>
      <c r="CJ6">
        <v>14.2726999439701</v>
      </c>
      <c r="CK6">
        <v>1141244.19675088</v>
      </c>
      <c r="CL6">
        <v>2617991.5570117701</v>
      </c>
      <c r="CM6">
        <v>3143470.3135131402</v>
      </c>
      <c r="CN6">
        <v>3759235.7537626601</v>
      </c>
      <c r="CO6">
        <v>8959018.5784187391</v>
      </c>
      <c r="CP6">
        <v>-4.2981250916448402E-2</v>
      </c>
      <c r="CQ6">
        <v>-1.18876208984387E-2</v>
      </c>
      <c r="CR6">
        <v>9.0552902828388605E-3</v>
      </c>
      <c r="CS6">
        <v>1.44171634738349</v>
      </c>
      <c r="CT6">
        <v>9.0552902828386402E-3</v>
      </c>
      <c r="CU6">
        <v>3.83713858586026E-2</v>
      </c>
      <c r="CV6">
        <v>1.71092569853784E-2</v>
      </c>
      <c r="CW6">
        <v>-2.89968778838171E-2</v>
      </c>
      <c r="CX6">
        <v>0.61069845676416301</v>
      </c>
      <c r="CY6">
        <v>5.9043929203593102</v>
      </c>
      <c r="CZ6">
        <v>3.1016515850729998E-2</v>
      </c>
      <c r="DA6">
        <v>2.1217118643494601E-2</v>
      </c>
      <c r="DB6">
        <v>7.27099948986257E-3</v>
      </c>
      <c r="DC6">
        <v>0.120534388668405</v>
      </c>
      <c r="DD6">
        <v>201544.24205935499</v>
      </c>
      <c r="DE6">
        <v>106.359273304453</v>
      </c>
      <c r="DF6">
        <v>4.6992067230405699</v>
      </c>
      <c r="DG6">
        <v>4.0974387339375298</v>
      </c>
      <c r="DH6">
        <v>702733.82149793603</v>
      </c>
      <c r="DI6">
        <v>361918.05395214801</v>
      </c>
      <c r="DJ6">
        <v>844.92870966230805</v>
      </c>
      <c r="DK6">
        <v>4.1125687527523401E-2</v>
      </c>
      <c r="DL6">
        <v>0.67022357421816503</v>
      </c>
      <c r="DM6">
        <v>1.0775418918513799</v>
      </c>
      <c r="DN6">
        <v>3.57615042376472E-2</v>
      </c>
      <c r="DO6">
        <v>4.6545582279544397E-2</v>
      </c>
      <c r="DP6">
        <v>27906.05</v>
      </c>
      <c r="DQ6">
        <v>23118.316090966899</v>
      </c>
      <c r="DR6">
        <v>4.5867073540562204</v>
      </c>
      <c r="DS6">
        <v>160982.03612531599</v>
      </c>
      <c r="DT6">
        <v>28422.505252167801</v>
      </c>
      <c r="DU6">
        <v>12139.7006818719</v>
      </c>
      <c r="DV6">
        <v>12.534750000000001</v>
      </c>
      <c r="DW6">
        <v>0</v>
      </c>
      <c r="DX6">
        <v>73.75</v>
      </c>
      <c r="DY6">
        <v>218260.24</v>
      </c>
      <c r="DZ6">
        <v>2.0547613937358902</v>
      </c>
      <c r="EA6">
        <v>71.098624001563607</v>
      </c>
      <c r="EB6">
        <v>1.05870195663977</v>
      </c>
      <c r="EC6">
        <v>1.1682027437012401</v>
      </c>
      <c r="ED6">
        <v>141615609.79212099</v>
      </c>
      <c r="EE6">
        <v>3.2757270620113701</v>
      </c>
      <c r="EF6">
        <v>4.3116666666666699E-2</v>
      </c>
      <c r="EG6">
        <v>2.5575981818181898E-2</v>
      </c>
      <c r="EH6">
        <v>2.9980555555666699E-2</v>
      </c>
      <c r="EI6">
        <v>4.4899666666666602E-2</v>
      </c>
    </row>
    <row r="7" spans="1:139" x14ac:dyDescent="0.25">
      <c r="A7" s="2">
        <v>46174</v>
      </c>
      <c r="B7">
        <v>362644.13427930401</v>
      </c>
      <c r="C7">
        <v>35756.316937690703</v>
      </c>
      <c r="D7">
        <v>19915.2387479795</v>
      </c>
      <c r="E7">
        <v>221312.07529999901</v>
      </c>
      <c r="F7">
        <v>44094.662039842398</v>
      </c>
      <c r="G7">
        <v>10428.3175966038</v>
      </c>
      <c r="H7">
        <v>49824.972910484103</v>
      </c>
      <c r="I7">
        <v>55582.0659165666</v>
      </c>
      <c r="J7">
        <v>93132.528272301293</v>
      </c>
      <c r="K7">
        <v>408.63053349369397</v>
      </c>
      <c r="L7">
        <v>4638.35318769482</v>
      </c>
      <c r="M7">
        <v>0.66593211732695201</v>
      </c>
      <c r="N7">
        <v>26407.656649511198</v>
      </c>
      <c r="O7">
        <v>151.294068076537</v>
      </c>
      <c r="P7">
        <v>1.37391025365377</v>
      </c>
      <c r="Q7">
        <v>1.1627205324543</v>
      </c>
      <c r="R7">
        <v>1.0071513810294099</v>
      </c>
      <c r="S7">
        <v>6.4723798616828102E-2</v>
      </c>
      <c r="T7">
        <v>6931.1352094120102</v>
      </c>
      <c r="U7">
        <v>0.42003377514526002</v>
      </c>
      <c r="V7">
        <v>0.634621646070471</v>
      </c>
      <c r="W7">
        <v>19307558.419348199</v>
      </c>
      <c r="X7">
        <v>61722.687500139698</v>
      </c>
      <c r="Y7">
        <v>4240250.8773331204</v>
      </c>
      <c r="Z7">
        <v>899.60468694407905</v>
      </c>
      <c r="AA7">
        <v>1.0510967963035101</v>
      </c>
      <c r="AB7">
        <v>1.0332285059314299</v>
      </c>
      <c r="AC7">
        <v>1.08479986581631</v>
      </c>
      <c r="AD7">
        <v>1.1089845565985601</v>
      </c>
      <c r="AE7">
        <v>108.951737899061</v>
      </c>
      <c r="AF7">
        <v>85331.885391288801</v>
      </c>
      <c r="AG7">
        <v>926.51779502540796</v>
      </c>
      <c r="AH7">
        <v>115.363679036691</v>
      </c>
      <c r="AI7">
        <v>65907.318083770006</v>
      </c>
      <c r="AJ7">
        <v>96055.118064251903</v>
      </c>
      <c r="AK7">
        <v>519.37882877453296</v>
      </c>
      <c r="AL7">
        <v>23370.220016192299</v>
      </c>
      <c r="AM7">
        <v>19451.446995827799</v>
      </c>
      <c r="AN7">
        <v>0.89820364166875299</v>
      </c>
      <c r="AO7">
        <v>0.93971808276254498</v>
      </c>
      <c r="AP7">
        <v>1.0583389394012199</v>
      </c>
      <c r="AQ7">
        <v>1.0988091514638001</v>
      </c>
      <c r="AR7">
        <v>32756.478820868</v>
      </c>
      <c r="AS7">
        <v>166920.269311771</v>
      </c>
      <c r="AT7">
        <v>1.23029338455714E-2</v>
      </c>
      <c r="AU7">
        <v>4.4033618914544097E-2</v>
      </c>
      <c r="AV7">
        <v>0.134042709557079</v>
      </c>
      <c r="AW7">
        <v>221312.07529999901</v>
      </c>
      <c r="AX7">
        <v>10582.5344022299</v>
      </c>
      <c r="AY7">
        <v>17726.119120024199</v>
      </c>
      <c r="AZ7">
        <v>171111.57320902101</v>
      </c>
      <c r="BA7">
        <v>398476.69411201699</v>
      </c>
      <c r="BB7">
        <v>175821.70877326201</v>
      </c>
      <c r="BC7">
        <v>39653.2032847425</v>
      </c>
      <c r="BD7">
        <v>14539.4525248674</v>
      </c>
      <c r="BE7">
        <v>20932.843645620698</v>
      </c>
      <c r="BF7">
        <v>68097.319150159499</v>
      </c>
      <c r="BG7">
        <v>40324.790798720504</v>
      </c>
      <c r="BH7">
        <v>83651.976051999198</v>
      </c>
      <c r="BI7">
        <v>20610.522661582901</v>
      </c>
      <c r="BJ7">
        <v>18278.876477876602</v>
      </c>
      <c r="BK7">
        <v>35688.752949873597</v>
      </c>
      <c r="BL7">
        <v>169819.68814133201</v>
      </c>
      <c r="BM7">
        <v>168113.97975915199</v>
      </c>
      <c r="BN7">
        <v>759551.72067157004</v>
      </c>
      <c r="BO7">
        <v>705618.72184537305</v>
      </c>
      <c r="BP7">
        <v>701857.39706513402</v>
      </c>
      <c r="BQ7">
        <v>107.765556528823</v>
      </c>
      <c r="BR7">
        <v>1.0764336367801</v>
      </c>
      <c r="BS7">
        <v>0.99245004272089199</v>
      </c>
      <c r="BT7">
        <v>98.540305004249106</v>
      </c>
      <c r="BU7">
        <v>77158.838427065202</v>
      </c>
      <c r="BV7">
        <v>1.2730428812513701</v>
      </c>
      <c r="BW7">
        <v>98226.5099852001</v>
      </c>
      <c r="BX7">
        <v>10002.0433213245</v>
      </c>
      <c r="BY7">
        <v>14640.3965090193</v>
      </c>
      <c r="BZ7">
        <v>15461.729948742201</v>
      </c>
      <c r="CA7">
        <v>821.33343972286605</v>
      </c>
      <c r="CB7">
        <v>5.3120403476897803E-2</v>
      </c>
      <c r="CC7">
        <v>11008476.4398605</v>
      </c>
      <c r="CD7">
        <v>355219.19964835199</v>
      </c>
      <c r="CE7">
        <v>479143.58846435102</v>
      </c>
      <c r="CF7">
        <v>277737.85996650101</v>
      </c>
      <c r="CG7">
        <v>13998.050146567</v>
      </c>
      <c r="CH7">
        <v>695569.56198699505</v>
      </c>
      <c r="CI7">
        <v>7.4934164906962406E-2</v>
      </c>
      <c r="CJ7">
        <v>13.345047632699901</v>
      </c>
      <c r="CK7">
        <v>1142567.63421595</v>
      </c>
      <c r="CL7">
        <v>2639511.3875095998</v>
      </c>
      <c r="CM7">
        <v>3153812.68533894</v>
      </c>
      <c r="CN7">
        <v>3782079.0217255601</v>
      </c>
      <c r="CO7">
        <v>8992204.2182074301</v>
      </c>
      <c r="CP7">
        <v>-4.34109587769482E-2</v>
      </c>
      <c r="CQ7">
        <v>-1.1680273707975501E-2</v>
      </c>
      <c r="CR7">
        <v>9.0099059943085195E-3</v>
      </c>
      <c r="CS7">
        <v>1.46112856128839</v>
      </c>
      <c r="CT7">
        <v>9.0099059943082992E-3</v>
      </c>
      <c r="CU7">
        <v>3.83713858586026E-2</v>
      </c>
      <c r="CV7">
        <v>1.0974658138937599E-2</v>
      </c>
      <c r="CW7">
        <v>-2.2654931846913098E-2</v>
      </c>
      <c r="CX7">
        <v>0.59864007723224599</v>
      </c>
      <c r="CY7">
        <v>5.9460671418325797</v>
      </c>
      <c r="CZ7">
        <v>3.0032425095571399E-2</v>
      </c>
      <c r="DA7">
        <v>2.05232222015455E-2</v>
      </c>
      <c r="DB7">
        <v>7.2453412521153102E-3</v>
      </c>
      <c r="DC7">
        <v>0.123870297360391</v>
      </c>
      <c r="DD7">
        <v>202915.79452754499</v>
      </c>
      <c r="DE7">
        <v>106.890714078771</v>
      </c>
      <c r="DF7">
        <v>4.7043481416983504</v>
      </c>
      <c r="DG7">
        <v>4.0996589487647102</v>
      </c>
      <c r="DH7">
        <v>706875.671326746</v>
      </c>
      <c r="DI7">
        <v>364339.499757513</v>
      </c>
      <c r="DJ7">
        <v>857.15137461049699</v>
      </c>
      <c r="DK7">
        <v>4.1125687527523401E-2</v>
      </c>
      <c r="DL7">
        <v>0.67022357421816503</v>
      </c>
      <c r="DM7">
        <v>1.0885802973183201</v>
      </c>
      <c r="DN7">
        <v>3.57615042376472E-2</v>
      </c>
      <c r="DO7">
        <v>4.6545582279544397E-2</v>
      </c>
      <c r="DP7">
        <v>28004.6</v>
      </c>
      <c r="DQ7">
        <v>23218.177268285999</v>
      </c>
      <c r="DR7">
        <v>4.5999999999999996</v>
      </c>
      <c r="DS7">
        <v>162077.553946742</v>
      </c>
      <c r="DT7">
        <v>28615.9265914848</v>
      </c>
      <c r="DU7">
        <v>12222.3139893183</v>
      </c>
      <c r="DV7">
        <v>12.534750000000001</v>
      </c>
      <c r="DW7">
        <v>0</v>
      </c>
      <c r="DX7">
        <v>73.75</v>
      </c>
      <c r="DY7">
        <v>214936.48</v>
      </c>
      <c r="DZ7">
        <v>2.06938847235861</v>
      </c>
      <c r="EA7">
        <v>74.627077297720803</v>
      </c>
      <c r="EB7">
        <v>1.1016878467231599</v>
      </c>
      <c r="EC7">
        <v>1.1720021371974301</v>
      </c>
      <c r="ED7">
        <v>143152774.700459</v>
      </c>
      <c r="EE7">
        <v>3.24988392814095</v>
      </c>
      <c r="EF7">
        <v>4.3116666666666699E-2</v>
      </c>
      <c r="EG7">
        <v>2.5575981818181898E-2</v>
      </c>
      <c r="EH7">
        <v>2.9980555555666699E-2</v>
      </c>
      <c r="EI7">
        <v>4.4899666666666602E-2</v>
      </c>
    </row>
    <row r="8" spans="1:139" x14ac:dyDescent="0.25">
      <c r="A8" s="2">
        <v>46266</v>
      </c>
      <c r="B8">
        <v>367711.29271301802</v>
      </c>
      <c r="C8">
        <v>36079.154126868903</v>
      </c>
      <c r="D8">
        <v>20397.168452517199</v>
      </c>
      <c r="E8">
        <v>222667.07215801699</v>
      </c>
      <c r="F8">
        <v>45662.094247868801</v>
      </c>
      <c r="G8">
        <v>10503.0203614701</v>
      </c>
      <c r="H8">
        <v>50888.756552257102</v>
      </c>
      <c r="I8">
        <v>58963.304441632798</v>
      </c>
      <c r="J8">
        <v>93856.904246723207</v>
      </c>
      <c r="K8">
        <v>409.12424154146601</v>
      </c>
      <c r="L8">
        <v>4679.7552422352801</v>
      </c>
      <c r="M8">
        <v>0.66630129980998598</v>
      </c>
      <c r="N8">
        <v>26650.675551741999</v>
      </c>
      <c r="O8">
        <v>153.322261400472</v>
      </c>
      <c r="P8">
        <v>1.3994835644725201</v>
      </c>
      <c r="Q8">
        <v>1.1889415313549301</v>
      </c>
      <c r="R8">
        <v>1.0144119316524201</v>
      </c>
      <c r="S8">
        <v>6.5773498230837502E-2</v>
      </c>
      <c r="T8">
        <v>6857.0570217955601</v>
      </c>
      <c r="U8">
        <v>0.41870716808610098</v>
      </c>
      <c r="V8">
        <v>0.62990021583063505</v>
      </c>
      <c r="W8">
        <v>19618764.5336743</v>
      </c>
      <c r="X8">
        <v>62627.124325285797</v>
      </c>
      <c r="Y8">
        <v>4277720.3502828497</v>
      </c>
      <c r="Z8">
        <v>913.81875764663198</v>
      </c>
      <c r="AA8">
        <v>1.05679153075443</v>
      </c>
      <c r="AB8">
        <v>1.0398992515033301</v>
      </c>
      <c r="AC8">
        <v>1.0935206602195</v>
      </c>
      <c r="AD8">
        <v>1.1218520614235901</v>
      </c>
      <c r="AE8">
        <v>109.748857597975</v>
      </c>
      <c r="AF8">
        <v>87572.742859977603</v>
      </c>
      <c r="AG8">
        <v>939.29396416435395</v>
      </c>
      <c r="AH8">
        <v>118.568540629086</v>
      </c>
      <c r="AI8">
        <v>67338.537627292404</v>
      </c>
      <c r="AJ8">
        <v>98972.529448946399</v>
      </c>
      <c r="AK8">
        <v>543.87718115305097</v>
      </c>
      <c r="AL8">
        <v>23595.912892094799</v>
      </c>
      <c r="AM8">
        <v>19538.223048436899</v>
      </c>
      <c r="AN8">
        <v>0.918211738947319</v>
      </c>
      <c r="AO8">
        <v>0.94537840445006904</v>
      </c>
      <c r="AP8">
        <v>1.06600723900193</v>
      </c>
      <c r="AQ8">
        <v>1.11122067205853</v>
      </c>
      <c r="AR8">
        <v>33123.775496646602</v>
      </c>
      <c r="AS8">
        <v>170630.58696679</v>
      </c>
      <c r="AT8">
        <v>1.3328203665015E-2</v>
      </c>
      <c r="AU8">
        <v>4.3791081830513397E-2</v>
      </c>
      <c r="AV8">
        <v>7.8007858501783198E-2</v>
      </c>
      <c r="AW8">
        <v>222667.07215801699</v>
      </c>
      <c r="AX8">
        <v>10678.082153044101</v>
      </c>
      <c r="AY8">
        <v>17922.0313362134</v>
      </c>
      <c r="AZ8">
        <v>172485.93412801999</v>
      </c>
      <c r="BA8">
        <v>408608.39078710601</v>
      </c>
      <c r="BB8">
        <v>178441.27762609901</v>
      </c>
      <c r="BC8">
        <v>40475.473431647399</v>
      </c>
      <c r="BD8">
        <v>14943.8004732726</v>
      </c>
      <c r="BE8">
        <v>21555.554871991699</v>
      </c>
      <c r="BF8">
        <v>70025.294178907905</v>
      </c>
      <c r="BG8">
        <v>40837.937371914901</v>
      </c>
      <c r="BH8">
        <v>86180.511260595697</v>
      </c>
      <c r="BI8">
        <v>21308.247381868601</v>
      </c>
      <c r="BJ8">
        <v>18471.014131320801</v>
      </c>
      <c r="BK8">
        <v>36352.965200887797</v>
      </c>
      <c r="BL8">
        <v>173902.29797467301</v>
      </c>
      <c r="BM8">
        <v>173089.70332396799</v>
      </c>
      <c r="BN8">
        <v>775700.32339164498</v>
      </c>
      <c r="BO8">
        <v>713417.34481130599</v>
      </c>
      <c r="BP8">
        <v>711991.97448727395</v>
      </c>
      <c r="BQ8">
        <v>108.70022317007</v>
      </c>
      <c r="BR8">
        <v>1.0873023071730601</v>
      </c>
      <c r="BS8">
        <v>1.0082114744823301</v>
      </c>
      <c r="BT8">
        <v>99.388763383333597</v>
      </c>
      <c r="BU8">
        <v>78236.964396614596</v>
      </c>
      <c r="BV8">
        <v>1.30840865902183</v>
      </c>
      <c r="BW8">
        <v>102365.92167211301</v>
      </c>
      <c r="BX8">
        <v>10078.2509887245</v>
      </c>
      <c r="BY8">
        <v>14758.0062309598</v>
      </c>
      <c r="BZ8">
        <v>15529.8746804208</v>
      </c>
      <c r="CA8">
        <v>771.86844946106203</v>
      </c>
      <c r="CB8">
        <v>4.97021599452682E-2</v>
      </c>
      <c r="CC8">
        <v>11042891.9327549</v>
      </c>
      <c r="CD8">
        <v>361367.95605032402</v>
      </c>
      <c r="CE8">
        <v>490745.29241972399</v>
      </c>
      <c r="CF8">
        <v>285111.085486961</v>
      </c>
      <c r="CG8">
        <v>14336.990784953599</v>
      </c>
      <c r="CH8">
        <v>710357.85910358001</v>
      </c>
      <c r="CI8">
        <v>7.9316415106992E-2</v>
      </c>
      <c r="CJ8">
        <v>12.607730677831</v>
      </c>
      <c r="CK8">
        <v>1144249.4204346701</v>
      </c>
      <c r="CL8">
        <v>2661930.2440693402</v>
      </c>
      <c r="CM8">
        <v>3164410.7467732099</v>
      </c>
      <c r="CN8">
        <v>3806179.6645040102</v>
      </c>
      <c r="CO8">
        <v>9026902.9224201608</v>
      </c>
      <c r="CP8">
        <v>-4.1864492181065499E-2</v>
      </c>
      <c r="CQ8">
        <v>-1.1401614015567101E-2</v>
      </c>
      <c r="CR8">
        <v>1.0580802384757001E-2</v>
      </c>
      <c r="CS8">
        <v>1.4807159200731099</v>
      </c>
      <c r="CT8">
        <v>1.05808023847568E-2</v>
      </c>
      <c r="CU8">
        <v>3.83713858586026E-2</v>
      </c>
      <c r="CV8">
        <v>8.7260536201004806E-3</v>
      </c>
      <c r="CW8">
        <v>-2.01276676356676E-2</v>
      </c>
      <c r="CX8">
        <v>0.59301269602206697</v>
      </c>
      <c r="CY8">
        <v>5.9601179196005596</v>
      </c>
      <c r="CZ8">
        <v>3.1057694915015002E-2</v>
      </c>
      <c r="DA8">
        <v>2.1188832366013599E-2</v>
      </c>
      <c r="DB8">
        <v>7.2274183387430902E-3</v>
      </c>
      <c r="DC8">
        <v>0.12722523383850901</v>
      </c>
      <c r="DD8">
        <v>204296.680709037</v>
      </c>
      <c r="DE8">
        <v>107.552278883528</v>
      </c>
      <c r="DF8">
        <v>4.7106754413146499</v>
      </c>
      <c r="DG8">
        <v>4.1030650445504104</v>
      </c>
      <c r="DH8">
        <v>711041.93284527306</v>
      </c>
      <c r="DI8">
        <v>366777.14646726701</v>
      </c>
      <c r="DJ8">
        <v>869.55085156273799</v>
      </c>
      <c r="DK8">
        <v>4.1125687527523401E-2</v>
      </c>
      <c r="DL8">
        <v>0.67022357421816503</v>
      </c>
      <c r="DM8">
        <v>1.09973178089033</v>
      </c>
      <c r="DN8">
        <v>3.57615042376472E-2</v>
      </c>
      <c r="DO8">
        <v>4.6545582279544397E-2</v>
      </c>
      <c r="DP8">
        <v>28092.15</v>
      </c>
      <c r="DQ8">
        <v>23307.585749644499</v>
      </c>
      <c r="DR8">
        <v>4.5824999999999996</v>
      </c>
      <c r="DS8">
        <v>163180.52700557199</v>
      </c>
      <c r="DT8">
        <v>28810.664205147499</v>
      </c>
      <c r="DU8">
        <v>12305.489498317</v>
      </c>
      <c r="DV8">
        <v>7.48</v>
      </c>
      <c r="DW8">
        <v>0</v>
      </c>
      <c r="DX8">
        <v>61.25</v>
      </c>
      <c r="DY8">
        <v>211612.72</v>
      </c>
      <c r="DZ8">
        <v>2.0841196756887901</v>
      </c>
      <c r="EA8">
        <v>78.330639224150403</v>
      </c>
      <c r="EB8">
        <v>1.1464190691304199</v>
      </c>
      <c r="EC8">
        <v>1.17581388761627</v>
      </c>
      <c r="ED8">
        <v>144706624.74653599</v>
      </c>
      <c r="EE8">
        <v>3.2242446780360599</v>
      </c>
      <c r="EF8">
        <v>4.3116666666666699E-2</v>
      </c>
      <c r="EG8">
        <v>2.5575981818181898E-2</v>
      </c>
      <c r="EH8">
        <v>2.9980555555666699E-2</v>
      </c>
      <c r="EI8">
        <v>4.4899666666666602E-2</v>
      </c>
    </row>
    <row r="9" spans="1:139" x14ac:dyDescent="0.25">
      <c r="A9" s="2">
        <v>46357</v>
      </c>
      <c r="B9">
        <v>372784.865466927</v>
      </c>
      <c r="C9">
        <v>36342.327515070399</v>
      </c>
      <c r="D9">
        <v>20860.605072548198</v>
      </c>
      <c r="E9">
        <v>224266.43638858301</v>
      </c>
      <c r="F9">
        <v>47051.280363227597</v>
      </c>
      <c r="G9">
        <v>10646.123594552</v>
      </c>
      <c r="H9">
        <v>51953.625679655801</v>
      </c>
      <c r="I9">
        <v>58762.206381263502</v>
      </c>
      <c r="J9">
        <v>94486.399895211507</v>
      </c>
      <c r="K9">
        <v>409.83224104412199</v>
      </c>
      <c r="L9">
        <v>4723.0587085365896</v>
      </c>
      <c r="M9">
        <v>0.66696467047794195</v>
      </c>
      <c r="N9">
        <v>26946.674930768499</v>
      </c>
      <c r="O9">
        <v>155.36303194325299</v>
      </c>
      <c r="P9">
        <v>1.4252308479713101</v>
      </c>
      <c r="Q9">
        <v>1.2108350879897201</v>
      </c>
      <c r="R9">
        <v>1.01981376961481</v>
      </c>
      <c r="S9">
        <v>6.7968336605998297E-2</v>
      </c>
      <c r="T9">
        <v>6815.3016413230198</v>
      </c>
      <c r="U9">
        <v>0.41914419508969702</v>
      </c>
      <c r="V9">
        <v>0.62792086625536603</v>
      </c>
      <c r="W9">
        <v>19890946.8261098</v>
      </c>
      <c r="X9">
        <v>63564.511062330603</v>
      </c>
      <c r="Y9">
        <v>4320771.6873629102</v>
      </c>
      <c r="Z9">
        <v>924.32823596446099</v>
      </c>
      <c r="AA9">
        <v>1.0624027341148199</v>
      </c>
      <c r="AB9">
        <v>1.0456601855540699</v>
      </c>
      <c r="AC9">
        <v>1.10266420371476</v>
      </c>
      <c r="AD9">
        <v>1.1351129742200601</v>
      </c>
      <c r="AE9">
        <v>110.56823222941</v>
      </c>
      <c r="AF9">
        <v>90252.0008063235</v>
      </c>
      <c r="AG9">
        <v>952.14100720444799</v>
      </c>
      <c r="AH9">
        <v>121.66838981033899</v>
      </c>
      <c r="AI9">
        <v>68882.699575061706</v>
      </c>
      <c r="AJ9">
        <v>100865.15031292901</v>
      </c>
      <c r="AK9">
        <v>568.85553468391197</v>
      </c>
      <c r="AL9">
        <v>23819.283977379298</v>
      </c>
      <c r="AM9">
        <v>19620.814502809601</v>
      </c>
      <c r="AN9">
        <v>0.936051938423061</v>
      </c>
      <c r="AO9">
        <v>0.951124557072479</v>
      </c>
      <c r="AP9">
        <v>1.0742422400457099</v>
      </c>
      <c r="AQ9">
        <v>1.1238448309276099</v>
      </c>
      <c r="AR9">
        <v>33455.209961859902</v>
      </c>
      <c r="AS9">
        <v>174568.93008465099</v>
      </c>
      <c r="AT9">
        <v>1.53642145702425E-2</v>
      </c>
      <c r="AU9">
        <v>4.3691527883123998E-2</v>
      </c>
      <c r="AV9">
        <v>1.04405515544043E-2</v>
      </c>
      <c r="AW9">
        <v>224266.43638858301</v>
      </c>
      <c r="AX9">
        <v>10755.971647066899</v>
      </c>
      <c r="AY9">
        <v>18115.736529356898</v>
      </c>
      <c r="AZ9">
        <v>173723.160889238</v>
      </c>
      <c r="BA9">
        <v>418952.34530368203</v>
      </c>
      <c r="BB9">
        <v>181157.81134853599</v>
      </c>
      <c r="BC9">
        <v>41252.647475710903</v>
      </c>
      <c r="BD9">
        <v>15329.742591304401</v>
      </c>
      <c r="BE9">
        <v>22162.363864364801</v>
      </c>
      <c r="BF9">
        <v>72027.895703906601</v>
      </c>
      <c r="BG9">
        <v>41356.712902079198</v>
      </c>
      <c r="BH9">
        <v>88444.177776529206</v>
      </c>
      <c r="BI9">
        <v>21935.169434522501</v>
      </c>
      <c r="BJ9">
        <v>18661.838503386</v>
      </c>
      <c r="BK9">
        <v>36990.834243466001</v>
      </c>
      <c r="BL9">
        <v>177621.579957904</v>
      </c>
      <c r="BM9">
        <v>178027.798647252</v>
      </c>
      <c r="BN9">
        <v>791833.30050023599</v>
      </c>
      <c r="BO9">
        <v>721128.11351663305</v>
      </c>
      <c r="BP9">
        <v>722403.85842933995</v>
      </c>
      <c r="BQ9">
        <v>109.622838813551</v>
      </c>
      <c r="BR9">
        <v>1.0980480182043599</v>
      </c>
      <c r="BS9">
        <v>1.02244041064364</v>
      </c>
      <c r="BT9">
        <v>100.25756085150999</v>
      </c>
      <c r="BU9">
        <v>79316.455124197397</v>
      </c>
      <c r="BV9">
        <v>1.34261562057246</v>
      </c>
      <c r="BW9">
        <v>106491.511618182</v>
      </c>
      <c r="BX9">
        <v>10162.0936021615</v>
      </c>
      <c r="BY9">
        <v>14885.1523106981</v>
      </c>
      <c r="BZ9">
        <v>15605.0384809566</v>
      </c>
      <c r="CA9">
        <v>719.88617025848703</v>
      </c>
      <c r="CB9">
        <v>4.6131640766525699E-2</v>
      </c>
      <c r="CC9">
        <v>11077307.4256493</v>
      </c>
      <c r="CD9">
        <v>368529.44570165803</v>
      </c>
      <c r="CE9">
        <v>497762.95070984698</v>
      </c>
      <c r="CF9">
        <v>291623.95733842399</v>
      </c>
      <c r="CG9">
        <v>14542.0097709562</v>
      </c>
      <c r="CH9">
        <v>725131.84685920901</v>
      </c>
      <c r="CI9">
        <v>8.3467403883459301E-2</v>
      </c>
      <c r="CJ9">
        <v>11.980724851539</v>
      </c>
      <c r="CK9">
        <v>1146386.29788616</v>
      </c>
      <c r="CL9">
        <v>2685410.9481799202</v>
      </c>
      <c r="CM9">
        <v>3175247.1036803401</v>
      </c>
      <c r="CN9">
        <v>3831797.2460660799</v>
      </c>
      <c r="CO9">
        <v>9063356.8608893491</v>
      </c>
      <c r="CP9">
        <v>-3.9523627239260901E-2</v>
      </c>
      <c r="CQ9">
        <v>-1.1196313926379301E-2</v>
      </c>
      <c r="CR9">
        <v>1.3080494796495E-2</v>
      </c>
      <c r="CS9">
        <v>1.50042474385584</v>
      </c>
      <c r="CT9">
        <v>1.3080494796495E-2</v>
      </c>
      <c r="CU9">
        <v>3.83713858586026E-2</v>
      </c>
      <c r="CV9">
        <v>7.7931584301468302E-3</v>
      </c>
      <c r="CW9">
        <v>-1.8989472356526201E-2</v>
      </c>
      <c r="CX9">
        <v>0.58994885692064403</v>
      </c>
      <c r="CY9">
        <v>5.9494734648463501</v>
      </c>
      <c r="CZ9">
        <v>3.30937058202425E-2</v>
      </c>
      <c r="DA9">
        <v>2.25316818992801E-2</v>
      </c>
      <c r="DB9">
        <v>7.2200637236098097E-3</v>
      </c>
      <c r="DC9">
        <v>0.13059799019121501</v>
      </c>
      <c r="DD9">
        <v>205686.96412178301</v>
      </c>
      <c r="DE9">
        <v>108.510910454499</v>
      </c>
      <c r="DF9">
        <v>4.7197063257041298</v>
      </c>
      <c r="DG9">
        <v>4.1091747251093</v>
      </c>
      <c r="DH9">
        <v>715232.74993381696</v>
      </c>
      <c r="DI9">
        <v>369231.10247503902</v>
      </c>
      <c r="DJ9">
        <v>882.12969826604296</v>
      </c>
      <c r="DK9">
        <v>4.1125687527523401E-2</v>
      </c>
      <c r="DL9">
        <v>0.67022357421816503</v>
      </c>
      <c r="DM9">
        <v>1.1109975009464601</v>
      </c>
      <c r="DN9">
        <v>3.57615042376472E-2</v>
      </c>
      <c r="DO9">
        <v>4.6545582279544397E-2</v>
      </c>
      <c r="DP9">
        <v>28179.7</v>
      </c>
      <c r="DQ9">
        <v>23397.099084385001</v>
      </c>
      <c r="DR9">
        <v>4.5650000000000004</v>
      </c>
      <c r="DS9">
        <v>164291.00603632099</v>
      </c>
      <c r="DT9">
        <v>29006.7270506895</v>
      </c>
      <c r="DU9">
        <v>12389.231034771999</v>
      </c>
      <c r="DV9">
        <v>7.48</v>
      </c>
      <c r="DW9">
        <v>0</v>
      </c>
      <c r="DX9">
        <v>61.25</v>
      </c>
      <c r="DY9">
        <v>208288.96</v>
      </c>
      <c r="DZ9">
        <v>2.0989557449513301</v>
      </c>
      <c r="EA9">
        <v>82.218000000000004</v>
      </c>
      <c r="EB9">
        <v>1.19296648862472</v>
      </c>
      <c r="EC9">
        <v>1.17963803514669</v>
      </c>
      <c r="ED9">
        <v>146277341.03897801</v>
      </c>
      <c r="EE9">
        <v>3.19880770320023</v>
      </c>
      <c r="EF9">
        <v>4.3116666666666699E-2</v>
      </c>
      <c r="EG9">
        <v>2.5575981818181898E-2</v>
      </c>
      <c r="EH9">
        <v>2.9980555555666699E-2</v>
      </c>
      <c r="EI9">
        <v>4.4899666666666602E-2</v>
      </c>
    </row>
    <row r="10" spans="1:139" x14ac:dyDescent="0.25">
      <c r="A10" s="2">
        <v>46447</v>
      </c>
      <c r="B10">
        <v>377523.01764253498</v>
      </c>
      <c r="C10">
        <v>36533.655972618602</v>
      </c>
      <c r="D10">
        <v>21219.975823552701</v>
      </c>
      <c r="E10">
        <v>226056.16253143299</v>
      </c>
      <c r="F10">
        <v>47596.721364972502</v>
      </c>
      <c r="G10">
        <v>10849.492062874</v>
      </c>
      <c r="H10">
        <v>52928.812217451399</v>
      </c>
      <c r="I10">
        <v>58595.264809788699</v>
      </c>
      <c r="J10">
        <v>95124.074260547393</v>
      </c>
      <c r="K10">
        <v>410.60594084409303</v>
      </c>
      <c r="L10">
        <v>4766.33720961776</v>
      </c>
      <c r="M10">
        <v>0.66777123105414204</v>
      </c>
      <c r="N10">
        <v>27272.5715789727</v>
      </c>
      <c r="O10">
        <v>157.412321151024</v>
      </c>
      <c r="P10">
        <v>1.4487499082787401</v>
      </c>
      <c r="Q10">
        <v>1.2312190719182701</v>
      </c>
      <c r="R10">
        <v>1.0214947246293</v>
      </c>
      <c r="S10">
        <v>7.0743424926016998E-2</v>
      </c>
      <c r="T10">
        <v>6694.6814526255303</v>
      </c>
      <c r="U10">
        <v>0.42042461820287302</v>
      </c>
      <c r="V10">
        <v>0.62724998634973905</v>
      </c>
      <c r="W10">
        <v>20103098.914960701</v>
      </c>
      <c r="X10">
        <v>64533.634535286903</v>
      </c>
      <c r="Y10">
        <v>4364107.3252026597</v>
      </c>
      <c r="Z10">
        <v>932.92448533412801</v>
      </c>
      <c r="AA10">
        <v>1.06767451067488</v>
      </c>
      <c r="AB10">
        <v>1.0505131262549801</v>
      </c>
      <c r="AC10">
        <v>1.11210184390483</v>
      </c>
      <c r="AD10">
        <v>1.14875538795791</v>
      </c>
      <c r="AE10">
        <v>111.418184424689</v>
      </c>
      <c r="AF10">
        <v>93115.123974479095</v>
      </c>
      <c r="AG10">
        <v>965.03171959012002</v>
      </c>
      <c r="AH10">
        <v>124.694599689668</v>
      </c>
      <c r="AI10">
        <v>70435.584734832999</v>
      </c>
      <c r="AJ10">
        <v>101747.405120804</v>
      </c>
      <c r="AK10">
        <v>590.583996099925</v>
      </c>
      <c r="AL10">
        <v>24031.146428631</v>
      </c>
      <c r="AM10">
        <v>19696.2496657679</v>
      </c>
      <c r="AN10">
        <v>0.93447477338713103</v>
      </c>
      <c r="AO10">
        <v>0.95504028694561505</v>
      </c>
      <c r="AP10">
        <v>1.08290483743873</v>
      </c>
      <c r="AQ10">
        <v>1.13663838257943</v>
      </c>
      <c r="AR10">
        <v>33867.037316991198</v>
      </c>
      <c r="AS10">
        <v>178495.969636291</v>
      </c>
      <c r="AT10">
        <v>1.7896527097720199E-2</v>
      </c>
      <c r="AU10">
        <v>4.3740608079156799E-2</v>
      </c>
      <c r="AV10">
        <v>-6.0167212048802203E-2</v>
      </c>
      <c r="AW10">
        <v>226056.16253143299</v>
      </c>
      <c r="AX10">
        <v>10812.5977248494</v>
      </c>
      <c r="AY10">
        <v>18303.480584834298</v>
      </c>
      <c r="AZ10">
        <v>175035.84182814101</v>
      </c>
      <c r="BA10">
        <v>429107.15335547703</v>
      </c>
      <c r="BB10">
        <v>183951.70073880701</v>
      </c>
      <c r="BC10">
        <v>41968.234140346103</v>
      </c>
      <c r="BD10">
        <v>15664.7499621304</v>
      </c>
      <c r="BE10">
        <v>22656.0273039444</v>
      </c>
      <c r="BF10">
        <v>73993.505628710496</v>
      </c>
      <c r="BG10">
        <v>41872.6156530753</v>
      </c>
      <c r="BH10">
        <v>88891.047738285604</v>
      </c>
      <c r="BI10">
        <v>22535.594378533799</v>
      </c>
      <c r="BJ10">
        <v>18810.711932547401</v>
      </c>
      <c r="BK10">
        <v>37734.0380970236</v>
      </c>
      <c r="BL10">
        <v>179560.95214638999</v>
      </c>
      <c r="BM10">
        <v>182332.691351063</v>
      </c>
      <c r="BN10">
        <v>806442.24757781904</v>
      </c>
      <c r="BO10">
        <v>728601.58912858495</v>
      </c>
      <c r="BP10">
        <v>732491.69318912597</v>
      </c>
      <c r="BQ10">
        <v>110.514578020679</v>
      </c>
      <c r="BR10">
        <v>1.10683568293181</v>
      </c>
      <c r="BS10">
        <v>1.0258524783895</v>
      </c>
      <c r="BT10">
        <v>100.426605605994</v>
      </c>
      <c r="BU10">
        <v>80324.579297740507</v>
      </c>
      <c r="BV10">
        <v>1.37600996943703</v>
      </c>
      <c r="BW10">
        <v>110527.421904526</v>
      </c>
      <c r="BX10">
        <v>10244.6750377272</v>
      </c>
      <c r="BY10">
        <v>15011.012247344999</v>
      </c>
      <c r="BZ10">
        <v>15683.7541064829</v>
      </c>
      <c r="CA10">
        <v>672.74185913792496</v>
      </c>
      <c r="CB10">
        <v>4.2894177820695198E-2</v>
      </c>
      <c r="CC10">
        <v>11111722.9185437</v>
      </c>
      <c r="CD10">
        <v>376140.239986851</v>
      </c>
      <c r="CE10">
        <v>503972.68214366201</v>
      </c>
      <c r="CF10">
        <v>296511.41104527097</v>
      </c>
      <c r="CG10">
        <v>14723.425392703</v>
      </c>
      <c r="CH10">
        <v>738510.18390103802</v>
      </c>
      <c r="CI10">
        <v>8.8216892809486802E-2</v>
      </c>
      <c r="CJ10">
        <v>11.335697372153</v>
      </c>
      <c r="CK10">
        <v>1148952.5109973501</v>
      </c>
      <c r="CL10">
        <v>2710048.9472968699</v>
      </c>
      <c r="CM10">
        <v>3186260.1913542999</v>
      </c>
      <c r="CN10">
        <v>3859001.4582942198</v>
      </c>
      <c r="CO10">
        <v>9101574.1607914604</v>
      </c>
      <c r="CP10">
        <v>-3.6552109590132803E-2</v>
      </c>
      <c r="CQ10">
        <v>-1.0708028608696201E-2</v>
      </c>
      <c r="CR10">
        <v>1.6294788238164101E-2</v>
      </c>
      <c r="CS10">
        <v>1.5202158369891099</v>
      </c>
      <c r="CT10">
        <v>1.6294788238164101E-2</v>
      </c>
      <c r="CU10">
        <v>3.9440022763365001E-2</v>
      </c>
      <c r="CV10">
        <v>9.8529448666248194E-3</v>
      </c>
      <c r="CW10">
        <v>-2.0560973475321001E-2</v>
      </c>
      <c r="CX10">
        <v>0.58813524094774405</v>
      </c>
      <c r="CY10">
        <v>5.9266293674627004</v>
      </c>
      <c r="CZ10">
        <v>3.5626018347720202E-2</v>
      </c>
      <c r="DA10">
        <v>2.4211424440950001E-2</v>
      </c>
      <c r="DB10">
        <v>7.2236893973426902E-3</v>
      </c>
      <c r="DC10">
        <v>0.134495833432837</v>
      </c>
      <c r="DD10">
        <v>207086.708715988</v>
      </c>
      <c r="DE10">
        <v>109.61584164113999</v>
      </c>
      <c r="DF10">
        <v>4.7299947090157097</v>
      </c>
      <c r="DG10">
        <v>4.1165419045902896</v>
      </c>
      <c r="DH10">
        <v>719448.26732069603</v>
      </c>
      <c r="DI10">
        <v>371701.476899678</v>
      </c>
      <c r="DJ10">
        <v>894.89050946757402</v>
      </c>
      <c r="DK10">
        <v>4.1125687527523401E-2</v>
      </c>
      <c r="DL10">
        <v>0.67022357421816503</v>
      </c>
      <c r="DM10">
        <v>1.12237862773229</v>
      </c>
      <c r="DN10">
        <v>3.57615042376472E-2</v>
      </c>
      <c r="DO10">
        <v>4.6545582279544397E-2</v>
      </c>
      <c r="DP10">
        <v>28267.25</v>
      </c>
      <c r="DQ10">
        <v>23486.7172725075</v>
      </c>
      <c r="DR10">
        <v>4.5475000000000003</v>
      </c>
      <c r="DS10">
        <v>165409.04211876201</v>
      </c>
      <c r="DT10">
        <v>29204.1241466024</v>
      </c>
      <c r="DU10">
        <v>12473.542450623399</v>
      </c>
      <c r="DV10">
        <v>7.48</v>
      </c>
      <c r="DW10">
        <v>0</v>
      </c>
      <c r="DX10">
        <v>61.25</v>
      </c>
      <c r="DY10">
        <v>208288.96</v>
      </c>
      <c r="DZ10">
        <v>2.1103027090911302</v>
      </c>
      <c r="EA10">
        <v>80.608343383994594</v>
      </c>
      <c r="EB10">
        <v>1.1811955150890401</v>
      </c>
      <c r="EC10">
        <v>1.1858850170275601</v>
      </c>
      <c r="ED10">
        <v>147730387.822721</v>
      </c>
      <c r="EE10">
        <v>3.18782304357156</v>
      </c>
      <c r="EF10">
        <v>4.3499999999999997E-2</v>
      </c>
      <c r="EG10">
        <v>3.0492648484848499E-2</v>
      </c>
      <c r="EH10">
        <v>3.050813492075E-2</v>
      </c>
      <c r="EI10">
        <v>4.4180333333333301E-2</v>
      </c>
    </row>
    <row r="11" spans="1:139" x14ac:dyDescent="0.25">
      <c r="A11" s="2">
        <v>46539</v>
      </c>
      <c r="B11">
        <v>381766.837082654</v>
      </c>
      <c r="C11">
        <v>36659.672318384801</v>
      </c>
      <c r="D11">
        <v>21612.9438338002</v>
      </c>
      <c r="E11">
        <v>228006.198745701</v>
      </c>
      <c r="F11">
        <v>48092.156666113202</v>
      </c>
      <c r="G11">
        <v>11099.529381164301</v>
      </c>
      <c r="H11">
        <v>53893.109534302203</v>
      </c>
      <c r="I11">
        <v>58460.251704987801</v>
      </c>
      <c r="J11">
        <v>95810.259968783896</v>
      </c>
      <c r="K11">
        <v>411.41798774796001</v>
      </c>
      <c r="L11">
        <v>4809.0604398576297</v>
      </c>
      <c r="M11">
        <v>0.66859827104144898</v>
      </c>
      <c r="N11">
        <v>27617.364609188899</v>
      </c>
      <c r="O11">
        <v>159.48793248718599</v>
      </c>
      <c r="P11">
        <v>1.47228092619146</v>
      </c>
      <c r="Q11">
        <v>1.2517393668802499</v>
      </c>
      <c r="R11">
        <v>1.02479408043889</v>
      </c>
      <c r="S11">
        <v>7.3889083327701693E-2</v>
      </c>
      <c r="T11">
        <v>6635.5201814205302</v>
      </c>
      <c r="U11">
        <v>0.42105625125245799</v>
      </c>
      <c r="V11">
        <v>0.62564282665736204</v>
      </c>
      <c r="W11">
        <v>20341340.6947788</v>
      </c>
      <c r="X11">
        <v>65537.428709133703</v>
      </c>
      <c r="Y11">
        <v>4406405.6175606595</v>
      </c>
      <c r="Z11">
        <v>941.577166207603</v>
      </c>
      <c r="AA11">
        <v>1.0732698479995399</v>
      </c>
      <c r="AB11">
        <v>1.0552154464465699</v>
      </c>
      <c r="AC11">
        <v>1.12190198363133</v>
      </c>
      <c r="AD11">
        <v>1.16274447723603</v>
      </c>
      <c r="AE11">
        <v>112.293502516892</v>
      </c>
      <c r="AF11">
        <v>95945.494011814604</v>
      </c>
      <c r="AG11">
        <v>977.95342466554098</v>
      </c>
      <c r="AH11">
        <v>127.659445696218</v>
      </c>
      <c r="AI11">
        <v>71906.741519777395</v>
      </c>
      <c r="AJ11">
        <v>102149.12117735999</v>
      </c>
      <c r="AK11">
        <v>603.73988278549405</v>
      </c>
      <c r="AL11">
        <v>24236.989266656801</v>
      </c>
      <c r="AM11">
        <v>19761.811519179599</v>
      </c>
      <c r="AN11">
        <v>0.93391783318626298</v>
      </c>
      <c r="AO11">
        <v>0.960524312818966</v>
      </c>
      <c r="AP11">
        <v>1.0920800915866899</v>
      </c>
      <c r="AQ11">
        <v>1.14970660140653</v>
      </c>
      <c r="AR11">
        <v>34259.198849730798</v>
      </c>
      <c r="AS11">
        <v>182148.16589556501</v>
      </c>
      <c r="AT11">
        <v>2.0789067194939202E-2</v>
      </c>
      <c r="AU11">
        <v>4.3935942995731198E-2</v>
      </c>
      <c r="AV11">
        <v>-0.13245144923465299</v>
      </c>
      <c r="AW11">
        <v>228006.198745701</v>
      </c>
      <c r="AX11">
        <v>10849.8938567927</v>
      </c>
      <c r="AY11">
        <v>18487.012613761999</v>
      </c>
      <c r="AZ11">
        <v>176363.282951456</v>
      </c>
      <c r="BA11">
        <v>438919.85397246998</v>
      </c>
      <c r="BB11">
        <v>186835.59533002501</v>
      </c>
      <c r="BC11">
        <v>42625.8315254845</v>
      </c>
      <c r="BD11">
        <v>15974.0917765578</v>
      </c>
      <c r="BE11">
        <v>23196.520943325399</v>
      </c>
      <c r="BF11">
        <v>75877.103613017898</v>
      </c>
      <c r="BG11">
        <v>42410.946830767498</v>
      </c>
      <c r="BH11">
        <v>89478.910387059193</v>
      </c>
      <c r="BI11">
        <v>23140.921464657698</v>
      </c>
      <c r="BJ11">
        <v>18981.700429517899</v>
      </c>
      <c r="BK11">
        <v>38470.854322589497</v>
      </c>
      <c r="BL11">
        <v>181661.94660382401</v>
      </c>
      <c r="BM11">
        <v>186664.36217257599</v>
      </c>
      <c r="BN11">
        <v>820837.52842289698</v>
      </c>
      <c r="BO11">
        <v>735907.39777530602</v>
      </c>
      <c r="BP11">
        <v>742122.25519705797</v>
      </c>
      <c r="BQ11">
        <v>111.392275092644</v>
      </c>
      <c r="BR11">
        <v>1.1154086998694901</v>
      </c>
      <c r="BS11">
        <v>1.03004402936765</v>
      </c>
      <c r="BT11">
        <v>100.51229305759701</v>
      </c>
      <c r="BU11">
        <v>81227.525595616098</v>
      </c>
      <c r="BV11">
        <v>1.40872716547448</v>
      </c>
      <c r="BW11">
        <v>114427.421890818</v>
      </c>
      <c r="BX11">
        <v>10323.552952705601</v>
      </c>
      <c r="BY11">
        <v>15132.6133925633</v>
      </c>
      <c r="BZ11">
        <v>15763.1672312603</v>
      </c>
      <c r="CA11">
        <v>630.55383869707703</v>
      </c>
      <c r="CB11">
        <v>4.0001715635202897E-2</v>
      </c>
      <c r="CC11">
        <v>11146138.411437999</v>
      </c>
      <c r="CD11">
        <v>383981.14405739401</v>
      </c>
      <c r="CE11">
        <v>509971.27600172203</v>
      </c>
      <c r="CF11">
        <v>301011.01024600101</v>
      </c>
      <c r="CG11">
        <v>14898.6726873671</v>
      </c>
      <c r="CH11">
        <v>751692.85325663898</v>
      </c>
      <c r="CI11">
        <v>9.0986066846117999E-2</v>
      </c>
      <c r="CJ11">
        <v>10.990693791515</v>
      </c>
      <c r="CK11">
        <v>1151837.1424261399</v>
      </c>
      <c r="CL11">
        <v>2735833.8970958302</v>
      </c>
      <c r="CM11">
        <v>3197376.7550667799</v>
      </c>
      <c r="CN11">
        <v>3887671.0395219801</v>
      </c>
      <c r="CO11">
        <v>9141360.3057317007</v>
      </c>
      <c r="CP11">
        <v>-3.3369463372855297E-2</v>
      </c>
      <c r="CQ11">
        <v>-1.02225875720634E-2</v>
      </c>
      <c r="CR11">
        <v>1.9730552759907202E-2</v>
      </c>
      <c r="CS11">
        <v>1.5402611371384001</v>
      </c>
      <c r="CT11">
        <v>1.9730552759907202E-2</v>
      </c>
      <c r="CU11">
        <v>3.9440022763365001E-2</v>
      </c>
      <c r="CV11">
        <v>1.2305022763365E-2</v>
      </c>
      <c r="CW11">
        <v>-2.25276103354284E-2</v>
      </c>
      <c r="CX11">
        <v>0.58449341643561703</v>
      </c>
      <c r="CY11">
        <v>5.9037517856296198</v>
      </c>
      <c r="CZ11">
        <v>3.8518558444939198E-2</v>
      </c>
      <c r="DA11">
        <v>2.6129936278626101E-2</v>
      </c>
      <c r="DB11">
        <v>7.23812232647427E-3</v>
      </c>
      <c r="DC11">
        <v>0.13702530258001699</v>
      </c>
      <c r="DD11">
        <v>208495.97887705301</v>
      </c>
      <c r="DE11">
        <v>110.789950439286</v>
      </c>
      <c r="DF11">
        <v>4.7408060784492596</v>
      </c>
      <c r="DG11">
        <v>4.1244320701932402</v>
      </c>
      <c r="DH11">
        <v>723688.63058724196</v>
      </c>
      <c r="DI11">
        <v>374188.379590103</v>
      </c>
      <c r="DJ11">
        <v>907.83591744987302</v>
      </c>
      <c r="DK11">
        <v>4.1125687527523401E-2</v>
      </c>
      <c r="DL11">
        <v>0.67022357421816503</v>
      </c>
      <c r="DM11">
        <v>1.13387634348147</v>
      </c>
      <c r="DN11">
        <v>3.57615042376472E-2</v>
      </c>
      <c r="DO11">
        <v>4.6545582279544397E-2</v>
      </c>
      <c r="DP11">
        <v>28354.799999999999</v>
      </c>
      <c r="DQ11">
        <v>23576.440314012001</v>
      </c>
      <c r="DR11">
        <v>4.53</v>
      </c>
      <c r="DS11">
        <v>166534.68668027699</v>
      </c>
      <c r="DT11">
        <v>29402.864572750601</v>
      </c>
      <c r="DU11">
        <v>12558.4276240246</v>
      </c>
      <c r="DV11">
        <v>7.48</v>
      </c>
      <c r="DW11">
        <v>0</v>
      </c>
      <c r="DX11">
        <v>61.25</v>
      </c>
      <c r="DY11">
        <v>208288.96</v>
      </c>
      <c r="DZ11">
        <v>2.1217110149697902</v>
      </c>
      <c r="EA11">
        <v>79.0302004805758</v>
      </c>
      <c r="EB11">
        <v>1.1695406854847199</v>
      </c>
      <c r="EC11">
        <v>1.19216508090601</v>
      </c>
      <c r="ED11">
        <v>149197868.45480099</v>
      </c>
      <c r="EE11">
        <v>3.1768761051060199</v>
      </c>
      <c r="EF11">
        <v>4.3499999999999997E-2</v>
      </c>
      <c r="EG11">
        <v>3.0492648484848499E-2</v>
      </c>
      <c r="EH11">
        <v>3.050813492075E-2</v>
      </c>
      <c r="EI11">
        <v>4.4180333333333301E-2</v>
      </c>
    </row>
    <row r="12" spans="1:139" x14ac:dyDescent="0.25">
      <c r="A12" s="2">
        <v>46631</v>
      </c>
      <c r="B12">
        <v>385667.77135050501</v>
      </c>
      <c r="C12">
        <v>36746.935634915499</v>
      </c>
      <c r="D12">
        <v>21882.395249954701</v>
      </c>
      <c r="E12">
        <v>230093.75908902299</v>
      </c>
      <c r="F12">
        <v>48463.013207457203</v>
      </c>
      <c r="G12">
        <v>11380.5185636517</v>
      </c>
      <c r="H12">
        <v>54811.168371041203</v>
      </c>
      <c r="I12">
        <v>61052.666590171</v>
      </c>
      <c r="J12">
        <v>95860.233234950298</v>
      </c>
      <c r="K12">
        <v>412.09372272848498</v>
      </c>
      <c r="L12">
        <v>4848.5610441593399</v>
      </c>
      <c r="M12">
        <v>0.66939856066303804</v>
      </c>
      <c r="N12">
        <v>27984.761706862701</v>
      </c>
      <c r="O12">
        <v>161.58110063718499</v>
      </c>
      <c r="P12">
        <v>1.4964973648277899</v>
      </c>
      <c r="Q12">
        <v>1.27347859293147</v>
      </c>
      <c r="R12">
        <v>1.02967229189122</v>
      </c>
      <c r="S12">
        <v>7.7125009322059498E-2</v>
      </c>
      <c r="T12">
        <v>6576.1641817991003</v>
      </c>
      <c r="U12">
        <v>0.42047335525514001</v>
      </c>
      <c r="V12">
        <v>0.62218240778325495</v>
      </c>
      <c r="W12">
        <v>20598331.7333741</v>
      </c>
      <c r="X12">
        <v>66574.082570029204</v>
      </c>
      <c r="Y12">
        <v>4443419.2641515704</v>
      </c>
      <c r="Z12">
        <v>951.69617820417795</v>
      </c>
      <c r="AA12">
        <v>1.0791236507717601</v>
      </c>
      <c r="AB12">
        <v>1.0600339137124399</v>
      </c>
      <c r="AC12">
        <v>1.13219525782619</v>
      </c>
      <c r="AD12">
        <v>1.1770798011608401</v>
      </c>
      <c r="AE12">
        <v>113.197427349725</v>
      </c>
      <c r="AF12">
        <v>98612.904182879603</v>
      </c>
      <c r="AG12">
        <v>992.81287245993894</v>
      </c>
      <c r="AH12">
        <v>130.546837097154</v>
      </c>
      <c r="AI12">
        <v>73256.248867576098</v>
      </c>
      <c r="AJ12">
        <v>101764.486934129</v>
      </c>
      <c r="AK12">
        <v>610.73568013751697</v>
      </c>
      <c r="AL12">
        <v>24448.661423089201</v>
      </c>
      <c r="AM12">
        <v>19796.545759746801</v>
      </c>
      <c r="AN12">
        <v>0.93594255297663997</v>
      </c>
      <c r="AO12">
        <v>0.96783819978711305</v>
      </c>
      <c r="AP12">
        <v>1.1017058038938601</v>
      </c>
      <c r="AQ12">
        <v>1.16297844291037</v>
      </c>
      <c r="AR12">
        <v>34580.557904362802</v>
      </c>
      <c r="AS12">
        <v>185435.738405329</v>
      </c>
      <c r="AT12">
        <v>2.36536488575168E-2</v>
      </c>
      <c r="AU12">
        <v>4.4254917543638798E-2</v>
      </c>
      <c r="AV12">
        <v>-0.19615960635855001</v>
      </c>
      <c r="AW12">
        <v>230093.75908902299</v>
      </c>
      <c r="AX12">
        <v>10875.7205394135</v>
      </c>
      <c r="AY12">
        <v>18644.977388644798</v>
      </c>
      <c r="AZ12">
        <v>176927.314287705</v>
      </c>
      <c r="BA12">
        <v>448523.305282032</v>
      </c>
      <c r="BB12">
        <v>189717.329221008</v>
      </c>
      <c r="BC12">
        <v>43254.075690416401</v>
      </c>
      <c r="BD12">
        <v>16275.4871278357</v>
      </c>
      <c r="BE12">
        <v>23613.810249761798</v>
      </c>
      <c r="BF12">
        <v>77654.107424687507</v>
      </c>
      <c r="BG12">
        <v>42975.060868451998</v>
      </c>
      <c r="BH12">
        <v>89719.671422855405</v>
      </c>
      <c r="BI12">
        <v>23743.979570130501</v>
      </c>
      <c r="BJ12">
        <v>19159.853210116598</v>
      </c>
      <c r="BK12">
        <v>39144.3019109206</v>
      </c>
      <c r="BL12">
        <v>183357.366114023</v>
      </c>
      <c r="BM12">
        <v>190938.04176235499</v>
      </c>
      <c r="BN12">
        <v>834432.50021586102</v>
      </c>
      <c r="BO12">
        <v>742195.45794424298</v>
      </c>
      <c r="BP12">
        <v>751133.85587438405</v>
      </c>
      <c r="BQ12">
        <v>112.261349288655</v>
      </c>
      <c r="BR12">
        <v>1.1242759218993601</v>
      </c>
      <c r="BS12">
        <v>1.03634290076807</v>
      </c>
      <c r="BT12">
        <v>100.647838048026</v>
      </c>
      <c r="BU12">
        <v>82057.517117430907</v>
      </c>
      <c r="BV12">
        <v>1.4405896467947901</v>
      </c>
      <c r="BW12">
        <v>118211.20960105699</v>
      </c>
      <c r="BX12">
        <v>10393.2000717383</v>
      </c>
      <c r="BY12">
        <v>15241.7611158977</v>
      </c>
      <c r="BZ12">
        <v>15839.2970897263</v>
      </c>
      <c r="CA12">
        <v>597.53597382869498</v>
      </c>
      <c r="CB12">
        <v>3.77248993196816E-2</v>
      </c>
      <c r="CC12">
        <v>11179119.106513301</v>
      </c>
      <c r="CD12">
        <v>391895.69395899202</v>
      </c>
      <c r="CE12">
        <v>518445.225473036</v>
      </c>
      <c r="CF12">
        <v>304775.49704342103</v>
      </c>
      <c r="CG12">
        <v>15146.236825747999</v>
      </c>
      <c r="CH12">
        <v>764142.628983428</v>
      </c>
      <c r="CI12">
        <v>9.28711119816404E-2</v>
      </c>
      <c r="CJ12">
        <v>10.7676109251033</v>
      </c>
      <c r="CK12">
        <v>1155068.70801245</v>
      </c>
      <c r="CL12">
        <v>2762665.1720982101</v>
      </c>
      <c r="CM12">
        <v>3208530.6572680702</v>
      </c>
      <c r="CN12">
        <v>3917733.8801106499</v>
      </c>
      <c r="CO12">
        <v>9182577.0485216603</v>
      </c>
      <c r="CP12">
        <v>-3.0212235726205499E-2</v>
      </c>
      <c r="CQ12">
        <v>-9.6109670400834901E-3</v>
      </c>
      <c r="CR12">
        <v>2.3259124738337199E-2</v>
      </c>
      <c r="CS12">
        <v>1.56047599292504</v>
      </c>
      <c r="CT12">
        <v>2.3259124738337002E-2</v>
      </c>
      <c r="CU12">
        <v>3.9440022763365001E-2</v>
      </c>
      <c r="CV12">
        <v>1.27689953150494E-2</v>
      </c>
      <c r="CW12">
        <v>-2.2379962355132899E-2</v>
      </c>
      <c r="CX12">
        <v>0.57920240171928605</v>
      </c>
      <c r="CY12">
        <v>5.8898978559449402</v>
      </c>
      <c r="CZ12">
        <v>4.13831401075168E-2</v>
      </c>
      <c r="DA12">
        <v>2.8029541770523199E-2</v>
      </c>
      <c r="DB12">
        <v>7.2617012788292997E-3</v>
      </c>
      <c r="DC12">
        <v>0.13890925970906601</v>
      </c>
      <c r="DD12">
        <v>209787.03733616401</v>
      </c>
      <c r="DE12">
        <v>112.11554618391</v>
      </c>
      <c r="DF12">
        <v>4.7528572139401701</v>
      </c>
      <c r="DG12">
        <v>4.1335620018535497</v>
      </c>
      <c r="DH12">
        <v>727953.98617283197</v>
      </c>
      <c r="DI12">
        <v>376691.92113018601</v>
      </c>
      <c r="DJ12">
        <v>920.96859257385699</v>
      </c>
      <c r="DK12">
        <v>4.1125687527523401E-2</v>
      </c>
      <c r="DL12">
        <v>0.67022357421816503</v>
      </c>
      <c r="DM12">
        <v>1.1454918425385201</v>
      </c>
      <c r="DN12">
        <v>3.57615042376472E-2</v>
      </c>
      <c r="DO12">
        <v>4.6545582279544397E-2</v>
      </c>
      <c r="DP12">
        <v>28438.7</v>
      </c>
      <c r="DQ12">
        <v>23661.982592310302</v>
      </c>
      <c r="DR12">
        <v>4.5125000000000002</v>
      </c>
      <c r="DS12">
        <v>167565.91048196401</v>
      </c>
      <c r="DT12">
        <v>29584.934352864399</v>
      </c>
      <c r="DU12">
        <v>12636.192501335199</v>
      </c>
      <c r="DV12">
        <v>9.3879999999999999</v>
      </c>
      <c r="DW12">
        <v>0</v>
      </c>
      <c r="DX12">
        <v>56.25</v>
      </c>
      <c r="DY12">
        <v>208288.96</v>
      </c>
      <c r="DZ12">
        <v>2.1331809942010298</v>
      </c>
      <c r="EA12">
        <v>77.482954317110398</v>
      </c>
      <c r="EB12">
        <v>1.15800085382221</v>
      </c>
      <c r="EC12">
        <v>1.1984784019735999</v>
      </c>
      <c r="ED12">
        <v>150679926.313932</v>
      </c>
      <c r="EE12">
        <v>3.16596675826966</v>
      </c>
      <c r="EF12">
        <v>4.3499999999999997E-2</v>
      </c>
      <c r="EG12">
        <v>3.0492648484848499E-2</v>
      </c>
      <c r="EH12">
        <v>3.050813492075E-2</v>
      </c>
      <c r="EI12">
        <v>4.4180333333333301E-2</v>
      </c>
    </row>
    <row r="13" spans="1:139" x14ac:dyDescent="0.25">
      <c r="A13" s="2">
        <v>46722</v>
      </c>
      <c r="B13">
        <v>389476.95108207897</v>
      </c>
      <c r="C13">
        <v>36827.570351565097</v>
      </c>
      <c r="D13">
        <v>22180.381839285401</v>
      </c>
      <c r="E13">
        <v>232238.59197695</v>
      </c>
      <c r="F13">
        <v>48957.622350013298</v>
      </c>
      <c r="G13">
        <v>11687.2526677395</v>
      </c>
      <c r="H13">
        <v>55773.612366166402</v>
      </c>
      <c r="I13">
        <v>60286.193669956599</v>
      </c>
      <c r="J13">
        <v>96302.534726153594</v>
      </c>
      <c r="K13">
        <v>412.75579354916403</v>
      </c>
      <c r="L13">
        <v>4887.1911265046301</v>
      </c>
      <c r="M13">
        <v>0.67010072512741203</v>
      </c>
      <c r="N13">
        <v>28360.4218752249</v>
      </c>
      <c r="O13">
        <v>163.70170012527799</v>
      </c>
      <c r="P13">
        <v>1.52108280300737</v>
      </c>
      <c r="Q13">
        <v>1.2956660056175999</v>
      </c>
      <c r="R13">
        <v>1.0341720575210001</v>
      </c>
      <c r="S13">
        <v>8.0469365660251396E-2</v>
      </c>
      <c r="T13">
        <v>6511.6314542213304</v>
      </c>
      <c r="U13">
        <v>0.42006916783263598</v>
      </c>
      <c r="V13">
        <v>0.61901000944983497</v>
      </c>
      <c r="W13">
        <v>20883621.902821399</v>
      </c>
      <c r="X13">
        <v>67645.252734559705</v>
      </c>
      <c r="Y13">
        <v>4478239.0958514502</v>
      </c>
      <c r="Z13">
        <v>964.35612445995196</v>
      </c>
      <c r="AA13">
        <v>1.0851574684924601</v>
      </c>
      <c r="AB13">
        <v>1.06513156503797</v>
      </c>
      <c r="AC13">
        <v>1.1426378716246</v>
      </c>
      <c r="AD13">
        <v>1.19180659383829</v>
      </c>
      <c r="AE13">
        <v>114.125040984113</v>
      </c>
      <c r="AF13">
        <v>101093.88888949101</v>
      </c>
      <c r="AG13">
        <v>1007.72486116747</v>
      </c>
      <c r="AH13">
        <v>133.37945176980099</v>
      </c>
      <c r="AI13">
        <v>74504.654765722997</v>
      </c>
      <c r="AJ13">
        <v>101459.524083795</v>
      </c>
      <c r="AK13">
        <v>612.54095839955403</v>
      </c>
      <c r="AL13">
        <v>24688.3236702131</v>
      </c>
      <c r="AM13">
        <v>19844.2121640312</v>
      </c>
      <c r="AN13">
        <v>0.93703992411446602</v>
      </c>
      <c r="AO13">
        <v>0.97453711551348199</v>
      </c>
      <c r="AP13">
        <v>1.1117888418927599</v>
      </c>
      <c r="AQ13">
        <v>1.1765088339496901</v>
      </c>
      <c r="AR13">
        <v>34928.963448415598</v>
      </c>
      <c r="AS13">
        <v>188569.09069301799</v>
      </c>
      <c r="AT13">
        <v>2.6670678427348101E-2</v>
      </c>
      <c r="AU13">
        <v>4.4687748519700199E-2</v>
      </c>
      <c r="AV13">
        <v>-0.25875406206127999</v>
      </c>
      <c r="AW13">
        <v>232238.59197695</v>
      </c>
      <c r="AX13">
        <v>10899.585404031501</v>
      </c>
      <c r="AY13">
        <v>18815.282339243699</v>
      </c>
      <c r="AZ13">
        <v>177935.99267784401</v>
      </c>
      <c r="BA13">
        <v>458223.074462277</v>
      </c>
      <c r="BB13">
        <v>192652.76709889801</v>
      </c>
      <c r="BC13">
        <v>43891.341180038697</v>
      </c>
      <c r="BD13">
        <v>16579.171917982399</v>
      </c>
      <c r="BE13">
        <v>24069.207006915101</v>
      </c>
      <c r="BF13">
        <v>79357.258799020405</v>
      </c>
      <c r="BG13">
        <v>43563.295768944998</v>
      </c>
      <c r="BH13">
        <v>90239.319831825705</v>
      </c>
      <c r="BI13">
        <v>24378.3217130552</v>
      </c>
      <c r="BJ13">
        <v>19338.9212819725</v>
      </c>
      <c r="BK13">
        <v>39862.693850830299</v>
      </c>
      <c r="BL13">
        <v>185408.81667768399</v>
      </c>
      <c r="BM13">
        <v>195012.884506862</v>
      </c>
      <c r="BN13">
        <v>848732.04840489896</v>
      </c>
      <c r="BO13">
        <v>748974.74019908498</v>
      </c>
      <c r="BP13">
        <v>760037.81329201604</v>
      </c>
      <c r="BQ13">
        <v>113.13938908603301</v>
      </c>
      <c r="BR13">
        <v>1.1331917940118601</v>
      </c>
      <c r="BS13">
        <v>1.0419972591681801</v>
      </c>
      <c r="BT13">
        <v>100.756663418846</v>
      </c>
      <c r="BU13">
        <v>82867.986267944594</v>
      </c>
      <c r="BV13">
        <v>1.47184766469481</v>
      </c>
      <c r="BW13">
        <v>121969.05206643599</v>
      </c>
      <c r="BX13">
        <v>10457.842394314301</v>
      </c>
      <c r="BY13">
        <v>15345.033520818901</v>
      </c>
      <c r="BZ13">
        <v>15913.2960323099</v>
      </c>
      <c r="CA13">
        <v>568.26251149099198</v>
      </c>
      <c r="CB13">
        <v>3.5709914992778098E-2</v>
      </c>
      <c r="CC13">
        <v>11212099.8015885</v>
      </c>
      <c r="CD13">
        <v>399847.38136517</v>
      </c>
      <c r="CE13">
        <v>523445.83765997703</v>
      </c>
      <c r="CF13">
        <v>309053.06475059898</v>
      </c>
      <c r="CG13">
        <v>15292.328356223599</v>
      </c>
      <c r="CH13">
        <v>777237.629889576</v>
      </c>
      <c r="CI13">
        <v>9.4068738795476295E-2</v>
      </c>
      <c r="CJ13">
        <v>10.6305241550457</v>
      </c>
      <c r="CK13">
        <v>1158518.1546781</v>
      </c>
      <c r="CL13">
        <v>2790403.88366357</v>
      </c>
      <c r="CM13">
        <v>3219682.8470763401</v>
      </c>
      <c r="CN13">
        <v>3948922.0383416801</v>
      </c>
      <c r="CO13">
        <v>9224917.3965609595</v>
      </c>
      <c r="CP13">
        <v>-2.7001473034466698E-2</v>
      </c>
      <c r="CQ13">
        <v>-8.9844029421145902E-3</v>
      </c>
      <c r="CR13">
        <v>2.67972141984365E-2</v>
      </c>
      <c r="CS13">
        <v>1.58095576796513</v>
      </c>
      <c r="CT13">
        <v>2.6797214198436298E-2</v>
      </c>
      <c r="CU13">
        <v>3.9440022763365001E-2</v>
      </c>
      <c r="CV13">
        <v>1.3231151322429699E-2</v>
      </c>
      <c r="CW13">
        <v>-2.2215554264544302E-2</v>
      </c>
      <c r="CX13">
        <v>0.57423732862293997</v>
      </c>
      <c r="CY13">
        <v>5.89093530318834</v>
      </c>
      <c r="CZ13">
        <v>4.4400169677348097E-2</v>
      </c>
      <c r="DA13">
        <v>3.0030501435850201E-2</v>
      </c>
      <c r="DB13">
        <v>7.2937174989274496E-3</v>
      </c>
      <c r="DC13">
        <v>0.14032306363871699</v>
      </c>
      <c r="DD13">
        <v>211086.09034727499</v>
      </c>
      <c r="DE13">
        <v>113.355010607113</v>
      </c>
      <c r="DF13">
        <v>4.76400899663229</v>
      </c>
      <c r="DG13">
        <v>4.1417925807150704</v>
      </c>
      <c r="DH13">
        <v>732244.48137994204</v>
      </c>
      <c r="DI13">
        <v>379212.212843669</v>
      </c>
      <c r="DJ13">
        <v>934.29124382964699</v>
      </c>
      <c r="DK13">
        <v>4.1125687527523401E-2</v>
      </c>
      <c r="DL13">
        <v>0.67022357421816503</v>
      </c>
      <c r="DM13">
        <v>1.1572263314828799</v>
      </c>
      <c r="DN13">
        <v>3.57615042376472E-2</v>
      </c>
      <c r="DO13">
        <v>4.6545582279544397E-2</v>
      </c>
      <c r="DP13">
        <v>28522.6</v>
      </c>
      <c r="DQ13">
        <v>23747.617985764999</v>
      </c>
      <c r="DR13">
        <v>4.4950000000000001</v>
      </c>
      <c r="DS13">
        <v>168603.51987544799</v>
      </c>
      <c r="DT13">
        <v>29768.131553905099</v>
      </c>
      <c r="DU13">
        <v>12714.4389179217</v>
      </c>
      <c r="DV13">
        <v>9.3879999999999999</v>
      </c>
      <c r="DW13">
        <v>0</v>
      </c>
      <c r="DX13">
        <v>56.25</v>
      </c>
      <c r="DY13">
        <v>208288.96</v>
      </c>
      <c r="DZ13">
        <v>2.1447129801912701</v>
      </c>
      <c r="EA13">
        <v>75.965999999999994</v>
      </c>
      <c r="EB13">
        <v>1.1465748854194</v>
      </c>
      <c r="EC13">
        <v>1.2048251563496799</v>
      </c>
      <c r="ED13">
        <v>152176706.20307899</v>
      </c>
      <c r="EE13">
        <v>3.15509487397338</v>
      </c>
      <c r="EF13">
        <v>4.3499999999999997E-2</v>
      </c>
      <c r="EG13">
        <v>3.0492648484848499E-2</v>
      </c>
      <c r="EH13">
        <v>3.050813492075E-2</v>
      </c>
      <c r="EI13">
        <v>4.4180333333333301E-2</v>
      </c>
    </row>
    <row r="14" spans="1:139" x14ac:dyDescent="0.25">
      <c r="A14" s="2">
        <v>46813</v>
      </c>
      <c r="B14">
        <v>393143.79457753798</v>
      </c>
      <c r="C14">
        <v>36931.291591068497</v>
      </c>
      <c r="D14">
        <v>22450.413618242499</v>
      </c>
      <c r="E14">
        <v>234509.76670566699</v>
      </c>
      <c r="F14">
        <v>49424.761522590001</v>
      </c>
      <c r="G14">
        <v>12006.786468942901</v>
      </c>
      <c r="H14">
        <v>56734.463940038499</v>
      </c>
      <c r="I14">
        <v>59843.793500123502</v>
      </c>
      <c r="J14">
        <v>96635.816654861395</v>
      </c>
      <c r="K14">
        <v>413.33438865328202</v>
      </c>
      <c r="L14">
        <v>4924.9252335184501</v>
      </c>
      <c r="M14">
        <v>0.67074722406616505</v>
      </c>
      <c r="N14">
        <v>28755.260451546299</v>
      </c>
      <c r="O14">
        <v>165.845314021626</v>
      </c>
      <c r="P14">
        <v>1.54592821199135</v>
      </c>
      <c r="Q14">
        <v>1.31534981491868</v>
      </c>
      <c r="R14">
        <v>1.03871213004995</v>
      </c>
      <c r="S14">
        <v>8.3875303699948403E-2</v>
      </c>
      <c r="T14">
        <v>6452.0272857353802</v>
      </c>
      <c r="U14">
        <v>0.41979115750291301</v>
      </c>
      <c r="V14">
        <v>0.61602199657970802</v>
      </c>
      <c r="W14">
        <v>21203349.2185192</v>
      </c>
      <c r="X14">
        <v>68750.049983490797</v>
      </c>
      <c r="Y14">
        <v>4510048.72741214</v>
      </c>
      <c r="Z14">
        <v>979.63466851656005</v>
      </c>
      <c r="AA14">
        <v>1.09147533276688</v>
      </c>
      <c r="AB14">
        <v>1.07031969073396</v>
      </c>
      <c r="AC14">
        <v>1.1534782110460999</v>
      </c>
      <c r="AD14">
        <v>1.2069316275013899</v>
      </c>
      <c r="AE14">
        <v>115.07103956216</v>
      </c>
      <c r="AF14">
        <v>103412.394163401</v>
      </c>
      <c r="AG14">
        <v>1022.70707307752</v>
      </c>
      <c r="AH14">
        <v>136.16173761020201</v>
      </c>
      <c r="AI14">
        <v>75691.087433972498</v>
      </c>
      <c r="AJ14">
        <v>100911.575519588</v>
      </c>
      <c r="AK14">
        <v>611.03158138604294</v>
      </c>
      <c r="AL14">
        <v>24954.1591782668</v>
      </c>
      <c r="AM14">
        <v>19886.6721815452</v>
      </c>
      <c r="AN14">
        <v>0.93731143865542899</v>
      </c>
      <c r="AO14">
        <v>0.98151005433443905</v>
      </c>
      <c r="AP14">
        <v>1.1222655429320201</v>
      </c>
      <c r="AQ14">
        <v>1.1902585500702101</v>
      </c>
      <c r="AR14">
        <v>35262.922931818401</v>
      </c>
      <c r="AS14">
        <v>191636.71552375599</v>
      </c>
      <c r="AT14">
        <v>2.9698082771505901E-2</v>
      </c>
      <c r="AU14">
        <v>4.5218534399248098E-2</v>
      </c>
      <c r="AV14">
        <v>-0.31615235671563302</v>
      </c>
      <c r="AW14">
        <v>234509.76670566699</v>
      </c>
      <c r="AX14">
        <v>10930.2830171889</v>
      </c>
      <c r="AY14">
        <v>18982.2140959194</v>
      </c>
      <c r="AZ14">
        <v>178812.62586414401</v>
      </c>
      <c r="BA14">
        <v>467942.763699278</v>
      </c>
      <c r="BB14">
        <v>195684.75755983399</v>
      </c>
      <c r="BC14">
        <v>44573.543865736698</v>
      </c>
      <c r="BD14">
        <v>16897.4328813223</v>
      </c>
      <c r="BE14">
        <v>24504.072674725401</v>
      </c>
      <c r="BF14">
        <v>81013.660514315095</v>
      </c>
      <c r="BG14">
        <v>44179.305699467302</v>
      </c>
      <c r="BH14">
        <v>90577.856334410404</v>
      </c>
      <c r="BI14">
        <v>24968.251797814301</v>
      </c>
      <c r="BJ14">
        <v>19518.968693439601</v>
      </c>
      <c r="BK14">
        <v>40577.411997646901</v>
      </c>
      <c r="BL14">
        <v>187232.04882331099</v>
      </c>
      <c r="BM14">
        <v>199055.38097745599</v>
      </c>
      <c r="BN14">
        <v>862972.20474053395</v>
      </c>
      <c r="BO14">
        <v>755619.74654316902</v>
      </c>
      <c r="BP14">
        <v>768873.81003136304</v>
      </c>
      <c r="BQ14">
        <v>114.021526884605</v>
      </c>
      <c r="BR14">
        <v>1.14207203837806</v>
      </c>
      <c r="BS14">
        <v>1.04708517040382</v>
      </c>
      <c r="BT14">
        <v>100.80609825491</v>
      </c>
      <c r="BU14">
        <v>83648.170911950496</v>
      </c>
      <c r="BV14">
        <v>1.50255030188795</v>
      </c>
      <c r="BW14">
        <v>125685.584456126</v>
      </c>
      <c r="BX14">
        <v>10517.382966409299</v>
      </c>
      <c r="BY14">
        <v>15442.3081999278</v>
      </c>
      <c r="BZ14">
        <v>15986.1510013099</v>
      </c>
      <c r="CA14">
        <v>543.84280138216695</v>
      </c>
      <c r="CB14">
        <v>3.4019618042071598E-2</v>
      </c>
      <c r="CC14">
        <v>11245080.4966638</v>
      </c>
      <c r="CD14">
        <v>407984.11053169199</v>
      </c>
      <c r="CE14">
        <v>528933.64545716601</v>
      </c>
      <c r="CF14">
        <v>313105.22158019</v>
      </c>
      <c r="CG14">
        <v>15452.6531744811</v>
      </c>
      <c r="CH14">
        <v>790278.24191826896</v>
      </c>
      <c r="CI14">
        <v>9.4703812356304998E-2</v>
      </c>
      <c r="CJ14">
        <v>10.559237005556801</v>
      </c>
      <c r="CK14">
        <v>1162210.5405817199</v>
      </c>
      <c r="CL14">
        <v>2818933.9794615102</v>
      </c>
      <c r="CM14">
        <v>3230826.7095516399</v>
      </c>
      <c r="CN14">
        <v>3981144.5200432199</v>
      </c>
      <c r="CO14">
        <v>9268283.7407377996</v>
      </c>
      <c r="CP14">
        <v>-2.3874552514845399E-2</v>
      </c>
      <c r="CQ14">
        <v>-8.3541008871031702E-3</v>
      </c>
      <c r="CR14">
        <v>3.03026684135972E-2</v>
      </c>
      <c r="CS14">
        <v>1.6016578055806601</v>
      </c>
      <c r="CT14">
        <v>3.03026684135972E-2</v>
      </c>
      <c r="CU14">
        <v>3.9440022763365001E-2</v>
      </c>
      <c r="CV14">
        <v>1.3691493051405599E-2</v>
      </c>
      <c r="CW14">
        <v>-2.2045593938508801E-2</v>
      </c>
      <c r="CX14">
        <v>0.56948560051960495</v>
      </c>
      <c r="CY14">
        <v>5.9069179873772004</v>
      </c>
      <c r="CZ14">
        <v>4.7427574021505901E-2</v>
      </c>
      <c r="DA14">
        <v>3.2034917904708797E-2</v>
      </c>
      <c r="DB14">
        <v>7.3330121886559501E-3</v>
      </c>
      <c r="DC14">
        <v>0.14133031459064699</v>
      </c>
      <c r="DD14">
        <v>212393.187414621</v>
      </c>
      <c r="DE14">
        <v>114.64459553646</v>
      </c>
      <c r="DF14">
        <v>4.7754784891396103</v>
      </c>
      <c r="DG14">
        <v>4.1503408693917896</v>
      </c>
      <c r="DH14">
        <v>736560.26437923696</v>
      </c>
      <c r="DI14">
        <v>381749.36679911998</v>
      </c>
      <c r="DJ14">
        <v>947.80661939538095</v>
      </c>
      <c r="DK14">
        <v>4.1125687527523401E-2</v>
      </c>
      <c r="DL14">
        <v>0.67022357421816503</v>
      </c>
      <c r="DM14">
        <v>1.1690810292542899</v>
      </c>
      <c r="DN14">
        <v>3.57615042376472E-2</v>
      </c>
      <c r="DO14">
        <v>4.6545582279544397E-2</v>
      </c>
      <c r="DP14">
        <v>28606.5</v>
      </c>
      <c r="DQ14">
        <v>23833.346494376201</v>
      </c>
      <c r="DR14">
        <v>4.4775</v>
      </c>
      <c r="DS14">
        <v>169647.55440188601</v>
      </c>
      <c r="DT14">
        <v>29952.463157140901</v>
      </c>
      <c r="DU14">
        <v>12793.1698555937</v>
      </c>
      <c r="DV14">
        <v>9.3879999999999999</v>
      </c>
      <c r="DW14">
        <v>0</v>
      </c>
      <c r="DX14">
        <v>56.25</v>
      </c>
      <c r="DY14">
        <v>208288.96</v>
      </c>
      <c r="DZ14">
        <v>2.1558745658429102</v>
      </c>
      <c r="EA14">
        <v>75.529502241361399</v>
      </c>
      <c r="EB14">
        <v>1.13495748489578</v>
      </c>
      <c r="EC14">
        <v>1.2048981721418599</v>
      </c>
      <c r="ED14">
        <v>153676165.156582</v>
      </c>
      <c r="EE14">
        <v>3.1538799271294899</v>
      </c>
      <c r="EF14">
        <v>4.3499999999999997E-2</v>
      </c>
      <c r="EG14">
        <v>3.0492648484848499E-2</v>
      </c>
      <c r="EH14">
        <v>3.050813492075E-2</v>
      </c>
      <c r="EI14">
        <v>4.4180333333333301E-2</v>
      </c>
    </row>
    <row r="15" spans="1:139" x14ac:dyDescent="0.25">
      <c r="A15" s="2">
        <v>46905</v>
      </c>
      <c r="B15">
        <v>396490.61881262303</v>
      </c>
      <c r="C15">
        <v>37074.9702598644</v>
      </c>
      <c r="D15">
        <v>22721.3241714914</v>
      </c>
      <c r="E15">
        <v>236866.05069878601</v>
      </c>
      <c r="F15">
        <v>49923.048383151501</v>
      </c>
      <c r="G15">
        <v>12341.824763868501</v>
      </c>
      <c r="H15">
        <v>57714.2587000774</v>
      </c>
      <c r="I15">
        <v>59646.767531584999</v>
      </c>
      <c r="J15">
        <v>97295.120894419902</v>
      </c>
      <c r="K15">
        <v>413.87491904029002</v>
      </c>
      <c r="L15">
        <v>4962.0579528236103</v>
      </c>
      <c r="M15">
        <v>0.67132628676680295</v>
      </c>
      <c r="N15">
        <v>29164.629924049401</v>
      </c>
      <c r="O15">
        <v>168.01722695023301</v>
      </c>
      <c r="P15">
        <v>1.57090858783472</v>
      </c>
      <c r="Q15">
        <v>1.3330337924603</v>
      </c>
      <c r="R15">
        <v>1.04330912247158</v>
      </c>
      <c r="S15">
        <v>8.7327024094457695E-2</v>
      </c>
      <c r="T15">
        <v>6392.5594175968699</v>
      </c>
      <c r="U15">
        <v>0.41957264404924399</v>
      </c>
      <c r="V15">
        <v>0.61316608678703699</v>
      </c>
      <c r="W15">
        <v>21552965.951905601</v>
      </c>
      <c r="X15">
        <v>69889.415616508399</v>
      </c>
      <c r="Y15">
        <v>4539909.0318282899</v>
      </c>
      <c r="Z15">
        <v>997.31611340817699</v>
      </c>
      <c r="AA15">
        <v>1.0978494532185099</v>
      </c>
      <c r="AB15">
        <v>1.0755428920388801</v>
      </c>
      <c r="AC15">
        <v>1.1645543435516199</v>
      </c>
      <c r="AD15">
        <v>1.2224637159102001</v>
      </c>
      <c r="AE15">
        <v>116.03838652806201</v>
      </c>
      <c r="AF15">
        <v>105579.58241254</v>
      </c>
      <c r="AG15">
        <v>1037.77883376974</v>
      </c>
      <c r="AH15">
        <v>138.90584060235301</v>
      </c>
      <c r="AI15">
        <v>76820.789756247003</v>
      </c>
      <c r="AJ15">
        <v>100236.73695232801</v>
      </c>
      <c r="AK15">
        <v>608.33744326737803</v>
      </c>
      <c r="AL15">
        <v>25234.410720393498</v>
      </c>
      <c r="AM15">
        <v>19933.383412722698</v>
      </c>
      <c r="AN15">
        <v>0.93696899774657305</v>
      </c>
      <c r="AO15">
        <v>0.98849145547489403</v>
      </c>
      <c r="AP15">
        <v>1.1331356293997501</v>
      </c>
      <c r="AQ15">
        <v>1.2042540808432101</v>
      </c>
      <c r="AR15">
        <v>35605.0102894027</v>
      </c>
      <c r="AS15">
        <v>194590.62039289801</v>
      </c>
      <c r="AT15">
        <v>3.2768088441588301E-2</v>
      </c>
      <c r="AU15">
        <v>4.5835379801711602E-2</v>
      </c>
      <c r="AV15">
        <v>-0.37113209158221899</v>
      </c>
      <c r="AW15">
        <v>236866.05069878601</v>
      </c>
      <c r="AX15">
        <v>10972.806537104299</v>
      </c>
      <c r="AY15">
        <v>19154.846827053902</v>
      </c>
      <c r="AZ15">
        <v>180033.36142359901</v>
      </c>
      <c r="BA15">
        <v>477475.44637208799</v>
      </c>
      <c r="BB15">
        <v>198787.16004366399</v>
      </c>
      <c r="BC15">
        <v>45322.805911133997</v>
      </c>
      <c r="BD15">
        <v>17237.276021786001</v>
      </c>
      <c r="BE15">
        <v>24944.5933180723</v>
      </c>
      <c r="BF15">
        <v>82624.053622225896</v>
      </c>
      <c r="BG15">
        <v>44814.580264982302</v>
      </c>
      <c r="BH15">
        <v>91162.511910076195</v>
      </c>
      <c r="BI15">
        <v>25534.058109863701</v>
      </c>
      <c r="BJ15">
        <v>19703.979182181301</v>
      </c>
      <c r="BK15">
        <v>41315.479462973199</v>
      </c>
      <c r="BL15">
        <v>189305.58866509399</v>
      </c>
      <c r="BM15">
        <v>203018.16940331599</v>
      </c>
      <c r="BN15">
        <v>877493.33481573197</v>
      </c>
      <c r="BO15">
        <v>762491.69009278505</v>
      </c>
      <c r="BP15">
        <v>777478.92374704697</v>
      </c>
      <c r="BQ15">
        <v>114.903859464973</v>
      </c>
      <c r="BR15">
        <v>1.1508234455319599</v>
      </c>
      <c r="BS15">
        <v>1.0515028279657499</v>
      </c>
      <c r="BT15">
        <v>100.785357409198</v>
      </c>
      <c r="BU15">
        <v>84360.265899814796</v>
      </c>
      <c r="BV15">
        <v>1.5328315898006599</v>
      </c>
      <c r="BW15">
        <v>129310.08049521899</v>
      </c>
      <c r="BX15">
        <v>10573.189967615001</v>
      </c>
      <c r="BY15">
        <v>15535.2479204387</v>
      </c>
      <c r="BZ15">
        <v>16057.566315304501</v>
      </c>
      <c r="CA15">
        <v>522.31839486585704</v>
      </c>
      <c r="CB15">
        <v>3.2527865564396199E-2</v>
      </c>
      <c r="CC15">
        <v>11278061.191739</v>
      </c>
      <c r="CD15">
        <v>416282.72238024999</v>
      </c>
      <c r="CE15">
        <v>534912.14496079599</v>
      </c>
      <c r="CF15">
        <v>317225.89701066102</v>
      </c>
      <c r="CG15">
        <v>15627.313418023599</v>
      </c>
      <c r="CH15">
        <v>803576.15937546501</v>
      </c>
      <c r="CI15">
        <v>9.5163361578275096E-2</v>
      </c>
      <c r="CJ15">
        <v>10.5082458565471</v>
      </c>
      <c r="CK15">
        <v>1166114.0340123801</v>
      </c>
      <c r="CL15">
        <v>2848180.4474538998</v>
      </c>
      <c r="CM15">
        <v>3241985.39764472</v>
      </c>
      <c r="CN15">
        <v>4014294.4814662798</v>
      </c>
      <c r="CO15">
        <v>9312592.3902539406</v>
      </c>
      <c r="CP15">
        <v>-2.0711158107247701E-2</v>
      </c>
      <c r="CQ15">
        <v>-7.64386674712447E-3</v>
      </c>
      <c r="CR15">
        <v>3.3847777545621599E-2</v>
      </c>
      <c r="CS15">
        <v>1.6226331422410201</v>
      </c>
      <c r="CT15">
        <v>3.3847777545621599E-2</v>
      </c>
      <c r="CU15">
        <v>3.9440022763365001E-2</v>
      </c>
      <c r="CV15">
        <v>1.4150022763365E-2</v>
      </c>
      <c r="CW15">
        <v>-2.1793889510489502E-2</v>
      </c>
      <c r="CX15">
        <v>0.56475608525911603</v>
      </c>
      <c r="CY15">
        <v>5.9357967722177998</v>
      </c>
      <c r="CZ15">
        <v>5.0497579691588301E-2</v>
      </c>
      <c r="DA15">
        <v>3.4067573215923297E-2</v>
      </c>
      <c r="DB15">
        <v>7.3787233755313103E-3</v>
      </c>
      <c r="DC15">
        <v>0.14221796646595999</v>
      </c>
      <c r="DD15">
        <v>213708.37834897899</v>
      </c>
      <c r="DE15">
        <v>115.922277862538</v>
      </c>
      <c r="DF15">
        <v>4.7867187716957202</v>
      </c>
      <c r="DG15">
        <v>4.1586599481173101</v>
      </c>
      <c r="DH15">
        <v>740901.48421468504</v>
      </c>
      <c r="DI15">
        <v>384303.495814908</v>
      </c>
      <c r="DJ15">
        <v>961.51750720409996</v>
      </c>
      <c r="DK15">
        <v>4.1125687527523401E-2</v>
      </c>
      <c r="DL15">
        <v>0.67022357421816503</v>
      </c>
      <c r="DM15">
        <v>1.1810571672793699</v>
      </c>
      <c r="DN15">
        <v>3.57615042376472E-2</v>
      </c>
      <c r="DO15">
        <v>4.6545582279544397E-2</v>
      </c>
      <c r="DP15">
        <v>28690.400000000001</v>
      </c>
      <c r="DQ15">
        <v>23919.168118144</v>
      </c>
      <c r="DR15">
        <v>4.46</v>
      </c>
      <c r="DS15">
        <v>170698.053847284</v>
      </c>
      <c r="DT15">
        <v>30137.936187069401</v>
      </c>
      <c r="DU15">
        <v>12872.388314625199</v>
      </c>
      <c r="DV15">
        <v>9.3879999999999999</v>
      </c>
      <c r="DW15">
        <v>0</v>
      </c>
      <c r="DX15">
        <v>56.25</v>
      </c>
      <c r="DY15">
        <v>208288.96</v>
      </c>
      <c r="DZ15">
        <v>2.1670942389847698</v>
      </c>
      <c r="EA15">
        <v>75.095512582310803</v>
      </c>
      <c r="EB15">
        <v>1.1234577949522899</v>
      </c>
      <c r="EC15">
        <v>1.2049711923590001</v>
      </c>
      <c r="ED15">
        <v>155190398.88875601</v>
      </c>
      <c r="EE15">
        <v>3.1526654481307501</v>
      </c>
      <c r="EF15">
        <v>4.3499999999999997E-2</v>
      </c>
      <c r="EG15">
        <v>3.0492648484848499E-2</v>
      </c>
      <c r="EH15">
        <v>3.050813492075E-2</v>
      </c>
      <c r="EI15">
        <v>4.4180333333333301E-2</v>
      </c>
    </row>
    <row r="16" spans="1:139" x14ac:dyDescent="0.25">
      <c r="A16" s="2">
        <v>46997</v>
      </c>
      <c r="B16">
        <v>399555.504771657</v>
      </c>
      <c r="C16">
        <v>37259.748433920096</v>
      </c>
      <c r="D16">
        <v>22972.338972974601</v>
      </c>
      <c r="E16">
        <v>239336.84045043599</v>
      </c>
      <c r="F16">
        <v>50228.343931037001</v>
      </c>
      <c r="G16">
        <v>12675.621331349501</v>
      </c>
      <c r="H16">
        <v>58621.118253885499</v>
      </c>
      <c r="I16">
        <v>62390.893566611499</v>
      </c>
      <c r="J16">
        <v>97304.872254707894</v>
      </c>
      <c r="K16">
        <v>413.94947660923401</v>
      </c>
      <c r="L16">
        <v>4990.3606693156198</v>
      </c>
      <c r="M16">
        <v>0.67183293034870495</v>
      </c>
      <c r="N16">
        <v>29598.038098974299</v>
      </c>
      <c r="O16">
        <v>170.17927252992499</v>
      </c>
      <c r="P16">
        <v>1.59660618699514</v>
      </c>
      <c r="Q16">
        <v>1.3500304178192699</v>
      </c>
      <c r="R16">
        <v>1.0476642998863701</v>
      </c>
      <c r="S16">
        <v>9.04510064475752E-2</v>
      </c>
      <c r="T16">
        <v>6330.1169612412596</v>
      </c>
      <c r="U16">
        <v>0.419551448671169</v>
      </c>
      <c r="V16">
        <v>0.61058018405580705</v>
      </c>
      <c r="W16">
        <v>21925142.1013938</v>
      </c>
      <c r="X16">
        <v>71056.0119329601</v>
      </c>
      <c r="Y16">
        <v>4562469.8692644602</v>
      </c>
      <c r="Z16">
        <v>1016.55923097263</v>
      </c>
      <c r="AA16">
        <v>1.1043692097970501</v>
      </c>
      <c r="AB16">
        <v>1.0807650539710101</v>
      </c>
      <c r="AC16">
        <v>1.17622583451847</v>
      </c>
      <c r="AD16">
        <v>1.2384004470513801</v>
      </c>
      <c r="AE16">
        <v>117.03459198294399</v>
      </c>
      <c r="AF16">
        <v>107346.711261419</v>
      </c>
      <c r="AG16">
        <v>1054.2693631013999</v>
      </c>
      <c r="AH16">
        <v>141.61545634684401</v>
      </c>
      <c r="AI16">
        <v>77842.877376015895</v>
      </c>
      <c r="AJ16">
        <v>99195.531858652495</v>
      </c>
      <c r="AK16">
        <v>605.21252425704802</v>
      </c>
      <c r="AL16">
        <v>25521.572472102001</v>
      </c>
      <c r="AM16">
        <v>19944.213558445099</v>
      </c>
      <c r="AN16">
        <v>0.93581093005188098</v>
      </c>
      <c r="AO16">
        <v>0.99615458190640505</v>
      </c>
      <c r="AP16">
        <v>1.1440787940324999</v>
      </c>
      <c r="AQ16">
        <v>1.21823316443075</v>
      </c>
      <c r="AR16">
        <v>35854.093775024099</v>
      </c>
      <c r="AS16">
        <v>197181.424266955</v>
      </c>
      <c r="AT16">
        <v>3.5287856999049502E-2</v>
      </c>
      <c r="AU16">
        <v>4.6496679134490397E-2</v>
      </c>
      <c r="AV16">
        <v>-0.39815741738941901</v>
      </c>
      <c r="AW16">
        <v>239336.84045043599</v>
      </c>
      <c r="AX16">
        <v>11027.493975610099</v>
      </c>
      <c r="AY16">
        <v>19293.060064169498</v>
      </c>
      <c r="AZ16">
        <v>180441.23965234699</v>
      </c>
      <c r="BA16">
        <v>486751.76757148502</v>
      </c>
      <c r="BB16">
        <v>201377.451974603</v>
      </c>
      <c r="BC16">
        <v>46142.489117588397</v>
      </c>
      <c r="BD16">
        <v>17606.565108510698</v>
      </c>
      <c r="BE16">
        <v>25369.943838773899</v>
      </c>
      <c r="BF16">
        <v>84129.860736110306</v>
      </c>
      <c r="BG16">
        <v>45450.333669690699</v>
      </c>
      <c r="BH16">
        <v>91058.963003257697</v>
      </c>
      <c r="BI16">
        <v>26046.2179394431</v>
      </c>
      <c r="BJ16">
        <v>19867.519718765001</v>
      </c>
      <c r="BK16">
        <v>41961.692358781402</v>
      </c>
      <c r="BL16">
        <v>190523.95302024699</v>
      </c>
      <c r="BM16">
        <v>206579.938805237</v>
      </c>
      <c r="BN16">
        <v>890772.42623177206</v>
      </c>
      <c r="BO16">
        <v>767993.50619448605</v>
      </c>
      <c r="BP16">
        <v>785163.66340498603</v>
      </c>
      <c r="BQ16">
        <v>115.77552064710601</v>
      </c>
      <c r="BR16">
        <v>1.1598697084529099</v>
      </c>
      <c r="BS16">
        <v>1.0558780985285099</v>
      </c>
      <c r="BT16">
        <v>100.78401055023301</v>
      </c>
      <c r="BU16">
        <v>85012.373622390995</v>
      </c>
      <c r="BV16">
        <v>1.56273230953544</v>
      </c>
      <c r="BW16">
        <v>132851.58297000901</v>
      </c>
      <c r="BX16">
        <v>10623.819045332901</v>
      </c>
      <c r="BY16">
        <v>15614.179714648501</v>
      </c>
      <c r="BZ16">
        <v>16126.5852512447</v>
      </c>
      <c r="CA16">
        <v>512.40553659618899</v>
      </c>
      <c r="CB16">
        <v>3.1773961765250699E-2</v>
      </c>
      <c r="CC16">
        <v>11311651.1845183</v>
      </c>
      <c r="CD16">
        <v>424615.48323464801</v>
      </c>
      <c r="CE16">
        <v>544310.944192947</v>
      </c>
      <c r="CF16">
        <v>320289.95179772301</v>
      </c>
      <c r="CG16">
        <v>15901.8967916441</v>
      </c>
      <c r="CH16">
        <v>815736.66345762799</v>
      </c>
      <c r="CI16">
        <v>9.5608426820975104E-2</v>
      </c>
      <c r="CJ16">
        <v>10.4593290910693</v>
      </c>
      <c r="CK16">
        <v>1170226.1448243</v>
      </c>
      <c r="CL16">
        <v>2878074.7543812701</v>
      </c>
      <c r="CM16">
        <v>3253198.7505195602</v>
      </c>
      <c r="CN16">
        <v>4048300.8992055599</v>
      </c>
      <c r="CO16">
        <v>9357812.1608680598</v>
      </c>
      <c r="CP16">
        <v>-1.79248755472321E-2</v>
      </c>
      <c r="CQ16">
        <v>-6.7160534117913003E-3</v>
      </c>
      <c r="CR16">
        <v>3.7238273901293598E-2</v>
      </c>
      <c r="CS16">
        <v>1.6435131845814599</v>
      </c>
      <c r="CT16">
        <v>3.7238273901293598E-2</v>
      </c>
      <c r="CU16">
        <v>3.9440022763365001E-2</v>
      </c>
      <c r="CV16">
        <v>1.51272823316509E-2</v>
      </c>
      <c r="CW16">
        <v>-2.1843335743442199E-2</v>
      </c>
      <c r="CX16">
        <v>0.560328458764214</v>
      </c>
      <c r="CY16">
        <v>5.9734609030830699</v>
      </c>
      <c r="CZ16">
        <v>5.3017348249049502E-2</v>
      </c>
      <c r="DA16">
        <v>3.5737629614666602E-2</v>
      </c>
      <c r="DB16">
        <v>7.4277830315269203E-3</v>
      </c>
      <c r="DC16">
        <v>0.14299560911099601</v>
      </c>
      <c r="DD16">
        <v>214344.87630404101</v>
      </c>
      <c r="DE16">
        <v>117.395625190676</v>
      </c>
      <c r="DF16">
        <v>4.7995056699747503</v>
      </c>
      <c r="DG16">
        <v>4.16852564256574</v>
      </c>
      <c r="DH16">
        <v>745268.29080870701</v>
      </c>
      <c r="DI16">
        <v>386874.713464225</v>
      </c>
      <c r="DJ16">
        <v>975.42673551884195</v>
      </c>
      <c r="DK16">
        <v>4.1125687527523401E-2</v>
      </c>
      <c r="DL16">
        <v>0.67022357421816503</v>
      </c>
      <c r="DM16">
        <v>1.19315598959956</v>
      </c>
      <c r="DN16">
        <v>3.57615042376472E-2</v>
      </c>
      <c r="DO16">
        <v>4.6545582279544397E-2</v>
      </c>
      <c r="DP16">
        <v>28775.85</v>
      </c>
      <c r="DQ16">
        <v>24003.8624526405</v>
      </c>
      <c r="DR16">
        <v>4.4424999999999999</v>
      </c>
      <c r="DS16">
        <v>171206.452081581</v>
      </c>
      <c r="DT16">
        <v>30227.697453806199</v>
      </c>
      <c r="DU16">
        <v>12910.7267686546</v>
      </c>
      <c r="DV16">
        <v>10.69725</v>
      </c>
      <c r="DW16">
        <v>0</v>
      </c>
      <c r="DX16">
        <v>56.25</v>
      </c>
      <c r="DY16">
        <v>208288.96</v>
      </c>
      <c r="DZ16">
        <v>2.17837230191767</v>
      </c>
      <c r="EA16">
        <v>74.6640166114029</v>
      </c>
      <c r="EB16">
        <v>1.1120746229141401</v>
      </c>
      <c r="EC16">
        <v>1.20504421700137</v>
      </c>
      <c r="ED16">
        <v>156719552.98150399</v>
      </c>
      <c r="EE16">
        <v>3.1514514367970099</v>
      </c>
      <c r="EF16">
        <v>4.3499999999999997E-2</v>
      </c>
      <c r="EG16">
        <v>3.0492648484848499E-2</v>
      </c>
      <c r="EH16">
        <v>3.050813492075E-2</v>
      </c>
      <c r="EI16">
        <v>4.4180333333333301E-2</v>
      </c>
    </row>
    <row r="17" spans="1:139" x14ac:dyDescent="0.25">
      <c r="A17" s="2">
        <v>47088</v>
      </c>
      <c r="B17">
        <v>402668.98363734398</v>
      </c>
      <c r="C17">
        <v>37477.234926294601</v>
      </c>
      <c r="D17">
        <v>23217.714305806301</v>
      </c>
      <c r="E17">
        <v>241805.29832834599</v>
      </c>
      <c r="F17">
        <v>50693.636965055601</v>
      </c>
      <c r="G17">
        <v>13010.382204654001</v>
      </c>
      <c r="H17">
        <v>59577.602769648198</v>
      </c>
      <c r="I17">
        <v>61824.9256595154</v>
      </c>
      <c r="J17">
        <v>97704.299692686502</v>
      </c>
      <c r="K17">
        <v>413.95315978230502</v>
      </c>
      <c r="L17">
        <v>5017.7985477966804</v>
      </c>
      <c r="M17">
        <v>0.67219186395235297</v>
      </c>
      <c r="N17">
        <v>30026.0199443981</v>
      </c>
      <c r="O17">
        <v>172.356370224476</v>
      </c>
      <c r="P17">
        <v>1.6226010533397199</v>
      </c>
      <c r="Q17">
        <v>1.36650259231979</v>
      </c>
      <c r="R17">
        <v>1.0520134553493199</v>
      </c>
      <c r="S17">
        <v>9.3372743821835705E-2</v>
      </c>
      <c r="T17">
        <v>6256.9543265820103</v>
      </c>
      <c r="U17">
        <v>0.41946686210165901</v>
      </c>
      <c r="V17">
        <v>0.607925182386159</v>
      </c>
      <c r="W17">
        <v>22312355.8757318</v>
      </c>
      <c r="X17">
        <v>72254.132071788394</v>
      </c>
      <c r="Y17">
        <v>4582394.0486536697</v>
      </c>
      <c r="Z17">
        <v>1037.21023712141</v>
      </c>
      <c r="AA17">
        <v>1.11090926921643</v>
      </c>
      <c r="AB17">
        <v>1.08607541277181</v>
      </c>
      <c r="AC17">
        <v>1.1879463539875901</v>
      </c>
      <c r="AD17">
        <v>1.25476977499992</v>
      </c>
      <c r="AE17">
        <v>118.054919556412</v>
      </c>
      <c r="AF17">
        <v>108777.51313044901</v>
      </c>
      <c r="AG17">
        <v>1070.8946763746901</v>
      </c>
      <c r="AH17">
        <v>144.30908516500199</v>
      </c>
      <c r="AI17">
        <v>78792.1719437063</v>
      </c>
      <c r="AJ17">
        <v>98364.324436796902</v>
      </c>
      <c r="AK17">
        <v>602.22823219919997</v>
      </c>
      <c r="AL17">
        <v>25830.884044359402</v>
      </c>
      <c r="AM17">
        <v>19970.5242347163</v>
      </c>
      <c r="AN17">
        <v>0.93444322151873405</v>
      </c>
      <c r="AO17">
        <v>1.0031498516219199</v>
      </c>
      <c r="AP17">
        <v>1.15523987579194</v>
      </c>
      <c r="AQ17">
        <v>1.2323535863440001</v>
      </c>
      <c r="AR17">
        <v>36138.276364683603</v>
      </c>
      <c r="AS17">
        <v>199635.53637443899</v>
      </c>
      <c r="AT17">
        <v>3.7691515665046797E-2</v>
      </c>
      <c r="AU17">
        <v>4.71898535790332E-2</v>
      </c>
      <c r="AV17">
        <v>-0.42087700314125998</v>
      </c>
      <c r="AW17">
        <v>241805.29832834599</v>
      </c>
      <c r="AX17">
        <v>11091.861854762299</v>
      </c>
      <c r="AY17">
        <v>19446.403772627698</v>
      </c>
      <c r="AZ17">
        <v>181304.50406471401</v>
      </c>
      <c r="BA17">
        <v>496230.56666226097</v>
      </c>
      <c r="BB17">
        <v>203988.030358271</v>
      </c>
      <c r="BC17">
        <v>47025.3016360857</v>
      </c>
      <c r="BD17">
        <v>17997.666729035998</v>
      </c>
      <c r="BE17">
        <v>25792.774032339101</v>
      </c>
      <c r="BF17">
        <v>85574.239833397005</v>
      </c>
      <c r="BG17">
        <v>46093.494217657499</v>
      </c>
      <c r="BH17">
        <v>91299.120561065807</v>
      </c>
      <c r="BI17">
        <v>26573.561166593001</v>
      </c>
      <c r="BJ17">
        <v>20033.428422867699</v>
      </c>
      <c r="BK17">
        <v>42663.013091401197</v>
      </c>
      <c r="BL17">
        <v>192158.683241928</v>
      </c>
      <c r="BM17">
        <v>210019.27043178899</v>
      </c>
      <c r="BN17">
        <v>904841.48627918703</v>
      </c>
      <c r="BO17">
        <v>774097.61686511606</v>
      </c>
      <c r="BP17">
        <v>792858.62195403699</v>
      </c>
      <c r="BQ17">
        <v>116.657860907242</v>
      </c>
      <c r="BR17">
        <v>1.1688983978294401</v>
      </c>
      <c r="BS17">
        <v>1.0598671237276001</v>
      </c>
      <c r="BT17">
        <v>100.74653687539301</v>
      </c>
      <c r="BU17">
        <v>85674.820329880298</v>
      </c>
      <c r="BV17">
        <v>1.5924566128891799</v>
      </c>
      <c r="BW17">
        <v>136433.43419241099</v>
      </c>
      <c r="BX17">
        <v>10670.1180296161</v>
      </c>
      <c r="BY17">
        <v>15687.9165774128</v>
      </c>
      <c r="BZ17">
        <v>16192.1855999823</v>
      </c>
      <c r="CA17">
        <v>504.26902256948802</v>
      </c>
      <c r="CB17">
        <v>3.1142738026332401E-2</v>
      </c>
      <c r="CC17">
        <v>11345241.1772976</v>
      </c>
      <c r="CD17">
        <v>432789.55184488301</v>
      </c>
      <c r="CE17">
        <v>550387.80433804705</v>
      </c>
      <c r="CF17">
        <v>324097.48694500199</v>
      </c>
      <c r="CG17">
        <v>16079.430614683301</v>
      </c>
      <c r="CH17">
        <v>828620.59179116704</v>
      </c>
      <c r="CI17">
        <v>9.6249421166572494E-2</v>
      </c>
      <c r="CJ17">
        <v>10.389672871584001</v>
      </c>
      <c r="CK17">
        <v>1174523.6480841101</v>
      </c>
      <c r="CL17">
        <v>2908498.61177825</v>
      </c>
      <c r="CM17">
        <v>3264507.4316153801</v>
      </c>
      <c r="CN17">
        <v>4083022.2598623601</v>
      </c>
      <c r="CO17">
        <v>9403842.2026206795</v>
      </c>
      <c r="CP17">
        <v>-1.5177025666989599E-2</v>
      </c>
      <c r="CQ17">
        <v>-5.67868775300327E-3</v>
      </c>
      <c r="CR17">
        <v>4.0504202489799197E-2</v>
      </c>
      <c r="CS17">
        <v>1.66453859332792</v>
      </c>
      <c r="CT17">
        <v>4.0504202489799503E-2</v>
      </c>
      <c r="CU17">
        <v>3.9440022763365001E-2</v>
      </c>
      <c r="CV17">
        <v>1.6103033832708599E-2</v>
      </c>
      <c r="CW17">
        <v>-2.17817215857119E-2</v>
      </c>
      <c r="CX17">
        <v>0.55597667415572005</v>
      </c>
      <c r="CY17">
        <v>6.0178236276997001</v>
      </c>
      <c r="CZ17">
        <v>5.5421006915046797E-2</v>
      </c>
      <c r="DA17">
        <v>3.7335553308060702E-2</v>
      </c>
      <c r="DB17">
        <v>7.4792676272164198E-3</v>
      </c>
      <c r="DC17">
        <v>0.14389516136820299</v>
      </c>
      <c r="DD17">
        <v>214981.37425910399</v>
      </c>
      <c r="DE17">
        <v>118.712013495501</v>
      </c>
      <c r="DF17">
        <v>4.8108137366261197</v>
      </c>
      <c r="DG17">
        <v>4.1769125053865199</v>
      </c>
      <c r="DH17">
        <v>749660.83496735198</v>
      </c>
      <c r="DI17">
        <v>389463.13408013497</v>
      </c>
      <c r="DJ17">
        <v>989.53717351605303</v>
      </c>
      <c r="DK17">
        <v>4.1125687527523401E-2</v>
      </c>
      <c r="DL17">
        <v>0.67022357421816503</v>
      </c>
      <c r="DM17">
        <v>1.2053787530003199</v>
      </c>
      <c r="DN17">
        <v>3.57615042376472E-2</v>
      </c>
      <c r="DO17">
        <v>4.6545582279544397E-2</v>
      </c>
      <c r="DP17">
        <v>28861.3</v>
      </c>
      <c r="DQ17">
        <v>24088.63669485</v>
      </c>
      <c r="DR17">
        <v>4.4249999999999998</v>
      </c>
      <c r="DS17">
        <v>171714.850315877</v>
      </c>
      <c r="DT17">
        <v>30317.458720543</v>
      </c>
      <c r="DU17">
        <v>12949.065222683999</v>
      </c>
      <c r="DV17">
        <v>10.69725</v>
      </c>
      <c r="DW17">
        <v>0</v>
      </c>
      <c r="DX17">
        <v>56.25</v>
      </c>
      <c r="DY17">
        <v>208288.96</v>
      </c>
      <c r="DZ17">
        <v>2.18970905851568</v>
      </c>
      <c r="EA17">
        <v>74.234999999999999</v>
      </c>
      <c r="EB17">
        <v>1.1008067881910499</v>
      </c>
      <c r="EC17">
        <v>1.2051172460692501</v>
      </c>
      <c r="ED17">
        <v>158263774.45120299</v>
      </c>
      <c r="EE17">
        <v>3.1502378929481698</v>
      </c>
      <c r="EF17">
        <v>4.3499999999999997E-2</v>
      </c>
      <c r="EG17">
        <v>3.0492648484848499E-2</v>
      </c>
      <c r="EH17">
        <v>3.050813492075E-2</v>
      </c>
      <c r="EI17">
        <v>4.4180333333333301E-2</v>
      </c>
    </row>
    <row r="18" spans="1:139" x14ac:dyDescent="0.25">
      <c r="A18" s="2">
        <v>47178</v>
      </c>
      <c r="B18">
        <v>405785.10450219602</v>
      </c>
      <c r="C18">
        <v>37716.670685654302</v>
      </c>
      <c r="D18">
        <v>23452.245090025401</v>
      </c>
      <c r="E18">
        <v>244375.20916104101</v>
      </c>
      <c r="F18">
        <v>51193.470851229402</v>
      </c>
      <c r="G18">
        <v>13336.3802574489</v>
      </c>
      <c r="H18">
        <v>60543.691498189997</v>
      </c>
      <c r="I18">
        <v>61654.212687454397</v>
      </c>
      <c r="J18">
        <v>98000.679867532599</v>
      </c>
      <c r="K18">
        <v>413.858482660731</v>
      </c>
      <c r="L18">
        <v>5044.5775208843897</v>
      </c>
      <c r="M18">
        <v>0.67247126955180303</v>
      </c>
      <c r="N18">
        <v>30465.654375098798</v>
      </c>
      <c r="O18">
        <v>174.540773803207</v>
      </c>
      <c r="P18">
        <v>1.6490833011227899</v>
      </c>
      <c r="Q18">
        <v>1.3824831383027001</v>
      </c>
      <c r="R18">
        <v>1.05649187274874</v>
      </c>
      <c r="S18">
        <v>9.6163729776016796E-2</v>
      </c>
      <c r="T18">
        <v>6193.14656031904</v>
      </c>
      <c r="U18">
        <v>0.419392923437854</v>
      </c>
      <c r="V18">
        <v>0.60529312090522103</v>
      </c>
      <c r="W18">
        <v>22714591.915550701</v>
      </c>
      <c r="X18">
        <v>73482.161860926906</v>
      </c>
      <c r="Y18">
        <v>4599773.6262604399</v>
      </c>
      <c r="Z18">
        <v>1058.41555954871</v>
      </c>
      <c r="AA18">
        <v>1.11761815139067</v>
      </c>
      <c r="AB18">
        <v>1.0913544463736899</v>
      </c>
      <c r="AC18">
        <v>1.2000343629136101</v>
      </c>
      <c r="AD18">
        <v>1.27155321347196</v>
      </c>
      <c r="AE18">
        <v>119.08959697107601</v>
      </c>
      <c r="AF18">
        <v>110028.94809883799</v>
      </c>
      <c r="AG18">
        <v>1087.6723654647999</v>
      </c>
      <c r="AH18">
        <v>146.97853898114599</v>
      </c>
      <c r="AI18">
        <v>79702.948938858302</v>
      </c>
      <c r="AJ18">
        <v>97525.8416402234</v>
      </c>
      <c r="AK18">
        <v>599.46590515186006</v>
      </c>
      <c r="AL18">
        <v>26159.543844319302</v>
      </c>
      <c r="AM18">
        <v>19994.137708345701</v>
      </c>
      <c r="AN18">
        <v>0.93366104714346798</v>
      </c>
      <c r="AO18">
        <v>1.01033268644668</v>
      </c>
      <c r="AP18">
        <v>1.1665645115049601</v>
      </c>
      <c r="AQ18">
        <v>1.2465573537861001</v>
      </c>
      <c r="AR18">
        <v>36415.162075679102</v>
      </c>
      <c r="AS18">
        <v>202121.83499324499</v>
      </c>
      <c r="AT18">
        <v>3.9927262902835402E-2</v>
      </c>
      <c r="AU18">
        <v>4.7901395645595299E-2</v>
      </c>
      <c r="AV18">
        <v>-0.43766888002653698</v>
      </c>
      <c r="AW18">
        <v>244375.20916104101</v>
      </c>
      <c r="AX18">
        <v>11162.725897190499</v>
      </c>
      <c r="AY18">
        <v>19598.148545723801</v>
      </c>
      <c r="AZ18">
        <v>182053.12819728101</v>
      </c>
      <c r="BA18">
        <v>505834.40659389301</v>
      </c>
      <c r="BB18">
        <v>206673.81635281901</v>
      </c>
      <c r="BC18">
        <v>47958.753811807503</v>
      </c>
      <c r="BD18">
        <v>18408.264872067801</v>
      </c>
      <c r="BE18">
        <v>26210.654803475201</v>
      </c>
      <c r="BF18">
        <v>86984.166880307006</v>
      </c>
      <c r="BG18">
        <v>46755.902551745501</v>
      </c>
      <c r="BH18">
        <v>91499.4173858922</v>
      </c>
      <c r="BI18">
        <v>27094.109906414698</v>
      </c>
      <c r="BJ18">
        <v>20200.730864057801</v>
      </c>
      <c r="BK18">
        <v>43366.6697522904</v>
      </c>
      <c r="BL18">
        <v>193750.48790865499</v>
      </c>
      <c r="BM18">
        <v>213540.07597542499</v>
      </c>
      <c r="BN18">
        <v>919036.377799346</v>
      </c>
      <c r="BO18">
        <v>780138.079143001</v>
      </c>
      <c r="BP18">
        <v>800636.75890623801</v>
      </c>
      <c r="BQ18">
        <v>117.543907086372</v>
      </c>
      <c r="BR18">
        <v>1.1780431953149499</v>
      </c>
      <c r="BS18">
        <v>1.06425245106856</v>
      </c>
      <c r="BT18">
        <v>100.734561099806</v>
      </c>
      <c r="BU18">
        <v>86337.829168581404</v>
      </c>
      <c r="BV18">
        <v>1.6219141441143301</v>
      </c>
      <c r="BW18">
        <v>140032.546300649</v>
      </c>
      <c r="BX18">
        <v>10713.036654866801</v>
      </c>
      <c r="BY18">
        <v>15757.6141757512</v>
      </c>
      <c r="BZ18">
        <v>16255.978077883001</v>
      </c>
      <c r="CA18">
        <v>498.36390213188702</v>
      </c>
      <c r="CB18">
        <v>3.0657268063408401E-2</v>
      </c>
      <c r="CC18">
        <v>11378831.170076801</v>
      </c>
      <c r="CD18">
        <v>441077.29364343401</v>
      </c>
      <c r="CE18">
        <v>557238.77417293401</v>
      </c>
      <c r="CF18">
        <v>327890.63188543398</v>
      </c>
      <c r="CG18">
        <v>16279.579842618799</v>
      </c>
      <c r="CH18">
        <v>841619.75196474895</v>
      </c>
      <c r="CI18">
        <v>9.6795045832239898E-2</v>
      </c>
      <c r="CJ18">
        <v>10.3311072524636</v>
      </c>
      <c r="CK18">
        <v>1178997.9457723601</v>
      </c>
      <c r="CL18">
        <v>2939370.5017449399</v>
      </c>
      <c r="CM18">
        <v>3275943.38880848</v>
      </c>
      <c r="CN18">
        <v>4118368.4475173</v>
      </c>
      <c r="CO18">
        <v>9450624.3474687207</v>
      </c>
      <c r="CP18">
        <v>-1.2503882546637399E-2</v>
      </c>
      <c r="CQ18">
        <v>-4.5297498038775101E-3</v>
      </c>
      <c r="CR18">
        <v>4.3732584326543901E-2</v>
      </c>
      <c r="CS18">
        <v>1.6856345589453501</v>
      </c>
      <c r="CT18">
        <v>4.3732584326544199E-2</v>
      </c>
      <c r="CU18">
        <v>3.9440022763365001E-2</v>
      </c>
      <c r="CV18">
        <v>1.7077279800170101E-2</v>
      </c>
      <c r="CW18">
        <v>-2.16070296040476E-2</v>
      </c>
      <c r="CX18">
        <v>0.551713542417549</v>
      </c>
      <c r="CY18">
        <v>6.06400176008193</v>
      </c>
      <c r="CZ18">
        <v>5.7656754152835402E-2</v>
      </c>
      <c r="DA18">
        <v>3.8827112864669201E-2</v>
      </c>
      <c r="DB18">
        <v>7.5321805708254697E-3</v>
      </c>
      <c r="DC18">
        <v>0.144696456782964</v>
      </c>
      <c r="DD18">
        <v>215617.87221416601</v>
      </c>
      <c r="DE18">
        <v>120.04853312324499</v>
      </c>
      <c r="DF18">
        <v>4.8221665387810502</v>
      </c>
      <c r="DG18">
        <v>4.1853441037108503</v>
      </c>
      <c r="DH18">
        <v>754079.26838550798</v>
      </c>
      <c r="DI18">
        <v>392068.87276065903</v>
      </c>
      <c r="DJ18">
        <v>1003.85173187743</v>
      </c>
      <c r="DK18">
        <v>4.1125687527523401E-2</v>
      </c>
      <c r="DL18">
        <v>0.67022357421816503</v>
      </c>
      <c r="DM18">
        <v>1.21772672714172</v>
      </c>
      <c r="DN18">
        <v>3.57615042376472E-2</v>
      </c>
      <c r="DO18">
        <v>4.6545582279544397E-2</v>
      </c>
      <c r="DP18">
        <v>28946.75</v>
      </c>
      <c r="DQ18">
        <v>24173.490844772499</v>
      </c>
      <c r="DR18">
        <v>4.4074999999999998</v>
      </c>
      <c r="DS18">
        <v>172223.24855017301</v>
      </c>
      <c r="DT18">
        <v>30407.219987279801</v>
      </c>
      <c r="DU18">
        <v>12987.4036767134</v>
      </c>
      <c r="DV18">
        <v>10.69725</v>
      </c>
      <c r="DW18">
        <v>0</v>
      </c>
      <c r="DX18">
        <v>56.25</v>
      </c>
      <c r="DY18">
        <v>208288.96</v>
      </c>
      <c r="DZ18">
        <v>2.2011371516401499</v>
      </c>
      <c r="EA18">
        <v>74.153616266464795</v>
      </c>
      <c r="EB18">
        <v>1.09227040691832</v>
      </c>
      <c r="EC18">
        <v>1.2049627458358101</v>
      </c>
      <c r="ED18">
        <v>159694352.21624401</v>
      </c>
      <c r="EE18">
        <v>3.1512088401717699</v>
      </c>
      <c r="EF18">
        <v>4.3499999999999997E-2</v>
      </c>
      <c r="EG18">
        <v>3.0492648484848499E-2</v>
      </c>
      <c r="EH18">
        <v>3.050813492075E-2</v>
      </c>
      <c r="EI18">
        <v>4.4180333333333301E-2</v>
      </c>
    </row>
    <row r="19" spans="1:139" x14ac:dyDescent="0.25">
      <c r="A19" s="2">
        <v>47270</v>
      </c>
      <c r="B19">
        <v>408595.01874341897</v>
      </c>
      <c r="C19">
        <v>37965.639410386997</v>
      </c>
      <c r="D19">
        <v>23677.746579431099</v>
      </c>
      <c r="E19">
        <v>247006.03502256999</v>
      </c>
      <c r="F19">
        <v>51645.9955035124</v>
      </c>
      <c r="G19">
        <v>13661.6191379022</v>
      </c>
      <c r="H19">
        <v>61495.086839980198</v>
      </c>
      <c r="I19">
        <v>61779.922203980997</v>
      </c>
      <c r="J19">
        <v>98211.712866265705</v>
      </c>
      <c r="K19">
        <v>413.61052544449001</v>
      </c>
      <c r="L19">
        <v>5070.5662012603398</v>
      </c>
      <c r="M19">
        <v>0.67268274682553197</v>
      </c>
      <c r="N19">
        <v>30914.184437308701</v>
      </c>
      <c r="O19">
        <v>176.726766030466</v>
      </c>
      <c r="P19">
        <v>1.67592532443348</v>
      </c>
      <c r="Q19">
        <v>1.3979390715609601</v>
      </c>
      <c r="R19">
        <v>1.0609319577715901</v>
      </c>
      <c r="S19">
        <v>9.8750771758449707E-2</v>
      </c>
      <c r="T19">
        <v>6125.8270670288302</v>
      </c>
      <c r="U19">
        <v>0.41934698626879402</v>
      </c>
      <c r="V19">
        <v>0.60272056365739501</v>
      </c>
      <c r="W19">
        <v>23119912.729630198</v>
      </c>
      <c r="X19">
        <v>74738.777034836297</v>
      </c>
      <c r="Y19">
        <v>4613733.0973442104</v>
      </c>
      <c r="Z19">
        <v>1079.64545835533</v>
      </c>
      <c r="AA19">
        <v>1.1243964995671401</v>
      </c>
      <c r="AB19">
        <v>1.0966719951406001</v>
      </c>
      <c r="AC19">
        <v>1.21242137224326</v>
      </c>
      <c r="AD19">
        <v>1.2887334641471699</v>
      </c>
      <c r="AE19">
        <v>120.14661384746699</v>
      </c>
      <c r="AF19">
        <v>111074.871193609</v>
      </c>
      <c r="AG19">
        <v>1104.618669572</v>
      </c>
      <c r="AH19">
        <v>149.631598194172</v>
      </c>
      <c r="AI19">
        <v>80558.863197328406</v>
      </c>
      <c r="AJ19">
        <v>96585.153455468695</v>
      </c>
      <c r="AK19">
        <v>596.12485853537999</v>
      </c>
      <c r="AL19">
        <v>26491.273992293201</v>
      </c>
      <c r="AM19">
        <v>20008.285515084099</v>
      </c>
      <c r="AN19">
        <v>0.93260595891642595</v>
      </c>
      <c r="AO19">
        <v>1.0176841175698501</v>
      </c>
      <c r="AP19">
        <v>1.1779835390607101</v>
      </c>
      <c r="AQ19">
        <v>1.2608004043747301</v>
      </c>
      <c r="AR19">
        <v>36665.758732804497</v>
      </c>
      <c r="AS19">
        <v>204521.00264673901</v>
      </c>
      <c r="AT19">
        <v>4.1904510130589899E-2</v>
      </c>
      <c r="AU19">
        <v>4.8614947085479802E-2</v>
      </c>
      <c r="AV19">
        <v>-0.44526468153068299</v>
      </c>
      <c r="AW19">
        <v>247006.03502256999</v>
      </c>
      <c r="AX19">
        <v>11236.411341336099</v>
      </c>
      <c r="AY19">
        <v>19741.369021632701</v>
      </c>
      <c r="AZ19">
        <v>182672.126135787</v>
      </c>
      <c r="BA19">
        <v>515156.76534383598</v>
      </c>
      <c r="BB19">
        <v>209423.54022426499</v>
      </c>
      <c r="BC19">
        <v>48927.589995910203</v>
      </c>
      <c r="BD19">
        <v>18831.386322696701</v>
      </c>
      <c r="BE19">
        <v>26623.1753715501</v>
      </c>
      <c r="BF19">
        <v>88346.648395792799</v>
      </c>
      <c r="BG19">
        <v>47434.162779992301</v>
      </c>
      <c r="BH19">
        <v>91592.828654468394</v>
      </c>
      <c r="BI19">
        <v>27597.2310814435</v>
      </c>
      <c r="BJ19">
        <v>20362.114388503898</v>
      </c>
      <c r="BK19">
        <v>44052.667558946501</v>
      </c>
      <c r="BL19">
        <v>195194.401683362</v>
      </c>
      <c r="BM19">
        <v>216982.86774341401</v>
      </c>
      <c r="BN19">
        <v>932954.80237399205</v>
      </c>
      <c r="BO19">
        <v>785839.21706502105</v>
      </c>
      <c r="BP19">
        <v>808118.06670108903</v>
      </c>
      <c r="BQ19">
        <v>118.42332086754401</v>
      </c>
      <c r="BR19">
        <v>1.1872082224648599</v>
      </c>
      <c r="BS19">
        <v>1.0685505545507601</v>
      </c>
      <c r="BT19">
        <v>100.718104184097</v>
      </c>
      <c r="BU19">
        <v>86935.687229524105</v>
      </c>
      <c r="BV19">
        <v>1.65119076022855</v>
      </c>
      <c r="BW19">
        <v>143547.403487509</v>
      </c>
      <c r="BX19">
        <v>10751.990657254701</v>
      </c>
      <c r="BY19">
        <v>15822.5568585151</v>
      </c>
      <c r="BZ19">
        <v>16318.2238970127</v>
      </c>
      <c r="CA19">
        <v>495.66703849761899</v>
      </c>
      <c r="CB19">
        <v>3.0375059169655001E-2</v>
      </c>
      <c r="CC19">
        <v>11412421.1628561</v>
      </c>
      <c r="CD19">
        <v>449415.644419341</v>
      </c>
      <c r="CE19">
        <v>564601.63962230599</v>
      </c>
      <c r="CF19">
        <v>331395.45874275599</v>
      </c>
      <c r="CG19">
        <v>16494.6839622691</v>
      </c>
      <c r="CH19">
        <v>854365.73386625305</v>
      </c>
      <c r="CI19">
        <v>9.73133671604796E-2</v>
      </c>
      <c r="CJ19">
        <v>10.276080554800799</v>
      </c>
      <c r="CK19">
        <v>1183635.3719995201</v>
      </c>
      <c r="CL19">
        <v>2970644.5249459101</v>
      </c>
      <c r="CM19">
        <v>3287527.55607265</v>
      </c>
      <c r="CN19">
        <v>4154279.89694543</v>
      </c>
      <c r="CO19">
        <v>9498119.9641610198</v>
      </c>
      <c r="CP19">
        <v>-9.9326689392296198E-3</v>
      </c>
      <c r="CQ19">
        <v>-3.2222319843397298E-3</v>
      </c>
      <c r="CR19">
        <v>4.6913592688630101E-2</v>
      </c>
      <c r="CS19">
        <v>1.70674586699999</v>
      </c>
      <c r="CT19">
        <v>4.6913592688630303E-2</v>
      </c>
      <c r="CU19">
        <v>3.9440022763365001E-2</v>
      </c>
      <c r="CV19">
        <v>1.8050022763364999E-2</v>
      </c>
      <c r="CW19">
        <v>-2.1272254747704701E-2</v>
      </c>
      <c r="CX19">
        <v>0.54759213749208002</v>
      </c>
      <c r="CY19">
        <v>6.10912247536519</v>
      </c>
      <c r="CZ19">
        <v>5.9634001380589899E-2</v>
      </c>
      <c r="DA19">
        <v>4.0154540885461699E-2</v>
      </c>
      <c r="DB19">
        <v>7.5853081703819297E-3</v>
      </c>
      <c r="DC19">
        <v>0.14543298471632399</v>
      </c>
      <c r="DD19">
        <v>216254.370169228</v>
      </c>
      <c r="DE19">
        <v>121.43059434800099</v>
      </c>
      <c r="DF19">
        <v>4.8337704985275698</v>
      </c>
      <c r="DG19">
        <v>4.19402685962676</v>
      </c>
      <c r="DH19">
        <v>758523.743652137</v>
      </c>
      <c r="DI19">
        <v>394692.04537388799</v>
      </c>
      <c r="DJ19">
        <v>1018.37336339034</v>
      </c>
      <c r="DK19">
        <v>4.1125687527523401E-2</v>
      </c>
      <c r="DL19">
        <v>0.67022357421816503</v>
      </c>
      <c r="DM19">
        <v>1.23020119469029</v>
      </c>
      <c r="DN19">
        <v>3.57615042376472E-2</v>
      </c>
      <c r="DO19">
        <v>4.6545582279544397E-2</v>
      </c>
      <c r="DP19">
        <v>29032.2</v>
      </c>
      <c r="DQ19">
        <v>24258.424902408002</v>
      </c>
      <c r="DR19">
        <v>4.3899999999999997</v>
      </c>
      <c r="DS19">
        <v>172731.64678446899</v>
      </c>
      <c r="DT19">
        <v>30496.981254016599</v>
      </c>
      <c r="DU19">
        <v>13025.742130742799</v>
      </c>
      <c r="DV19">
        <v>10.69725</v>
      </c>
      <c r="DW19">
        <v>0</v>
      </c>
      <c r="DX19">
        <v>56.25</v>
      </c>
      <c r="DY19">
        <v>208288.96</v>
      </c>
      <c r="DZ19">
        <v>2.2126248879907102</v>
      </c>
      <c r="EA19">
        <v>74.0723217538103</v>
      </c>
      <c r="EB19">
        <v>1.08380022237149</v>
      </c>
      <c r="EC19">
        <v>1.20480826540984</v>
      </c>
      <c r="ED19">
        <v>161137861.258508</v>
      </c>
      <c r="EE19">
        <v>3.1521800866548402</v>
      </c>
      <c r="EF19">
        <v>4.3499999999999997E-2</v>
      </c>
      <c r="EG19">
        <v>3.0492648484848499E-2</v>
      </c>
      <c r="EH19">
        <v>3.050813492075E-2</v>
      </c>
      <c r="EI19">
        <v>4.4180333333333301E-2</v>
      </c>
    </row>
    <row r="20" spans="1:139" x14ac:dyDescent="0.25">
      <c r="A20" s="2">
        <v>47362</v>
      </c>
      <c r="B20">
        <v>411457.68626737001</v>
      </c>
      <c r="C20">
        <v>38208.5599622062</v>
      </c>
      <c r="D20">
        <v>23899.340776083402</v>
      </c>
      <c r="E20">
        <v>249691.37092860299</v>
      </c>
      <c r="F20">
        <v>52156.984619805298</v>
      </c>
      <c r="G20">
        <v>13981.2206858713</v>
      </c>
      <c r="H20">
        <v>62469.7829551783</v>
      </c>
      <c r="I20">
        <v>64939.019168292201</v>
      </c>
      <c r="J20">
        <v>98510.001988490694</v>
      </c>
      <c r="K20">
        <v>413.33739356319097</v>
      </c>
      <c r="L20">
        <v>5095.9758213391897</v>
      </c>
      <c r="M20">
        <v>0.672828293409099</v>
      </c>
      <c r="N20">
        <v>31366.754508940001</v>
      </c>
      <c r="O20">
        <v>178.92180800349701</v>
      </c>
      <c r="P20">
        <v>1.7030953176894099</v>
      </c>
      <c r="Q20">
        <v>1.4130144288640301</v>
      </c>
      <c r="R20">
        <v>1.0654561412847501</v>
      </c>
      <c r="S20">
        <v>0.10119399746074401</v>
      </c>
      <c r="T20">
        <v>6056.8961542019897</v>
      </c>
      <c r="U20">
        <v>0.41923685171445702</v>
      </c>
      <c r="V20">
        <v>0.60007672313981597</v>
      </c>
      <c r="W20">
        <v>23525901.763676099</v>
      </c>
      <c r="X20">
        <v>76025.171513941095</v>
      </c>
      <c r="Y20">
        <v>4625927.3710882403</v>
      </c>
      <c r="Z20">
        <v>1100.6428959838399</v>
      </c>
      <c r="AA20">
        <v>1.13119662321022</v>
      </c>
      <c r="AB20">
        <v>1.1020519697303599</v>
      </c>
      <c r="AC20">
        <v>1.2249924064661499</v>
      </c>
      <c r="AD20">
        <v>1.30629782958586</v>
      </c>
      <c r="AE20">
        <v>121.222760425895</v>
      </c>
      <c r="AF20">
        <v>111953.786577213</v>
      </c>
      <c r="AG20">
        <v>1119.28341024679</v>
      </c>
      <c r="AH20">
        <v>152.27453643715501</v>
      </c>
      <c r="AI20">
        <v>81405.893343156698</v>
      </c>
      <c r="AJ20">
        <v>95761.623482789</v>
      </c>
      <c r="AK20">
        <v>592.70078596166604</v>
      </c>
      <c r="AL20">
        <v>26840.276416469998</v>
      </c>
      <c r="AM20">
        <v>20027.011841453201</v>
      </c>
      <c r="AN20">
        <v>0.931517612132579</v>
      </c>
      <c r="AO20">
        <v>1.02487057419579</v>
      </c>
      <c r="AP20">
        <v>1.1895341573691001</v>
      </c>
      <c r="AQ20">
        <v>1.2751266463698401</v>
      </c>
      <c r="AR20">
        <v>36926.203950554001</v>
      </c>
      <c r="AS20">
        <v>206911.31070884501</v>
      </c>
      <c r="AT20">
        <v>4.3756484794373003E-2</v>
      </c>
      <c r="AU20">
        <v>4.9323576297425398E-2</v>
      </c>
      <c r="AV20">
        <v>-0.45133249332553299</v>
      </c>
      <c r="AW20">
        <v>249691.37092860299</v>
      </c>
      <c r="AX20">
        <v>11308.3067521838</v>
      </c>
      <c r="AY20">
        <v>19889.876828186701</v>
      </c>
      <c r="AZ20">
        <v>183398.094608685</v>
      </c>
      <c r="BA20">
        <v>524660.66007054097</v>
      </c>
      <c r="BB20">
        <v>212225.57455050899</v>
      </c>
      <c r="BC20">
        <v>49911.7589502314</v>
      </c>
      <c r="BD20">
        <v>19259.124280639699</v>
      </c>
      <c r="BE20">
        <v>27034.8535828559</v>
      </c>
      <c r="BF20">
        <v>89713.524275908101</v>
      </c>
      <c r="BG20">
        <v>48128.724818987102</v>
      </c>
      <c r="BH20">
        <v>91763.801823494505</v>
      </c>
      <c r="BI20">
        <v>28104.682946556099</v>
      </c>
      <c r="BJ20">
        <v>20525.095125375999</v>
      </c>
      <c r="BK20">
        <v>44762.963749357499</v>
      </c>
      <c r="BL20">
        <v>196746.10364478399</v>
      </c>
      <c r="BM20">
        <v>220454.92669601599</v>
      </c>
      <c r="BN20">
        <v>947225.39747843996</v>
      </c>
      <c r="BO20">
        <v>791750.82629301702</v>
      </c>
      <c r="BP20">
        <v>815694.01574242604</v>
      </c>
      <c r="BQ20">
        <v>119.30787615395499</v>
      </c>
      <c r="BR20">
        <v>1.19636802846752</v>
      </c>
      <c r="BS20">
        <v>1.07278161239668</v>
      </c>
      <c r="BT20">
        <v>100.687543187193</v>
      </c>
      <c r="BU20">
        <v>87544.769467652397</v>
      </c>
      <c r="BV20">
        <v>1.6803556910274899</v>
      </c>
      <c r="BW20">
        <v>147106.35159465999</v>
      </c>
      <c r="BX20">
        <v>10787.5322371328</v>
      </c>
      <c r="BY20">
        <v>15883.508058472</v>
      </c>
      <c r="BZ20">
        <v>16376.903003661901</v>
      </c>
      <c r="CA20">
        <v>493.39494518990603</v>
      </c>
      <c r="CB20">
        <v>3.0127486566633499E-2</v>
      </c>
      <c r="CC20">
        <v>11446433.7330752</v>
      </c>
      <c r="CD20">
        <v>457751.462361018</v>
      </c>
      <c r="CE20">
        <v>575732.66289518296</v>
      </c>
      <c r="CF20">
        <v>335163.68642492901</v>
      </c>
      <c r="CG20">
        <v>16819.873792014601</v>
      </c>
      <c r="CH20">
        <v>867434.22060118895</v>
      </c>
      <c r="CI20">
        <v>9.7855530435415894E-2</v>
      </c>
      <c r="CJ20">
        <v>10.2191464861559</v>
      </c>
      <c r="CK20">
        <v>1188424.29421441</v>
      </c>
      <c r="CL20">
        <v>3002259.1931168302</v>
      </c>
      <c r="CM20">
        <v>3299268.2840877902</v>
      </c>
      <c r="CN20">
        <v>4190683.4873312502</v>
      </c>
      <c r="CO20">
        <v>9546264.2825619802</v>
      </c>
      <c r="CP20">
        <v>-7.6160198802744097E-3</v>
      </c>
      <c r="CQ20">
        <v>-2.0489283772220199E-3</v>
      </c>
      <c r="CR20">
        <v>4.9821492786096697E-2</v>
      </c>
      <c r="CS20">
        <v>1.72794457333921</v>
      </c>
      <c r="CT20">
        <v>4.9821492786096697E-2</v>
      </c>
      <c r="CU20">
        <v>3.9440022763365001E-2</v>
      </c>
      <c r="CV20">
        <v>1.8145053789390499E-2</v>
      </c>
      <c r="CW20">
        <v>-2.0193982166612501E-2</v>
      </c>
      <c r="CX20">
        <v>0.54349854318445801</v>
      </c>
      <c r="CY20">
        <v>6.1515301475286304</v>
      </c>
      <c r="CZ20">
        <v>6.1485976044373003E-2</v>
      </c>
      <c r="DA20">
        <v>4.1395499760038701E-2</v>
      </c>
      <c r="DB20">
        <v>7.6381339335805602E-3</v>
      </c>
      <c r="DC20">
        <v>0.14616306455252201</v>
      </c>
      <c r="DD20">
        <v>216898.87555906799</v>
      </c>
      <c r="DE20">
        <v>122.759425464139</v>
      </c>
      <c r="DF20">
        <v>4.8448113923167098</v>
      </c>
      <c r="DG20">
        <v>4.2021465495853096</v>
      </c>
      <c r="DH20">
        <v>762994.41425554804</v>
      </c>
      <c r="DI20">
        <v>397332.76856314403</v>
      </c>
      <c r="DJ20">
        <v>1033.10506355692</v>
      </c>
      <c r="DK20">
        <v>4.1125687527523401E-2</v>
      </c>
      <c r="DL20">
        <v>0.67022357421816503</v>
      </c>
      <c r="DM20">
        <v>1.2428034514522801</v>
      </c>
      <c r="DN20">
        <v>3.57615042376472E-2</v>
      </c>
      <c r="DO20">
        <v>4.6545582279544397E-2</v>
      </c>
      <c r="DP20">
        <v>29118.724999999999</v>
      </c>
      <c r="DQ20">
        <v>24340.389909412199</v>
      </c>
      <c r="DR20">
        <v>4.3724999999999996</v>
      </c>
      <c r="DS20">
        <v>173246.44090058899</v>
      </c>
      <c r="DT20">
        <v>30587.8717584566</v>
      </c>
      <c r="DU20">
        <v>13064.5629000218</v>
      </c>
      <c r="DV20">
        <v>8.2317499999999999</v>
      </c>
      <c r="DW20">
        <v>0</v>
      </c>
      <c r="DX20">
        <v>56.25</v>
      </c>
      <c r="DY20">
        <v>208288.96</v>
      </c>
      <c r="DZ20">
        <v>2.2241725788454101</v>
      </c>
      <c r="EA20">
        <v>73.991116364223899</v>
      </c>
      <c r="EB20">
        <v>1.07539572121753</v>
      </c>
      <c r="EC20">
        <v>1.2046538047888</v>
      </c>
      <c r="ED20">
        <v>162594418.46638399</v>
      </c>
      <c r="EE20">
        <v>3.1531516324896001</v>
      </c>
      <c r="EF20">
        <v>4.3499999999999997E-2</v>
      </c>
      <c r="EG20">
        <v>3.0492648484848499E-2</v>
      </c>
      <c r="EH20">
        <v>3.050813492075E-2</v>
      </c>
      <c r="EI20">
        <v>4.4180333333333301E-2</v>
      </c>
    </row>
    <row r="21" spans="1:139" x14ac:dyDescent="0.25">
      <c r="A21" s="2">
        <v>47453</v>
      </c>
      <c r="B21">
        <v>414399.00029450801</v>
      </c>
      <c r="C21">
        <v>38437.076250318998</v>
      </c>
      <c r="D21">
        <v>24104.758358008599</v>
      </c>
      <c r="E21">
        <v>252457.26380665999</v>
      </c>
      <c r="F21">
        <v>52660.825242434301</v>
      </c>
      <c r="G21">
        <v>14295.031622942401</v>
      </c>
      <c r="H21">
        <v>63450.410815423202</v>
      </c>
      <c r="I21">
        <v>64624.376734078498</v>
      </c>
      <c r="J21">
        <v>98730.2311704311</v>
      </c>
      <c r="K21">
        <v>412.98252694930602</v>
      </c>
      <c r="L21">
        <v>5121.0347508058803</v>
      </c>
      <c r="M21">
        <v>0.67294459870438805</v>
      </c>
      <c r="N21">
        <v>31828.593959709298</v>
      </c>
      <c r="O21">
        <v>181.11680621961301</v>
      </c>
      <c r="P21">
        <v>1.7306258642324901</v>
      </c>
      <c r="Q21">
        <v>1.42734503519653</v>
      </c>
      <c r="R21">
        <v>1.0694563197143301</v>
      </c>
      <c r="S21">
        <v>0.10347975518922101</v>
      </c>
      <c r="T21">
        <v>5990.4648561050999</v>
      </c>
      <c r="U21">
        <v>0.41948917458100199</v>
      </c>
      <c r="V21">
        <v>0.59797552767955697</v>
      </c>
      <c r="W21">
        <v>23932192.8735177</v>
      </c>
      <c r="X21">
        <v>77339.425535408402</v>
      </c>
      <c r="Y21">
        <v>4636350.9511404103</v>
      </c>
      <c r="Z21">
        <v>1121.16022775837</v>
      </c>
      <c r="AA21">
        <v>1.1380478884626</v>
      </c>
      <c r="AB21">
        <v>1.1073648661018001</v>
      </c>
      <c r="AC21">
        <v>1.2378413881997099</v>
      </c>
      <c r="AD21">
        <v>1.3242186778334699</v>
      </c>
      <c r="AE21">
        <v>122.31583691117901</v>
      </c>
      <c r="AF21">
        <v>112703.347938778</v>
      </c>
      <c r="AG21">
        <v>1134.1275997415801</v>
      </c>
      <c r="AH21">
        <v>154.90847652435201</v>
      </c>
      <c r="AI21">
        <v>82253.139721352898</v>
      </c>
      <c r="AJ21">
        <v>94963.725862148203</v>
      </c>
      <c r="AK21">
        <v>590.62514145900195</v>
      </c>
      <c r="AL21">
        <v>27203.189425759399</v>
      </c>
      <c r="AM21">
        <v>20044.439155569398</v>
      </c>
      <c r="AN21">
        <v>0.92935544362588096</v>
      </c>
      <c r="AO21">
        <v>1.0317655154212</v>
      </c>
      <c r="AP21">
        <v>1.2011369642113601</v>
      </c>
      <c r="AQ21">
        <v>1.28947100731801</v>
      </c>
      <c r="AR21">
        <v>37179.794110525603</v>
      </c>
      <c r="AS21">
        <v>209385.221056996</v>
      </c>
      <c r="AT21">
        <v>4.5412994372696303E-2</v>
      </c>
      <c r="AU21">
        <v>5.0017632033154E-2</v>
      </c>
      <c r="AV21">
        <v>-0.45249831241850802</v>
      </c>
      <c r="AW21">
        <v>252457.26380665999</v>
      </c>
      <c r="AX21">
        <v>11375.939038938501</v>
      </c>
      <c r="AY21">
        <v>20037.2188640284</v>
      </c>
      <c r="AZ21">
        <v>184036.68330055501</v>
      </c>
      <c r="BA21">
        <v>534355.49681510904</v>
      </c>
      <c r="BB21">
        <v>215088.848368379</v>
      </c>
      <c r="BC21">
        <v>50899.094291981797</v>
      </c>
      <c r="BD21">
        <v>19687.494330719099</v>
      </c>
      <c r="BE21">
        <v>27432.369351232901</v>
      </c>
      <c r="BF21">
        <v>91084.236155117294</v>
      </c>
      <c r="BG21">
        <v>48838.119384259997</v>
      </c>
      <c r="BH21">
        <v>91755.477788681805</v>
      </c>
      <c r="BI21">
        <v>28600.024864717099</v>
      </c>
      <c r="BJ21">
        <v>20681.1610966751</v>
      </c>
      <c r="BK21">
        <v>45476.776328142601</v>
      </c>
      <c r="BL21">
        <v>198103.00007821701</v>
      </c>
      <c r="BM21">
        <v>223928.347914187</v>
      </c>
      <c r="BN21">
        <v>961560.31086082896</v>
      </c>
      <c r="BO21">
        <v>797616.02991723805</v>
      </c>
      <c r="BP21">
        <v>823394.53897975304</v>
      </c>
      <c r="BQ21">
        <v>120.193224437593</v>
      </c>
      <c r="BR21">
        <v>1.2055428312182399</v>
      </c>
      <c r="BS21">
        <v>1.07643213584049</v>
      </c>
      <c r="BT21">
        <v>100.652276862324</v>
      </c>
      <c r="BU21">
        <v>88170.585115365102</v>
      </c>
      <c r="BV21">
        <v>1.7094213268120699</v>
      </c>
      <c r="BW21">
        <v>150720.67859370401</v>
      </c>
      <c r="BX21">
        <v>10821.1301031564</v>
      </c>
      <c r="BY21">
        <v>15942.1648539623</v>
      </c>
      <c r="BZ21">
        <v>16434.930490769701</v>
      </c>
      <c r="CA21">
        <v>492.76563680735501</v>
      </c>
      <c r="CB21">
        <v>2.99828232697384E-2</v>
      </c>
      <c r="CC21">
        <v>11480446.3032944</v>
      </c>
      <c r="CD21">
        <v>466206.66437488102</v>
      </c>
      <c r="CE21">
        <v>583226.98859291</v>
      </c>
      <c r="CF21">
        <v>338864.69039291702</v>
      </c>
      <c r="CG21">
        <v>17038.818487210599</v>
      </c>
      <c r="CH21">
        <v>880561.60765219096</v>
      </c>
      <c r="CI21">
        <v>9.8594208570821296E-2</v>
      </c>
      <c r="CJ21">
        <v>10.1425835705318</v>
      </c>
      <c r="CK21">
        <v>1193358.38750381</v>
      </c>
      <c r="CL21">
        <v>3034200.0096950699</v>
      </c>
      <c r="CM21">
        <v>3311158.2757814201</v>
      </c>
      <c r="CN21">
        <v>4227558.3971988801</v>
      </c>
      <c r="CO21">
        <v>9595029.1841232497</v>
      </c>
      <c r="CP21">
        <v>-5.4144626207822903E-3</v>
      </c>
      <c r="CQ21">
        <v>-8.0982496032461898E-4</v>
      </c>
      <c r="CR21">
        <v>5.2652298195741999E-2</v>
      </c>
      <c r="CS21">
        <v>1.74914285709428</v>
      </c>
      <c r="CT21">
        <v>5.2652298195741999E-2</v>
      </c>
      <c r="CU21">
        <v>3.9440022763365001E-2</v>
      </c>
      <c r="CV21">
        <v>1.82400641286471E-2</v>
      </c>
      <c r="CW21">
        <v>-1.9049889088971698E-2</v>
      </c>
      <c r="CX21">
        <v>0.539957319148896</v>
      </c>
      <c r="CY21">
        <v>6.1902605901680099</v>
      </c>
      <c r="CZ21">
        <v>6.3142485622696295E-2</v>
      </c>
      <c r="DA21">
        <v>4.2510807339191603E-2</v>
      </c>
      <c r="DB21">
        <v>7.6899357479010104E-3</v>
      </c>
      <c r="DC21">
        <v>0.14700095619063699</v>
      </c>
      <c r="DD21">
        <v>217543.380948907</v>
      </c>
      <c r="DE21">
        <v>124.10755944176999</v>
      </c>
      <c r="DF21">
        <v>4.8558906510331603</v>
      </c>
      <c r="DG21">
        <v>4.2103046044711601</v>
      </c>
      <c r="DH21">
        <v>767491.43458869599</v>
      </c>
      <c r="DI21">
        <v>399991.15975215798</v>
      </c>
      <c r="DJ21">
        <v>1048.04987121198</v>
      </c>
      <c r="DK21">
        <v>4.1125687527523401E-2</v>
      </c>
      <c r="DL21">
        <v>0.67022357421816503</v>
      </c>
      <c r="DM21">
        <v>1.2555348065082601</v>
      </c>
      <c r="DN21">
        <v>3.57615042376472E-2</v>
      </c>
      <c r="DO21">
        <v>4.6545582279544397E-2</v>
      </c>
      <c r="DP21">
        <v>29205.25</v>
      </c>
      <c r="DQ21">
        <v>24422.4123685837</v>
      </c>
      <c r="DR21">
        <v>4.3550000000000004</v>
      </c>
      <c r="DS21">
        <v>173761.23501671001</v>
      </c>
      <c r="DT21">
        <v>30678.762262896598</v>
      </c>
      <c r="DU21">
        <v>13103.3836693008</v>
      </c>
      <c r="DV21">
        <v>8.2317499999999999</v>
      </c>
      <c r="DW21">
        <v>0</v>
      </c>
      <c r="DX21">
        <v>56.25</v>
      </c>
      <c r="DY21">
        <v>208288.96</v>
      </c>
      <c r="DZ21">
        <v>2.2357805371068502</v>
      </c>
      <c r="EA21">
        <v>73.91</v>
      </c>
      <c r="EB21">
        <v>1.06705639410413</v>
      </c>
      <c r="EC21">
        <v>1.20449936397015</v>
      </c>
      <c r="ED21">
        <v>164064141.784839</v>
      </c>
      <c r="EE21">
        <v>3.1541234777683398</v>
      </c>
      <c r="EF21">
        <v>4.3499999999999997E-2</v>
      </c>
      <c r="EG21">
        <v>3.0492648484848499E-2</v>
      </c>
      <c r="EH21">
        <v>3.050813492075E-2</v>
      </c>
      <c r="EI21">
        <v>4.4180333333333301E-2</v>
      </c>
    </row>
    <row r="22" spans="1:139" x14ac:dyDescent="0.25">
      <c r="A22" s="2">
        <v>47543</v>
      </c>
      <c r="B22">
        <v>417407.26150689198</v>
      </c>
      <c r="C22">
        <v>38645.404067216397</v>
      </c>
      <c r="D22">
        <v>24304.875908425001</v>
      </c>
      <c r="E22">
        <v>255294.010528012</v>
      </c>
      <c r="F22">
        <v>53214.9331631518</v>
      </c>
      <c r="G22">
        <v>14604.8477876941</v>
      </c>
      <c r="H22">
        <v>64447.311590048201</v>
      </c>
      <c r="I22">
        <v>64679.417024721399</v>
      </c>
      <c r="J22">
        <v>98980.962312410498</v>
      </c>
      <c r="K22">
        <v>412.58575814980401</v>
      </c>
      <c r="L22">
        <v>5145.8372231736403</v>
      </c>
      <c r="M22">
        <v>0.67301963807130405</v>
      </c>
      <c r="N22">
        <v>32295.6990189885</v>
      </c>
      <c r="O22">
        <v>183.31263304131801</v>
      </c>
      <c r="P22">
        <v>1.75860970498917</v>
      </c>
      <c r="Q22">
        <v>1.4406628105582</v>
      </c>
      <c r="R22">
        <v>1.07290028259499</v>
      </c>
      <c r="S22">
        <v>0.10561121028380301</v>
      </c>
      <c r="T22">
        <v>5928.5780462435396</v>
      </c>
      <c r="U22">
        <v>0.42010367173058899</v>
      </c>
      <c r="V22">
        <v>0.59640348328894299</v>
      </c>
      <c r="W22">
        <v>24340880.1608225</v>
      </c>
      <c r="X22">
        <v>78681.457631345198</v>
      </c>
      <c r="Y22">
        <v>4645632.1016915496</v>
      </c>
      <c r="Z22">
        <v>1141.2624827884099</v>
      </c>
      <c r="AA22">
        <v>1.1448949632752601</v>
      </c>
      <c r="AB22">
        <v>1.1125829248190999</v>
      </c>
      <c r="AC22">
        <v>1.25089978794374</v>
      </c>
      <c r="AD22">
        <v>1.34246353146499</v>
      </c>
      <c r="AE22">
        <v>123.427221712259</v>
      </c>
      <c r="AF22">
        <v>113323.62120675499</v>
      </c>
      <c r="AG22">
        <v>1149.15937079934</v>
      </c>
      <c r="AH22">
        <v>157.53983685025401</v>
      </c>
      <c r="AI22">
        <v>83104.188451902301</v>
      </c>
      <c r="AJ22">
        <v>94259.779601103204</v>
      </c>
      <c r="AK22">
        <v>588.23122306951495</v>
      </c>
      <c r="AL22">
        <v>27580.800216658001</v>
      </c>
      <c r="AM22">
        <v>20063.376428703101</v>
      </c>
      <c r="AN22">
        <v>0.92697075447036903</v>
      </c>
      <c r="AO22">
        <v>1.0382397670880901</v>
      </c>
      <c r="AP22">
        <v>1.2127799590027999</v>
      </c>
      <c r="AQ22">
        <v>1.30383466012411</v>
      </c>
      <c r="AR22">
        <v>37433.528574573698</v>
      </c>
      <c r="AS22">
        <v>211948.36634523899</v>
      </c>
      <c r="AT22">
        <v>4.6908953241603803E-2</v>
      </c>
      <c r="AU22">
        <v>5.0690708556456597E-2</v>
      </c>
      <c r="AV22">
        <v>-0.45114816002826702</v>
      </c>
      <c r="AW22">
        <v>255294.010528012</v>
      </c>
      <c r="AX22">
        <v>11437.5962922037</v>
      </c>
      <c r="AY22">
        <v>20185.928198949001</v>
      </c>
      <c r="AZ22">
        <v>184708.795514636</v>
      </c>
      <c r="BA22">
        <v>544230.05539176101</v>
      </c>
      <c r="BB22">
        <v>218001.847885934</v>
      </c>
      <c r="BC22">
        <v>51880.045618966702</v>
      </c>
      <c r="BD22">
        <v>20114.267841217599</v>
      </c>
      <c r="BE22">
        <v>27826.530010585899</v>
      </c>
      <c r="BF22">
        <v>92460.300154928002</v>
      </c>
      <c r="BG22">
        <v>49559.607106438001</v>
      </c>
      <c r="BH22">
        <v>91752.457312938306</v>
      </c>
      <c r="BI22">
        <v>29081.116052824</v>
      </c>
      <c r="BJ22">
        <v>20830.595270337399</v>
      </c>
      <c r="BK22">
        <v>46203.164308461099</v>
      </c>
      <c r="BL22">
        <v>199456.892944561</v>
      </c>
      <c r="BM22">
        <v>227399.46214735199</v>
      </c>
      <c r="BN22">
        <v>976130.08480704005</v>
      </c>
      <c r="BO22">
        <v>803535.66131717805</v>
      </c>
      <c r="BP22">
        <v>831205.20360379899</v>
      </c>
      <c r="BQ22">
        <v>121.077973569243</v>
      </c>
      <c r="BR22">
        <v>1.2147937019161501</v>
      </c>
      <c r="BS22">
        <v>1.0798451280505299</v>
      </c>
      <c r="BT22">
        <v>100.647296451329</v>
      </c>
      <c r="BU22">
        <v>88810.644939561505</v>
      </c>
      <c r="BV22">
        <v>1.73845849482603</v>
      </c>
      <c r="BW22">
        <v>154393.62012615899</v>
      </c>
      <c r="BX22">
        <v>10853.219203241801</v>
      </c>
      <c r="BY22">
        <v>15999.0564264154</v>
      </c>
      <c r="BZ22">
        <v>16492.004525354601</v>
      </c>
      <c r="CA22">
        <v>492.94809893920302</v>
      </c>
      <c r="CB22">
        <v>2.9890125198490099E-2</v>
      </c>
      <c r="CC22">
        <v>11514458.873513499</v>
      </c>
      <c r="CD22">
        <v>474736.67842387798</v>
      </c>
      <c r="CE22">
        <v>591480.32252948801</v>
      </c>
      <c r="CF22">
        <v>342672.91986728902</v>
      </c>
      <c r="CG22">
        <v>17279.937402504602</v>
      </c>
      <c r="CH22">
        <v>893904.07137942105</v>
      </c>
      <c r="CI22">
        <v>9.9219613620879901E-2</v>
      </c>
      <c r="CJ22">
        <v>10.078652430768599</v>
      </c>
      <c r="CK22">
        <v>1198419.15856746</v>
      </c>
      <c r="CL22">
        <v>3066461.8173076701</v>
      </c>
      <c r="CM22">
        <v>3323181.9361996599</v>
      </c>
      <c r="CN22">
        <v>4264880.9758751299</v>
      </c>
      <c r="CO22">
        <v>9644375.4232177306</v>
      </c>
      <c r="CP22">
        <v>-3.3478380340049001E-3</v>
      </c>
      <c r="CQ22">
        <v>4.3391728084797598E-4</v>
      </c>
      <c r="CR22">
        <v>5.5354419008194697E-2</v>
      </c>
      <c r="CS22">
        <v>1.7703491431412199</v>
      </c>
      <c r="CT22">
        <v>5.5354419008194697E-2</v>
      </c>
      <c r="CU22">
        <v>3.9440022763365001E-2</v>
      </c>
      <c r="CV22">
        <v>1.8335053785263001E-2</v>
      </c>
      <c r="CW22">
        <v>-1.7901136504415101E-2</v>
      </c>
      <c r="CX22">
        <v>0.53698279086930101</v>
      </c>
      <c r="CY22">
        <v>6.2257710440020597</v>
      </c>
      <c r="CZ22">
        <v>6.4638444491603803E-2</v>
      </c>
      <c r="DA22">
        <v>4.3522685549118603E-2</v>
      </c>
      <c r="DB22">
        <v>7.7402307782146402E-3</v>
      </c>
      <c r="DC22">
        <v>0.147728575662044</v>
      </c>
      <c r="DD22">
        <v>218187.886338746</v>
      </c>
      <c r="DE22">
        <v>125.447283694863</v>
      </c>
      <c r="DF22">
        <v>4.8667848704784804</v>
      </c>
      <c r="DG22">
        <v>4.2182776200858898</v>
      </c>
      <c r="DH22">
        <v>772014.95995451405</v>
      </c>
      <c r="DI22">
        <v>402667.33715029701</v>
      </c>
      <c r="DJ22">
        <v>1063.2108691498199</v>
      </c>
      <c r="DK22">
        <v>4.1125687527523401E-2</v>
      </c>
      <c r="DL22">
        <v>0.67022357421816503</v>
      </c>
      <c r="DM22">
        <v>1.2683965823490899</v>
      </c>
      <c r="DN22">
        <v>3.57615042376472E-2</v>
      </c>
      <c r="DO22">
        <v>4.6545582279544397E-2</v>
      </c>
      <c r="DP22">
        <v>29291.775000000001</v>
      </c>
      <c r="DQ22">
        <v>24504.492279922699</v>
      </c>
      <c r="DR22">
        <v>4.3375000000000004</v>
      </c>
      <c r="DS22">
        <v>174276.02913283001</v>
      </c>
      <c r="DT22">
        <v>30769.6527673366</v>
      </c>
      <c r="DU22">
        <v>13142.2044385798</v>
      </c>
      <c r="DV22">
        <v>8.2317499999999999</v>
      </c>
      <c r="DW22">
        <v>0</v>
      </c>
      <c r="DX22">
        <v>56.25</v>
      </c>
      <c r="DY22">
        <v>208288.96</v>
      </c>
      <c r="DZ22">
        <v>2.2474765910198098</v>
      </c>
      <c r="EA22">
        <v>73.854938500949402</v>
      </c>
      <c r="EB22">
        <v>1.06103140913822</v>
      </c>
      <c r="EC22">
        <v>1.20449936397015</v>
      </c>
      <c r="ED22">
        <v>165420447.06475401</v>
      </c>
      <c r="EE22">
        <v>3.1553370224804702</v>
      </c>
      <c r="EF22">
        <v>4.3499999999999997E-2</v>
      </c>
      <c r="EG22">
        <v>3.0492648484848499E-2</v>
      </c>
      <c r="EH22">
        <v>3.050813492075E-2</v>
      </c>
      <c r="EI22">
        <v>4.4180333333333301E-2</v>
      </c>
    </row>
    <row r="23" spans="1:139" x14ac:dyDescent="0.25">
      <c r="A23" s="2">
        <v>47635</v>
      </c>
      <c r="B23">
        <v>420138.35204439901</v>
      </c>
      <c r="C23">
        <v>38832.156092241697</v>
      </c>
      <c r="D23">
        <v>24483.248607178601</v>
      </c>
      <c r="E23">
        <v>258213.36404090701</v>
      </c>
      <c r="F23">
        <v>53689.801132120403</v>
      </c>
      <c r="G23">
        <v>14909.273913930299</v>
      </c>
      <c r="H23">
        <v>65419.140835024104</v>
      </c>
      <c r="I23">
        <v>65011.833648648702</v>
      </c>
      <c r="J23">
        <v>99058.007179522407</v>
      </c>
      <c r="K23">
        <v>412.05410896173697</v>
      </c>
      <c r="L23">
        <v>5170.0801381819601</v>
      </c>
      <c r="M23">
        <v>0.67306410723270504</v>
      </c>
      <c r="N23">
        <v>32770.566029124398</v>
      </c>
      <c r="O23">
        <v>185.49936562262599</v>
      </c>
      <c r="P23">
        <v>1.78691351304164</v>
      </c>
      <c r="Q23">
        <v>1.4529789859534701</v>
      </c>
      <c r="R23">
        <v>1.07583589971942</v>
      </c>
      <c r="S23">
        <v>0.10752092903511901</v>
      </c>
      <c r="T23">
        <v>5865.4482230806698</v>
      </c>
      <c r="U23">
        <v>0.42102279059206299</v>
      </c>
      <c r="V23">
        <v>0.595282971765974</v>
      </c>
      <c r="W23">
        <v>24749936.647075798</v>
      </c>
      <c r="X23">
        <v>80049.068452282707</v>
      </c>
      <c r="Y23">
        <v>4652137.9780229097</v>
      </c>
      <c r="Z23">
        <v>1161.0096547523101</v>
      </c>
      <c r="AA23">
        <v>1.1517421524156399</v>
      </c>
      <c r="AB23">
        <v>1.1176431029721501</v>
      </c>
      <c r="AC23">
        <v>1.26429457983893</v>
      </c>
      <c r="AD23">
        <v>1.3609903030619199</v>
      </c>
      <c r="AE23">
        <v>124.558920780874</v>
      </c>
      <c r="AF23">
        <v>113779.24853693</v>
      </c>
      <c r="AG23">
        <v>1164.3851612271801</v>
      </c>
      <c r="AH23">
        <v>160.17078199047299</v>
      </c>
      <c r="AI23">
        <v>83944.464171133601</v>
      </c>
      <c r="AJ23">
        <v>93476.5998292929</v>
      </c>
      <c r="AK23">
        <v>585.66321714193998</v>
      </c>
      <c r="AL23">
        <v>27954.3561599118</v>
      </c>
      <c r="AM23">
        <v>20071.128047348298</v>
      </c>
      <c r="AN23">
        <v>0.92379108835815205</v>
      </c>
      <c r="AO23">
        <v>1.0446441830812001</v>
      </c>
      <c r="AP23">
        <v>1.2243773562286999</v>
      </c>
      <c r="AQ23">
        <v>1.31814782473063</v>
      </c>
      <c r="AR23">
        <v>37654.329133809297</v>
      </c>
      <c r="AS23">
        <v>214470.03830455901</v>
      </c>
      <c r="AT23">
        <v>4.8128099978330098E-2</v>
      </c>
      <c r="AU23">
        <v>5.13311621812109E-2</v>
      </c>
      <c r="AV23">
        <v>-0.441727364575487</v>
      </c>
      <c r="AW23">
        <v>258213.36404090701</v>
      </c>
      <c r="AX23">
        <v>11492.867916878</v>
      </c>
      <c r="AY23">
        <v>20323.521533128402</v>
      </c>
      <c r="AZ23">
        <v>185151.98589380801</v>
      </c>
      <c r="BA23">
        <v>553804.45527226198</v>
      </c>
      <c r="BB23">
        <v>220987.09043923099</v>
      </c>
      <c r="BC23">
        <v>52850.187888527798</v>
      </c>
      <c r="BD23">
        <v>20536.760984272099</v>
      </c>
      <c r="BE23">
        <v>28198.3894489591</v>
      </c>
      <c r="BF23">
        <v>93819.950513336604</v>
      </c>
      <c r="BG23">
        <v>50292.346310002496</v>
      </c>
      <c r="BH23">
        <v>91508.904262960699</v>
      </c>
      <c r="BI23">
        <v>29529.649708208501</v>
      </c>
      <c r="BJ23">
        <v>20967.1871625403</v>
      </c>
      <c r="BK23">
        <v>46901.825996350999</v>
      </c>
      <c r="BL23">
        <v>200497.12713005999</v>
      </c>
      <c r="BM23">
        <v>230734.566622243</v>
      </c>
      <c r="BN23">
        <v>990251.74136440898</v>
      </c>
      <c r="BO23">
        <v>809012.801138337</v>
      </c>
      <c r="BP23">
        <v>838760.825025992</v>
      </c>
      <c r="BQ23">
        <v>121.947365960735</v>
      </c>
      <c r="BR23">
        <v>1.22402478123196</v>
      </c>
      <c r="BS23">
        <v>1.0828786208377601</v>
      </c>
      <c r="BT23">
        <v>100.654627821974</v>
      </c>
      <c r="BU23">
        <v>89391.731888429495</v>
      </c>
      <c r="BV23">
        <v>1.76749108124912</v>
      </c>
      <c r="BW23">
        <v>157999.08885021199</v>
      </c>
      <c r="BX23">
        <v>10882.441243600901</v>
      </c>
      <c r="BY23">
        <v>16052.521381782801</v>
      </c>
      <c r="BZ23">
        <v>16548.377930815699</v>
      </c>
      <c r="CA23">
        <v>495.856549032847</v>
      </c>
      <c r="CB23">
        <v>2.9964056476215702E-2</v>
      </c>
      <c r="CC23">
        <v>11548471.443732601</v>
      </c>
      <c r="CD23">
        <v>483326.85631098301</v>
      </c>
      <c r="CE23">
        <v>600214.42336480995</v>
      </c>
      <c r="CF23">
        <v>346048.37390421203</v>
      </c>
      <c r="CG23">
        <v>17535.101792515201</v>
      </c>
      <c r="CH23">
        <v>906836.16566452803</v>
      </c>
      <c r="CI23">
        <v>9.9849695175441594E-2</v>
      </c>
      <c r="CJ23">
        <v>10.0150531080034</v>
      </c>
      <c r="CK23">
        <v>1203599.2858102201</v>
      </c>
      <c r="CL23">
        <v>3099043.1296742698</v>
      </c>
      <c r="CM23">
        <v>3335318.0105834999</v>
      </c>
      <c r="CN23">
        <v>4302642.4154844899</v>
      </c>
      <c r="CO23">
        <v>9694272.9372109305</v>
      </c>
      <c r="CP23">
        <v>-1.51123756631054E-3</v>
      </c>
      <c r="CQ23">
        <v>1.69182463657027E-3</v>
      </c>
      <c r="CR23">
        <v>5.78815914904788E-2</v>
      </c>
      <c r="CS23">
        <v>1.79146760119492</v>
      </c>
      <c r="CT23">
        <v>5.78815914904788E-2</v>
      </c>
      <c r="CU23">
        <v>3.9440022763365001E-2</v>
      </c>
      <c r="CV23">
        <v>1.8430022763365E-2</v>
      </c>
      <c r="CW23">
        <v>-1.67381981267948E-2</v>
      </c>
      <c r="CX23">
        <v>0.53449279764800395</v>
      </c>
      <c r="CY23">
        <v>6.2588335591089397</v>
      </c>
      <c r="CZ23">
        <v>6.5857591228330098E-2</v>
      </c>
      <c r="DA23">
        <v>4.4353491671623099E-2</v>
      </c>
      <c r="DB23">
        <v>7.7881420575807297E-3</v>
      </c>
      <c r="DC23">
        <v>0.14841005251228701</v>
      </c>
      <c r="DD23">
        <v>218832.39172858599</v>
      </c>
      <c r="DE23">
        <v>126.852539034475</v>
      </c>
      <c r="DF23">
        <v>4.8780817561066003</v>
      </c>
      <c r="DG23">
        <v>4.2266533018834096</v>
      </c>
      <c r="DH23">
        <v>776565.14657127601</v>
      </c>
      <c r="DI23">
        <v>405361.41975781799</v>
      </c>
      <c r="DJ23">
        <v>1078.5911847602199</v>
      </c>
      <c r="DK23">
        <v>4.1125687527523401E-2</v>
      </c>
      <c r="DL23">
        <v>0.67022357421816503</v>
      </c>
      <c r="DM23">
        <v>1.28139011501333</v>
      </c>
      <c r="DN23">
        <v>3.57615042376472E-2</v>
      </c>
      <c r="DO23">
        <v>4.6545582279544397E-2</v>
      </c>
      <c r="DP23">
        <v>29378.3</v>
      </c>
      <c r="DQ23">
        <v>24586.629643429002</v>
      </c>
      <c r="DR23">
        <v>4.32</v>
      </c>
      <c r="DS23">
        <v>174790.82324895001</v>
      </c>
      <c r="DT23">
        <v>30860.5432717767</v>
      </c>
      <c r="DU23">
        <v>13181.0252078589</v>
      </c>
      <c r="DV23">
        <v>8.2317499999999999</v>
      </c>
      <c r="DW23">
        <v>0</v>
      </c>
      <c r="DX23">
        <v>56.25</v>
      </c>
      <c r="DY23">
        <v>208288.96</v>
      </c>
      <c r="DZ23">
        <v>2.2592338305790598</v>
      </c>
      <c r="EA23">
        <v>73.799918021634696</v>
      </c>
      <c r="EB23">
        <v>1.0550404434088201</v>
      </c>
      <c r="EC23">
        <v>1.20449936397015</v>
      </c>
      <c r="ED23">
        <v>166787964.81311199</v>
      </c>
      <c r="EE23">
        <v>3.1565510341022698</v>
      </c>
      <c r="EF23">
        <v>4.3499999999999997E-2</v>
      </c>
      <c r="EG23">
        <v>3.0492648484848499E-2</v>
      </c>
      <c r="EH23">
        <v>3.050813492075E-2</v>
      </c>
      <c r="EI23">
        <v>4.4180333333333301E-2</v>
      </c>
    </row>
    <row r="24" spans="1:139" x14ac:dyDescent="0.25">
      <c r="A24" s="2">
        <v>47727</v>
      </c>
      <c r="B24">
        <v>422958.88294392201</v>
      </c>
      <c r="C24">
        <v>38996.836358123001</v>
      </c>
      <c r="D24">
        <v>24651.967999171298</v>
      </c>
      <c r="E24">
        <v>261180.74084708901</v>
      </c>
      <c r="F24">
        <v>54230.014381458197</v>
      </c>
      <c r="G24">
        <v>15209.086661577199</v>
      </c>
      <c r="H24">
        <v>66418.820737612594</v>
      </c>
      <c r="I24">
        <v>68506.903512332399</v>
      </c>
      <c r="J24">
        <v>99361.639250327105</v>
      </c>
      <c r="K24">
        <v>411.501141104677</v>
      </c>
      <c r="L24">
        <v>5194.3024492457298</v>
      </c>
      <c r="M24">
        <v>0.67306695663804805</v>
      </c>
      <c r="N24">
        <v>33245.5732323665</v>
      </c>
      <c r="O24">
        <v>187.68269109552301</v>
      </c>
      <c r="P24">
        <v>1.8154113483724199</v>
      </c>
      <c r="Q24">
        <v>1.4643488075139099</v>
      </c>
      <c r="R24">
        <v>1.07834631954061</v>
      </c>
      <c r="S24">
        <v>0.10924701973519001</v>
      </c>
      <c r="T24">
        <v>5800.8628131134201</v>
      </c>
      <c r="U24">
        <v>0.42216452411521899</v>
      </c>
      <c r="V24">
        <v>0.59450340280426295</v>
      </c>
      <c r="W24">
        <v>25162482.3249464</v>
      </c>
      <c r="X24">
        <v>81443.030759022702</v>
      </c>
      <c r="Y24">
        <v>4657857.10966984</v>
      </c>
      <c r="Z24">
        <v>1180.7216177397299</v>
      </c>
      <c r="AA24">
        <v>1.1585400419691201</v>
      </c>
      <c r="AB24">
        <v>1.12257473439629</v>
      </c>
      <c r="AC24">
        <v>1.2778133884465599</v>
      </c>
      <c r="AD24">
        <v>1.37976639464398</v>
      </c>
      <c r="AE24">
        <v>125.708436318124</v>
      </c>
      <c r="AF24">
        <v>114096.658109679</v>
      </c>
      <c r="AG24">
        <v>1178.1628346285499</v>
      </c>
      <c r="AH24">
        <v>162.81206686166001</v>
      </c>
      <c r="AI24">
        <v>84781.524890974106</v>
      </c>
      <c r="AJ24">
        <v>92879.857923432995</v>
      </c>
      <c r="AK24">
        <v>583.07780828923603</v>
      </c>
      <c r="AL24">
        <v>28338.599892804701</v>
      </c>
      <c r="AM24">
        <v>20086.950840926998</v>
      </c>
      <c r="AN24">
        <v>0.92001768473240297</v>
      </c>
      <c r="AO24">
        <v>1.0504860357630299</v>
      </c>
      <c r="AP24">
        <v>1.2359474505825301</v>
      </c>
      <c r="AQ24">
        <v>1.33244407681229</v>
      </c>
      <c r="AR24">
        <v>37892.479552660501</v>
      </c>
      <c r="AS24">
        <v>217028.562540532</v>
      </c>
      <c r="AT24">
        <v>4.9178314414562503E-2</v>
      </c>
      <c r="AU24">
        <v>5.1934750853567302E-2</v>
      </c>
      <c r="AV24">
        <v>-0.431026809928171</v>
      </c>
      <c r="AW24">
        <v>261180.74084708901</v>
      </c>
      <c r="AX24">
        <v>11541.607125172201</v>
      </c>
      <c r="AY24">
        <v>20469.511826997001</v>
      </c>
      <c r="AZ24">
        <v>185855.581470912</v>
      </c>
      <c r="BA24">
        <v>563569.05874213099</v>
      </c>
      <c r="BB24">
        <v>224022.879979224</v>
      </c>
      <c r="BC24">
        <v>53806.524304368497</v>
      </c>
      <c r="BD24">
        <v>20952.764553493598</v>
      </c>
      <c r="BE24">
        <v>28560.2920403813</v>
      </c>
      <c r="BF24">
        <v>95173.596884498096</v>
      </c>
      <c r="BG24">
        <v>51032.357403023001</v>
      </c>
      <c r="BH24">
        <v>91414.465294302194</v>
      </c>
      <c r="BI24">
        <v>29974.505234255001</v>
      </c>
      <c r="BJ24">
        <v>21101.061359452298</v>
      </c>
      <c r="BK24">
        <v>47634.043527814298</v>
      </c>
      <c r="BL24">
        <v>201713.63541582401</v>
      </c>
      <c r="BM24">
        <v>234031.95165077</v>
      </c>
      <c r="BN24">
        <v>1004799.15767217</v>
      </c>
      <c r="BO24">
        <v>814824.19640977599</v>
      </c>
      <c r="BP24">
        <v>846427.14899878297</v>
      </c>
      <c r="BQ24">
        <v>122.81416730382</v>
      </c>
      <c r="BR24">
        <v>1.2331483740521401</v>
      </c>
      <c r="BS24">
        <v>1.08532460429441</v>
      </c>
      <c r="BT24">
        <v>100.647128350823</v>
      </c>
      <c r="BU24">
        <v>89991.848827828799</v>
      </c>
      <c r="BV24">
        <v>1.7966377670231699</v>
      </c>
      <c r="BW24">
        <v>161682.75432831701</v>
      </c>
      <c r="BX24">
        <v>10910.4612402615</v>
      </c>
      <c r="BY24">
        <v>16104.763689507199</v>
      </c>
      <c r="BZ24">
        <v>16603.975924347302</v>
      </c>
      <c r="CA24">
        <v>499.21223484005702</v>
      </c>
      <c r="CB24">
        <v>3.0065823972452201E-2</v>
      </c>
      <c r="CC24">
        <v>11583260.3771553</v>
      </c>
      <c r="CD24">
        <v>491928.41593089898</v>
      </c>
      <c r="CE24">
        <v>612925.458338183</v>
      </c>
      <c r="CF24">
        <v>349738.383006408</v>
      </c>
      <c r="CG24">
        <v>17906.451236097098</v>
      </c>
      <c r="CH24">
        <v>920158.15508782398</v>
      </c>
      <c r="CI24">
        <v>0.10051570379687901</v>
      </c>
      <c r="CJ24">
        <v>9.9486942062385904</v>
      </c>
      <c r="CK24">
        <v>1208875.1196570999</v>
      </c>
      <c r="CL24">
        <v>3131927.9096387299</v>
      </c>
      <c r="CM24">
        <v>3347544.0264044902</v>
      </c>
      <c r="CN24">
        <v>4340803.0292958301</v>
      </c>
      <c r="CO24">
        <v>9744659.5668432601</v>
      </c>
      <c r="CP24">
        <v>2.1344428618511E-4</v>
      </c>
      <c r="CQ24">
        <v>2.9698807251899001E-3</v>
      </c>
      <c r="CR24">
        <v>6.02821496068126E-2</v>
      </c>
      <c r="CS24">
        <v>1.8125531549617999</v>
      </c>
      <c r="CT24">
        <v>6.02821496068126E-2</v>
      </c>
      <c r="CU24">
        <v>3.9440022763365001E-2</v>
      </c>
      <c r="CV24">
        <v>1.8416273043411299E-2</v>
      </c>
      <c r="CW24">
        <v>-1.54463923182214E-2</v>
      </c>
      <c r="CX24">
        <v>0.53239498972084498</v>
      </c>
      <c r="CY24">
        <v>6.2910522587231696</v>
      </c>
      <c r="CZ24">
        <v>6.6907805664562503E-2</v>
      </c>
      <c r="DA24">
        <v>4.5076660934547701E-2</v>
      </c>
      <c r="DB24">
        <v>7.8333436992813702E-3</v>
      </c>
      <c r="DC24">
        <v>0.149088139794672</v>
      </c>
      <c r="DD24">
        <v>219491.608452085</v>
      </c>
      <c r="DE24">
        <v>128.18925476308399</v>
      </c>
      <c r="DF24">
        <v>4.88872138282699</v>
      </c>
      <c r="DG24">
        <v>4.2343717247732098</v>
      </c>
      <c r="DH24">
        <v>781142.15157799295</v>
      </c>
      <c r="DI24">
        <v>408073.52737115999</v>
      </c>
      <c r="DJ24">
        <v>1094.1939906734699</v>
      </c>
      <c r="DK24">
        <v>4.1125687527523401E-2</v>
      </c>
      <c r="DL24">
        <v>0.67022357421816503</v>
      </c>
      <c r="DM24">
        <v>1.2945167542259799</v>
      </c>
      <c r="DN24">
        <v>3.57615042376472E-2</v>
      </c>
      <c r="DO24">
        <v>4.6545582279544397E-2</v>
      </c>
      <c r="DP24">
        <v>29466.799999999999</v>
      </c>
      <c r="DQ24">
        <v>24669.129513182001</v>
      </c>
      <c r="DR24">
        <v>4.3025000000000002</v>
      </c>
      <c r="DS24">
        <v>175317.367938654</v>
      </c>
      <c r="DT24">
        <v>30953.508422229599</v>
      </c>
      <c r="DU24">
        <v>13220.7320912012</v>
      </c>
      <c r="DV24">
        <v>6.5853999999999999</v>
      </c>
      <c r="DW24">
        <v>0</v>
      </c>
      <c r="DX24">
        <v>57.125</v>
      </c>
      <c r="DY24">
        <v>208288.96</v>
      </c>
      <c r="DZ24">
        <v>2.27105257586549</v>
      </c>
      <c r="EA24">
        <v>73.744938531496899</v>
      </c>
      <c r="EB24">
        <v>1.0490833048310499</v>
      </c>
      <c r="EC24">
        <v>1.20449936397015</v>
      </c>
      <c r="ED24">
        <v>168166787.72250199</v>
      </c>
      <c r="EE24">
        <v>3.1577655128133899</v>
      </c>
      <c r="EF24">
        <v>4.3499999999999997E-2</v>
      </c>
      <c r="EG24">
        <v>3.0492648484848499E-2</v>
      </c>
      <c r="EH24">
        <v>3.050813492075E-2</v>
      </c>
      <c r="EI24">
        <v>4.4180333333333301E-2</v>
      </c>
    </row>
    <row r="25" spans="1:139" x14ac:dyDescent="0.25">
      <c r="A25" s="2">
        <v>47818</v>
      </c>
      <c r="B25">
        <v>425919.97977575602</v>
      </c>
      <c r="C25">
        <v>39144.0835141114</v>
      </c>
      <c r="D25">
        <v>24799.924018096099</v>
      </c>
      <c r="E25">
        <v>264243.97775426001</v>
      </c>
      <c r="F25">
        <v>54759.220012189297</v>
      </c>
      <c r="G25">
        <v>15502.984938249199</v>
      </c>
      <c r="H25">
        <v>67420.977696370901</v>
      </c>
      <c r="I25">
        <v>68328.284335967401</v>
      </c>
      <c r="J25">
        <v>99513.412653518695</v>
      </c>
      <c r="K25">
        <v>410.90612553904401</v>
      </c>
      <c r="L25">
        <v>5218.3162604152803</v>
      </c>
      <c r="M25">
        <v>0.67304560766240096</v>
      </c>
      <c r="N25">
        <v>33725.067925700903</v>
      </c>
      <c r="O25">
        <v>189.857362500145</v>
      </c>
      <c r="P25">
        <v>1.84429007908099</v>
      </c>
      <c r="Q25">
        <v>1.47476483150409</v>
      </c>
      <c r="R25">
        <v>1.0803555381811101</v>
      </c>
      <c r="S25">
        <v>0.110800214570575</v>
      </c>
      <c r="T25">
        <v>5740.4144718315902</v>
      </c>
      <c r="U25">
        <v>0.42358711058429199</v>
      </c>
      <c r="V25">
        <v>0.59412612183262403</v>
      </c>
      <c r="W25">
        <v>25582930.140385501</v>
      </c>
      <c r="X25">
        <v>82862.036904600507</v>
      </c>
      <c r="Y25">
        <v>4662526.3592171799</v>
      </c>
      <c r="Z25">
        <v>1200.4895519101401</v>
      </c>
      <c r="AA25">
        <v>1.16533717190284</v>
      </c>
      <c r="AB25">
        <v>1.12731708654131</v>
      </c>
      <c r="AC25">
        <v>1.2915926383788401</v>
      </c>
      <c r="AD25">
        <v>1.39874041732363</v>
      </c>
      <c r="AE25">
        <v>126.87229613517501</v>
      </c>
      <c r="AF25">
        <v>114324.910866263</v>
      </c>
      <c r="AG25">
        <v>1192.13168883207</v>
      </c>
      <c r="AH25">
        <v>165.46074805496499</v>
      </c>
      <c r="AI25">
        <v>85635.582854211796</v>
      </c>
      <c r="AJ25">
        <v>92357.440564167002</v>
      </c>
      <c r="AK25">
        <v>580.38534770732599</v>
      </c>
      <c r="AL25">
        <v>28736.361649000599</v>
      </c>
      <c r="AM25">
        <v>20100.395740337401</v>
      </c>
      <c r="AN25">
        <v>0.91555745379387099</v>
      </c>
      <c r="AO25">
        <v>1.05605473035289</v>
      </c>
      <c r="AP25">
        <v>1.24745172101729</v>
      </c>
      <c r="AQ25">
        <v>1.3466853719629801</v>
      </c>
      <c r="AR25">
        <v>38121.003138730703</v>
      </c>
      <c r="AS25">
        <v>219723.32715212199</v>
      </c>
      <c r="AT25">
        <v>5.0036761784637999E-2</v>
      </c>
      <c r="AU25">
        <v>5.2496634896624497E-2</v>
      </c>
      <c r="AV25">
        <v>-0.41780899076830103</v>
      </c>
      <c r="AW25">
        <v>264243.97775426001</v>
      </c>
      <c r="AX25">
        <v>11585.1867840222</v>
      </c>
      <c r="AY25">
        <v>20613.181995244198</v>
      </c>
      <c r="AZ25">
        <v>186392.99352783099</v>
      </c>
      <c r="BA25">
        <v>573580.20681068499</v>
      </c>
      <c r="BB25">
        <v>227118.70305452001</v>
      </c>
      <c r="BC25">
        <v>54752.411710279099</v>
      </c>
      <c r="BD25">
        <v>21366.445050072402</v>
      </c>
      <c r="BE25">
        <v>28900.273318653399</v>
      </c>
      <c r="BF25">
        <v>96538.454862192099</v>
      </c>
      <c r="BG25">
        <v>51784.316882393199</v>
      </c>
      <c r="BH25">
        <v>91110.246707394297</v>
      </c>
      <c r="BI25">
        <v>30399.5958719794</v>
      </c>
      <c r="BJ25">
        <v>21227.118003548399</v>
      </c>
      <c r="BK25">
        <v>48364.9919918698</v>
      </c>
      <c r="BL25">
        <v>202691.512574792</v>
      </c>
      <c r="BM25">
        <v>237379.31335637401</v>
      </c>
      <c r="BN25">
        <v>1019353.0109072099</v>
      </c>
      <c r="BO25">
        <v>820543.23507667205</v>
      </c>
      <c r="BP25">
        <v>854303.540176098</v>
      </c>
      <c r="BQ25">
        <v>123.67681402607499</v>
      </c>
      <c r="BR25">
        <v>1.2422904025013899</v>
      </c>
      <c r="BS25">
        <v>1.08744169369503</v>
      </c>
      <c r="BT25">
        <v>100.655909583789</v>
      </c>
      <c r="BU25">
        <v>90621.873610853305</v>
      </c>
      <c r="BV25">
        <v>1.8258660715120401</v>
      </c>
      <c r="BW25">
        <v>165463.40436290999</v>
      </c>
      <c r="BX25">
        <v>10937.213196251399</v>
      </c>
      <c r="BY25">
        <v>16155.5294566667</v>
      </c>
      <c r="BZ25">
        <v>16659.0095375821</v>
      </c>
      <c r="CA25">
        <v>503.48008091544898</v>
      </c>
      <c r="CB25">
        <v>3.0222688979500201E-2</v>
      </c>
      <c r="CC25">
        <v>11618049.310577899</v>
      </c>
      <c r="CD25">
        <v>500596.43943820999</v>
      </c>
      <c r="CE25">
        <v>621722.01677664497</v>
      </c>
      <c r="CF25">
        <v>353359.42916786199</v>
      </c>
      <c r="CG25">
        <v>18163.440308064899</v>
      </c>
      <c r="CH25">
        <v>933486.03921264701</v>
      </c>
      <c r="CI25">
        <v>0.101105129351774</v>
      </c>
      <c r="CJ25">
        <v>9.89069502617137</v>
      </c>
      <c r="CK25">
        <v>1214235.47948535</v>
      </c>
      <c r="CL25">
        <v>3165107.9422842502</v>
      </c>
      <c r="CM25">
        <v>3359837.1944323</v>
      </c>
      <c r="CN25">
        <v>4379343.4217695901</v>
      </c>
      <c r="CO25">
        <v>9795493.12734483</v>
      </c>
      <c r="CP25">
        <v>1.77753911518769E-3</v>
      </c>
      <c r="CQ25">
        <v>4.2374122271742502E-3</v>
      </c>
      <c r="CR25">
        <v>6.2540991901124901E-2</v>
      </c>
      <c r="CS25">
        <v>1.8335551317154699</v>
      </c>
      <c r="CT25">
        <v>6.2540991901124901E-2</v>
      </c>
      <c r="CU25">
        <v>3.9440022763365001E-2</v>
      </c>
      <c r="CV25">
        <v>1.8402523136761599E-2</v>
      </c>
      <c r="CW25">
        <v>-1.41651109095874E-2</v>
      </c>
      <c r="CX25">
        <v>0.53073676549373605</v>
      </c>
      <c r="CY25">
        <v>6.3231129733471798</v>
      </c>
      <c r="CZ25">
        <v>6.7766253034637999E-2</v>
      </c>
      <c r="DA25">
        <v>4.5675183297464998E-2</v>
      </c>
      <c r="DB25">
        <v>7.8754641667273407E-3</v>
      </c>
      <c r="DC25">
        <v>0.14967677674711799</v>
      </c>
      <c r="DD25">
        <v>220150.825175584</v>
      </c>
      <c r="DE25">
        <v>129.53881388509399</v>
      </c>
      <c r="DF25">
        <v>4.8993514192369902</v>
      </c>
      <c r="DG25">
        <v>4.2420805573526099</v>
      </c>
      <c r="DH25">
        <v>785746.13303984003</v>
      </c>
      <c r="DI25">
        <v>410803.78058827098</v>
      </c>
      <c r="DJ25">
        <v>1110.02250541487</v>
      </c>
      <c r="DK25">
        <v>4.1125687527523401E-2</v>
      </c>
      <c r="DL25">
        <v>0.67022357421816503</v>
      </c>
      <c r="DM25">
        <v>1.3077778635387201</v>
      </c>
      <c r="DN25">
        <v>3.57615042376472E-2</v>
      </c>
      <c r="DO25">
        <v>4.6545582279544397E-2</v>
      </c>
      <c r="DP25">
        <v>29555.3</v>
      </c>
      <c r="DQ25">
        <v>24751.68004653</v>
      </c>
      <c r="DR25">
        <v>4.2850000000000001</v>
      </c>
      <c r="DS25">
        <v>175843.912628358</v>
      </c>
      <c r="DT25">
        <v>31046.4735726826</v>
      </c>
      <c r="DU25">
        <v>13260.4389745435</v>
      </c>
      <c r="DV25">
        <v>6.5853999999999999</v>
      </c>
      <c r="DW25">
        <v>0</v>
      </c>
      <c r="DX25">
        <v>57.125</v>
      </c>
      <c r="DY25">
        <v>208288.96</v>
      </c>
      <c r="DZ25">
        <v>2.28293314863443</v>
      </c>
      <c r="EA25">
        <v>73.69</v>
      </c>
      <c r="EB25">
        <v>1.04315980240464</v>
      </c>
      <c r="EC25">
        <v>1.20449936397015</v>
      </c>
      <c r="ED25">
        <v>169557009.25179601</v>
      </c>
      <c r="EE25">
        <v>3.1589804587935402</v>
      </c>
      <c r="EF25">
        <v>4.3499999999999997E-2</v>
      </c>
      <c r="EG25">
        <v>3.0492648484848499E-2</v>
      </c>
      <c r="EH25">
        <v>3.050813492075E-2</v>
      </c>
      <c r="EI25">
        <v>4.4180333333333301E-2</v>
      </c>
    </row>
    <row r="26" spans="1:139" x14ac:dyDescent="0.25">
      <c r="A26" s="2">
        <v>47908</v>
      </c>
      <c r="B26">
        <v>428998.45483257802</v>
      </c>
      <c r="C26">
        <v>39280.003289689899</v>
      </c>
      <c r="D26">
        <v>24934.1107781471</v>
      </c>
      <c r="E26">
        <v>267381.41118308302</v>
      </c>
      <c r="F26">
        <v>55315.004784163801</v>
      </c>
      <c r="G26">
        <v>15794.3542178591</v>
      </c>
      <c r="H26">
        <v>68438.155244482099</v>
      </c>
      <c r="I26">
        <v>68519.649490643496</v>
      </c>
      <c r="J26">
        <v>99719.668042077697</v>
      </c>
      <c r="K26">
        <v>410.30006459221198</v>
      </c>
      <c r="L26">
        <v>5242.24836047607</v>
      </c>
      <c r="M26">
        <v>0.67300357324050897</v>
      </c>
      <c r="N26">
        <v>34206.627224898701</v>
      </c>
      <c r="O26">
        <v>192.02375248233301</v>
      </c>
      <c r="P26">
        <v>1.87349096636713</v>
      </c>
      <c r="Q26">
        <v>1.4842304757834099</v>
      </c>
      <c r="R26">
        <v>1.08185317583229</v>
      </c>
      <c r="S26">
        <v>0.11219596515848</v>
      </c>
      <c r="T26">
        <v>5681.93556662828</v>
      </c>
      <c r="U26">
        <v>0.42524773439812202</v>
      </c>
      <c r="V26">
        <v>0.59408276174278596</v>
      </c>
      <c r="W26">
        <v>26011606.152465001</v>
      </c>
      <c r="X26">
        <v>84305.840145832801</v>
      </c>
      <c r="Y26">
        <v>4666741.9051353903</v>
      </c>
      <c r="Z26">
        <v>1220.46346871993</v>
      </c>
      <c r="AA26">
        <v>1.17207372057756</v>
      </c>
      <c r="AB26">
        <v>1.1318861862766401</v>
      </c>
      <c r="AC26">
        <v>1.30553509965213</v>
      </c>
      <c r="AD26">
        <v>1.4178629537004299</v>
      </c>
      <c r="AE26">
        <v>128.05168506638501</v>
      </c>
      <c r="AF26">
        <v>114479.682817864</v>
      </c>
      <c r="AG26">
        <v>1206.29321272318</v>
      </c>
      <c r="AH26">
        <v>168.11985994296401</v>
      </c>
      <c r="AI26">
        <v>86512.700382917901</v>
      </c>
      <c r="AJ26">
        <v>91945.643435363701</v>
      </c>
      <c r="AK26">
        <v>577.24441187146897</v>
      </c>
      <c r="AL26">
        <v>29147.794040935099</v>
      </c>
      <c r="AM26">
        <v>20116.228085637202</v>
      </c>
      <c r="AN26">
        <v>0.91061744768992203</v>
      </c>
      <c r="AO26">
        <v>1.0612045610782599</v>
      </c>
      <c r="AP26">
        <v>1.25888368845404</v>
      </c>
      <c r="AQ26">
        <v>1.36087095570175</v>
      </c>
      <c r="AR26">
        <v>38352.221538120903</v>
      </c>
      <c r="AS26">
        <v>222563.98469989499</v>
      </c>
      <c r="AT26">
        <v>5.0738248275286502E-2</v>
      </c>
      <c r="AU26">
        <v>5.3014519168143599E-2</v>
      </c>
      <c r="AV26">
        <v>-0.40392831103927002</v>
      </c>
      <c r="AW26">
        <v>267381.41118308302</v>
      </c>
      <c r="AX26">
        <v>11625.413961321001</v>
      </c>
      <c r="AY26">
        <v>20759.425339121601</v>
      </c>
      <c r="AZ26">
        <v>186992.543004957</v>
      </c>
      <c r="BA26">
        <v>583811.53763310297</v>
      </c>
      <c r="BB26">
        <v>230257.822570427</v>
      </c>
      <c r="BC26">
        <v>55693.661485682402</v>
      </c>
      <c r="BD26">
        <v>21780.108036813101</v>
      </c>
      <c r="BE26">
        <v>29224.615989035901</v>
      </c>
      <c r="BF26">
        <v>97922.529591974104</v>
      </c>
      <c r="BG26">
        <v>52545.251124759299</v>
      </c>
      <c r="BH26">
        <v>90806.469596962997</v>
      </c>
      <c r="BI26">
        <v>30811.771748074701</v>
      </c>
      <c r="BJ26">
        <v>21347.432996168802</v>
      </c>
      <c r="BK26">
        <v>49110.665939956802</v>
      </c>
      <c r="BL26">
        <v>203665.90028116299</v>
      </c>
      <c r="BM26">
        <v>240781.55367347001</v>
      </c>
      <c r="BN26">
        <v>1034119.87303949</v>
      </c>
      <c r="BO26">
        <v>826364.70343282796</v>
      </c>
      <c r="BP26">
        <v>862366.11653879401</v>
      </c>
      <c r="BQ26">
        <v>124.534896315526</v>
      </c>
      <c r="BR26">
        <v>1.25140854045907</v>
      </c>
      <c r="BS26">
        <v>1.0891658940419</v>
      </c>
      <c r="BT26">
        <v>100.675943683762</v>
      </c>
      <c r="BU26">
        <v>91276.872650016303</v>
      </c>
      <c r="BV26">
        <v>1.8552094791403</v>
      </c>
      <c r="BW26">
        <v>169337.71936659201</v>
      </c>
      <c r="BX26">
        <v>10963.2720398028</v>
      </c>
      <c r="BY26">
        <v>16205.5204002789</v>
      </c>
      <c r="BZ26">
        <v>16713.560015717099</v>
      </c>
      <c r="CA26">
        <v>508.03961543820202</v>
      </c>
      <c r="CB26">
        <v>3.0396851333109601E-2</v>
      </c>
      <c r="CC26">
        <v>11652838.244000601</v>
      </c>
      <c r="CD26">
        <v>509315.58352017897</v>
      </c>
      <c r="CE26">
        <v>631206.50805794797</v>
      </c>
      <c r="CF26">
        <v>357091.608811952</v>
      </c>
      <c r="CG26">
        <v>18440.527151689101</v>
      </c>
      <c r="CH26">
        <v>947008.98906020599</v>
      </c>
      <c r="CI26">
        <v>0.101592917607479</v>
      </c>
      <c r="CJ26">
        <v>9.8432058410180492</v>
      </c>
      <c r="CK26">
        <v>1219658.25302977</v>
      </c>
      <c r="CL26">
        <v>3198595.3602853799</v>
      </c>
      <c r="CM26">
        <v>3372179.5458776802</v>
      </c>
      <c r="CN26">
        <v>4418253.6133151501</v>
      </c>
      <c r="CO26">
        <v>9846745.6703357808</v>
      </c>
      <c r="CP26">
        <v>3.2176857450865498E-3</v>
      </c>
      <c r="CQ26">
        <v>5.4939566379436202E-3</v>
      </c>
      <c r="CR26">
        <v>6.4675402628280101E-2</v>
      </c>
      <c r="CS26">
        <v>1.85447713029814</v>
      </c>
      <c r="CT26">
        <v>6.4675402628280101E-2</v>
      </c>
      <c r="CU26">
        <v>3.9440022763365001E-2</v>
      </c>
      <c r="CV26">
        <v>1.83887730434136E-2</v>
      </c>
      <c r="CW26">
        <v>-1.289481640547E-2</v>
      </c>
      <c r="CX26">
        <v>0.52946984390132401</v>
      </c>
      <c r="CY26">
        <v>6.3557942855648397</v>
      </c>
      <c r="CZ26">
        <v>6.8467739525286495E-2</v>
      </c>
      <c r="DA26">
        <v>4.61721858558072E-2</v>
      </c>
      <c r="DB26">
        <v>7.9143221545526204E-3</v>
      </c>
      <c r="DC26">
        <v>0.15016418237038701</v>
      </c>
      <c r="DD26">
        <v>220810.041899084</v>
      </c>
      <c r="DE26">
        <v>130.86660449250201</v>
      </c>
      <c r="DF26">
        <v>4.9097065837936196</v>
      </c>
      <c r="DG26">
        <v>4.24951451807864</v>
      </c>
      <c r="DH26">
        <v>790377.24995361199</v>
      </c>
      <c r="DI26">
        <v>413552.30081397202</v>
      </c>
      <c r="DJ26">
        <v>1126.07999406863</v>
      </c>
      <c r="DK26">
        <v>4.1125687527523401E-2</v>
      </c>
      <c r="DL26">
        <v>0.67022357421816503</v>
      </c>
      <c r="DM26">
        <v>1.3211748204715299</v>
      </c>
      <c r="DN26">
        <v>3.57615042376472E-2</v>
      </c>
      <c r="DO26">
        <v>4.6545582279544397E-2</v>
      </c>
      <c r="DP26">
        <v>29643.8</v>
      </c>
      <c r="DQ26">
        <v>24834.281243473</v>
      </c>
      <c r="DR26">
        <v>4.2675000000000001</v>
      </c>
      <c r="DS26">
        <v>176370.45731806199</v>
      </c>
      <c r="DT26">
        <v>31139.438723135601</v>
      </c>
      <c r="DU26">
        <v>13300.1458578858</v>
      </c>
      <c r="DV26">
        <v>6.5853999999999999</v>
      </c>
      <c r="DW26">
        <v>0</v>
      </c>
      <c r="DX26">
        <v>57.125</v>
      </c>
      <c r="DY26">
        <v>208288.96</v>
      </c>
      <c r="DZ26">
        <v>2.2947578707023002</v>
      </c>
      <c r="EA26">
        <v>73.593811831011095</v>
      </c>
      <c r="EB26">
        <v>1.03747956574746</v>
      </c>
      <c r="EC26">
        <v>1.20449936397015</v>
      </c>
      <c r="ED26">
        <v>170935146.341831</v>
      </c>
      <c r="EE26">
        <v>3.16067903168604</v>
      </c>
      <c r="EF26">
        <v>4.3499999999999997E-2</v>
      </c>
      <c r="EG26">
        <v>3.0492648484848499E-2</v>
      </c>
      <c r="EH26">
        <v>3.050813492075E-2</v>
      </c>
      <c r="EI26">
        <v>4.4180333333333301E-2</v>
      </c>
    </row>
    <row r="27" spans="1:139" x14ac:dyDescent="0.25">
      <c r="A27" s="2">
        <v>48000</v>
      </c>
      <c r="B27">
        <v>431865.02326205402</v>
      </c>
      <c r="C27">
        <v>39409.635157598801</v>
      </c>
      <c r="D27">
        <v>25049.034218135599</v>
      </c>
      <c r="E27">
        <v>270613.86382630299</v>
      </c>
      <c r="F27">
        <v>55824.761265126603</v>
      </c>
      <c r="G27">
        <v>16080.665024432899</v>
      </c>
      <c r="H27">
        <v>69442.444013246699</v>
      </c>
      <c r="I27">
        <v>68981.722617130203</v>
      </c>
      <c r="J27">
        <v>99906.314351857</v>
      </c>
      <c r="K27">
        <v>409.63538064030399</v>
      </c>
      <c r="L27">
        <v>5265.9294638478104</v>
      </c>
      <c r="M27">
        <v>0.67294708137687398</v>
      </c>
      <c r="N27">
        <v>34692.208220009299</v>
      </c>
      <c r="O27">
        <v>194.17631909431699</v>
      </c>
      <c r="P27">
        <v>1.90287889058895</v>
      </c>
      <c r="Q27">
        <v>1.4927906494057399</v>
      </c>
      <c r="R27">
        <v>1.0829519125538201</v>
      </c>
      <c r="S27">
        <v>0.11340666836890199</v>
      </c>
      <c r="T27">
        <v>5625.7721913723299</v>
      </c>
      <c r="U27">
        <v>0.42711617585595202</v>
      </c>
      <c r="V27">
        <v>0.59434741858996998</v>
      </c>
      <c r="W27">
        <v>26449216.0064697</v>
      </c>
      <c r="X27">
        <v>85773.010304973301</v>
      </c>
      <c r="Y27">
        <v>4669641.9580284096</v>
      </c>
      <c r="Z27">
        <v>1240.64660182584</v>
      </c>
      <c r="AA27">
        <v>1.1787699330696499</v>
      </c>
      <c r="AB27">
        <v>1.13626834929457</v>
      </c>
      <c r="AC27">
        <v>1.31972759892291</v>
      </c>
      <c r="AD27">
        <v>1.4370798385472501</v>
      </c>
      <c r="AE27">
        <v>129.246676409</v>
      </c>
      <c r="AF27">
        <v>114549.50731517001</v>
      </c>
      <c r="AG27">
        <v>1220.64789596179</v>
      </c>
      <c r="AH27">
        <v>170.790440641093</v>
      </c>
      <c r="AI27">
        <v>87401.126283455305</v>
      </c>
      <c r="AJ27">
        <v>91571.441309778107</v>
      </c>
      <c r="AK27">
        <v>573.76310685665499</v>
      </c>
      <c r="AL27">
        <v>29555.3122220115</v>
      </c>
      <c r="AM27">
        <v>20126.581989800899</v>
      </c>
      <c r="AN27">
        <v>0.90518723937127199</v>
      </c>
      <c r="AO27">
        <v>1.0662189063265499</v>
      </c>
      <c r="AP27">
        <v>1.27019615379631</v>
      </c>
      <c r="AQ27">
        <v>1.37496142339367</v>
      </c>
      <c r="AR27">
        <v>38565.444698569001</v>
      </c>
      <c r="AS27">
        <v>225427.48784241299</v>
      </c>
      <c r="AT27">
        <v>5.1227624016730901E-2</v>
      </c>
      <c r="AU27">
        <v>5.3483516418007603E-2</v>
      </c>
      <c r="AV27">
        <v>-0.386541454326644</v>
      </c>
      <c r="AW27">
        <v>270613.86382630299</v>
      </c>
      <c r="AX27">
        <v>11663.7801527875</v>
      </c>
      <c r="AY27">
        <v>20900.542797989499</v>
      </c>
      <c r="AZ27">
        <v>187543.88383821599</v>
      </c>
      <c r="BA27">
        <v>593797.74753879895</v>
      </c>
      <c r="BB27">
        <v>233455.85571637101</v>
      </c>
      <c r="BC27">
        <v>56634.792129488</v>
      </c>
      <c r="BD27">
        <v>22194.761037209701</v>
      </c>
      <c r="BE27">
        <v>29527.048388771</v>
      </c>
      <c r="BF27">
        <v>99311.132499016094</v>
      </c>
      <c r="BG27">
        <v>53317.938863354997</v>
      </c>
      <c r="BH27">
        <v>90433.920883915998</v>
      </c>
      <c r="BI27">
        <v>31200.1348563432</v>
      </c>
      <c r="BJ27">
        <v>21459.3422372571</v>
      </c>
      <c r="BK27">
        <v>49844.555515251297</v>
      </c>
      <c r="BL27">
        <v>204527.51349276799</v>
      </c>
      <c r="BM27">
        <v>244127.129101144</v>
      </c>
      <c r="BN27">
        <v>1048639.6605646301</v>
      </c>
      <c r="BO27">
        <v>831982.12701432605</v>
      </c>
      <c r="BP27">
        <v>870295.69996177196</v>
      </c>
      <c r="BQ27">
        <v>125.37493464892</v>
      </c>
      <c r="BR27">
        <v>1.2604112500793301</v>
      </c>
      <c r="BS27">
        <v>1.09055816327875</v>
      </c>
      <c r="BT27">
        <v>100.702362739911</v>
      </c>
      <c r="BU27">
        <v>91886.784873551005</v>
      </c>
      <c r="BV27">
        <v>1.88467944555389</v>
      </c>
      <c r="BW27">
        <v>173177.134769214</v>
      </c>
      <c r="BX27">
        <v>10987.8852611763</v>
      </c>
      <c r="BY27">
        <v>16253.8147250241</v>
      </c>
      <c r="BZ27">
        <v>16767.777409206999</v>
      </c>
      <c r="CA27">
        <v>513.96268418293005</v>
      </c>
      <c r="CB27">
        <v>3.06518063579059E-2</v>
      </c>
      <c r="CC27">
        <v>11687627.1774232</v>
      </c>
      <c r="CD27">
        <v>518084.95064573101</v>
      </c>
      <c r="CE27">
        <v>641195.09215493698</v>
      </c>
      <c r="CF27">
        <v>360563.84060183301</v>
      </c>
      <c r="CG27">
        <v>18732.340930374899</v>
      </c>
      <c r="CH27">
        <v>960305.67705938604</v>
      </c>
      <c r="CI27">
        <v>0.10198832930643301</v>
      </c>
      <c r="CJ27">
        <v>9.8050434476224293</v>
      </c>
      <c r="CK27">
        <v>1225128.67501386</v>
      </c>
      <c r="CL27">
        <v>3232408.1587413899</v>
      </c>
      <c r="CM27">
        <v>3384559.3610195601</v>
      </c>
      <c r="CN27">
        <v>4457536.8337552501</v>
      </c>
      <c r="CO27">
        <v>9898408.7059177402</v>
      </c>
      <c r="CP27">
        <v>4.4514345533997503E-3</v>
      </c>
      <c r="CQ27">
        <v>6.7073269546764598E-3</v>
      </c>
      <c r="CR27">
        <v>6.6630478905571097E-2</v>
      </c>
      <c r="CS27">
        <v>1.8752656291258301</v>
      </c>
      <c r="CT27">
        <v>6.6630478905571097E-2</v>
      </c>
      <c r="CU27">
        <v>3.9440022763365001E-2</v>
      </c>
      <c r="CV27">
        <v>1.8375022763365001E-2</v>
      </c>
      <c r="CW27">
        <v>-1.1667695808688599E-2</v>
      </c>
      <c r="CX27">
        <v>0.52851997491103897</v>
      </c>
      <c r="CY27">
        <v>6.3892786082901099</v>
      </c>
      <c r="CZ27">
        <v>6.8957115266730901E-2</v>
      </c>
      <c r="DA27">
        <v>4.6528775230320597E-2</v>
      </c>
      <c r="DB27">
        <v>7.9495417332820697E-3</v>
      </c>
      <c r="DC27">
        <v>0.15054642441294799</v>
      </c>
      <c r="DD27">
        <v>221469.258622583</v>
      </c>
      <c r="DE27">
        <v>132.221052034411</v>
      </c>
      <c r="DF27">
        <v>4.9201604281158602</v>
      </c>
      <c r="DG27">
        <v>4.2570471585702796</v>
      </c>
      <c r="DH27">
        <v>795035.662253218</v>
      </c>
      <c r="DI27">
        <v>416319.21026535198</v>
      </c>
      <c r="DJ27">
        <v>1142.3697689513599</v>
      </c>
      <c r="DK27">
        <v>4.1125687527523401E-2</v>
      </c>
      <c r="DL27">
        <v>0.67022357421816503</v>
      </c>
      <c r="DM27">
        <v>1.3347090166558</v>
      </c>
      <c r="DN27">
        <v>3.57615042376472E-2</v>
      </c>
      <c r="DO27">
        <v>4.6545582279544397E-2</v>
      </c>
      <c r="DP27">
        <v>29732.3</v>
      </c>
      <c r="DQ27">
        <v>24916.933104011001</v>
      </c>
      <c r="DR27">
        <v>4.25</v>
      </c>
      <c r="DS27">
        <v>176897.00200776599</v>
      </c>
      <c r="DT27">
        <v>31232.403873588501</v>
      </c>
      <c r="DU27">
        <v>13339.8527412281</v>
      </c>
      <c r="DV27">
        <v>6.5853999999999999</v>
      </c>
      <c r="DW27">
        <v>0</v>
      </c>
      <c r="DX27">
        <v>57.125</v>
      </c>
      <c r="DY27">
        <v>208288.96</v>
      </c>
      <c r="DZ27">
        <v>2.3066438403157101</v>
      </c>
      <c r="EA27">
        <v>73.497749217237896</v>
      </c>
      <c r="EB27">
        <v>1.03183025923963</v>
      </c>
      <c r="EC27">
        <v>1.20449936397015</v>
      </c>
      <c r="ED27">
        <v>172324484.749035</v>
      </c>
      <c r="EE27">
        <v>3.1623785178953101</v>
      </c>
      <c r="EF27">
        <v>4.3499999999999997E-2</v>
      </c>
      <c r="EG27">
        <v>3.0492648484848499E-2</v>
      </c>
      <c r="EH27">
        <v>3.050813492075E-2</v>
      </c>
      <c r="EI27">
        <v>4.4180333333333301E-2</v>
      </c>
    </row>
    <row r="28" spans="1:139" x14ac:dyDescent="0.25">
      <c r="A28" s="2">
        <v>48092</v>
      </c>
      <c r="B28">
        <v>434834.59865654999</v>
      </c>
      <c r="C28">
        <v>39534.757682014097</v>
      </c>
      <c r="D28">
        <v>25149.022132828599</v>
      </c>
      <c r="E28">
        <v>273921.194509005</v>
      </c>
      <c r="F28">
        <v>56373.495649092903</v>
      </c>
      <c r="G28">
        <v>16363.1818565338</v>
      </c>
      <c r="H28">
        <v>70460.716160169803</v>
      </c>
      <c r="I28">
        <v>72801.280255799094</v>
      </c>
      <c r="J28">
        <v>100114.521653036</v>
      </c>
      <c r="K28">
        <v>409.03185713046599</v>
      </c>
      <c r="L28">
        <v>5289.1859425443999</v>
      </c>
      <c r="M28">
        <v>0.67287092531706305</v>
      </c>
      <c r="N28">
        <v>35178.069012003602</v>
      </c>
      <c r="O28">
        <v>196.312978954773</v>
      </c>
      <c r="P28">
        <v>1.9325023707620499</v>
      </c>
      <c r="Q28">
        <v>1.5005067076096099</v>
      </c>
      <c r="R28">
        <v>1.0836643584069601</v>
      </c>
      <c r="S28">
        <v>0.11443036569865001</v>
      </c>
      <c r="T28">
        <v>5570.6195934717098</v>
      </c>
      <c r="U28">
        <v>0.42914952522709499</v>
      </c>
      <c r="V28">
        <v>0.59485178933958405</v>
      </c>
      <c r="W28">
        <v>26895724.342481799</v>
      </c>
      <c r="X28">
        <v>87262.737635669793</v>
      </c>
      <c r="Y28">
        <v>4672032.3022996401</v>
      </c>
      <c r="Z28">
        <v>1261.0900908948799</v>
      </c>
      <c r="AA28">
        <v>1.1853945141036399</v>
      </c>
      <c r="AB28">
        <v>1.14048179656369</v>
      </c>
      <c r="AC28">
        <v>1.3340284538298799</v>
      </c>
      <c r="AD28">
        <v>1.4563464656693801</v>
      </c>
      <c r="AE28">
        <v>130.45544088347901</v>
      </c>
      <c r="AF28">
        <v>114532.78667872099</v>
      </c>
      <c r="AG28">
        <v>1233.54801174217</v>
      </c>
      <c r="AH28">
        <v>173.47821519472899</v>
      </c>
      <c r="AI28">
        <v>88310.422266133202</v>
      </c>
      <c r="AJ28">
        <v>91359.7373380301</v>
      </c>
      <c r="AK28">
        <v>570.34067838205794</v>
      </c>
      <c r="AL28">
        <v>29970.455313660699</v>
      </c>
      <c r="AM28">
        <v>20139.880646956499</v>
      </c>
      <c r="AN28">
        <v>0.89939439924653997</v>
      </c>
      <c r="AO28">
        <v>1.07078286245447</v>
      </c>
      <c r="AP28">
        <v>1.2813600159432399</v>
      </c>
      <c r="AQ28">
        <v>1.3889402891829901</v>
      </c>
      <c r="AR28">
        <v>38782.741115045901</v>
      </c>
      <c r="AS28">
        <v>228382.003726289</v>
      </c>
      <c r="AT28">
        <v>5.1524976371569997E-2</v>
      </c>
      <c r="AU28">
        <v>5.3900510494030003E-2</v>
      </c>
      <c r="AV28">
        <v>-0.37280941487318497</v>
      </c>
      <c r="AW28">
        <v>273921.194509005</v>
      </c>
      <c r="AX28">
        <v>11700.811746993</v>
      </c>
      <c r="AY28">
        <v>21044.9111262105</v>
      </c>
      <c r="AZ28">
        <v>188127.054541249</v>
      </c>
      <c r="BA28">
        <v>603959.29363477905</v>
      </c>
      <c r="BB28">
        <v>236699.36991652401</v>
      </c>
      <c r="BC28">
        <v>57576.304621296702</v>
      </c>
      <c r="BD28">
        <v>22611.846440904399</v>
      </c>
      <c r="BE28">
        <v>29811.512871325998</v>
      </c>
      <c r="BF28">
        <v>100716.428048498</v>
      </c>
      <c r="BG28">
        <v>54100.092424561502</v>
      </c>
      <c r="BH28">
        <v>90042.440057987405</v>
      </c>
      <c r="BI28">
        <v>31578.030305927001</v>
      </c>
      <c r="BJ28">
        <v>21565.439048639499</v>
      </c>
      <c r="BK28">
        <v>50594.195908331501</v>
      </c>
      <c r="BL28">
        <v>205369.66532088499</v>
      </c>
      <c r="BM28">
        <v>247489.43753974501</v>
      </c>
      <c r="BN28">
        <v>1063355.07573903</v>
      </c>
      <c r="BO28">
        <v>837728.95713992498</v>
      </c>
      <c r="BP28">
        <v>878413.87520712696</v>
      </c>
      <c r="BQ28">
        <v>126.20660227918199</v>
      </c>
      <c r="BR28">
        <v>1.2693306567768401</v>
      </c>
      <c r="BS28">
        <v>1.09165407294385</v>
      </c>
      <c r="BT28">
        <v>100.73728682455101</v>
      </c>
      <c r="BU28">
        <v>92518.613618048097</v>
      </c>
      <c r="BV28">
        <v>1.9143391468609801</v>
      </c>
      <c r="BW28">
        <v>177112.00386233401</v>
      </c>
      <c r="BX28">
        <v>11009.730695984101</v>
      </c>
      <c r="BY28">
        <v>16298.916638528501</v>
      </c>
      <c r="BZ28">
        <v>16819.625562333102</v>
      </c>
      <c r="CA28">
        <v>520.70892380461203</v>
      </c>
      <c r="CB28">
        <v>3.0958412506315699E-2</v>
      </c>
      <c r="CC28">
        <v>11722976.2716382</v>
      </c>
      <c r="CD28">
        <v>526798.41894013504</v>
      </c>
      <c r="CE28">
        <v>655219.64833052398</v>
      </c>
      <c r="CF28">
        <v>364221.68716284301</v>
      </c>
      <c r="CG28">
        <v>19142.064540072799</v>
      </c>
      <c r="CH28">
        <v>973781.51367293706</v>
      </c>
      <c r="CI28">
        <v>0.10238370594367099</v>
      </c>
      <c r="CJ28">
        <v>9.76717916960515</v>
      </c>
      <c r="CK28">
        <v>1230626.7217288001</v>
      </c>
      <c r="CL28">
        <v>3266552.2850715201</v>
      </c>
      <c r="CM28">
        <v>3396970.0530988802</v>
      </c>
      <c r="CN28">
        <v>4497179.00680032</v>
      </c>
      <c r="CO28">
        <v>9950461.5710421391</v>
      </c>
      <c r="CP28">
        <v>5.5415784946807201E-3</v>
      </c>
      <c r="CQ28">
        <v>7.9171126171406394E-3</v>
      </c>
      <c r="CR28">
        <v>6.8446967821760907E-2</v>
      </c>
      <c r="CS28">
        <v>1.89590050785942</v>
      </c>
      <c r="CT28">
        <v>6.8446967821760699E-2</v>
      </c>
      <c r="CU28">
        <v>3.9440022763365001E-2</v>
      </c>
      <c r="CV28">
        <v>1.83950249028683E-2</v>
      </c>
      <c r="CW28">
        <v>-1.04779122857276E-2</v>
      </c>
      <c r="CX28">
        <v>0.52786927551542095</v>
      </c>
      <c r="CY28">
        <v>6.4238752710558504</v>
      </c>
      <c r="CZ28">
        <v>6.9254467621570004E-2</v>
      </c>
      <c r="DA28">
        <v>4.6760018373700502E-2</v>
      </c>
      <c r="DB28">
        <v>7.9808798080869599E-3</v>
      </c>
      <c r="DC28">
        <v>0.15089446798643</v>
      </c>
      <c r="DD28">
        <v>222139.08985264701</v>
      </c>
      <c r="DE28">
        <v>133.522533018161</v>
      </c>
      <c r="DF28">
        <v>4.9301127236265003</v>
      </c>
      <c r="DG28">
        <v>4.2640782502503303</v>
      </c>
      <c r="DH28">
        <v>799721.53081520298</v>
      </c>
      <c r="DI28">
        <v>419104.63197720598</v>
      </c>
      <c r="DJ28">
        <v>1158.89519029539</v>
      </c>
      <c r="DK28">
        <v>4.1125687527523401E-2</v>
      </c>
      <c r="DL28">
        <v>0.67022357421816503</v>
      </c>
      <c r="DM28">
        <v>1.34838185797886</v>
      </c>
      <c r="DN28">
        <v>3.57615042376472E-2</v>
      </c>
      <c r="DO28">
        <v>4.6545582279544397E-2</v>
      </c>
      <c r="DP28">
        <v>29822.224999999999</v>
      </c>
      <c r="DQ28">
        <v>24996.808346872102</v>
      </c>
      <c r="DR28">
        <v>4.25</v>
      </c>
      <c r="DS28">
        <v>177432.024959423</v>
      </c>
      <c r="DT28">
        <v>31326.8659205318</v>
      </c>
      <c r="DU28">
        <v>13380.1989726921</v>
      </c>
      <c r="DV28">
        <v>4.9390499999999999</v>
      </c>
      <c r="DW28">
        <v>0</v>
      </c>
      <c r="DX28">
        <v>57.45</v>
      </c>
      <c r="DY28">
        <v>208288.96</v>
      </c>
      <c r="DZ28">
        <v>2.3185913747135598</v>
      </c>
      <c r="EA28">
        <v>73.401811994792396</v>
      </c>
      <c r="EB28">
        <v>1.0262117144596199</v>
      </c>
      <c r="EC28">
        <v>1.20449936397015</v>
      </c>
      <c r="ED28">
        <v>173725115.51624301</v>
      </c>
      <c r="EE28">
        <v>3.1640789179124602</v>
      </c>
      <c r="EF28">
        <v>4.3499999999999997E-2</v>
      </c>
      <c r="EG28">
        <v>3.0492648484848499E-2</v>
      </c>
      <c r="EH28">
        <v>3.050813492075E-2</v>
      </c>
      <c r="EI28">
        <v>4.4180333333333301E-2</v>
      </c>
    </row>
    <row r="29" spans="1:139" x14ac:dyDescent="0.25">
      <c r="A29" s="2">
        <v>48183</v>
      </c>
      <c r="B29">
        <v>437999.93069024401</v>
      </c>
      <c r="C29">
        <v>39658.208859868602</v>
      </c>
      <c r="D29">
        <v>25231.9310526062</v>
      </c>
      <c r="E29">
        <v>277327.60110146599</v>
      </c>
      <c r="F29">
        <v>56952.943522638001</v>
      </c>
      <c r="G29">
        <v>16641.8171284005</v>
      </c>
      <c r="H29">
        <v>71495.510038452398</v>
      </c>
      <c r="I29">
        <v>72698.407260616295</v>
      </c>
      <c r="J29">
        <v>100321.37726471</v>
      </c>
      <c r="K29">
        <v>408.44618238485299</v>
      </c>
      <c r="L29">
        <v>5312.47394636426</v>
      </c>
      <c r="M29">
        <v>0.67277754707513004</v>
      </c>
      <c r="N29">
        <v>35663.573817942401</v>
      </c>
      <c r="O29">
        <v>198.43697002944199</v>
      </c>
      <c r="P29">
        <v>1.96241660532229</v>
      </c>
      <c r="Q29">
        <v>1.5074519342785599</v>
      </c>
      <c r="R29">
        <v>1.0840232723482599</v>
      </c>
      <c r="S29">
        <v>0.11531503480382201</v>
      </c>
      <c r="T29">
        <v>5519.2941844809602</v>
      </c>
      <c r="U29">
        <v>0.431320691340907</v>
      </c>
      <c r="V29">
        <v>0.59555039815445898</v>
      </c>
      <c r="W29">
        <v>27352579.258718401</v>
      </c>
      <c r="X29">
        <v>88775.290584447401</v>
      </c>
      <c r="Y29">
        <v>4674528.9107552497</v>
      </c>
      <c r="Z29">
        <v>1281.7805842333601</v>
      </c>
      <c r="AA29">
        <v>1.1919693052834199</v>
      </c>
      <c r="AB29">
        <v>1.1445036895983201</v>
      </c>
      <c r="AC29">
        <v>1.3484695404981799</v>
      </c>
      <c r="AD29">
        <v>1.4756102554521999</v>
      </c>
      <c r="AE29">
        <v>131.67403260854499</v>
      </c>
      <c r="AF29">
        <v>114486.65197433501</v>
      </c>
      <c r="AG29">
        <v>1246.62686332367</v>
      </c>
      <c r="AH29">
        <v>176.183724587434</v>
      </c>
      <c r="AI29">
        <v>89259.750524230607</v>
      </c>
      <c r="AJ29">
        <v>91302.414282655896</v>
      </c>
      <c r="AK29">
        <v>566.84076516449295</v>
      </c>
      <c r="AL29">
        <v>30399.149428175599</v>
      </c>
      <c r="AM29">
        <v>20156.055727140301</v>
      </c>
      <c r="AN29">
        <v>0.893325224041292</v>
      </c>
      <c r="AO29">
        <v>1.0750092915477301</v>
      </c>
      <c r="AP29">
        <v>1.29239658568098</v>
      </c>
      <c r="AQ29">
        <v>1.40282636183155</v>
      </c>
      <c r="AR29">
        <v>39004.876266434199</v>
      </c>
      <c r="AS29">
        <v>231525.24292977099</v>
      </c>
      <c r="AT29">
        <v>5.1698870678522101E-2</v>
      </c>
      <c r="AU29">
        <v>5.4266470463986798E-2</v>
      </c>
      <c r="AV29">
        <v>-0.360143477479758</v>
      </c>
      <c r="AW29">
        <v>277327.60110146599</v>
      </c>
      <c r="AX29">
        <v>11737.348685037199</v>
      </c>
      <c r="AY29">
        <v>21192.713394578099</v>
      </c>
      <c r="AZ29">
        <v>188720.02265286201</v>
      </c>
      <c r="BA29">
        <v>614437.849668663</v>
      </c>
      <c r="BB29">
        <v>239983.14332047201</v>
      </c>
      <c r="BC29">
        <v>58520.059706487496</v>
      </c>
      <c r="BD29">
        <v>23033.567961974801</v>
      </c>
      <c r="BE29">
        <v>30075.687327734198</v>
      </c>
      <c r="BF29">
        <v>102158.112812281</v>
      </c>
      <c r="BG29">
        <v>54894.261092057102</v>
      </c>
      <c r="BH29">
        <v>89619.616821127798</v>
      </c>
      <c r="BI29">
        <v>31946.996799267901</v>
      </c>
      <c r="BJ29">
        <v>21667.947187629699</v>
      </c>
      <c r="BK29">
        <v>51359.293493987097</v>
      </c>
      <c r="BL29">
        <v>206183.41430201201</v>
      </c>
      <c r="BM29">
        <v>250978.75147195501</v>
      </c>
      <c r="BN29">
        <v>1078307.3447197301</v>
      </c>
      <c r="BO29">
        <v>843612.48117249599</v>
      </c>
      <c r="BP29">
        <v>886847.67028033396</v>
      </c>
      <c r="BQ29">
        <v>127.03248536539201</v>
      </c>
      <c r="BR29">
        <v>1.2782021837888899</v>
      </c>
      <c r="BS29">
        <v>1.0925359768596099</v>
      </c>
      <c r="BT29">
        <v>100.785287984907</v>
      </c>
      <c r="BU29">
        <v>93192.092987681797</v>
      </c>
      <c r="BV29">
        <v>1.9441945528371301</v>
      </c>
      <c r="BW29">
        <v>181183.559554142</v>
      </c>
      <c r="BX29">
        <v>11031.409390520201</v>
      </c>
      <c r="BY29">
        <v>16343.883336884401</v>
      </c>
      <c r="BZ29">
        <v>16871.047990207298</v>
      </c>
      <c r="CA29">
        <v>527.16465332285202</v>
      </c>
      <c r="CB29">
        <v>3.12467036404609E-2</v>
      </c>
      <c r="CC29">
        <v>11758325.3658533</v>
      </c>
      <c r="CD29">
        <v>535542.37802604202</v>
      </c>
      <c r="CE29">
        <v>665029.18535241298</v>
      </c>
      <c r="CF29">
        <v>368028.31895649899</v>
      </c>
      <c r="CG29">
        <v>19428.647506959798</v>
      </c>
      <c r="CH29">
        <v>987474.25230095198</v>
      </c>
      <c r="CI29">
        <v>0.10270167637708499</v>
      </c>
      <c r="CJ29">
        <v>9.7369394081586496</v>
      </c>
      <c r="CK29">
        <v>1236137.0168051899</v>
      </c>
      <c r="CL29">
        <v>3301043.1504159402</v>
      </c>
      <c r="CM29">
        <v>3409406.8664639802</v>
      </c>
      <c r="CN29">
        <v>4537180.1672211401</v>
      </c>
      <c r="CO29">
        <v>10002899.5448281</v>
      </c>
      <c r="CP29">
        <v>6.5091165582910303E-3</v>
      </c>
      <c r="CQ29">
        <v>9.0767163437556996E-3</v>
      </c>
      <c r="CR29">
        <v>7.0125280683591001E-2</v>
      </c>
      <c r="CS29">
        <v>1.9164130372835799</v>
      </c>
      <c r="CT29">
        <v>7.0125280683590793E-2</v>
      </c>
      <c r="CU29">
        <v>3.9440022763365001E-2</v>
      </c>
      <c r="CV29">
        <v>1.8415025615990298E-2</v>
      </c>
      <c r="CW29">
        <v>-9.3383092722346094E-3</v>
      </c>
      <c r="CX29">
        <v>0.52748360508074899</v>
      </c>
      <c r="CY29">
        <v>6.4593839748872597</v>
      </c>
      <c r="CZ29">
        <v>6.94283619285221E-2</v>
      </c>
      <c r="DA29">
        <v>4.69097267621282E-2</v>
      </c>
      <c r="DB29">
        <v>8.0084009316303308E-3</v>
      </c>
      <c r="DC29">
        <v>0.151164327251463</v>
      </c>
      <c r="DD29">
        <v>222808.92108271099</v>
      </c>
      <c r="DE29">
        <v>134.792110418075</v>
      </c>
      <c r="DF29">
        <v>4.93973334591632</v>
      </c>
      <c r="DG29">
        <v>4.2707776687095498</v>
      </c>
      <c r="DH29">
        <v>804435.01746430399</v>
      </c>
      <c r="DI29">
        <v>421908.68980750302</v>
      </c>
      <c r="DJ29">
        <v>1175.65966694184</v>
      </c>
      <c r="DK29">
        <v>4.1125687527523401E-2</v>
      </c>
      <c r="DL29">
        <v>0.67022357421816503</v>
      </c>
      <c r="DM29">
        <v>1.3621947647300401</v>
      </c>
      <c r="DN29">
        <v>3.57615042376472E-2</v>
      </c>
      <c r="DO29">
        <v>4.6545582279544397E-2</v>
      </c>
      <c r="DP29">
        <v>29912.15</v>
      </c>
      <c r="DQ29">
        <v>25076.710814077302</v>
      </c>
      <c r="DR29">
        <v>4.25</v>
      </c>
      <c r="DS29">
        <v>177967.04791108001</v>
      </c>
      <c r="DT29">
        <v>31421.327967475099</v>
      </c>
      <c r="DU29">
        <v>13420.545204156</v>
      </c>
      <c r="DV29">
        <v>4.9390499999999999</v>
      </c>
      <c r="DW29">
        <v>0</v>
      </c>
      <c r="DX29">
        <v>57.45</v>
      </c>
      <c r="DY29">
        <v>208288.96</v>
      </c>
      <c r="DZ29">
        <v>2.3306007927779202</v>
      </c>
      <c r="EA29">
        <v>73.305999999999997</v>
      </c>
      <c r="EB29">
        <v>1.02062376390299</v>
      </c>
      <c r="EC29">
        <v>1.20449936397015</v>
      </c>
      <c r="ED29">
        <v>175137130.426272</v>
      </c>
      <c r="EE29">
        <v>3.1657802322288302</v>
      </c>
      <c r="EF29">
        <v>4.3499999999999997E-2</v>
      </c>
      <c r="EG29">
        <v>3.0492648484848499E-2</v>
      </c>
      <c r="EH29">
        <v>3.050813492075E-2</v>
      </c>
      <c r="EI29">
        <v>4.4180333333333301E-2</v>
      </c>
    </row>
    <row r="30" spans="1:139" x14ac:dyDescent="0.25">
      <c r="A30" s="2">
        <v>48274</v>
      </c>
      <c r="B30">
        <v>441335.25181790302</v>
      </c>
      <c r="C30">
        <v>39782.805808640704</v>
      </c>
      <c r="D30">
        <v>25313.318890694001</v>
      </c>
      <c r="E30">
        <v>280838.92513857502</v>
      </c>
      <c r="F30">
        <v>57657.585704104</v>
      </c>
      <c r="G30">
        <v>16917.780600186001</v>
      </c>
      <c r="H30">
        <v>72561.312038164702</v>
      </c>
      <c r="I30">
        <v>72964.164962308205</v>
      </c>
      <c r="J30">
        <v>100541.00463780299</v>
      </c>
      <c r="K30">
        <v>407.90315861608599</v>
      </c>
      <c r="L30">
        <v>5335.9680139583097</v>
      </c>
      <c r="M30">
        <v>0.67268104922387995</v>
      </c>
      <c r="N30">
        <v>36150.613889894397</v>
      </c>
      <c r="O30">
        <v>200.550887691669</v>
      </c>
      <c r="P30">
        <v>1.9930519179628501</v>
      </c>
      <c r="Q30">
        <v>1.5136677846786999</v>
      </c>
      <c r="R30">
        <v>1.08389086985506</v>
      </c>
      <c r="S30">
        <v>0.116109455441243</v>
      </c>
      <c r="T30">
        <v>5480.5105028054504</v>
      </c>
      <c r="U30">
        <v>0.43367408544570302</v>
      </c>
      <c r="V30">
        <v>0.59643017143229304</v>
      </c>
      <c r="W30">
        <v>27825212.163361501</v>
      </c>
      <c r="X30">
        <v>90310.885921915804</v>
      </c>
      <c r="Y30">
        <v>4677745.3914761702</v>
      </c>
      <c r="Z30">
        <v>1302.6360384106999</v>
      </c>
      <c r="AA30">
        <v>1.19845805196982</v>
      </c>
      <c r="AB30">
        <v>1.14831565401547</v>
      </c>
      <c r="AC30">
        <v>1.3630336194974499</v>
      </c>
      <c r="AD30">
        <v>1.4948184059715901</v>
      </c>
      <c r="AE30">
        <v>132.902593916</v>
      </c>
      <c r="AF30">
        <v>114462.042856322</v>
      </c>
      <c r="AG30">
        <v>1259.8810167404699</v>
      </c>
      <c r="AH30">
        <v>178.90747880115899</v>
      </c>
      <c r="AI30">
        <v>90261.020361888106</v>
      </c>
      <c r="AJ30">
        <v>91402.629656350095</v>
      </c>
      <c r="AK30">
        <v>563.47890133311796</v>
      </c>
      <c r="AL30">
        <v>30841.989092237502</v>
      </c>
      <c r="AM30">
        <v>20175.634573517698</v>
      </c>
      <c r="AN30">
        <v>0.88900922311015695</v>
      </c>
      <c r="AO30">
        <v>1.07885867953965</v>
      </c>
      <c r="AP30">
        <v>1.3033227592947501</v>
      </c>
      <c r="AQ30">
        <v>1.4166346398057299</v>
      </c>
      <c r="AR30">
        <v>39233.929008884399</v>
      </c>
      <c r="AS30">
        <v>234885.34277357499</v>
      </c>
      <c r="AT30">
        <v>5.17992594223197E-2</v>
      </c>
      <c r="AU30">
        <v>5.4584873576303601E-2</v>
      </c>
      <c r="AV30">
        <v>-0.35002653976911802</v>
      </c>
      <c r="AW30">
        <v>280838.92513857502</v>
      </c>
      <c r="AX30">
        <v>11774.2247284813</v>
      </c>
      <c r="AY30">
        <v>21343.9440467483</v>
      </c>
      <c r="AZ30">
        <v>189339.51226695301</v>
      </c>
      <c r="BA30">
        <v>625210.80588750204</v>
      </c>
      <c r="BB30">
        <v>243304.32373582601</v>
      </c>
      <c r="BC30">
        <v>59468.070363949599</v>
      </c>
      <c r="BD30">
        <v>23466.641177625199</v>
      </c>
      <c r="BE30">
        <v>30336.950846632</v>
      </c>
      <c r="BF30">
        <v>103648.141634368</v>
      </c>
      <c r="BG30">
        <v>55700.427266673498</v>
      </c>
      <c r="BH30">
        <v>89381.880423767798</v>
      </c>
      <c r="BI30">
        <v>32307.640501547601</v>
      </c>
      <c r="BJ30">
        <v>21766.658474859702</v>
      </c>
      <c r="BK30">
        <v>52142.909347969297</v>
      </c>
      <c r="BL30">
        <v>207188.64874814401</v>
      </c>
      <c r="BM30">
        <v>254590.07849505401</v>
      </c>
      <c r="BN30">
        <v>1093733.93116567</v>
      </c>
      <c r="BO30">
        <v>849632.47793629603</v>
      </c>
      <c r="BP30">
        <v>895608.27730591304</v>
      </c>
      <c r="BQ30">
        <v>127.852112052891</v>
      </c>
      <c r="BR30">
        <v>1.2873023687777301</v>
      </c>
      <c r="BS30">
        <v>1.0942705316364501</v>
      </c>
      <c r="BT30">
        <v>100.95762978267101</v>
      </c>
      <c r="BU30">
        <v>93901.740489640797</v>
      </c>
      <c r="BV30">
        <v>1.9742512911538499</v>
      </c>
      <c r="BW30">
        <v>185385.63240326699</v>
      </c>
      <c r="BX30">
        <v>11053.6956969978</v>
      </c>
      <c r="BY30">
        <v>16389.663710956102</v>
      </c>
      <c r="BZ30">
        <v>16922.3953302728</v>
      </c>
      <c r="CA30">
        <v>532.73161931674997</v>
      </c>
      <c r="CB30">
        <v>3.1480862697605701E-2</v>
      </c>
      <c r="CC30">
        <v>11793674.4600683</v>
      </c>
      <c r="CD30">
        <v>544376.59779627097</v>
      </c>
      <c r="CE30">
        <v>675514.94533600297</v>
      </c>
      <c r="CF30">
        <v>372127.60833001498</v>
      </c>
      <c r="CG30">
        <v>19734.9861444977</v>
      </c>
      <c r="CH30">
        <v>1001601.35343854</v>
      </c>
      <c r="CI30">
        <v>0.102815039045117</v>
      </c>
      <c r="CJ30">
        <v>9.7262035718449606</v>
      </c>
      <c r="CK30">
        <v>1241642.28578492</v>
      </c>
      <c r="CL30">
        <v>3335915.07419491</v>
      </c>
      <c r="CM30">
        <v>3421867.92139637</v>
      </c>
      <c r="CN30">
        <v>4577557.3599798298</v>
      </c>
      <c r="CO30">
        <v>10055737.7925191</v>
      </c>
      <c r="CP30">
        <v>7.3925904602598104E-3</v>
      </c>
      <c r="CQ30">
        <v>1.01782046142436E-2</v>
      </c>
      <c r="CR30">
        <v>7.1702786479182601E-2</v>
      </c>
      <c r="CS30">
        <v>1.9368282823210099</v>
      </c>
      <c r="CT30">
        <v>7.1702786479182407E-2</v>
      </c>
      <c r="CU30">
        <v>3.9440022763365001E-2</v>
      </c>
      <c r="CV30">
        <v>1.8435024902799701E-2</v>
      </c>
      <c r="CW30">
        <v>-8.2568202885560694E-3</v>
      </c>
      <c r="CX30">
        <v>0.52740257331629503</v>
      </c>
      <c r="CY30">
        <v>6.4952893173596804</v>
      </c>
      <c r="CZ30">
        <v>6.95287506723197E-2</v>
      </c>
      <c r="DA30">
        <v>4.7010632349529499E-2</v>
      </c>
      <c r="DB30">
        <v>8.0323596363506607E-3</v>
      </c>
      <c r="DC30">
        <v>0.15127291480487301</v>
      </c>
      <c r="DD30">
        <v>223478.752312775</v>
      </c>
      <c r="DE30">
        <v>136.04480670700701</v>
      </c>
      <c r="DF30">
        <v>4.9491411735939703</v>
      </c>
      <c r="DG30">
        <v>4.2772642925566</v>
      </c>
      <c r="DH30">
        <v>809176.28497903806</v>
      </c>
      <c r="DI30">
        <v>424731.508442897</v>
      </c>
      <c r="DJ30">
        <v>1192.6666570438499</v>
      </c>
      <c r="DK30">
        <v>4.1125687527523401E-2</v>
      </c>
      <c r="DL30">
        <v>0.67022357421816503</v>
      </c>
      <c r="DM30">
        <v>1.3761491717482299</v>
      </c>
      <c r="DN30">
        <v>3.57615042376472E-2</v>
      </c>
      <c r="DO30">
        <v>4.6545582279544397E-2</v>
      </c>
      <c r="DP30">
        <v>30002.075000000001</v>
      </c>
      <c r="DQ30">
        <v>25156.640505626601</v>
      </c>
      <c r="DR30">
        <v>4.25</v>
      </c>
      <c r="DS30">
        <v>178502.07086273699</v>
      </c>
      <c r="DT30">
        <v>31515.790014418399</v>
      </c>
      <c r="DU30">
        <v>13460.8914356199</v>
      </c>
      <c r="DV30">
        <v>4.9390499999999999</v>
      </c>
      <c r="DW30">
        <v>0</v>
      </c>
      <c r="DX30">
        <v>57.45</v>
      </c>
      <c r="DY30">
        <v>208288.96</v>
      </c>
      <c r="DZ30">
        <v>2.3421674050369301</v>
      </c>
      <c r="EA30">
        <v>73.305999999999997</v>
      </c>
      <c r="EB30">
        <v>1.02062376390299</v>
      </c>
      <c r="EC30">
        <v>1.20449936397015</v>
      </c>
      <c r="ED30">
        <v>176343282.10826299</v>
      </c>
      <c r="EE30">
        <v>3.1657802322288302</v>
      </c>
      <c r="EF30">
        <v>4.3499999999999997E-2</v>
      </c>
      <c r="EG30">
        <v>3.0492648484848499E-2</v>
      </c>
      <c r="EH30">
        <v>3.050813492075E-2</v>
      </c>
      <c r="EI30">
        <v>4.4180333333333301E-2</v>
      </c>
    </row>
    <row r="31" spans="1:139" x14ac:dyDescent="0.25">
      <c r="A31" s="2">
        <v>48366</v>
      </c>
      <c r="B31">
        <v>444430.81649815</v>
      </c>
      <c r="C31">
        <v>39909.850218950101</v>
      </c>
      <c r="D31">
        <v>25376.340098041601</v>
      </c>
      <c r="E31">
        <v>284466.16684721102</v>
      </c>
      <c r="F31">
        <v>58253.145777012302</v>
      </c>
      <c r="G31">
        <v>17191.708359562701</v>
      </c>
      <c r="H31">
        <v>73592.082805091399</v>
      </c>
      <c r="I31">
        <v>73506.077838576501</v>
      </c>
      <c r="J31">
        <v>100420.31828568901</v>
      </c>
      <c r="K31">
        <v>407.27607826986099</v>
      </c>
      <c r="L31">
        <v>5359.1403878836099</v>
      </c>
      <c r="M31">
        <v>0.67258676205922197</v>
      </c>
      <c r="N31">
        <v>36643.465999486398</v>
      </c>
      <c r="O31">
        <v>202.64554075548</v>
      </c>
      <c r="P31">
        <v>2.0240796926489901</v>
      </c>
      <c r="Q31">
        <v>1.51917962565871</v>
      </c>
      <c r="R31">
        <v>1.0835794049413601</v>
      </c>
      <c r="S31">
        <v>0.116728384717598</v>
      </c>
      <c r="T31">
        <v>5439.11942070856</v>
      </c>
      <c r="U31">
        <v>0.43615652185799603</v>
      </c>
      <c r="V31">
        <v>0.597479621830033</v>
      </c>
      <c r="W31">
        <v>28301725.304037798</v>
      </c>
      <c r="X31">
        <v>91867.335208534394</v>
      </c>
      <c r="Y31">
        <v>4679238.91752645</v>
      </c>
      <c r="Z31">
        <v>1323.4826779252501</v>
      </c>
      <c r="AA31">
        <v>1.2049217757900801</v>
      </c>
      <c r="AB31">
        <v>1.15195139356681</v>
      </c>
      <c r="AC31">
        <v>1.37787954332222</v>
      </c>
      <c r="AD31">
        <v>1.5139203881466301</v>
      </c>
      <c r="AE31">
        <v>134.146124797201</v>
      </c>
      <c r="AF31">
        <v>114394.144698957</v>
      </c>
      <c r="AG31">
        <v>1273.3064778661301</v>
      </c>
      <c r="AH31">
        <v>181.650394296553</v>
      </c>
      <c r="AI31">
        <v>91291.969819308899</v>
      </c>
      <c r="AJ31">
        <v>91459.154568845595</v>
      </c>
      <c r="AK31">
        <v>560.33672416425202</v>
      </c>
      <c r="AL31">
        <v>31276.736841586899</v>
      </c>
      <c r="AM31">
        <v>20181.139331222199</v>
      </c>
      <c r="AN31">
        <v>0.88467283847066702</v>
      </c>
      <c r="AO31">
        <v>1.0829765135387901</v>
      </c>
      <c r="AP31">
        <v>1.3140661379318499</v>
      </c>
      <c r="AQ31">
        <v>1.43030295301726</v>
      </c>
      <c r="AR31">
        <v>39423.129804934702</v>
      </c>
      <c r="AS31">
        <v>238290.413681209</v>
      </c>
      <c r="AT31">
        <v>5.1673487066756403E-2</v>
      </c>
      <c r="AU31">
        <v>5.4850601685472899E-2</v>
      </c>
      <c r="AV31">
        <v>-0.334884429315781</v>
      </c>
      <c r="AW31">
        <v>284466.16684721102</v>
      </c>
      <c r="AX31">
        <v>11811.8251291336</v>
      </c>
      <c r="AY31">
        <v>21481.038882458099</v>
      </c>
      <c r="AZ31">
        <v>189550.62630430399</v>
      </c>
      <c r="BA31">
        <v>635670.70962837304</v>
      </c>
      <c r="BB31">
        <v>246691.549062715</v>
      </c>
      <c r="BC31">
        <v>60420.335934347</v>
      </c>
      <c r="BD31">
        <v>23908.075377000299</v>
      </c>
      <c r="BE31">
        <v>30576.504773985202</v>
      </c>
      <c r="BF31">
        <v>105163.91085500301</v>
      </c>
      <c r="BG31">
        <v>56521.967893248198</v>
      </c>
      <c r="BH31">
        <v>88839.128017928204</v>
      </c>
      <c r="BI31">
        <v>32633.556608212901</v>
      </c>
      <c r="BJ31">
        <v>21855.699912167602</v>
      </c>
      <c r="BK31">
        <v>52884.600907090397</v>
      </c>
      <c r="BL31">
        <v>207802.54544539901</v>
      </c>
      <c r="BM31">
        <v>258206.584659916</v>
      </c>
      <c r="BN31">
        <v>1108549.01431016</v>
      </c>
      <c r="BO31">
        <v>855089.77415513794</v>
      </c>
      <c r="BP31">
        <v>904259.53024604695</v>
      </c>
      <c r="BQ31">
        <v>128.649841929894</v>
      </c>
      <c r="BR31">
        <v>1.29641239707648</v>
      </c>
      <c r="BS31">
        <v>1.0962904712949499</v>
      </c>
      <c r="BT31">
        <v>101.173062748851</v>
      </c>
      <c r="BU31">
        <v>94560.375643021602</v>
      </c>
      <c r="BV31">
        <v>2.00451947499164</v>
      </c>
      <c r="BW31">
        <v>189548.11453896199</v>
      </c>
      <c r="BX31">
        <v>11074.249695415399</v>
      </c>
      <c r="BY31">
        <v>16433.390083299</v>
      </c>
      <c r="BZ31">
        <v>16973.8013451322</v>
      </c>
      <c r="CA31">
        <v>540.41126183321796</v>
      </c>
      <c r="CB31">
        <v>3.1837962294241497E-2</v>
      </c>
      <c r="CC31">
        <v>11829023.554283399</v>
      </c>
      <c r="CD31">
        <v>553270.402064953</v>
      </c>
      <c r="CE31">
        <v>686381.88167753303</v>
      </c>
      <c r="CF31">
        <v>375665.97270430502</v>
      </c>
      <c r="CG31">
        <v>20052.460746079701</v>
      </c>
      <c r="CH31">
        <v>1015168.46231758</v>
      </c>
      <c r="CI31">
        <v>0.10301975022480001</v>
      </c>
      <c r="CJ31">
        <v>9.7068765728697493</v>
      </c>
      <c r="CK31">
        <v>1247141.08779432</v>
      </c>
      <c r="CL31">
        <v>3371213.71968769</v>
      </c>
      <c r="CM31">
        <v>3434354.1702897502</v>
      </c>
      <c r="CN31">
        <v>4618354.80748202</v>
      </c>
      <c r="CO31">
        <v>10109021.4889147</v>
      </c>
      <c r="CP31">
        <v>8.0573463310338895E-3</v>
      </c>
      <c r="CQ31">
        <v>1.12344609497504E-2</v>
      </c>
      <c r="CR31">
        <v>7.3112243981875394E-2</v>
      </c>
      <c r="CS31">
        <v>1.95705747872265</v>
      </c>
      <c r="CT31">
        <v>7.3112243981875394E-2</v>
      </c>
      <c r="CU31">
        <v>3.9440022763365001E-2</v>
      </c>
      <c r="CV31">
        <v>1.8455022763365001E-2</v>
      </c>
      <c r="CW31">
        <v>-7.2205618136146101E-3</v>
      </c>
      <c r="CX31">
        <v>0.52743529116173504</v>
      </c>
      <c r="CY31">
        <v>6.5310229526452899</v>
      </c>
      <c r="CZ31">
        <v>6.9402978316756403E-2</v>
      </c>
      <c r="DA31">
        <v>4.6960176130166301E-2</v>
      </c>
      <c r="DB31">
        <v>8.0523646911096203E-3</v>
      </c>
      <c r="DC31">
        <v>0.151406314629662</v>
      </c>
      <c r="DD31">
        <v>224148.58354283901</v>
      </c>
      <c r="DE31">
        <v>137.38501025588499</v>
      </c>
      <c r="DF31">
        <v>4.9591013630417198</v>
      </c>
      <c r="DG31">
        <v>4.2843032781737502</v>
      </c>
      <c r="DH31">
        <v>813945.497097324</v>
      </c>
      <c r="DI31">
        <v>427573.21340426803</v>
      </c>
      <c r="DJ31">
        <v>1209.9196687798899</v>
      </c>
      <c r="DK31">
        <v>4.1125687527523401E-2</v>
      </c>
      <c r="DL31">
        <v>0.67022357421816503</v>
      </c>
      <c r="DM31">
        <v>1.3902465285708501</v>
      </c>
      <c r="DN31">
        <v>3.57615042376472E-2</v>
      </c>
      <c r="DO31">
        <v>4.6545582279544397E-2</v>
      </c>
      <c r="DP31">
        <v>30092</v>
      </c>
      <c r="DQ31">
        <v>25236.59742152</v>
      </c>
      <c r="DR31">
        <v>4.25</v>
      </c>
      <c r="DS31">
        <v>179037.093814394</v>
      </c>
      <c r="DT31">
        <v>31610.252061361702</v>
      </c>
      <c r="DU31">
        <v>13501.2376670838</v>
      </c>
      <c r="DV31">
        <v>4.9390499999999999</v>
      </c>
      <c r="DW31">
        <v>0</v>
      </c>
      <c r="DX31">
        <v>57.45</v>
      </c>
      <c r="DY31">
        <v>208288.96</v>
      </c>
      <c r="DZ31">
        <v>2.35379142160112</v>
      </c>
      <c r="EA31">
        <v>73.305999999999997</v>
      </c>
      <c r="EB31">
        <v>1.02062376390299</v>
      </c>
      <c r="EC31">
        <v>1.20449936397015</v>
      </c>
      <c r="ED31">
        <v>177557740.43474701</v>
      </c>
      <c r="EE31">
        <v>3.1657802322288302</v>
      </c>
      <c r="EF31">
        <v>4.3499999999999997E-2</v>
      </c>
      <c r="EG31">
        <v>3.0492648484848499E-2</v>
      </c>
      <c r="EH31">
        <v>3.050813492075E-2</v>
      </c>
      <c r="EI31">
        <v>4.4180333333333301E-2</v>
      </c>
    </row>
    <row r="32" spans="1:139" x14ac:dyDescent="0.25">
      <c r="A32" s="2">
        <v>48458</v>
      </c>
      <c r="B32">
        <v>447731.08636691602</v>
      </c>
      <c r="C32">
        <v>40036.999692980702</v>
      </c>
      <c r="D32">
        <v>25443.5709036277</v>
      </c>
      <c r="E32">
        <v>288162.37383052398</v>
      </c>
      <c r="F32">
        <v>58987.951794813998</v>
      </c>
      <c r="G32">
        <v>17466.622894734799</v>
      </c>
      <c r="H32">
        <v>74678.753886343096</v>
      </c>
      <c r="I32">
        <v>77592.669457868498</v>
      </c>
      <c r="J32">
        <v>100809.95539384399</v>
      </c>
      <c r="K32">
        <v>406.76155807585002</v>
      </c>
      <c r="L32">
        <v>5382.4887282357504</v>
      </c>
      <c r="M32">
        <v>0.67247698128320199</v>
      </c>
      <c r="N32">
        <v>37130.511348354703</v>
      </c>
      <c r="O32">
        <v>204.738026030957</v>
      </c>
      <c r="P32">
        <v>2.0550787179869601</v>
      </c>
      <c r="Q32">
        <v>1.5239932832465899</v>
      </c>
      <c r="R32">
        <v>1.08295292123639</v>
      </c>
      <c r="S32">
        <v>0.117298911959831</v>
      </c>
      <c r="T32">
        <v>5398.1830112460302</v>
      </c>
      <c r="U32">
        <v>0.43875433688092402</v>
      </c>
      <c r="V32">
        <v>0.59871288576261505</v>
      </c>
      <c r="W32">
        <v>28785393.904949799</v>
      </c>
      <c r="X32">
        <v>93447.829585398096</v>
      </c>
      <c r="Y32">
        <v>4682259.5491692601</v>
      </c>
      <c r="Z32">
        <v>1344.5064896932799</v>
      </c>
      <c r="AA32">
        <v>1.21125006782251</v>
      </c>
      <c r="AB32">
        <v>1.1554383252584901</v>
      </c>
      <c r="AC32">
        <v>1.39264251189433</v>
      </c>
      <c r="AD32">
        <v>1.5328966663114101</v>
      </c>
      <c r="AE32">
        <v>135.39904761770401</v>
      </c>
      <c r="AF32">
        <v>114355.12662698</v>
      </c>
      <c r="AG32">
        <v>1285.2518970695</v>
      </c>
      <c r="AH32">
        <v>184.42169169128101</v>
      </c>
      <c r="AI32">
        <v>92364.775483388003</v>
      </c>
      <c r="AJ32">
        <v>91806.404962156303</v>
      </c>
      <c r="AK32">
        <v>557.64495855561802</v>
      </c>
      <c r="AL32">
        <v>31724.457422050102</v>
      </c>
      <c r="AM32">
        <v>20204.175523136801</v>
      </c>
      <c r="AN32">
        <v>0.88027877444859604</v>
      </c>
      <c r="AO32">
        <v>1.0863243678915899</v>
      </c>
      <c r="AP32">
        <v>1.3247376188382101</v>
      </c>
      <c r="AQ32">
        <v>1.4439417409045401</v>
      </c>
      <c r="AR32">
        <v>39657.003536064702</v>
      </c>
      <c r="AS32">
        <v>241832.96511039801</v>
      </c>
      <c r="AT32">
        <v>5.1580064670643799E-2</v>
      </c>
      <c r="AU32">
        <v>5.5072981014390503E-2</v>
      </c>
      <c r="AV32">
        <v>-0.32647067827218701</v>
      </c>
      <c r="AW32">
        <v>288162.37383052398</v>
      </c>
      <c r="AX32">
        <v>11849.4566247236</v>
      </c>
      <c r="AY32">
        <v>21637.519856819399</v>
      </c>
      <c r="AZ32">
        <v>190353.654309865</v>
      </c>
      <c r="BA32">
        <v>646497.60465707397</v>
      </c>
      <c r="BB32">
        <v>250076.86374816101</v>
      </c>
      <c r="BC32">
        <v>61372.583358481097</v>
      </c>
      <c r="BD32">
        <v>24351.566129178998</v>
      </c>
      <c r="BE32">
        <v>30818.526982666001</v>
      </c>
      <c r="BF32">
        <v>106721.80050193499</v>
      </c>
      <c r="BG32">
        <v>57351.969300625402</v>
      </c>
      <c r="BH32">
        <v>88740.863986310593</v>
      </c>
      <c r="BI32">
        <v>32975.434927907503</v>
      </c>
      <c r="BJ32">
        <v>21948.288203942499</v>
      </c>
      <c r="BK32">
        <v>53695.205101550702</v>
      </c>
      <c r="BL32">
        <v>208949.352219711</v>
      </c>
      <c r="BM32">
        <v>261893.71601756499</v>
      </c>
      <c r="BN32">
        <v>1124246.5508802701</v>
      </c>
      <c r="BO32">
        <v>861318.76904988894</v>
      </c>
      <c r="BP32">
        <v>913228.04870948102</v>
      </c>
      <c r="BQ32">
        <v>129.44330173432701</v>
      </c>
      <c r="BR32">
        <v>1.3052618381844201</v>
      </c>
      <c r="BS32">
        <v>1.0976902596236799</v>
      </c>
      <c r="BT32">
        <v>101.36084755840101</v>
      </c>
      <c r="BU32">
        <v>95262.565380836895</v>
      </c>
      <c r="BV32">
        <v>2.0351008542406999</v>
      </c>
      <c r="BW32">
        <v>193868.928183702</v>
      </c>
      <c r="BX32">
        <v>11095.415621844801</v>
      </c>
      <c r="BY32">
        <v>16477.9043500806</v>
      </c>
      <c r="BZ32">
        <v>17023.3303211485</v>
      </c>
      <c r="CA32">
        <v>545.42597106791095</v>
      </c>
      <c r="CB32">
        <v>3.2039909218195599E-2</v>
      </c>
      <c r="CC32">
        <v>11864235.0651459</v>
      </c>
      <c r="CD32">
        <v>562142.77799755801</v>
      </c>
      <c r="CE32">
        <v>701551.30670717801</v>
      </c>
      <c r="CF32">
        <v>379917.57975390798</v>
      </c>
      <c r="CG32">
        <v>20495.631389226801</v>
      </c>
      <c r="CH32">
        <v>1029543.68962494</v>
      </c>
      <c r="CI32">
        <v>0.103302344028329</v>
      </c>
      <c r="CJ32">
        <v>9.6803224496606592</v>
      </c>
      <c r="CK32">
        <v>1252615.1594046</v>
      </c>
      <c r="CL32">
        <v>3406961.7358678202</v>
      </c>
      <c r="CM32">
        <v>3446867.85963109</v>
      </c>
      <c r="CN32">
        <v>4659576.8952724198</v>
      </c>
      <c r="CO32">
        <v>10162757.2660465</v>
      </c>
      <c r="CP32">
        <v>8.6636608697256198E-3</v>
      </c>
      <c r="CQ32">
        <v>1.2156577213472301E-2</v>
      </c>
      <c r="CR32">
        <v>7.4382508158912897E-2</v>
      </c>
      <c r="CS32">
        <v>1.97726573962108</v>
      </c>
      <c r="CT32">
        <v>7.4382508158912897E-2</v>
      </c>
      <c r="CU32">
        <v>3.9440022763365001E-2</v>
      </c>
      <c r="CV32">
        <v>1.8591310363547098E-2</v>
      </c>
      <c r="CW32">
        <v>-6.4347331500748204E-3</v>
      </c>
      <c r="CX32">
        <v>0.52769844808590305</v>
      </c>
      <c r="CY32">
        <v>6.5669603041399798</v>
      </c>
      <c r="CZ32">
        <v>6.9309555920643806E-2</v>
      </c>
      <c r="DA32">
        <v>4.6928044234274102E-2</v>
      </c>
      <c r="DB32">
        <v>8.0691132426164106E-3</v>
      </c>
      <c r="DC32">
        <v>0.151601238566163</v>
      </c>
      <c r="DD32">
        <v>224815.80770111599</v>
      </c>
      <c r="DE32">
        <v>138.57865744496399</v>
      </c>
      <c r="DF32">
        <v>4.9679093769086302</v>
      </c>
      <c r="DG32">
        <v>4.2901900882100596</v>
      </c>
      <c r="DH32">
        <v>818742.81852213701</v>
      </c>
      <c r="DI32">
        <v>430433.93105230603</v>
      </c>
      <c r="DJ32">
        <v>1227.42226107745</v>
      </c>
      <c r="DK32">
        <v>4.1125687527523401E-2</v>
      </c>
      <c r="DL32">
        <v>0.67022357421816503</v>
      </c>
      <c r="DM32">
        <v>1.40448829958451</v>
      </c>
      <c r="DN32">
        <v>3.57615042376472E-2</v>
      </c>
      <c r="DO32">
        <v>4.6545582279544397E-2</v>
      </c>
      <c r="DP32">
        <v>30181.575000000001</v>
      </c>
      <c r="DQ32">
        <v>25314.368811055901</v>
      </c>
      <c r="DR32">
        <v>4.25</v>
      </c>
      <c r="DS32">
        <v>179570.03438592199</v>
      </c>
      <c r="DT32">
        <v>31704.3464495179</v>
      </c>
      <c r="DU32">
        <v>13541.426865675799</v>
      </c>
      <c r="DV32">
        <v>3.2927</v>
      </c>
      <c r="DW32">
        <v>0</v>
      </c>
      <c r="DX32">
        <v>57.774999999999999</v>
      </c>
      <c r="DY32">
        <v>208288.96</v>
      </c>
      <c r="DZ32">
        <v>2.3654731273641199</v>
      </c>
      <c r="EA32">
        <v>73.305999999999997</v>
      </c>
      <c r="EB32">
        <v>1.02062376390299</v>
      </c>
      <c r="EC32">
        <v>1.20449936397015</v>
      </c>
      <c r="ED32">
        <v>178780562.61274299</v>
      </c>
      <c r="EE32">
        <v>3.1657802322288302</v>
      </c>
      <c r="EF32">
        <v>4.3499999999999997E-2</v>
      </c>
      <c r="EG32">
        <v>3.0492648484848499E-2</v>
      </c>
      <c r="EH32">
        <v>3.050813492075E-2</v>
      </c>
      <c r="EI32">
        <v>4.4180333333333301E-2</v>
      </c>
    </row>
    <row r="33" spans="1:139" x14ac:dyDescent="0.25">
      <c r="A33" s="2">
        <v>48549</v>
      </c>
      <c r="B33">
        <v>451220.07207781199</v>
      </c>
      <c r="C33">
        <v>40165.5519710546</v>
      </c>
      <c r="D33">
        <v>25497.8224240501</v>
      </c>
      <c r="E33">
        <v>292016.84547024802</v>
      </c>
      <c r="F33">
        <v>59677.7622163997</v>
      </c>
      <c r="G33">
        <v>17739.9581869637</v>
      </c>
      <c r="H33">
        <v>75763.9198050181</v>
      </c>
      <c r="I33">
        <v>77474.354868849099</v>
      </c>
      <c r="J33">
        <v>100857.933594448</v>
      </c>
      <c r="K33">
        <v>406.25126178566097</v>
      </c>
      <c r="L33">
        <v>5405.9935594766603</v>
      </c>
      <c r="M33">
        <v>0.67238782176886402</v>
      </c>
      <c r="N33">
        <v>37625.8533021818</v>
      </c>
      <c r="O33">
        <v>206.82030023180499</v>
      </c>
      <c r="P33">
        <v>2.08662221048708</v>
      </c>
      <c r="Q33">
        <v>1.5282655941268899</v>
      </c>
      <c r="R33">
        <v>1.0822176494125899</v>
      </c>
      <c r="S33">
        <v>0.117818172200448</v>
      </c>
      <c r="T33">
        <v>5364.7265142900196</v>
      </c>
      <c r="U33">
        <v>0.44136152089167702</v>
      </c>
      <c r="V33">
        <v>0.59993462363054495</v>
      </c>
      <c r="W33">
        <v>29279036.670992699</v>
      </c>
      <c r="X33">
        <v>95050.583198666107</v>
      </c>
      <c r="Y33">
        <v>4685468.6851492897</v>
      </c>
      <c r="Z33">
        <v>1365.4541612523899</v>
      </c>
      <c r="AA33">
        <v>1.2176110620404099</v>
      </c>
      <c r="AB33">
        <v>1.1587329545695799</v>
      </c>
      <c r="AC33">
        <v>1.4076541977660499</v>
      </c>
      <c r="AD33">
        <v>1.55170040411418</v>
      </c>
      <c r="AE33">
        <v>136.65828086278</v>
      </c>
      <c r="AF33">
        <v>114381.03577065001</v>
      </c>
      <c r="AG33">
        <v>1297.3465864523</v>
      </c>
      <c r="AH33">
        <v>187.21439487863699</v>
      </c>
      <c r="AI33">
        <v>93496.427579783704</v>
      </c>
      <c r="AJ33">
        <v>92158.974284097494</v>
      </c>
      <c r="AK33">
        <v>555.51193738305801</v>
      </c>
      <c r="AL33">
        <v>32183.8673848992</v>
      </c>
      <c r="AM33">
        <v>20221.588752835101</v>
      </c>
      <c r="AN33">
        <v>0.87613018744134297</v>
      </c>
      <c r="AO33">
        <v>1.08987699295566</v>
      </c>
      <c r="AP33">
        <v>1.3352887633836099</v>
      </c>
      <c r="AQ33">
        <v>1.4574972516698499</v>
      </c>
      <c r="AR33">
        <v>39875.156283436998</v>
      </c>
      <c r="AS33">
        <v>245601.608544182</v>
      </c>
      <c r="AT33">
        <v>5.1412936194192203E-2</v>
      </c>
      <c r="AU33">
        <v>5.5254367699916103E-2</v>
      </c>
      <c r="AV33">
        <v>-0.31830922359677</v>
      </c>
      <c r="AW33">
        <v>292016.84547024802</v>
      </c>
      <c r="AX33">
        <v>11887.5032979191</v>
      </c>
      <c r="AY33">
        <v>21788.990657563401</v>
      </c>
      <c r="AZ33">
        <v>190788.66928828301</v>
      </c>
      <c r="BA33">
        <v>657652.01530406706</v>
      </c>
      <c r="BB33">
        <v>253522.708729009</v>
      </c>
      <c r="BC33">
        <v>62324.903224954302</v>
      </c>
      <c r="BD33">
        <v>24804.728408676401</v>
      </c>
      <c r="BE33">
        <v>31046.4306414655</v>
      </c>
      <c r="BF33">
        <v>108337.390699278</v>
      </c>
      <c r="BG33">
        <v>58203.594682137402</v>
      </c>
      <c r="BH33">
        <v>88364.680265050003</v>
      </c>
      <c r="BI33">
        <v>33299.364752706497</v>
      </c>
      <c r="BJ33">
        <v>22039.0443427258</v>
      </c>
      <c r="BK33">
        <v>54492.703068292001</v>
      </c>
      <c r="BL33">
        <v>209785.352428774</v>
      </c>
      <c r="BM33">
        <v>265794.395490636</v>
      </c>
      <c r="BN33">
        <v>1139882.7286277299</v>
      </c>
      <c r="BO33">
        <v>867348.32526092604</v>
      </c>
      <c r="BP33">
        <v>922591.23099204397</v>
      </c>
      <c r="BQ33">
        <v>130.22856167049301</v>
      </c>
      <c r="BR33">
        <v>1.31421559422476</v>
      </c>
      <c r="BS33">
        <v>1.0995692417760199</v>
      </c>
      <c r="BT33">
        <v>101.603336664566</v>
      </c>
      <c r="BU33">
        <v>96004.907691919201</v>
      </c>
      <c r="BV33">
        <v>2.06591844728037</v>
      </c>
      <c r="BW33">
        <v>198338.309830185</v>
      </c>
      <c r="BX33">
        <v>11116.9668341777</v>
      </c>
      <c r="BY33">
        <v>16522.960393654401</v>
      </c>
      <c r="BZ33">
        <v>17073.3764139554</v>
      </c>
      <c r="CA33">
        <v>550.41602030106901</v>
      </c>
      <c r="CB33">
        <v>3.2238263488798803E-2</v>
      </c>
      <c r="CC33">
        <v>11899446.5760084</v>
      </c>
      <c r="CD33">
        <v>571199.66952460504</v>
      </c>
      <c r="CE33">
        <v>712083.02901142102</v>
      </c>
      <c r="CF33">
        <v>383951.82331939001</v>
      </c>
      <c r="CG33">
        <v>20803.312803512199</v>
      </c>
      <c r="CH33">
        <v>1043862.72677666</v>
      </c>
      <c r="CI33">
        <v>0.10354897605746401</v>
      </c>
      <c r="CJ33">
        <v>9.6572659438472694</v>
      </c>
      <c r="CK33">
        <v>1258069.10486945</v>
      </c>
      <c r="CL33">
        <v>3443193.5751323099</v>
      </c>
      <c r="CM33">
        <v>3459408.8755891402</v>
      </c>
      <c r="CN33">
        <v>4701262.6800017599</v>
      </c>
      <c r="CO33">
        <v>10216984.0667338</v>
      </c>
      <c r="CP33">
        <v>9.1661199828805499E-3</v>
      </c>
      <c r="CQ33">
        <v>1.3007551488604399E-2</v>
      </c>
      <c r="CR33">
        <v>7.5571355989136099E-2</v>
      </c>
      <c r="CS33">
        <v>1.99737538665466</v>
      </c>
      <c r="CT33">
        <v>7.5571355989136293E-2</v>
      </c>
      <c r="CU33">
        <v>3.9440022763365001E-2</v>
      </c>
      <c r="CV33">
        <v>1.87275728934862E-2</v>
      </c>
      <c r="CW33">
        <v>-5.7200214048817302E-3</v>
      </c>
      <c r="CX33">
        <v>0.52801644016152505</v>
      </c>
      <c r="CY33">
        <v>6.6021283197151597</v>
      </c>
      <c r="CZ33">
        <v>6.9142427444192203E-2</v>
      </c>
      <c r="DA33">
        <v>4.6845002911349902E-2</v>
      </c>
      <c r="DB33">
        <v>8.0827791216459902E-3</v>
      </c>
      <c r="DC33">
        <v>0.15175633159447199</v>
      </c>
      <c r="DD33">
        <v>225483.03185939201</v>
      </c>
      <c r="DE33">
        <v>139.832469558512</v>
      </c>
      <c r="DF33">
        <v>4.9770735525753</v>
      </c>
      <c r="DG33">
        <v>4.29643306004614</v>
      </c>
      <c r="DH33">
        <v>823568.41492719797</v>
      </c>
      <c r="DI33">
        <v>433313.78859312797</v>
      </c>
      <c r="DJ33">
        <v>1245.17804434713</v>
      </c>
      <c r="DK33">
        <v>4.1125687527523401E-2</v>
      </c>
      <c r="DL33">
        <v>0.67022357421816503</v>
      </c>
      <c r="DM33">
        <v>1.4188759641770801</v>
      </c>
      <c r="DN33">
        <v>3.57615042376472E-2</v>
      </c>
      <c r="DO33">
        <v>4.6545582279544397E-2</v>
      </c>
      <c r="DP33">
        <v>30271.15</v>
      </c>
      <c r="DQ33">
        <v>25392.1559272745</v>
      </c>
      <c r="DR33">
        <v>4.25</v>
      </c>
      <c r="DS33">
        <v>180102.97495745</v>
      </c>
      <c r="DT33">
        <v>31798.440837674101</v>
      </c>
      <c r="DU33">
        <v>13581.6160642677</v>
      </c>
      <c r="DV33">
        <v>3.2927</v>
      </c>
      <c r="DW33">
        <v>0</v>
      </c>
      <c r="DX33">
        <v>57.774999999999999</v>
      </c>
      <c r="DY33">
        <v>208288.96</v>
      </c>
      <c r="DZ33">
        <v>2.3772128086334798</v>
      </c>
      <c r="EA33">
        <v>73.305999999999997</v>
      </c>
      <c r="EB33">
        <v>1.02062376390299</v>
      </c>
      <c r="EC33">
        <v>1.20449936397015</v>
      </c>
      <c r="ED33">
        <v>180011806.243249</v>
      </c>
      <c r="EE33">
        <v>3.1657802322288302</v>
      </c>
      <c r="EF33">
        <v>4.3499999999999997E-2</v>
      </c>
      <c r="EG33">
        <v>3.0492648484848499E-2</v>
      </c>
      <c r="EH33">
        <v>3.050813492075E-2</v>
      </c>
      <c r="EI33">
        <v>4.4180333333333301E-2</v>
      </c>
    </row>
    <row r="34" spans="1:139" x14ac:dyDescent="0.25">
      <c r="A34" s="2">
        <v>48639</v>
      </c>
      <c r="B34">
        <v>454872.87185031001</v>
      </c>
      <c r="C34">
        <v>40296.522258624304</v>
      </c>
      <c r="D34">
        <v>25547.404447582001</v>
      </c>
      <c r="E34">
        <v>295978.21294964902</v>
      </c>
      <c r="F34">
        <v>60405.857790602902</v>
      </c>
      <c r="G34">
        <v>18018.206485100302</v>
      </c>
      <c r="H34">
        <v>76874.160658981302</v>
      </c>
      <c r="I34">
        <v>77729.384066622399</v>
      </c>
      <c r="J34">
        <v>101014.93318638099</v>
      </c>
      <c r="K34">
        <v>405.78726677256401</v>
      </c>
      <c r="L34">
        <v>5429.7864215753998</v>
      </c>
      <c r="M34">
        <v>0.67230441542156805</v>
      </c>
      <c r="N34">
        <v>38122.847025027499</v>
      </c>
      <c r="O34">
        <v>208.89948633562801</v>
      </c>
      <c r="P34">
        <v>2.1184342058208601</v>
      </c>
      <c r="Q34">
        <v>1.5321370410103201</v>
      </c>
      <c r="R34">
        <v>1.08139351311453</v>
      </c>
      <c r="S34">
        <v>0.11830513774725999</v>
      </c>
      <c r="T34">
        <v>5333.0829988249598</v>
      </c>
      <c r="U34">
        <v>0.44394897888767898</v>
      </c>
      <c r="V34">
        <v>0.60112786275556795</v>
      </c>
      <c r="W34">
        <v>29779338.388543099</v>
      </c>
      <c r="X34">
        <v>96676.901632982699</v>
      </c>
      <c r="Y34">
        <v>4689593.9232241604</v>
      </c>
      <c r="Z34">
        <v>1386.4183951841801</v>
      </c>
      <c r="AA34">
        <v>1.2238839755355799</v>
      </c>
      <c r="AB34">
        <v>1.1619139155439</v>
      </c>
      <c r="AC34">
        <v>1.4227016856928201</v>
      </c>
      <c r="AD34">
        <v>1.57031215412636</v>
      </c>
      <c r="AE34">
        <v>137.92840978067801</v>
      </c>
      <c r="AF34">
        <v>114452.248784971</v>
      </c>
      <c r="AG34">
        <v>1309.58442965258</v>
      </c>
      <c r="AH34">
        <v>190.035351436431</v>
      </c>
      <c r="AI34">
        <v>94684.829842152103</v>
      </c>
      <c r="AJ34">
        <v>92596.215492726202</v>
      </c>
      <c r="AK34">
        <v>553.21912347649504</v>
      </c>
      <c r="AL34">
        <v>32656.633591439899</v>
      </c>
      <c r="AM34">
        <v>20243.7553262861</v>
      </c>
      <c r="AN34">
        <v>0.87223498093546303</v>
      </c>
      <c r="AO34">
        <v>1.0932803576118999</v>
      </c>
      <c r="AP34">
        <v>1.34576023487964</v>
      </c>
      <c r="AQ34">
        <v>1.4710150484281801</v>
      </c>
      <c r="AR34">
        <v>40105.0637857982</v>
      </c>
      <c r="AS34">
        <v>249578.17857993799</v>
      </c>
      <c r="AT34">
        <v>5.1241755186545002E-2</v>
      </c>
      <c r="AU34">
        <v>5.54004700784229E-2</v>
      </c>
      <c r="AV34">
        <v>-0.312915438653592</v>
      </c>
      <c r="AW34">
        <v>295978.21294964902</v>
      </c>
      <c r="AX34">
        <v>11926.265611618501</v>
      </c>
      <c r="AY34">
        <v>21946.736820573198</v>
      </c>
      <c r="AZ34">
        <v>191355.48911903799</v>
      </c>
      <c r="BA34">
        <v>669124.83992842399</v>
      </c>
      <c r="BB34">
        <v>256991.02151974299</v>
      </c>
      <c r="BC34">
        <v>63278.1186717413</v>
      </c>
      <c r="BD34">
        <v>25265.0090193578</v>
      </c>
      <c r="BE34">
        <v>31267.058919922099</v>
      </c>
      <c r="BF34">
        <v>110015.62032140599</v>
      </c>
      <c r="BG34">
        <v>59071.846853163399</v>
      </c>
      <c r="BH34">
        <v>88108.758322019901</v>
      </c>
      <c r="BI34">
        <v>33625.4084121052</v>
      </c>
      <c r="BJ34">
        <v>22132.100062529898</v>
      </c>
      <c r="BK34">
        <v>55316.2767212783</v>
      </c>
      <c r="BL34">
        <v>210772.10351793299</v>
      </c>
      <c r="BM34">
        <v>269892.22333128599</v>
      </c>
      <c r="BN34">
        <v>1155893.3954204</v>
      </c>
      <c r="BO34">
        <v>873627.68317592505</v>
      </c>
      <c r="BP34">
        <v>932280.33937197796</v>
      </c>
      <c r="BQ34">
        <v>131.00767113840601</v>
      </c>
      <c r="BR34">
        <v>1.3230960773886</v>
      </c>
      <c r="BS34">
        <v>1.10146881329762</v>
      </c>
      <c r="BT34">
        <v>101.856428759709</v>
      </c>
      <c r="BU34">
        <v>96782.104289936004</v>
      </c>
      <c r="BV34">
        <v>2.0970478174097398</v>
      </c>
      <c r="BW34">
        <v>202956.700565532</v>
      </c>
      <c r="BX34">
        <v>11139.477391791699</v>
      </c>
      <c r="BY34">
        <v>16569.263813367099</v>
      </c>
      <c r="BZ34">
        <v>17123.5657417945</v>
      </c>
      <c r="CA34">
        <v>554.30192842740098</v>
      </c>
      <c r="CB34">
        <v>3.23707063221031E-2</v>
      </c>
      <c r="CC34">
        <v>11934658.086870899</v>
      </c>
      <c r="CD34">
        <v>580366.40760225896</v>
      </c>
      <c r="CE34">
        <v>723208.73929428298</v>
      </c>
      <c r="CF34">
        <v>388181.49734421697</v>
      </c>
      <c r="CG34">
        <v>21128.347415693501</v>
      </c>
      <c r="CH34">
        <v>1058524.70723831</v>
      </c>
      <c r="CI34">
        <v>0.10373345466372599</v>
      </c>
      <c r="CJ34">
        <v>9.6400915523513095</v>
      </c>
      <c r="CK34">
        <v>1263490.2660830601</v>
      </c>
      <c r="CL34">
        <v>3479960.1124678198</v>
      </c>
      <c r="CM34">
        <v>3471978.40298098</v>
      </c>
      <c r="CN34">
        <v>4743450.3785508797</v>
      </c>
      <c r="CO34">
        <v>10271741.2926748</v>
      </c>
      <c r="CP34">
        <v>9.6134246413602693E-3</v>
      </c>
      <c r="CQ34">
        <v>1.37721395332381E-2</v>
      </c>
      <c r="CR34">
        <v>7.6676807202075106E-2</v>
      </c>
      <c r="CS34">
        <v>2.0174552102667298</v>
      </c>
      <c r="CT34">
        <v>7.6676807202075301E-2</v>
      </c>
      <c r="CU34">
        <v>3.9440022763365001E-2</v>
      </c>
      <c r="CV34">
        <v>1.88638103583651E-2</v>
      </c>
      <c r="CW34">
        <v>-5.0916708251269498E-3</v>
      </c>
      <c r="CX34">
        <v>0.52837398817177506</v>
      </c>
      <c r="CY34">
        <v>6.6367726388598802</v>
      </c>
      <c r="CZ34">
        <v>6.8971246436544995E-2</v>
      </c>
      <c r="DA34">
        <v>4.6757405235711001E-2</v>
      </c>
      <c r="DB34">
        <v>8.0937897102043299E-3</v>
      </c>
      <c r="DC34">
        <v>0.15186532149005</v>
      </c>
      <c r="DD34">
        <v>226150.256017668</v>
      </c>
      <c r="DE34">
        <v>141.055330711165</v>
      </c>
      <c r="DF34">
        <v>4.9859379261540004</v>
      </c>
      <c r="DG34">
        <v>4.3023762297942403</v>
      </c>
      <c r="DH34">
        <v>828422.45296269201</v>
      </c>
      <c r="DI34">
        <v>436212.91408393398</v>
      </c>
      <c r="DJ34">
        <v>1263.1906812274401</v>
      </c>
      <c r="DK34">
        <v>4.1125687527523401E-2</v>
      </c>
      <c r="DL34">
        <v>0.67022357421816503</v>
      </c>
      <c r="DM34">
        <v>1.4334110168913401</v>
      </c>
      <c r="DN34">
        <v>3.57615042376472E-2</v>
      </c>
      <c r="DO34">
        <v>4.6545582279544397E-2</v>
      </c>
      <c r="DP34">
        <v>30360.724999999999</v>
      </c>
      <c r="DQ34">
        <v>25469.958770175901</v>
      </c>
      <c r="DR34">
        <v>4.25</v>
      </c>
      <c r="DS34">
        <v>180635.91552897799</v>
      </c>
      <c r="DT34">
        <v>31892.535225830401</v>
      </c>
      <c r="DU34">
        <v>13621.8052628597</v>
      </c>
      <c r="DV34">
        <v>3.2927</v>
      </c>
      <c r="DW34">
        <v>0</v>
      </c>
      <c r="DX34">
        <v>57.774999999999999</v>
      </c>
      <c r="DY34">
        <v>208288.96</v>
      </c>
      <c r="DZ34">
        <v>2.3890107531376699</v>
      </c>
      <c r="EA34">
        <v>73.305999999999997</v>
      </c>
      <c r="EB34">
        <v>1.02062376390299</v>
      </c>
      <c r="EC34">
        <v>1.20449936397015</v>
      </c>
      <c r="ED34">
        <v>181251529.323957</v>
      </c>
      <c r="EE34">
        <v>3.1657802322288302</v>
      </c>
      <c r="EF34">
        <v>4.3499999999999997E-2</v>
      </c>
      <c r="EG34">
        <v>3.0492648484848499E-2</v>
      </c>
      <c r="EH34">
        <v>3.050813492075E-2</v>
      </c>
      <c r="EI34">
        <v>4.4180333333333301E-2</v>
      </c>
    </row>
    <row r="35" spans="1:139" x14ac:dyDescent="0.25">
      <c r="A35" s="2">
        <v>48731</v>
      </c>
      <c r="B35">
        <v>458335.77684908302</v>
      </c>
      <c r="C35">
        <v>40430.465464965702</v>
      </c>
      <c r="D35">
        <v>25589.0937172454</v>
      </c>
      <c r="E35">
        <v>300088.87110924203</v>
      </c>
      <c r="F35">
        <v>61085.494093528403</v>
      </c>
      <c r="G35">
        <v>18298.351004698899</v>
      </c>
      <c r="H35">
        <v>77977.408811224595</v>
      </c>
      <c r="I35">
        <v>78249.305987037893</v>
      </c>
      <c r="J35">
        <v>101157.221493383</v>
      </c>
      <c r="K35">
        <v>405.31909591559099</v>
      </c>
      <c r="L35">
        <v>5453.6714112874297</v>
      </c>
      <c r="M35">
        <v>0.672234218615954</v>
      </c>
      <c r="N35">
        <v>38626.366557839603</v>
      </c>
      <c r="O35">
        <v>210.972853066044</v>
      </c>
      <c r="P35">
        <v>2.1503948856619899</v>
      </c>
      <c r="Q35">
        <v>1.5356457470062099</v>
      </c>
      <c r="R35">
        <v>1.0805186591257601</v>
      </c>
      <c r="S35">
        <v>0.11874630906413</v>
      </c>
      <c r="T35">
        <v>5305.2340156099099</v>
      </c>
      <c r="U35">
        <v>0.446506204538762</v>
      </c>
      <c r="V35">
        <v>0.60228808796104905</v>
      </c>
      <c r="W35">
        <v>30287610.827042598</v>
      </c>
      <c r="X35">
        <v>98326.128424365699</v>
      </c>
      <c r="Y35">
        <v>4693688.3874038896</v>
      </c>
      <c r="Z35">
        <v>1407.3384851661301</v>
      </c>
      <c r="AA35">
        <v>1.2301384530444499</v>
      </c>
      <c r="AB35">
        <v>1.1649730914062599</v>
      </c>
      <c r="AC35">
        <v>1.4379323706870699</v>
      </c>
      <c r="AD35">
        <v>1.5887159729309499</v>
      </c>
      <c r="AE35">
        <v>139.20819534334299</v>
      </c>
      <c r="AF35">
        <v>114554.01784220801</v>
      </c>
      <c r="AG35">
        <v>1321.95963202599</v>
      </c>
      <c r="AH35">
        <v>192.88371975963</v>
      </c>
      <c r="AI35">
        <v>95915.510787905499</v>
      </c>
      <c r="AJ35">
        <v>93018.266925190503</v>
      </c>
      <c r="AK35">
        <v>550.96450879738404</v>
      </c>
      <c r="AL35">
        <v>33123.611727772499</v>
      </c>
      <c r="AM35">
        <v>20262.250966004402</v>
      </c>
      <c r="AN35">
        <v>0.868582059763642</v>
      </c>
      <c r="AO35">
        <v>1.09681280625966</v>
      </c>
      <c r="AP35">
        <v>1.3561329636767101</v>
      </c>
      <c r="AQ35">
        <v>1.4844765055412701</v>
      </c>
      <c r="AR35">
        <v>40323.488358567702</v>
      </c>
      <c r="AS35">
        <v>253619.79339886</v>
      </c>
      <c r="AT35">
        <v>5.1017142283163799E-2</v>
      </c>
      <c r="AU35">
        <v>5.5513553846392401E-2</v>
      </c>
      <c r="AV35">
        <v>-0.30727193205706899</v>
      </c>
      <c r="AW35">
        <v>300088.87110924203</v>
      </c>
      <c r="AX35">
        <v>11965.907798243101</v>
      </c>
      <c r="AY35">
        <v>22101.976321903199</v>
      </c>
      <c r="AZ35">
        <v>191889.937139858</v>
      </c>
      <c r="BA35">
        <v>680388.69265777105</v>
      </c>
      <c r="BB35">
        <v>260508.562747266</v>
      </c>
      <c r="BC35">
        <v>64232.526277224002</v>
      </c>
      <c r="BD35">
        <v>25731.426931645001</v>
      </c>
      <c r="BE35">
        <v>31478.128160141601</v>
      </c>
      <c r="BF35">
        <v>111738.98806314199</v>
      </c>
      <c r="BG35">
        <v>59963.604844686699</v>
      </c>
      <c r="BH35">
        <v>87863.347804689198</v>
      </c>
      <c r="BI35">
        <v>33940.805939162499</v>
      </c>
      <c r="BJ35">
        <v>22223.896343160901</v>
      </c>
      <c r="BK35">
        <v>56133.600443444899</v>
      </c>
      <c r="BL35">
        <v>211751.210530457</v>
      </c>
      <c r="BM35">
        <v>274040.91909108899</v>
      </c>
      <c r="BN35">
        <v>1171752.22112125</v>
      </c>
      <c r="BO35">
        <v>879807.25910489704</v>
      </c>
      <c r="BP35">
        <v>941967.08239904197</v>
      </c>
      <c r="BQ35">
        <v>131.76592141218501</v>
      </c>
      <c r="BR35">
        <v>1.33182827671341</v>
      </c>
      <c r="BS35">
        <v>1.1035034649895401</v>
      </c>
      <c r="BT35">
        <v>102.127201198207</v>
      </c>
      <c r="BU35">
        <v>97518.8974765116</v>
      </c>
      <c r="BV35">
        <v>2.1284796774831198</v>
      </c>
      <c r="BW35">
        <v>207566.99144931399</v>
      </c>
      <c r="BX35">
        <v>11162.0813020435</v>
      </c>
      <c r="BY35">
        <v>16615.752713330901</v>
      </c>
      <c r="BZ35">
        <v>17174.090137367901</v>
      </c>
      <c r="CA35">
        <v>558.337424036985</v>
      </c>
      <c r="CB35">
        <v>3.2510450984969699E-2</v>
      </c>
      <c r="CC35">
        <v>11969869.597733401</v>
      </c>
      <c r="CD35">
        <v>589681.63917648303</v>
      </c>
      <c r="CE35">
        <v>734752.34353424795</v>
      </c>
      <c r="CF35">
        <v>392149.13334461901</v>
      </c>
      <c r="CG35">
        <v>21465.590686632499</v>
      </c>
      <c r="CH35">
        <v>1073047.6372062799</v>
      </c>
      <c r="CI35">
        <v>0.103853007647966</v>
      </c>
      <c r="CJ35">
        <v>9.6289941201292404</v>
      </c>
      <c r="CK35">
        <v>1268874.4967298899</v>
      </c>
      <c r="CL35">
        <v>3517309.2883808501</v>
      </c>
      <c r="CM35">
        <v>3484578.63237776</v>
      </c>
      <c r="CN35">
        <v>4786183.7851107297</v>
      </c>
      <c r="CO35">
        <v>10327074.928631401</v>
      </c>
      <c r="CP35">
        <v>9.9241467032009992E-3</v>
      </c>
      <c r="CQ35">
        <v>1.44205582664295E-2</v>
      </c>
      <c r="CR35">
        <v>7.7653313484167097E-2</v>
      </c>
      <c r="CS35">
        <v>2.03747883304553</v>
      </c>
      <c r="CT35">
        <v>7.7653313484167305E-2</v>
      </c>
      <c r="CU35">
        <v>3.9440022763365001E-2</v>
      </c>
      <c r="CV35">
        <v>1.9000022763365002E-2</v>
      </c>
      <c r="CW35">
        <v>-4.5794644969354703E-3</v>
      </c>
      <c r="CX35">
        <v>0.52873943295218495</v>
      </c>
      <c r="CY35">
        <v>6.6707088836949797</v>
      </c>
      <c r="CZ35">
        <v>6.8746633533163806E-2</v>
      </c>
      <c r="DA35">
        <v>4.66298939334635E-2</v>
      </c>
      <c r="DB35">
        <v>8.1023138256474097E-3</v>
      </c>
      <c r="DC35">
        <v>0.15191650878545099</v>
      </c>
      <c r="DD35">
        <v>226817.48017594501</v>
      </c>
      <c r="DE35">
        <v>142.31270967693399</v>
      </c>
      <c r="DF35">
        <v>4.9949697173689298</v>
      </c>
      <c r="DG35">
        <v>4.3084868171785802</v>
      </c>
      <c r="DH35">
        <v>833305.10026102699</v>
      </c>
      <c r="DI35">
        <v>439131.436438706</v>
      </c>
      <c r="DJ35">
        <v>1281.4638873402901</v>
      </c>
      <c r="DK35">
        <v>4.1125687527523401E-2</v>
      </c>
      <c r="DL35">
        <v>0.67022357421816503</v>
      </c>
      <c r="DM35">
        <v>1.4480949675803001</v>
      </c>
      <c r="DN35">
        <v>3.57615042376472E-2</v>
      </c>
      <c r="DO35">
        <v>4.6545582279544397E-2</v>
      </c>
      <c r="DP35">
        <v>30450.3</v>
      </c>
      <c r="DQ35">
        <v>25547.777339759999</v>
      </c>
      <c r="DR35">
        <v>4.25</v>
      </c>
      <c r="DS35">
        <v>181168.856100506</v>
      </c>
      <c r="DT35">
        <v>31986.629613986599</v>
      </c>
      <c r="DU35">
        <v>13661.994461451701</v>
      </c>
      <c r="DV35">
        <v>3.2927</v>
      </c>
      <c r="DW35">
        <v>0</v>
      </c>
      <c r="DX35">
        <v>57.774999999999999</v>
      </c>
      <c r="DY35">
        <v>208288.96</v>
      </c>
      <c r="DZ35">
        <v>2.4008672500331398</v>
      </c>
      <c r="EA35">
        <v>73.305999999999997</v>
      </c>
      <c r="EB35">
        <v>1.02062376390299</v>
      </c>
      <c r="EC35">
        <v>1.20449936397015</v>
      </c>
      <c r="ED35">
        <v>182499790.251982</v>
      </c>
      <c r="EE35">
        <v>3.1657802322288302</v>
      </c>
      <c r="EF35">
        <v>4.3499999999999997E-2</v>
      </c>
      <c r="EG35">
        <v>3.0492648484848499E-2</v>
      </c>
      <c r="EH35">
        <v>3.050813492075E-2</v>
      </c>
      <c r="EI35">
        <v>4.4180333333333301E-2</v>
      </c>
    </row>
    <row r="36" spans="1:139" x14ac:dyDescent="0.25">
      <c r="A36" s="2">
        <v>48823</v>
      </c>
      <c r="B36">
        <v>461962.74103203998</v>
      </c>
      <c r="C36">
        <v>40566.196554374103</v>
      </c>
      <c r="D36">
        <v>25626.747724528501</v>
      </c>
      <c r="E36">
        <v>304325.09588415502</v>
      </c>
      <c r="F36">
        <v>61806.628371585502</v>
      </c>
      <c r="G36">
        <v>18583.896537438901</v>
      </c>
      <c r="H36">
        <v>79106.083232917197</v>
      </c>
      <c r="I36">
        <v>82523.363603461403</v>
      </c>
      <c r="J36">
        <v>101317.795870266</v>
      </c>
      <c r="K36">
        <v>404.89924444848998</v>
      </c>
      <c r="L36">
        <v>5477.7018116278596</v>
      </c>
      <c r="M36">
        <v>0.67217134720044203</v>
      </c>
      <c r="N36">
        <v>39132.128775813297</v>
      </c>
      <c r="O36">
        <v>213.04850128817901</v>
      </c>
      <c r="P36">
        <v>2.18265245956349</v>
      </c>
      <c r="Q36">
        <v>1.5388824289853</v>
      </c>
      <c r="R36">
        <v>1.0796600074509</v>
      </c>
      <c r="S36">
        <v>0.119181321962429</v>
      </c>
      <c r="T36">
        <v>5279.46478927108</v>
      </c>
      <c r="U36">
        <v>0.44898246254817997</v>
      </c>
      <c r="V36">
        <v>0.60333479657425604</v>
      </c>
      <c r="W36">
        <v>30803991.0472924</v>
      </c>
      <c r="X36">
        <v>99999.912945768199</v>
      </c>
      <c r="Y36">
        <v>4698519.1113518197</v>
      </c>
      <c r="Z36">
        <v>1428.35874494773</v>
      </c>
      <c r="AA36">
        <v>1.23637185171046</v>
      </c>
      <c r="AB36">
        <v>1.16794871099527</v>
      </c>
      <c r="AC36">
        <v>1.45321169023758</v>
      </c>
      <c r="AD36">
        <v>1.6069143859585</v>
      </c>
      <c r="AE36">
        <v>140.49748550226099</v>
      </c>
      <c r="AF36">
        <v>114701.864000382</v>
      </c>
      <c r="AG36">
        <v>1332.8189444074901</v>
      </c>
      <c r="AH36">
        <v>195.765665627141</v>
      </c>
      <c r="AI36">
        <v>97194.175642289701</v>
      </c>
      <c r="AJ36">
        <v>93525.518436739105</v>
      </c>
      <c r="AK36">
        <v>549.11459320358404</v>
      </c>
      <c r="AL36">
        <v>33600.102537961197</v>
      </c>
      <c r="AM36">
        <v>20285.097023591901</v>
      </c>
      <c r="AN36">
        <v>0.86528210271787398</v>
      </c>
      <c r="AO36">
        <v>1.10025575169334</v>
      </c>
      <c r="AP36">
        <v>1.3664565946192699</v>
      </c>
      <c r="AQ36">
        <v>1.49793394428125</v>
      </c>
      <c r="AR36">
        <v>40552.877871267898</v>
      </c>
      <c r="AS36">
        <v>257794.56110695301</v>
      </c>
      <c r="AT36">
        <v>5.0819115907789501E-2</v>
      </c>
      <c r="AU36">
        <v>5.5599799456290698E-2</v>
      </c>
      <c r="AV36">
        <v>-0.30451680680903898</v>
      </c>
      <c r="AW36">
        <v>304325.09588415502</v>
      </c>
      <c r="AX36">
        <v>12006.0791314825</v>
      </c>
      <c r="AY36">
        <v>22263.234045417499</v>
      </c>
      <c r="AZ36">
        <v>192464.004810543</v>
      </c>
      <c r="BA36">
        <v>691989.67104438704</v>
      </c>
      <c r="BB36">
        <v>264047.93276902899</v>
      </c>
      <c r="BC36">
        <v>65186.4048268439</v>
      </c>
      <c r="BD36">
        <v>26205.098146044202</v>
      </c>
      <c r="BE36">
        <v>31684.1895374921</v>
      </c>
      <c r="BF36">
        <v>113517.811035458</v>
      </c>
      <c r="BG36">
        <v>60876.611582951104</v>
      </c>
      <c r="BH36">
        <v>87668.475453363804</v>
      </c>
      <c r="BI36">
        <v>34260.499684880502</v>
      </c>
      <c r="BJ36">
        <v>22318.794673864501</v>
      </c>
      <c r="BK36">
        <v>56975.773707934401</v>
      </c>
      <c r="BL36">
        <v>212813.10352004299</v>
      </c>
      <c r="BM36">
        <v>278330.477765535</v>
      </c>
      <c r="BN36">
        <v>1187990.3446967099</v>
      </c>
      <c r="BO36">
        <v>886226.40065741399</v>
      </c>
      <c r="BP36">
        <v>951986.92183263798</v>
      </c>
      <c r="BQ36">
        <v>132.518469152466</v>
      </c>
      <c r="BR36">
        <v>1.34050430616711</v>
      </c>
      <c r="BS36">
        <v>1.1057293738095699</v>
      </c>
      <c r="BT36">
        <v>102.41459035055099</v>
      </c>
      <c r="BU36">
        <v>98290.597104108499</v>
      </c>
      <c r="BV36">
        <v>2.1602820671210199</v>
      </c>
      <c r="BW36">
        <v>212335.41429062199</v>
      </c>
      <c r="BX36">
        <v>11185.155457909999</v>
      </c>
      <c r="BY36">
        <v>16662.857269537799</v>
      </c>
      <c r="BZ36">
        <v>17223.999910886301</v>
      </c>
      <c r="CA36">
        <v>561.14264134843302</v>
      </c>
      <c r="CB36">
        <v>3.2579112694295302E-2</v>
      </c>
      <c r="CC36">
        <v>12004933.6978611</v>
      </c>
      <c r="CD36">
        <v>599096.35329706804</v>
      </c>
      <c r="CE36">
        <v>750720.79616418295</v>
      </c>
      <c r="CF36">
        <v>396323.69480991003</v>
      </c>
      <c r="CG36">
        <v>21932.1047046815</v>
      </c>
      <c r="CH36">
        <v>1087917.9142334899</v>
      </c>
      <c r="CI36">
        <v>0.104009518979934</v>
      </c>
      <c r="CJ36">
        <v>9.6145046127261207</v>
      </c>
      <c r="CK36">
        <v>1274214.4934056301</v>
      </c>
      <c r="CL36">
        <v>3555273.7820298602</v>
      </c>
      <c r="CM36">
        <v>3497212.2917855298</v>
      </c>
      <c r="CN36">
        <v>4829488.2754354896</v>
      </c>
      <c r="CO36">
        <v>10383013.078364</v>
      </c>
      <c r="CP36">
        <v>1.02283403770904E-2</v>
      </c>
      <c r="CQ36">
        <v>1.50090239255916E-2</v>
      </c>
      <c r="CR36">
        <v>7.8590546431730093E-2</v>
      </c>
      <c r="CS36">
        <v>2.0575244894225801</v>
      </c>
      <c r="CT36">
        <v>7.8590546431730093E-2</v>
      </c>
      <c r="CU36">
        <v>3.9440022763365001E-2</v>
      </c>
      <c r="CV36">
        <v>1.91100583388133E-2</v>
      </c>
      <c r="CW36">
        <v>-4.1010344132217198E-3</v>
      </c>
      <c r="CX36">
        <v>0.52905938091025395</v>
      </c>
      <c r="CY36">
        <v>6.7043829752910096</v>
      </c>
      <c r="CZ36">
        <v>6.8548607157789501E-2</v>
      </c>
      <c r="DA36">
        <v>4.65190356465962E-2</v>
      </c>
      <c r="DB36">
        <v>8.1088160165195804E-3</v>
      </c>
      <c r="DC36">
        <v>0.15199909381975399</v>
      </c>
      <c r="DD36">
        <v>227481.911043019</v>
      </c>
      <c r="DE36">
        <v>143.537578475126</v>
      </c>
      <c r="DF36">
        <v>5.0036969758452301</v>
      </c>
      <c r="DG36">
        <v>4.3142928718242803</v>
      </c>
      <c r="DH36">
        <v>838216.52544262004</v>
      </c>
      <c r="DI36">
        <v>442069.48543393298</v>
      </c>
      <c r="DJ36">
        <v>1300.0014320574301</v>
      </c>
      <c r="DK36">
        <v>4.1125687527523401E-2</v>
      </c>
      <c r="DL36">
        <v>0.67022357421816503</v>
      </c>
      <c r="DM36">
        <v>1.4629293415639599</v>
      </c>
      <c r="DN36">
        <v>3.57615042376472E-2</v>
      </c>
      <c r="DO36">
        <v>4.6545582279544397E-2</v>
      </c>
      <c r="DP36">
        <v>30539.5</v>
      </c>
      <c r="DQ36">
        <v>25624.41850969</v>
      </c>
      <c r="DR36">
        <v>4.25</v>
      </c>
      <c r="DS36">
        <v>181699.56555046799</v>
      </c>
      <c r="DT36">
        <v>32080.330082013701</v>
      </c>
      <c r="DU36">
        <v>13702.015410537901</v>
      </c>
      <c r="DV36">
        <v>1.64635</v>
      </c>
      <c r="DW36">
        <v>0</v>
      </c>
      <c r="DX36">
        <v>58.1</v>
      </c>
      <c r="DY36">
        <v>208288.96</v>
      </c>
      <c r="DZ36">
        <v>2.4127825899114002</v>
      </c>
      <c r="EA36">
        <v>73.305999999999997</v>
      </c>
      <c r="EB36">
        <v>1.02062376390299</v>
      </c>
      <c r="EC36">
        <v>1.20449936397015</v>
      </c>
      <c r="ED36">
        <v>183756647.82661399</v>
      </c>
      <c r="EE36">
        <v>3.1657802322288302</v>
      </c>
      <c r="EF36">
        <v>4.3499999999999997E-2</v>
      </c>
      <c r="EG36">
        <v>3.0492648484848499E-2</v>
      </c>
      <c r="EH36">
        <v>3.050813492075E-2</v>
      </c>
      <c r="EI36">
        <v>4.4180333333333301E-2</v>
      </c>
    </row>
    <row r="37" spans="1:139" x14ac:dyDescent="0.25">
      <c r="A37" s="2">
        <v>48914</v>
      </c>
      <c r="B37">
        <v>465817.213120614</v>
      </c>
      <c r="C37">
        <v>40705.0898846161</v>
      </c>
      <c r="D37">
        <v>25658.708541818502</v>
      </c>
      <c r="E37">
        <v>308718.61014200002</v>
      </c>
      <c r="F37">
        <v>62558.039273447503</v>
      </c>
      <c r="G37">
        <v>18874.9997417665</v>
      </c>
      <c r="H37">
        <v>80262.319872462496</v>
      </c>
      <c r="I37">
        <v>82305.9982811636</v>
      </c>
      <c r="J37">
        <v>101486.91578764599</v>
      </c>
      <c r="K37">
        <v>404.532879800979</v>
      </c>
      <c r="L37">
        <v>5502.1101718046302</v>
      </c>
      <c r="M37">
        <v>0.67212239577556798</v>
      </c>
      <c r="N37">
        <v>39644.163692632799</v>
      </c>
      <c r="O37">
        <v>215.128848763598</v>
      </c>
      <c r="P37">
        <v>2.2152362995128798</v>
      </c>
      <c r="Q37">
        <v>1.54189260425034</v>
      </c>
      <c r="R37">
        <v>1.0788090445963301</v>
      </c>
      <c r="S37">
        <v>0.119650174704726</v>
      </c>
      <c r="T37">
        <v>5257.8872557055702</v>
      </c>
      <c r="U37">
        <v>0.45140285859948798</v>
      </c>
      <c r="V37">
        <v>0.60430112485954901</v>
      </c>
      <c r="W37">
        <v>31329989.6921901</v>
      </c>
      <c r="X37">
        <v>101698.847214373</v>
      </c>
      <c r="Y37">
        <v>4704512.2041806802</v>
      </c>
      <c r="Z37">
        <v>1449.4830704882199</v>
      </c>
      <c r="AA37">
        <v>1.2425961419520399</v>
      </c>
      <c r="AB37">
        <v>1.1708275506772201</v>
      </c>
      <c r="AC37">
        <v>1.4685886060589299</v>
      </c>
      <c r="AD37">
        <v>1.62491139484747</v>
      </c>
      <c r="AE37">
        <v>141.793679470874</v>
      </c>
      <c r="AF37">
        <v>114926.06937739901</v>
      </c>
      <c r="AG37">
        <v>1343.79159588732</v>
      </c>
      <c r="AH37">
        <v>198.67934260742601</v>
      </c>
      <c r="AI37">
        <v>98537.531169546797</v>
      </c>
      <c r="AJ37">
        <v>94095.338741107407</v>
      </c>
      <c r="AK37">
        <v>547.21471005705405</v>
      </c>
      <c r="AL37">
        <v>34091.743780761302</v>
      </c>
      <c r="AM37">
        <v>20312.311250501902</v>
      </c>
      <c r="AN37">
        <v>0.86226455963652504</v>
      </c>
      <c r="AO37">
        <v>1.1036849639252</v>
      </c>
      <c r="AP37">
        <v>1.37675266678506</v>
      </c>
      <c r="AQ37">
        <v>1.5114028844451499</v>
      </c>
      <c r="AR37">
        <v>40793.846518366801</v>
      </c>
      <c r="AS37">
        <v>262198.07826370501</v>
      </c>
      <c r="AT37">
        <v>5.0677413690668499E-2</v>
      </c>
      <c r="AU37">
        <v>5.5666070848980002E-2</v>
      </c>
      <c r="AV37">
        <v>-0.30495898341731797</v>
      </c>
      <c r="AW37">
        <v>308718.61014200002</v>
      </c>
      <c r="AX37">
        <v>12047.1863699066</v>
      </c>
      <c r="AY37">
        <v>22430.7699473168</v>
      </c>
      <c r="AZ37">
        <v>193068.84350383101</v>
      </c>
      <c r="BA37">
        <v>704037.47974491795</v>
      </c>
      <c r="BB37">
        <v>267621.30554461601</v>
      </c>
      <c r="BC37">
        <v>66142.164381803304</v>
      </c>
      <c r="BD37">
        <v>26687.364553613901</v>
      </c>
      <c r="BE37">
        <v>31883.412241535501</v>
      </c>
      <c r="BF37">
        <v>115370.45516702899</v>
      </c>
      <c r="BG37">
        <v>61815.799570651601</v>
      </c>
      <c r="BH37">
        <v>87508.570750503495</v>
      </c>
      <c r="BI37">
        <v>34585.838289408603</v>
      </c>
      <c r="BJ37">
        <v>22418.3925097477</v>
      </c>
      <c r="BK37">
        <v>57843.0959760935</v>
      </c>
      <c r="BL37">
        <v>213945.45752575301</v>
      </c>
      <c r="BM37">
        <v>282861.65830666199</v>
      </c>
      <c r="BN37">
        <v>1204641.7804232601</v>
      </c>
      <c r="BO37">
        <v>892895.45601665298</v>
      </c>
      <c r="BP37">
        <v>962454.65626835404</v>
      </c>
      <c r="BQ37">
        <v>133.266785874965</v>
      </c>
      <c r="BR37">
        <v>1.3491408578360999</v>
      </c>
      <c r="BS37">
        <v>1.1081304142245401</v>
      </c>
      <c r="BT37">
        <v>102.71793880252299</v>
      </c>
      <c r="BU37">
        <v>99110.702990268503</v>
      </c>
      <c r="BV37">
        <v>2.1924346108764801</v>
      </c>
      <c r="BW37">
        <v>217293.73554416301</v>
      </c>
      <c r="BX37">
        <v>11209.565178786101</v>
      </c>
      <c r="BY37">
        <v>16711.675350590798</v>
      </c>
      <c r="BZ37">
        <v>17274.2648827267</v>
      </c>
      <c r="CA37">
        <v>562.58953213590905</v>
      </c>
      <c r="CB37">
        <v>3.2568073462261503E-2</v>
      </c>
      <c r="CC37">
        <v>12039997.7979888</v>
      </c>
      <c r="CD37">
        <v>608713.56316805503</v>
      </c>
      <c r="CE37">
        <v>761798.38345532201</v>
      </c>
      <c r="CF37">
        <v>400648.76759728399</v>
      </c>
      <c r="CG37">
        <v>22255.733416695199</v>
      </c>
      <c r="CH37">
        <v>1103166.6873447199</v>
      </c>
      <c r="CI37">
        <v>0.104075017862593</v>
      </c>
      <c r="CJ37">
        <v>9.6084537916704793</v>
      </c>
      <c r="CK37">
        <v>1279506.9267474799</v>
      </c>
      <c r="CL37">
        <v>3593891.43937833</v>
      </c>
      <c r="CM37">
        <v>3509880.9024130502</v>
      </c>
      <c r="CN37">
        <v>4873398.36612581</v>
      </c>
      <c r="CO37">
        <v>10439591.7796818</v>
      </c>
      <c r="CP37">
        <v>1.0504623483517401E-2</v>
      </c>
      <c r="CQ37">
        <v>1.5493280641828901E-2</v>
      </c>
      <c r="CR37">
        <v>7.9477384497574896E-2</v>
      </c>
      <c r="CS37">
        <v>2.0776155290276601</v>
      </c>
      <c r="CT37">
        <v>7.9477384497574896E-2</v>
      </c>
      <c r="CU37">
        <v>3.9440022763365001E-2</v>
      </c>
      <c r="CV37">
        <v>1.9220070193887401E-2</v>
      </c>
      <c r="CW37">
        <v>-3.7267895520585398E-3</v>
      </c>
      <c r="CX37">
        <v>0.52934337534532605</v>
      </c>
      <c r="CY37">
        <v>6.7377438164094601</v>
      </c>
      <c r="CZ37">
        <v>6.8406904940668506E-2</v>
      </c>
      <c r="DA37">
        <v>4.6442677465734099E-2</v>
      </c>
      <c r="DB37">
        <v>8.1138129684272704E-3</v>
      </c>
      <c r="DC37">
        <v>0.15202534179243599</v>
      </c>
      <c r="DD37">
        <v>228146.34191009501</v>
      </c>
      <c r="DE37">
        <v>144.752471638565</v>
      </c>
      <c r="DF37">
        <v>5.0122824993821196</v>
      </c>
      <c r="DG37">
        <v>4.3199571915305697</v>
      </c>
      <c r="DH37">
        <v>843156.89812172297</v>
      </c>
      <c r="DI37">
        <v>445027.19171438698</v>
      </c>
      <c r="DJ37">
        <v>1318.80713927805</v>
      </c>
      <c r="DK37">
        <v>4.1125687527523401E-2</v>
      </c>
      <c r="DL37">
        <v>0.67022357421816503</v>
      </c>
      <c r="DM37">
        <v>1.4779156797878299</v>
      </c>
      <c r="DN37">
        <v>3.57615042376472E-2</v>
      </c>
      <c r="DO37">
        <v>4.6545582279544397E-2</v>
      </c>
      <c r="DP37">
        <v>30628.7</v>
      </c>
      <c r="DQ37">
        <v>25701.070208788002</v>
      </c>
      <c r="DR37">
        <v>4.25</v>
      </c>
      <c r="DS37">
        <v>182230.27500042901</v>
      </c>
      <c r="DT37">
        <v>32174.030550040901</v>
      </c>
      <c r="DU37">
        <v>13742.0363596242</v>
      </c>
      <c r="DV37">
        <v>1.64635</v>
      </c>
      <c r="DW37">
        <v>0</v>
      </c>
      <c r="DX37">
        <v>58.1</v>
      </c>
      <c r="DY37">
        <v>208288.96</v>
      </c>
      <c r="DZ37">
        <v>2.4247570648061498</v>
      </c>
      <c r="EA37">
        <v>73.305999999999997</v>
      </c>
      <c r="EB37">
        <v>1.02062376390299</v>
      </c>
      <c r="EC37">
        <v>1.20449936397015</v>
      </c>
      <c r="ED37">
        <v>185022161.252085</v>
      </c>
      <c r="EE37">
        <v>3.1657802322288302</v>
      </c>
      <c r="EF37">
        <v>4.3499999999999997E-2</v>
      </c>
      <c r="EG37">
        <v>3.0492648484848499E-2</v>
      </c>
      <c r="EH37">
        <v>3.050813492075E-2</v>
      </c>
      <c r="EI37">
        <v>4.4180333333333301E-2</v>
      </c>
    </row>
    <row r="38" spans="1:139" x14ac:dyDescent="0.25">
      <c r="A38" s="2">
        <v>49004</v>
      </c>
      <c r="B38">
        <v>469847.43364186899</v>
      </c>
      <c r="C38">
        <v>40849.584548645202</v>
      </c>
      <c r="D38">
        <v>25687.951898095202</v>
      </c>
      <c r="E38">
        <v>313278.56306607497</v>
      </c>
      <c r="F38">
        <v>63327.426596914003</v>
      </c>
      <c r="G38">
        <v>19174.761875132401</v>
      </c>
      <c r="H38">
        <v>81443.486343443801</v>
      </c>
      <c r="I38">
        <v>82473.243840244395</v>
      </c>
      <c r="J38">
        <v>101666.519218726</v>
      </c>
      <c r="K38">
        <v>404.22418564382298</v>
      </c>
      <c r="L38">
        <v>5526.9560971742103</v>
      </c>
      <c r="M38">
        <v>0.67209495164285205</v>
      </c>
      <c r="N38">
        <v>40163.759449440098</v>
      </c>
      <c r="O38">
        <v>217.21834114453199</v>
      </c>
      <c r="P38">
        <v>2.2481379490305899</v>
      </c>
      <c r="Q38">
        <v>1.54471542130504</v>
      </c>
      <c r="R38">
        <v>1.0780169314125001</v>
      </c>
      <c r="S38">
        <v>0.12017873230750301</v>
      </c>
      <c r="T38">
        <v>5240.3941076864703</v>
      </c>
      <c r="U38">
        <v>0.45373729981199001</v>
      </c>
      <c r="V38">
        <v>0.60514810893304904</v>
      </c>
      <c r="W38">
        <v>31866000.4359539</v>
      </c>
      <c r="X38">
        <v>103424.031716759</v>
      </c>
      <c r="Y38">
        <v>4711823.5912322504</v>
      </c>
      <c r="Z38">
        <v>1470.7529155144</v>
      </c>
      <c r="AA38">
        <v>1.2488133614089001</v>
      </c>
      <c r="AB38">
        <v>1.17363162321519</v>
      </c>
      <c r="AC38">
        <v>1.4840542518686699</v>
      </c>
      <c r="AD38">
        <v>1.6427169630274501</v>
      </c>
      <c r="AE38">
        <v>143.09768657437999</v>
      </c>
      <c r="AF38">
        <v>115238.145495609</v>
      </c>
      <c r="AG38">
        <v>1354.8719973827001</v>
      </c>
      <c r="AH38">
        <v>201.62616355583901</v>
      </c>
      <c r="AI38">
        <v>99951.9913208902</v>
      </c>
      <c r="AJ38">
        <v>94663.789321806296</v>
      </c>
      <c r="AK38">
        <v>545.38016632781603</v>
      </c>
      <c r="AL38">
        <v>34598.034927810397</v>
      </c>
      <c r="AM38">
        <v>20342.9461820223</v>
      </c>
      <c r="AN38">
        <v>0.85957511708224799</v>
      </c>
      <c r="AO38">
        <v>1.107181711006</v>
      </c>
      <c r="AP38">
        <v>1.3870521498864401</v>
      </c>
      <c r="AQ38">
        <v>1.5249122339801999</v>
      </c>
      <c r="AR38">
        <v>41043.900888210002</v>
      </c>
      <c r="AS38">
        <v>266830.16773958702</v>
      </c>
      <c r="AT38">
        <v>5.06186934319314E-2</v>
      </c>
      <c r="AU38">
        <v>5.5719653418360299E-2</v>
      </c>
      <c r="AV38">
        <v>-0.30884856870472699</v>
      </c>
      <c r="AW38">
        <v>313278.56306607497</v>
      </c>
      <c r="AX38">
        <v>12089.9513939356</v>
      </c>
      <c r="AY38">
        <v>22603.775308140201</v>
      </c>
      <c r="AZ38">
        <v>193702.141597098</v>
      </c>
      <c r="BA38">
        <v>716476.09984269505</v>
      </c>
      <c r="BB38">
        <v>271227.21604930703</v>
      </c>
      <c r="BC38">
        <v>67104.305470683496</v>
      </c>
      <c r="BD38">
        <v>27179.878530641799</v>
      </c>
      <c r="BE38">
        <v>32079.457557570298</v>
      </c>
      <c r="BF38">
        <v>117306.816655428</v>
      </c>
      <c r="BG38">
        <v>62783.951509439597</v>
      </c>
      <c r="BH38">
        <v>87390.010160780803</v>
      </c>
      <c r="BI38">
        <v>34916.400298198299</v>
      </c>
      <c r="BJ38">
        <v>22523.3379607145</v>
      </c>
      <c r="BK38">
        <v>58732.8726509099</v>
      </c>
      <c r="BL38">
        <v>215152.18107060299</v>
      </c>
      <c r="BM38">
        <v>287647.43863491202</v>
      </c>
      <c r="BN38">
        <v>1221662.4680514601</v>
      </c>
      <c r="BO38">
        <v>899782.23253043601</v>
      </c>
      <c r="BP38">
        <v>973340.22226343595</v>
      </c>
      <c r="BQ38">
        <v>134.009944230294</v>
      </c>
      <c r="BR38">
        <v>1.35773121741136</v>
      </c>
      <c r="BS38">
        <v>1.1107372344809801</v>
      </c>
      <c r="BT38">
        <v>103.03523090547399</v>
      </c>
      <c r="BU38">
        <v>99968.202408101293</v>
      </c>
      <c r="BV38">
        <v>2.22495289966567</v>
      </c>
      <c r="BW38">
        <v>222424.54182226901</v>
      </c>
      <c r="BX38">
        <v>11235.5599334996</v>
      </c>
      <c r="BY38">
        <v>16762.5160306738</v>
      </c>
      <c r="BZ38">
        <v>17325.083835744201</v>
      </c>
      <c r="CA38">
        <v>562.56780507041196</v>
      </c>
      <c r="CB38">
        <v>3.2471288914616897E-2</v>
      </c>
      <c r="CC38">
        <v>12075061.898116499</v>
      </c>
      <c r="CD38">
        <v>618567.77511259797</v>
      </c>
      <c r="CE38">
        <v>773481.11437716195</v>
      </c>
      <c r="CF38">
        <v>405059.76932656899</v>
      </c>
      <c r="CG38">
        <v>22597.041235958499</v>
      </c>
      <c r="CH38">
        <v>1118753.60778221</v>
      </c>
      <c r="CI38">
        <v>0.104072356987019</v>
      </c>
      <c r="CJ38">
        <v>9.6086994563285604</v>
      </c>
      <c r="CK38">
        <v>1284746.8625960499</v>
      </c>
      <c r="CL38">
        <v>3633216.1896057101</v>
      </c>
      <c r="CM38">
        <v>3522587.3476920598</v>
      </c>
      <c r="CN38">
        <v>4917963.0522017702</v>
      </c>
      <c r="CO38">
        <v>10496862.911036801</v>
      </c>
      <c r="CP38">
        <v>1.07964087780662E-2</v>
      </c>
      <c r="CQ38">
        <v>1.5897368764495198E-2</v>
      </c>
      <c r="CR38">
        <v>8.0356447653637905E-2</v>
      </c>
      <c r="CS38">
        <v>2.09779488592639</v>
      </c>
      <c r="CT38">
        <v>8.0356447653637905E-2</v>
      </c>
      <c r="CU38">
        <v>3.9440022763365001E-2</v>
      </c>
      <c r="CV38">
        <v>1.9330058333700498E-2</v>
      </c>
      <c r="CW38">
        <v>-3.43268956920536E-3</v>
      </c>
      <c r="CX38">
        <v>0.52955068331386401</v>
      </c>
      <c r="CY38">
        <v>6.7708505081336501</v>
      </c>
      <c r="CZ38">
        <v>6.8348184681931407E-2</v>
      </c>
      <c r="DA38">
        <v>4.6419443101024499E-2</v>
      </c>
      <c r="DB38">
        <v>8.1178535780046298E-3</v>
      </c>
      <c r="DC38">
        <v>0.15201686637315201</v>
      </c>
      <c r="DD38">
        <v>228810.77277716901</v>
      </c>
      <c r="DE38">
        <v>145.96996358470699</v>
      </c>
      <c r="DF38">
        <v>5.0208153833535203</v>
      </c>
      <c r="DG38">
        <v>4.32556887167138</v>
      </c>
      <c r="DH38">
        <v>848126.38891227695</v>
      </c>
      <c r="DI38">
        <v>448004.68679893197</v>
      </c>
      <c r="DJ38">
        <v>1337.88488821751</v>
      </c>
      <c r="DK38">
        <v>4.1125687527523401E-2</v>
      </c>
      <c r="DL38">
        <v>0.67022357421816503</v>
      </c>
      <c r="DM38">
        <v>1.4930555389829301</v>
      </c>
      <c r="DN38">
        <v>3.57615042376472E-2</v>
      </c>
      <c r="DO38">
        <v>4.6545582279544397E-2</v>
      </c>
      <c r="DP38">
        <v>30717.9</v>
      </c>
      <c r="DQ38">
        <v>25777.732437054001</v>
      </c>
      <c r="DR38">
        <v>4.25</v>
      </c>
      <c r="DS38">
        <v>182760.984450391</v>
      </c>
      <c r="DT38">
        <v>32267.731018068102</v>
      </c>
      <c r="DU38">
        <v>13782.0573087104</v>
      </c>
      <c r="DV38">
        <v>1.64635</v>
      </c>
      <c r="DW38">
        <v>0</v>
      </c>
      <c r="DX38">
        <v>58.1</v>
      </c>
      <c r="DY38">
        <v>208288.96</v>
      </c>
      <c r="DZ38">
        <v>2.4367909682004201</v>
      </c>
      <c r="EA38">
        <v>73.305999999999997</v>
      </c>
      <c r="EB38">
        <v>1.02062376390299</v>
      </c>
      <c r="EC38">
        <v>1.20449936397015</v>
      </c>
      <c r="ED38">
        <v>186296390.14036599</v>
      </c>
      <c r="EE38">
        <v>3.1657802322288302</v>
      </c>
      <c r="EF38">
        <v>4.3499999999999997E-2</v>
      </c>
      <c r="EG38">
        <v>3.0492648484848499E-2</v>
      </c>
      <c r="EH38">
        <v>3.050813492075E-2</v>
      </c>
      <c r="EI38">
        <v>4.4180333333333301E-2</v>
      </c>
    </row>
    <row r="39" spans="1:139" x14ac:dyDescent="0.25">
      <c r="A39" s="2">
        <v>49096</v>
      </c>
      <c r="B39">
        <v>473698.35648822901</v>
      </c>
      <c r="C39">
        <v>41001.0894306759</v>
      </c>
      <c r="D39">
        <v>25713.413032657201</v>
      </c>
      <c r="E39">
        <v>318017.99060513498</v>
      </c>
      <c r="F39">
        <v>64049.141139779</v>
      </c>
      <c r="G39">
        <v>19483.712302344298</v>
      </c>
      <c r="H39">
        <v>82623.673673037207</v>
      </c>
      <c r="I39">
        <v>82908.717012924099</v>
      </c>
      <c r="J39">
        <v>101855.370861588</v>
      </c>
      <c r="K39">
        <v>403.929684442064</v>
      </c>
      <c r="L39">
        <v>5552.0337832469804</v>
      </c>
      <c r="M39">
        <v>0.67208932585030501</v>
      </c>
      <c r="N39">
        <v>40693.814828289302</v>
      </c>
      <c r="O39">
        <v>219.31667051125601</v>
      </c>
      <c r="P39">
        <v>2.2811669663515302</v>
      </c>
      <c r="Q39">
        <v>1.5473988343045999</v>
      </c>
      <c r="R39">
        <v>1.07731464526692</v>
      </c>
      <c r="S39">
        <v>0.12074749756148</v>
      </c>
      <c r="T39">
        <v>5225.9829154011004</v>
      </c>
      <c r="U39">
        <v>0.45597373419868797</v>
      </c>
      <c r="V39">
        <v>0.60587528107369504</v>
      </c>
      <c r="W39">
        <v>32411555.472434901</v>
      </c>
      <c r="X39">
        <v>105175.61724818101</v>
      </c>
      <c r="Y39">
        <v>4719569.1412397996</v>
      </c>
      <c r="Z39">
        <v>1492.16315722627</v>
      </c>
      <c r="AA39">
        <v>1.25503614771567</v>
      </c>
      <c r="AB39">
        <v>1.1763770427059901</v>
      </c>
      <c r="AC39">
        <v>1.4996732006247899</v>
      </c>
      <c r="AD39">
        <v>1.66034938375401</v>
      </c>
      <c r="AE39">
        <v>144.411849698656</v>
      </c>
      <c r="AF39">
        <v>115605.768078676</v>
      </c>
      <c r="AG39">
        <v>1366.0553395285999</v>
      </c>
      <c r="AH39">
        <v>204.607134624932</v>
      </c>
      <c r="AI39">
        <v>101417.95139071</v>
      </c>
      <c r="AJ39">
        <v>95161.839167130107</v>
      </c>
      <c r="AK39">
        <v>543.48267837129902</v>
      </c>
      <c r="AL39">
        <v>35099.558444977898</v>
      </c>
      <c r="AM39">
        <v>20371.347786866001</v>
      </c>
      <c r="AN39">
        <v>0.85719926360044796</v>
      </c>
      <c r="AO39">
        <v>1.11091188831634</v>
      </c>
      <c r="AP39">
        <v>1.39735155390564</v>
      </c>
      <c r="AQ39">
        <v>1.53846001130052</v>
      </c>
      <c r="AR39">
        <v>41286.6051539443</v>
      </c>
      <c r="AS39">
        <v>271538.07147762802</v>
      </c>
      <c r="AT39">
        <v>5.0599862379934898E-2</v>
      </c>
      <c r="AU39">
        <v>5.5764495325038597E-2</v>
      </c>
      <c r="AV39">
        <v>-0.31358656152407899</v>
      </c>
      <c r="AW39">
        <v>318017.99060513498</v>
      </c>
      <c r="AX39">
        <v>12134.7911806784</v>
      </c>
      <c r="AY39">
        <v>22776.286663139999</v>
      </c>
      <c r="AZ39">
        <v>194334.61046553901</v>
      </c>
      <c r="BA39">
        <v>728765.97899845499</v>
      </c>
      <c r="BB39">
        <v>274877.64123948099</v>
      </c>
      <c r="BC39">
        <v>68076.133569465994</v>
      </c>
      <c r="BD39">
        <v>27681.4847849375</v>
      </c>
      <c r="BE39">
        <v>32271.262837128099</v>
      </c>
      <c r="BF39">
        <v>119305.748601442</v>
      </c>
      <c r="BG39">
        <v>63784.275842738098</v>
      </c>
      <c r="BH39">
        <v>87310.348896304102</v>
      </c>
      <c r="BI39">
        <v>35243.999432330304</v>
      </c>
      <c r="BJ39">
        <v>22630.7724374561</v>
      </c>
      <c r="BK39">
        <v>59622.750180591604</v>
      </c>
      <c r="BL39">
        <v>216397.430946682</v>
      </c>
      <c r="BM39">
        <v>292531.94115038402</v>
      </c>
      <c r="BN39">
        <v>1238628.0156699501</v>
      </c>
      <c r="BO39">
        <v>906649.34438698704</v>
      </c>
      <c r="BP39">
        <v>984282.76989225496</v>
      </c>
      <c r="BQ39">
        <v>134.73486627914201</v>
      </c>
      <c r="BR39">
        <v>1.3661598951745799</v>
      </c>
      <c r="BS39">
        <v>1.1135300625467099</v>
      </c>
      <c r="BT39">
        <v>103.36163788721301</v>
      </c>
      <c r="BU39">
        <v>100787.553131333</v>
      </c>
      <c r="BV39">
        <v>2.2578480364228701</v>
      </c>
      <c r="BW39">
        <v>227562.978933445</v>
      </c>
      <c r="BX39">
        <v>11262.2347569386</v>
      </c>
      <c r="BY39">
        <v>16814.2685401856</v>
      </c>
      <c r="BZ39">
        <v>17376.4697574241</v>
      </c>
      <c r="CA39">
        <v>562.20121723845295</v>
      </c>
      <c r="CB39">
        <v>3.2354167772375202E-2</v>
      </c>
      <c r="CC39">
        <v>12110125.998244099</v>
      </c>
      <c r="CD39">
        <v>628666.20036234299</v>
      </c>
      <c r="CE39">
        <v>785603.16967518604</v>
      </c>
      <c r="CF39">
        <v>409206.69715747098</v>
      </c>
      <c r="CG39">
        <v>22951.183797867801</v>
      </c>
      <c r="CH39">
        <v>1134290.0330244901</v>
      </c>
      <c r="CI39">
        <v>0.103996260066148</v>
      </c>
      <c r="CJ39">
        <v>9.6157304057274704</v>
      </c>
      <c r="CK39">
        <v>1289932.42126178</v>
      </c>
      <c r="CL39">
        <v>3673307.4873081399</v>
      </c>
      <c r="CM39">
        <v>3535336.9271458201</v>
      </c>
      <c r="CN39">
        <v>4963239.9085699199</v>
      </c>
      <c r="CO39">
        <v>10554889.346858701</v>
      </c>
      <c r="CP39">
        <v>1.1050615526830201E-2</v>
      </c>
      <c r="CQ39">
        <v>1.62152484719339E-2</v>
      </c>
      <c r="CR39">
        <v>8.11982507083754E-2</v>
      </c>
      <c r="CS39">
        <v>2.1180595863716198</v>
      </c>
      <c r="CT39">
        <v>8.1198250708375094E-2</v>
      </c>
      <c r="CU39">
        <v>3.9440022763365001E-2</v>
      </c>
      <c r="CV39">
        <v>1.9440022763365001E-2</v>
      </c>
      <c r="CW39">
        <v>-3.2247742914311198E-3</v>
      </c>
      <c r="CX39">
        <v>0.52965744383549795</v>
      </c>
      <c r="CY39">
        <v>6.8036923675151497</v>
      </c>
      <c r="CZ39">
        <v>6.8329353629934905E-2</v>
      </c>
      <c r="DA39">
        <v>4.6419658681951602E-2</v>
      </c>
      <c r="DB39">
        <v>8.1212353458098192E-3</v>
      </c>
      <c r="DC39">
        <v>0.15196170672279599</v>
      </c>
      <c r="DD39">
        <v>229475.20364424499</v>
      </c>
      <c r="DE39">
        <v>147.229345248144</v>
      </c>
      <c r="DF39">
        <v>5.0295632582440204</v>
      </c>
      <c r="DG39">
        <v>4.33139554273128</v>
      </c>
      <c r="DH39">
        <v>853125.169433809</v>
      </c>
      <c r="DI39">
        <v>451002.10308636801</v>
      </c>
      <c r="DJ39">
        <v>1357.23861420755</v>
      </c>
      <c r="DK39">
        <v>4.1125687527523401E-2</v>
      </c>
      <c r="DL39">
        <v>0.67022357421816503</v>
      </c>
      <c r="DM39">
        <v>1.5083504918275401</v>
      </c>
      <c r="DN39">
        <v>3.57615042376472E-2</v>
      </c>
      <c r="DO39">
        <v>4.6545582279544397E-2</v>
      </c>
      <c r="DP39">
        <v>30807.1</v>
      </c>
      <c r="DQ39">
        <v>25854.405194488001</v>
      </c>
      <c r="DR39">
        <v>4.25</v>
      </c>
      <c r="DS39">
        <v>183291.69390035301</v>
      </c>
      <c r="DT39">
        <v>32361.4314860952</v>
      </c>
      <c r="DU39">
        <v>13822.0782577967</v>
      </c>
      <c r="DV39">
        <v>1.64635</v>
      </c>
      <c r="DW39">
        <v>0</v>
      </c>
      <c r="DX39">
        <v>58.1</v>
      </c>
      <c r="DY39">
        <v>208288.96</v>
      </c>
      <c r="DZ39">
        <v>2.4488845950338001</v>
      </c>
      <c r="EA39">
        <v>73.305999999999997</v>
      </c>
      <c r="EB39">
        <v>1.02062376390299</v>
      </c>
      <c r="EC39">
        <v>1.20449936397015</v>
      </c>
      <c r="ED39">
        <v>187579394.51396501</v>
      </c>
      <c r="EE39">
        <v>3.1657802322288302</v>
      </c>
      <c r="EF39">
        <v>4.3499999999999997E-2</v>
      </c>
      <c r="EG39">
        <v>3.0492648484848499E-2</v>
      </c>
      <c r="EH39">
        <v>3.050813492075E-2</v>
      </c>
      <c r="EI39">
        <v>4.4180333333333301E-2</v>
      </c>
    </row>
    <row r="40" spans="1:139" x14ac:dyDescent="0.25">
      <c r="A40" s="2">
        <v>49188</v>
      </c>
      <c r="B40">
        <v>477736.11971489998</v>
      </c>
      <c r="C40">
        <v>41158.433881856698</v>
      </c>
      <c r="D40">
        <v>25737.497367068201</v>
      </c>
      <c r="E40">
        <v>322927.92638109002</v>
      </c>
      <c r="F40">
        <v>64816.910648072</v>
      </c>
      <c r="G40">
        <v>19804.233549165001</v>
      </c>
      <c r="H40">
        <v>83836.932312895893</v>
      </c>
      <c r="I40">
        <v>87306.262113924502</v>
      </c>
      <c r="J40">
        <v>102053.12486589501</v>
      </c>
      <c r="K40">
        <v>403.71154903345001</v>
      </c>
      <c r="L40">
        <v>5577.3166778387103</v>
      </c>
      <c r="M40">
        <v>0.67209941595637801</v>
      </c>
      <c r="N40">
        <v>41230.905873414296</v>
      </c>
      <c r="O40">
        <v>221.434873959654</v>
      </c>
      <c r="P40">
        <v>2.3145221017806499</v>
      </c>
      <c r="Q40">
        <v>1.5500208821199599</v>
      </c>
      <c r="R40">
        <v>1.07675782793423</v>
      </c>
      <c r="S40">
        <v>0.121407370738902</v>
      </c>
      <c r="T40">
        <v>5213.6741585595</v>
      </c>
      <c r="U40">
        <v>0.458073394885751</v>
      </c>
      <c r="V40">
        <v>0.60641695698899101</v>
      </c>
      <c r="W40">
        <v>32967233.864531599</v>
      </c>
      <c r="X40">
        <v>106956.29123621801</v>
      </c>
      <c r="Y40">
        <v>4728483.9561149701</v>
      </c>
      <c r="Z40">
        <v>1513.8633050578101</v>
      </c>
      <c r="AA40">
        <v>1.26126041798079</v>
      </c>
      <c r="AB40">
        <v>1.17909686782699</v>
      </c>
      <c r="AC40">
        <v>1.51534505080683</v>
      </c>
      <c r="AD40">
        <v>1.6778426513939</v>
      </c>
      <c r="AE40">
        <v>145.73539113652899</v>
      </c>
      <c r="AF40">
        <v>116048.44792803899</v>
      </c>
      <c r="AG40">
        <v>1375.6906792658899</v>
      </c>
      <c r="AH40">
        <v>207.62796387365799</v>
      </c>
      <c r="AI40">
        <v>102945.96777328401</v>
      </c>
      <c r="AJ40">
        <v>95677.761928334294</v>
      </c>
      <c r="AK40">
        <v>541.85564782974404</v>
      </c>
      <c r="AL40">
        <v>35613.455690132701</v>
      </c>
      <c r="AM40">
        <v>20405.120181788501</v>
      </c>
      <c r="AN40">
        <v>0.85522556942468397</v>
      </c>
      <c r="AO40">
        <v>1.1146588774277799</v>
      </c>
      <c r="AP40">
        <v>1.4077233747878299</v>
      </c>
      <c r="AQ40">
        <v>1.55211830043038</v>
      </c>
      <c r="AR40">
        <v>41543.719967467303</v>
      </c>
      <c r="AS40">
        <v>276396.98114746599</v>
      </c>
      <c r="AT40">
        <v>5.07152260180379E-2</v>
      </c>
      <c r="AU40">
        <v>5.5808973801112598E-2</v>
      </c>
      <c r="AV40">
        <v>-0.32288955237323902</v>
      </c>
      <c r="AW40">
        <v>322927.92638109002</v>
      </c>
      <c r="AX40">
        <v>12181.359261796</v>
      </c>
      <c r="AY40">
        <v>22956.545836639802</v>
      </c>
      <c r="AZ40">
        <v>195003.51085179101</v>
      </c>
      <c r="BA40">
        <v>741502.974266064</v>
      </c>
      <c r="BB40">
        <v>278551.21361989301</v>
      </c>
      <c r="BC40">
        <v>69057.375831555095</v>
      </c>
      <c r="BD40">
        <v>28194.025241157298</v>
      </c>
      <c r="BE40">
        <v>32461.686686968002</v>
      </c>
      <c r="BF40">
        <v>121383.266972518</v>
      </c>
      <c r="BG40">
        <v>64817.016264043901</v>
      </c>
      <c r="BH40">
        <v>87278.441825003407</v>
      </c>
      <c r="BI40">
        <v>35583.125428135798</v>
      </c>
      <c r="BJ40">
        <v>22744.7483556113</v>
      </c>
      <c r="BK40">
        <v>60543.902787252802</v>
      </c>
      <c r="BL40">
        <v>217739.77839600301</v>
      </c>
      <c r="BM40">
        <v>297612.61306792399</v>
      </c>
      <c r="BN40">
        <v>1256094.72421028</v>
      </c>
      <c r="BO40">
        <v>913824.87142931204</v>
      </c>
      <c r="BP40">
        <v>995648.30460107699</v>
      </c>
      <c r="BQ40">
        <v>135.45777959964499</v>
      </c>
      <c r="BR40">
        <v>1.37454639077934</v>
      </c>
      <c r="BS40">
        <v>1.11659414461257</v>
      </c>
      <c r="BT40">
        <v>103.69965424396</v>
      </c>
      <c r="BU40">
        <v>101646.657390754</v>
      </c>
      <c r="BV40">
        <v>2.2911830098103101</v>
      </c>
      <c r="BW40">
        <v>232891.094417705</v>
      </c>
      <c r="BX40">
        <v>11289.604802153999</v>
      </c>
      <c r="BY40">
        <v>16866.921479992699</v>
      </c>
      <c r="BZ40">
        <v>17426.7855909912</v>
      </c>
      <c r="CA40">
        <v>559.86411099847805</v>
      </c>
      <c r="CB40">
        <v>3.2126642695411503E-2</v>
      </c>
      <c r="CC40">
        <v>12145052.515019299</v>
      </c>
      <c r="CD40">
        <v>638958.17002678395</v>
      </c>
      <c r="CE40">
        <v>802383.88044927502</v>
      </c>
      <c r="CF40">
        <v>413579.41472680698</v>
      </c>
      <c r="CG40">
        <v>23441.427717573701</v>
      </c>
      <c r="CH40">
        <v>1150285.4030277501</v>
      </c>
      <c r="CI40">
        <v>0.103929710862379</v>
      </c>
      <c r="CJ40">
        <v>9.62188763638704</v>
      </c>
      <c r="CK40">
        <v>1295060.6882910901</v>
      </c>
      <c r="CL40">
        <v>3714204.2028050902</v>
      </c>
      <c r="CM40">
        <v>3548136.3069070401</v>
      </c>
      <c r="CN40">
        <v>5009264.8910961803</v>
      </c>
      <c r="CO40">
        <v>10613713.7091462</v>
      </c>
      <c r="CP40">
        <v>1.1351547697056499E-2</v>
      </c>
      <c r="CQ40">
        <v>1.6445295480131201E-2</v>
      </c>
      <c r="CR40">
        <v>8.2043692417920699E-2</v>
      </c>
      <c r="CS40">
        <v>2.1385162215617601</v>
      </c>
      <c r="CT40">
        <v>8.2043692417920505E-2</v>
      </c>
      <c r="CU40">
        <v>3.9440022763365001E-2</v>
      </c>
      <c r="CV40">
        <v>1.94400227633649E-2</v>
      </c>
      <c r="CW40">
        <v>-2.99472728323369E-3</v>
      </c>
      <c r="CX40">
        <v>0.52962102059717098</v>
      </c>
      <c r="CY40">
        <v>6.8366074321863097</v>
      </c>
      <c r="CZ40">
        <v>6.84447172680379E-2</v>
      </c>
      <c r="DA40">
        <v>4.6506803727898997E-2</v>
      </c>
      <c r="DB40">
        <v>8.1245899602233294E-3</v>
      </c>
      <c r="DC40">
        <v>0.15193727225081499</v>
      </c>
      <c r="DD40">
        <v>230137.02743953199</v>
      </c>
      <c r="DE40">
        <v>148.46465521200099</v>
      </c>
      <c r="DF40">
        <v>5.0380758372163399</v>
      </c>
      <c r="DG40">
        <v>4.3369869178729896</v>
      </c>
      <c r="DH40">
        <v>858153.41231735202</v>
      </c>
      <c r="DI40">
        <v>454019.573861324</v>
      </c>
      <c r="DJ40">
        <v>1376.87230950811</v>
      </c>
      <c r="DK40">
        <v>4.1125687527523401E-2</v>
      </c>
      <c r="DL40">
        <v>0.67022357421816503</v>
      </c>
      <c r="DM40">
        <v>1.52380212711056</v>
      </c>
      <c r="DN40">
        <v>3.57615042376472E-2</v>
      </c>
      <c r="DO40">
        <v>4.6545582279544397E-2</v>
      </c>
      <c r="DP40">
        <v>30895.95</v>
      </c>
      <c r="DQ40">
        <v>25928.8807239825</v>
      </c>
      <c r="DR40">
        <v>4.25</v>
      </c>
      <c r="DS40">
        <v>183820.32097018501</v>
      </c>
      <c r="DT40">
        <v>32454.764295335299</v>
      </c>
      <c r="DU40">
        <v>13861.942174010999</v>
      </c>
      <c r="DV40">
        <v>0</v>
      </c>
      <c r="DW40">
        <v>0</v>
      </c>
      <c r="DX40">
        <v>58.424999999999997</v>
      </c>
      <c r="DY40">
        <v>208288.96</v>
      </c>
      <c r="DZ40">
        <v>2.4610382417096299</v>
      </c>
      <c r="EA40">
        <v>73.305999999999997</v>
      </c>
      <c r="EB40">
        <v>1.02062376390299</v>
      </c>
      <c r="EC40">
        <v>1.20449936397015</v>
      </c>
      <c r="ED40">
        <v>188871234.80876201</v>
      </c>
      <c r="EE40">
        <v>3.1657802322288302</v>
      </c>
      <c r="EF40">
        <v>4.3499999999999997E-2</v>
      </c>
      <c r="EG40">
        <v>3.0492648484848499E-2</v>
      </c>
      <c r="EH40">
        <v>3.050813492075E-2</v>
      </c>
      <c r="EI40">
        <v>4.4180333333333301E-2</v>
      </c>
    </row>
    <row r="41" spans="1:139" x14ac:dyDescent="0.25">
      <c r="A41" s="2">
        <v>49279</v>
      </c>
      <c r="B41">
        <v>482009.39188954199</v>
      </c>
      <c r="C41">
        <v>41323.027321897302</v>
      </c>
      <c r="D41">
        <v>25758.938673672899</v>
      </c>
      <c r="E41">
        <v>328038.01162194798</v>
      </c>
      <c r="F41">
        <v>65611.210586455505</v>
      </c>
      <c r="G41">
        <v>20136.974031805799</v>
      </c>
      <c r="H41">
        <v>85084.960585195906</v>
      </c>
      <c r="I41">
        <v>86932.8648894816</v>
      </c>
      <c r="J41">
        <v>102259.210965377</v>
      </c>
      <c r="K41">
        <v>403.55852852900802</v>
      </c>
      <c r="L41">
        <v>5603.0863110692899</v>
      </c>
      <c r="M41">
        <v>0.67213597932200797</v>
      </c>
      <c r="N41">
        <v>41780.937514313599</v>
      </c>
      <c r="O41">
        <v>223.57477842505301</v>
      </c>
      <c r="P41">
        <v>2.3482438211779701</v>
      </c>
      <c r="Q41">
        <v>1.55258424202275</v>
      </c>
      <c r="R41">
        <v>1.07629986751961</v>
      </c>
      <c r="S41">
        <v>0.12218587675055501</v>
      </c>
      <c r="T41">
        <v>5205.1219363538203</v>
      </c>
      <c r="U41">
        <v>0.460094753529179</v>
      </c>
      <c r="V41">
        <v>0.60685045584262298</v>
      </c>
      <c r="W41">
        <v>33534027.927955199</v>
      </c>
      <c r="X41">
        <v>108766.919832293</v>
      </c>
      <c r="Y41">
        <v>4738893.0311113801</v>
      </c>
      <c r="Z41">
        <v>1535.82748991263</v>
      </c>
      <c r="AA41">
        <v>1.2675179495637099</v>
      </c>
      <c r="AB41">
        <v>1.1817746288945501</v>
      </c>
      <c r="AC41">
        <v>1.5311306859254299</v>
      </c>
      <c r="AD41">
        <v>1.6952289889241099</v>
      </c>
      <c r="AE41">
        <v>147.06658496191099</v>
      </c>
      <c r="AF41">
        <v>116586.829853723</v>
      </c>
      <c r="AG41">
        <v>1385.4090559500301</v>
      </c>
      <c r="AH41">
        <v>210.68606958609399</v>
      </c>
      <c r="AI41">
        <v>104552.34815092001</v>
      </c>
      <c r="AJ41">
        <v>96174.637280463096</v>
      </c>
      <c r="AK41">
        <v>540.498521513578</v>
      </c>
      <c r="AL41">
        <v>36143.803481084498</v>
      </c>
      <c r="AM41">
        <v>20444.016837167001</v>
      </c>
      <c r="AN41">
        <v>0.85351992860681603</v>
      </c>
      <c r="AO41">
        <v>1.11850757523827</v>
      </c>
      <c r="AP41">
        <v>1.4181862581269</v>
      </c>
      <c r="AQ41">
        <v>1.5658994783679601</v>
      </c>
      <c r="AR41">
        <v>41815.094405640702</v>
      </c>
      <c r="AS41">
        <v>281504.33648976003</v>
      </c>
      <c r="AT41">
        <v>5.0968590408871098E-2</v>
      </c>
      <c r="AU41">
        <v>5.5860457397740503E-2</v>
      </c>
      <c r="AV41">
        <v>-0.33608498755233301</v>
      </c>
      <c r="AW41">
        <v>328038.01162194798</v>
      </c>
      <c r="AX41">
        <v>12230.072772883999</v>
      </c>
      <c r="AY41">
        <v>23144.536764845499</v>
      </c>
      <c r="AZ41">
        <v>195707.85897303099</v>
      </c>
      <c r="BA41">
        <v>754778.25535922905</v>
      </c>
      <c r="BB41">
        <v>282262.33126214502</v>
      </c>
      <c r="BC41">
        <v>70051.993826183199</v>
      </c>
      <c r="BD41">
        <v>28719.192821481902</v>
      </c>
      <c r="BE41">
        <v>32649.9171305911</v>
      </c>
      <c r="BF41">
        <v>123557.311203734</v>
      </c>
      <c r="BG41">
        <v>65886.710798753702</v>
      </c>
      <c r="BH41">
        <v>87280.274442558206</v>
      </c>
      <c r="BI41">
        <v>35933.843070015399</v>
      </c>
      <c r="BJ41">
        <v>22866.787700670098</v>
      </c>
      <c r="BK41">
        <v>61496.031340975002</v>
      </c>
      <c r="BL41">
        <v>219166.49655421899</v>
      </c>
      <c r="BM41">
        <v>302983.08007012599</v>
      </c>
      <c r="BN41">
        <v>1274089.12888621</v>
      </c>
      <c r="BO41">
        <v>921308.17429767596</v>
      </c>
      <c r="BP41">
        <v>1007534.6131769</v>
      </c>
      <c r="BQ41">
        <v>136.17998905071201</v>
      </c>
      <c r="BR41">
        <v>1.3829130316684899</v>
      </c>
      <c r="BS41">
        <v>1.11986558794464</v>
      </c>
      <c r="BT41">
        <v>104.04773072447</v>
      </c>
      <c r="BU41">
        <v>102555.87026947099</v>
      </c>
      <c r="BV41">
        <v>2.3249293304880201</v>
      </c>
      <c r="BW41">
        <v>238435.15080321801</v>
      </c>
      <c r="BX41">
        <v>11318.747430716799</v>
      </c>
      <c r="BY41">
        <v>16921.8337417861</v>
      </c>
      <c r="BZ41">
        <v>17477.7909711348</v>
      </c>
      <c r="CA41">
        <v>555.95722934871105</v>
      </c>
      <c r="CB41">
        <v>3.18093537071229E-2</v>
      </c>
      <c r="CC41">
        <v>12179979.0317945</v>
      </c>
      <c r="CD41">
        <v>649590.00254915899</v>
      </c>
      <c r="CE41">
        <v>813997.38313428196</v>
      </c>
      <c r="CF41">
        <v>418080.11719192099</v>
      </c>
      <c r="CG41">
        <v>23780.713052650601</v>
      </c>
      <c r="CH41">
        <v>1166764.0177659099</v>
      </c>
      <c r="CI41">
        <v>0.103839742492603</v>
      </c>
      <c r="CJ41">
        <v>9.6302241896568503</v>
      </c>
      <c r="CK41">
        <v>1300131.2011617201</v>
      </c>
      <c r="CL41">
        <v>3755955.1223848201</v>
      </c>
      <c r="CM41">
        <v>3560990.9292831998</v>
      </c>
      <c r="CN41">
        <v>5056086.32354654</v>
      </c>
      <c r="CO41">
        <v>10673389.7639727</v>
      </c>
      <c r="CP41">
        <v>1.17087249375661E-2</v>
      </c>
      <c r="CQ41">
        <v>1.6600591926435499E-2</v>
      </c>
      <c r="CR41">
        <v>8.2926011279250297E-2</v>
      </c>
      <c r="CS41">
        <v>2.1591824351983799</v>
      </c>
      <c r="CT41">
        <v>8.2926011279250297E-2</v>
      </c>
      <c r="CU41">
        <v>3.9440022763365001E-2</v>
      </c>
      <c r="CV41">
        <v>1.9440022763365001E-2</v>
      </c>
      <c r="CW41">
        <v>-2.8394308369294702E-3</v>
      </c>
      <c r="CX41">
        <v>0.52948430854278905</v>
      </c>
      <c r="CY41">
        <v>6.86941300235915</v>
      </c>
      <c r="CZ41">
        <v>6.8698081658871105E-2</v>
      </c>
      <c r="DA41">
        <v>4.6683703645705503E-2</v>
      </c>
      <c r="DB41">
        <v>8.1284732252740605E-3</v>
      </c>
      <c r="DC41">
        <v>0.15192045656171799</v>
      </c>
      <c r="DD41">
        <v>230798.85123481901</v>
      </c>
      <c r="DE41">
        <v>149.70904076735201</v>
      </c>
      <c r="DF41">
        <v>5.0465798053434501</v>
      </c>
      <c r="DG41">
        <v>4.3425696821695103</v>
      </c>
      <c r="DH41">
        <v>863211.29121141601</v>
      </c>
      <c r="DI41">
        <v>457057.23330018</v>
      </c>
      <c r="DJ41">
        <v>1396.79002413079</v>
      </c>
      <c r="DK41">
        <v>4.1125687527523401E-2</v>
      </c>
      <c r="DL41">
        <v>0.67022357421816503</v>
      </c>
      <c r="DM41">
        <v>1.53941204989652</v>
      </c>
      <c r="DN41">
        <v>3.57615042376472E-2</v>
      </c>
      <c r="DO41">
        <v>4.6545582279544397E-2</v>
      </c>
      <c r="DP41">
        <v>30984.799999999999</v>
      </c>
      <c r="DQ41">
        <v>26003.355732815999</v>
      </c>
      <c r="DR41">
        <v>4.25</v>
      </c>
      <c r="DS41">
        <v>184348.948040018</v>
      </c>
      <c r="DT41">
        <v>32548.097104575299</v>
      </c>
      <c r="DU41">
        <v>13901.8060902253</v>
      </c>
      <c r="DV41">
        <v>0</v>
      </c>
      <c r="DW41">
        <v>0</v>
      </c>
      <c r="DX41">
        <v>58.424999999999997</v>
      </c>
      <c r="DY41">
        <v>208288.96</v>
      </c>
      <c r="DZ41">
        <v>2.4732522061022699</v>
      </c>
      <c r="EA41">
        <v>73.305999999999997</v>
      </c>
      <c r="EB41">
        <v>1.02062376390299</v>
      </c>
      <c r="EC41">
        <v>1.20449936397015</v>
      </c>
      <c r="ED41">
        <v>190171971.87685099</v>
      </c>
      <c r="EE41">
        <v>3.1657802322288302</v>
      </c>
      <c r="EF41">
        <v>4.3499999999999997E-2</v>
      </c>
      <c r="EG41">
        <v>3.0492648484848499E-2</v>
      </c>
      <c r="EH41">
        <v>3.050813492075E-2</v>
      </c>
      <c r="EI41">
        <v>4.4180333333333301E-2</v>
      </c>
    </row>
    <row r="42" spans="1:139" x14ac:dyDescent="0.25">
      <c r="A42" s="2">
        <v>49369</v>
      </c>
      <c r="B42">
        <v>486463.27184065903</v>
      </c>
      <c r="C42">
        <v>41496.423522230602</v>
      </c>
      <c r="D42">
        <v>25780.0241936618</v>
      </c>
      <c r="E42">
        <v>333360.72269880498</v>
      </c>
      <c r="F42">
        <v>66421.344447912794</v>
      </c>
      <c r="G42">
        <v>20484.832856126799</v>
      </c>
      <c r="H42">
        <v>86365.107474036806</v>
      </c>
      <c r="I42">
        <v>86958.197014581296</v>
      </c>
      <c r="J42">
        <v>102473.146810473</v>
      </c>
      <c r="K42">
        <v>403.47693995261801</v>
      </c>
      <c r="L42">
        <v>5629.3590346050296</v>
      </c>
      <c r="M42">
        <v>0.67219883955675197</v>
      </c>
      <c r="N42">
        <v>42344.768050670697</v>
      </c>
      <c r="O42">
        <v>225.74237953036001</v>
      </c>
      <c r="P42">
        <v>2.3823308935990699</v>
      </c>
      <c r="Q42">
        <v>1.55508391914677</v>
      </c>
      <c r="R42">
        <v>1.0759659570850399</v>
      </c>
      <c r="S42">
        <v>0.123099458058094</v>
      </c>
      <c r="T42">
        <v>5199.9858034954796</v>
      </c>
      <c r="U42">
        <v>0.462024105937477</v>
      </c>
      <c r="V42">
        <v>0.60715901733718103</v>
      </c>
      <c r="W42">
        <v>34112269.758665703</v>
      </c>
      <c r="X42">
        <v>110609.359167123</v>
      </c>
      <c r="Y42">
        <v>4750900.4583545299</v>
      </c>
      <c r="Z42">
        <v>1558.106086684</v>
      </c>
      <c r="AA42">
        <v>1.2738018067511201</v>
      </c>
      <c r="AB42">
        <v>1.18443006825835</v>
      </c>
      <c r="AC42">
        <v>1.5470268693079501</v>
      </c>
      <c r="AD42">
        <v>1.7125448596441299</v>
      </c>
      <c r="AE42">
        <v>148.407199463296</v>
      </c>
      <c r="AF42">
        <v>117219.69436919301</v>
      </c>
      <c r="AG42">
        <v>1395.2077522758</v>
      </c>
      <c r="AH42">
        <v>213.78344525663999</v>
      </c>
      <c r="AI42">
        <v>106241.116238508</v>
      </c>
      <c r="AJ42">
        <v>96602.032353117407</v>
      </c>
      <c r="AK42">
        <v>539.099474259972</v>
      </c>
      <c r="AL42">
        <v>36690.603141218497</v>
      </c>
      <c r="AM42">
        <v>20487.099171101101</v>
      </c>
      <c r="AN42">
        <v>0.85209768465274205</v>
      </c>
      <c r="AO42">
        <v>1.1225068887437399</v>
      </c>
      <c r="AP42">
        <v>1.4287817108966701</v>
      </c>
      <c r="AQ42">
        <v>1.57984308829042</v>
      </c>
      <c r="AR42">
        <v>42097.985478951203</v>
      </c>
      <c r="AS42">
        <v>286856.33839088801</v>
      </c>
      <c r="AT42">
        <v>5.1381375355933699E-2</v>
      </c>
      <c r="AU42">
        <v>5.5926385516452203E-2</v>
      </c>
      <c r="AV42">
        <v>-0.35355049103323199</v>
      </c>
      <c r="AW42">
        <v>333360.72269880498</v>
      </c>
      <c r="AX42">
        <v>12281.3915722571</v>
      </c>
      <c r="AY42">
        <v>23339.371305205099</v>
      </c>
      <c r="AZ42">
        <v>196442.60276573</v>
      </c>
      <c r="BA42">
        <v>768535.637691763</v>
      </c>
      <c r="BB42">
        <v>286010.57622743701</v>
      </c>
      <c r="BC42">
        <v>71064.486796611993</v>
      </c>
      <c r="BD42">
        <v>29258.3385589752</v>
      </c>
      <c r="BE42">
        <v>32838.641395974002</v>
      </c>
      <c r="BF42">
        <v>125835.17137377099</v>
      </c>
      <c r="BG42">
        <v>66996.816996457303</v>
      </c>
      <c r="BH42">
        <v>87317.131136284501</v>
      </c>
      <c r="BI42">
        <v>36294.680999720003</v>
      </c>
      <c r="BJ42">
        <v>22996.909949937199</v>
      </c>
      <c r="BK42">
        <v>62476.441279776598</v>
      </c>
      <c r="BL42">
        <v>220674.723365718</v>
      </c>
      <c r="BM42">
        <v>308647.65468266298</v>
      </c>
      <c r="BN42">
        <v>1292566.7377240499</v>
      </c>
      <c r="BO42">
        <v>929063.89904293197</v>
      </c>
      <c r="BP42">
        <v>1019907.59752211</v>
      </c>
      <c r="BQ42">
        <v>136.900662445558</v>
      </c>
      <c r="BR42">
        <v>1.3912570393138901</v>
      </c>
      <c r="BS42">
        <v>1.1233547115484199</v>
      </c>
      <c r="BT42">
        <v>104.404298681695</v>
      </c>
      <c r="BU42">
        <v>103503.510589657</v>
      </c>
      <c r="BV42">
        <v>2.3591089967475698</v>
      </c>
      <c r="BW42">
        <v>244176.06302701699</v>
      </c>
      <c r="BX42">
        <v>11349.721526426199</v>
      </c>
      <c r="BY42">
        <v>16979.080561031202</v>
      </c>
      <c r="BZ42">
        <v>17529.487212706499</v>
      </c>
      <c r="CA42">
        <v>550.40665167527902</v>
      </c>
      <c r="CB42">
        <v>3.1398902521903298E-2</v>
      </c>
      <c r="CC42">
        <v>12214905.548569599</v>
      </c>
      <c r="CD42">
        <v>660583.39851204399</v>
      </c>
      <c r="CE42">
        <v>826288.72935946798</v>
      </c>
      <c r="CF42">
        <v>422653.64064667898</v>
      </c>
      <c r="CG42">
        <v>24139.801403139401</v>
      </c>
      <c r="CH42">
        <v>1183685.1331239799</v>
      </c>
      <c r="CI42">
        <v>0.103673258857281</v>
      </c>
      <c r="CJ42">
        <v>9.6456888789097004</v>
      </c>
      <c r="CK42">
        <v>1305142.2385048401</v>
      </c>
      <c r="CL42">
        <v>3798624.5362173798</v>
      </c>
      <c r="CM42">
        <v>3573907.6025877101</v>
      </c>
      <c r="CN42">
        <v>5103766.7747222101</v>
      </c>
      <c r="CO42">
        <v>10733986.888452901</v>
      </c>
      <c r="CP42">
        <v>1.21395768000908E-2</v>
      </c>
      <c r="CQ42">
        <v>1.6684586960609399E-2</v>
      </c>
      <c r="CR42">
        <v>8.3857659502251602E-2</v>
      </c>
      <c r="CS42">
        <v>2.1801161302513901</v>
      </c>
      <c r="CT42">
        <v>8.3857659502251894E-2</v>
      </c>
      <c r="CU42">
        <v>3.9440022763365001E-2</v>
      </c>
      <c r="CV42">
        <v>1.9440022763365001E-2</v>
      </c>
      <c r="CW42">
        <v>-2.7554358027556299E-3</v>
      </c>
      <c r="CX42">
        <v>0.52922908238600097</v>
      </c>
      <c r="CY42">
        <v>6.9021425658997702</v>
      </c>
      <c r="CZ42">
        <v>6.9110866605933699E-2</v>
      </c>
      <c r="DA42">
        <v>4.6964671203889599E-2</v>
      </c>
      <c r="DB42">
        <v>8.1334464971630303E-3</v>
      </c>
      <c r="DC42">
        <v>0.151876734624806</v>
      </c>
      <c r="DD42">
        <v>231460.67503010601</v>
      </c>
      <c r="DE42">
        <v>150.97175006440099</v>
      </c>
      <c r="DF42">
        <v>5.0551360606505398</v>
      </c>
      <c r="DG42">
        <v>4.3482047336459999</v>
      </c>
      <c r="DH42">
        <v>868298.98078797502</v>
      </c>
      <c r="DI42">
        <v>460115.21647703799</v>
      </c>
      <c r="DJ42">
        <v>1416.99586667429</v>
      </c>
      <c r="DK42">
        <v>4.1125687527523401E-2</v>
      </c>
      <c r="DL42">
        <v>0.67022357421816503</v>
      </c>
      <c r="DM42">
        <v>1.5551818816923499</v>
      </c>
      <c r="DN42">
        <v>3.57615042376472E-2</v>
      </c>
      <c r="DO42">
        <v>4.6545582279544397E-2</v>
      </c>
      <c r="DP42">
        <v>31073.65</v>
      </c>
      <c r="DQ42">
        <v>26077.830220988501</v>
      </c>
      <c r="DR42">
        <v>4.25</v>
      </c>
      <c r="DS42">
        <v>184877.57510985099</v>
      </c>
      <c r="DT42">
        <v>32641.429913815398</v>
      </c>
      <c r="DU42">
        <v>13941.670006439599</v>
      </c>
      <c r="DV42">
        <v>0</v>
      </c>
      <c r="DW42">
        <v>0</v>
      </c>
      <c r="DX42">
        <v>58.424999999999997</v>
      </c>
      <c r="DY42">
        <v>208288.96</v>
      </c>
      <c r="DZ42">
        <v>2.4855267875644298</v>
      </c>
      <c r="EA42">
        <v>73.305999999999997</v>
      </c>
      <c r="EB42">
        <v>1.02062376390299</v>
      </c>
      <c r="EC42">
        <v>1.20449936397015</v>
      </c>
      <c r="ED42">
        <v>191481666.98941001</v>
      </c>
      <c r="EE42">
        <v>3.1657802322288302</v>
      </c>
      <c r="EF42">
        <v>4.3499999999999997E-2</v>
      </c>
      <c r="EG42">
        <v>3.0492648484848499E-2</v>
      </c>
      <c r="EH42">
        <v>3.050813492075E-2</v>
      </c>
      <c r="EI42">
        <v>4.4180333333333301E-2</v>
      </c>
    </row>
    <row r="43" spans="1:139" x14ac:dyDescent="0.25">
      <c r="A43" s="2">
        <v>49461</v>
      </c>
      <c r="B43">
        <v>490733.763729011</v>
      </c>
      <c r="C43">
        <v>41679.286769715203</v>
      </c>
      <c r="D43">
        <v>25799.5006399755</v>
      </c>
      <c r="E43">
        <v>338910.24242935103</v>
      </c>
      <c r="F43">
        <v>67176.534654327494</v>
      </c>
      <c r="G43">
        <v>20848.802694153801</v>
      </c>
      <c r="H43">
        <v>87650.078582413204</v>
      </c>
      <c r="I43">
        <v>87260.343545341893</v>
      </c>
      <c r="J43">
        <v>102694.446424325</v>
      </c>
      <c r="K43">
        <v>403.42149141509299</v>
      </c>
      <c r="L43">
        <v>5655.9140263160898</v>
      </c>
      <c r="M43">
        <v>0.67228786517945704</v>
      </c>
      <c r="N43">
        <v>42926.008477800598</v>
      </c>
      <c r="O43">
        <v>227.93815118106301</v>
      </c>
      <c r="P43">
        <v>2.4165652883293398</v>
      </c>
      <c r="Q43">
        <v>1.55755166194815</v>
      </c>
      <c r="R43">
        <v>1.07579130146443</v>
      </c>
      <c r="S43">
        <v>0.12412356841265999</v>
      </c>
      <c r="T43">
        <v>5197.1381468325199</v>
      </c>
      <c r="U43">
        <v>0.46384786425681201</v>
      </c>
      <c r="V43">
        <v>0.60734167758787205</v>
      </c>
      <c r="W43">
        <v>34701348.982082903</v>
      </c>
      <c r="X43">
        <v>112484.342316647</v>
      </c>
      <c r="Y43">
        <v>4763574.8137431396</v>
      </c>
      <c r="Z43">
        <v>1580.6954144982401</v>
      </c>
      <c r="AA43">
        <v>1.2801301333152599</v>
      </c>
      <c r="AB43">
        <v>1.1870754547568001</v>
      </c>
      <c r="AC43">
        <v>1.5631108498694799</v>
      </c>
      <c r="AD43">
        <v>1.7298317353469601</v>
      </c>
      <c r="AE43">
        <v>149.760045060354</v>
      </c>
      <c r="AF43">
        <v>117910.39697355599</v>
      </c>
      <c r="AG43">
        <v>1405.0852513004399</v>
      </c>
      <c r="AH43">
        <v>216.92074338261</v>
      </c>
      <c r="AI43">
        <v>107992.27784721401</v>
      </c>
      <c r="AJ43">
        <v>96865.146648129405</v>
      </c>
      <c r="AK43">
        <v>537.64992817107395</v>
      </c>
      <c r="AL43">
        <v>37233.594478243802</v>
      </c>
      <c r="AM43">
        <v>20528.794492184501</v>
      </c>
      <c r="AN43">
        <v>0.85095043838989304</v>
      </c>
      <c r="AO43">
        <v>1.12682942263574</v>
      </c>
      <c r="AP43">
        <v>1.43951287683038</v>
      </c>
      <c r="AQ43">
        <v>1.59395282941871</v>
      </c>
      <c r="AR43">
        <v>42375.859978353801</v>
      </c>
      <c r="AS43">
        <v>292291.74488107202</v>
      </c>
      <c r="AT43">
        <v>5.1904274116274303E-2</v>
      </c>
      <c r="AU43">
        <v>5.6010508640851601E-2</v>
      </c>
      <c r="AV43">
        <v>-0.37257859512471603</v>
      </c>
      <c r="AW43">
        <v>338910.24242935103</v>
      </c>
      <c r="AX43">
        <v>12335.512264015701</v>
      </c>
      <c r="AY43">
        <v>23535.082765797299</v>
      </c>
      <c r="AZ43">
        <v>197179.18366066</v>
      </c>
      <c r="BA43">
        <v>782206.47110043105</v>
      </c>
      <c r="BB43">
        <v>289810.44626015797</v>
      </c>
      <c r="BC43">
        <v>72098.152960879903</v>
      </c>
      <c r="BD43">
        <v>29809.570750981198</v>
      </c>
      <c r="BE43">
        <v>33026.718193719098</v>
      </c>
      <c r="BF43">
        <v>128194.981110932</v>
      </c>
      <c r="BG43">
        <v>68150.743464757194</v>
      </c>
      <c r="BH43">
        <v>87387.884204986403</v>
      </c>
      <c r="BI43">
        <v>36657.107275954899</v>
      </c>
      <c r="BJ43">
        <v>23132.449645035998</v>
      </c>
      <c r="BK43">
        <v>63462.106998294897</v>
      </c>
      <c r="BL43">
        <v>222229.108124272</v>
      </c>
      <c r="BM43">
        <v>314444.91663291701</v>
      </c>
      <c r="BN43">
        <v>1311081.2753332099</v>
      </c>
      <c r="BO43">
        <v>936854.53101895296</v>
      </c>
      <c r="BP43">
        <v>1032397.05383637</v>
      </c>
      <c r="BQ43">
        <v>137.606474811098</v>
      </c>
      <c r="BR43">
        <v>1.3994501609945</v>
      </c>
      <c r="BS43">
        <v>1.12704142495448</v>
      </c>
      <c r="BT43">
        <v>104.76394663354201</v>
      </c>
      <c r="BU43">
        <v>104412.131914174</v>
      </c>
      <c r="BV43">
        <v>2.3937292089233702</v>
      </c>
      <c r="BW43">
        <v>249934.36992891901</v>
      </c>
      <c r="BX43">
        <v>11381.564213879001</v>
      </c>
      <c r="BY43">
        <v>17037.478240195102</v>
      </c>
      <c r="BZ43">
        <v>17581.876752410401</v>
      </c>
      <c r="CA43">
        <v>544.39851221536799</v>
      </c>
      <c r="CB43">
        <v>3.0963618444054999E-2</v>
      </c>
      <c r="CC43">
        <v>12249832.065344799</v>
      </c>
      <c r="CD43">
        <v>671954.00833783601</v>
      </c>
      <c r="CE43">
        <v>839071.02361174696</v>
      </c>
      <c r="CF43">
        <v>426924.92904444499</v>
      </c>
      <c r="CG43">
        <v>24513.232667251799</v>
      </c>
      <c r="CH43">
        <v>1200640.0664941701</v>
      </c>
      <c r="CI43">
        <v>0.10345115195730401</v>
      </c>
      <c r="CJ43">
        <v>9.6663979190170206</v>
      </c>
      <c r="CK43">
        <v>1310094.39366294</v>
      </c>
      <c r="CL43">
        <v>3842279.6989459801</v>
      </c>
      <c r="CM43">
        <v>3586894.63459488</v>
      </c>
      <c r="CN43">
        <v>5152374.0926089203</v>
      </c>
      <c r="CO43">
        <v>10795581.2383467</v>
      </c>
      <c r="CP43">
        <v>1.25936250456478E-2</v>
      </c>
      <c r="CQ43">
        <v>1.6699859570225101E-2</v>
      </c>
      <c r="CR43">
        <v>8.4812919342033499E-2</v>
      </c>
      <c r="CS43">
        <v>2.20132188348216</v>
      </c>
      <c r="CT43">
        <v>8.4812919342033694E-2</v>
      </c>
      <c r="CU43">
        <v>3.9440022763365001E-2</v>
      </c>
      <c r="CV43">
        <v>1.9440022763365001E-2</v>
      </c>
      <c r="CW43">
        <v>-2.7401631931399501E-3</v>
      </c>
      <c r="CX43">
        <v>0.52882792595957495</v>
      </c>
      <c r="CY43">
        <v>6.93475579365656</v>
      </c>
      <c r="CZ43">
        <v>6.9633765366274303E-2</v>
      </c>
      <c r="DA43">
        <v>4.73160027002874E-2</v>
      </c>
      <c r="DB43">
        <v>8.1397931146955597E-3</v>
      </c>
      <c r="DC43">
        <v>0.15181197776851399</v>
      </c>
      <c r="DD43">
        <v>232122.49882539301</v>
      </c>
      <c r="DE43">
        <v>152.29337319675199</v>
      </c>
      <c r="DF43">
        <v>5.0640092782778003</v>
      </c>
      <c r="DG43">
        <v>4.3541567474426603</v>
      </c>
      <c r="DH43">
        <v>873416.65674850601</v>
      </c>
      <c r="DI43">
        <v>463193.65936972201</v>
      </c>
      <c r="DJ43">
        <v>1437.49400517198</v>
      </c>
      <c r="DK43">
        <v>4.1125687527523401E-2</v>
      </c>
      <c r="DL43">
        <v>0.67022357421816503</v>
      </c>
      <c r="DM43">
        <v>1.57111326061579</v>
      </c>
      <c r="DN43">
        <v>3.57615042376472E-2</v>
      </c>
      <c r="DO43">
        <v>4.6545582279544397E-2</v>
      </c>
      <c r="DP43">
        <v>31162.5</v>
      </c>
      <c r="DQ43">
        <v>26152.304188499998</v>
      </c>
      <c r="DR43">
        <v>4.25</v>
      </c>
      <c r="DS43">
        <v>185406.20217968401</v>
      </c>
      <c r="DT43">
        <v>32734.762723055501</v>
      </c>
      <c r="DU43">
        <v>13981.5339226539</v>
      </c>
      <c r="DV43">
        <v>0</v>
      </c>
      <c r="DW43">
        <v>0</v>
      </c>
      <c r="DX43">
        <v>58.424999999999997</v>
      </c>
      <c r="DY43">
        <v>208288.96</v>
      </c>
      <c r="DZ43">
        <v>2.4978622869344802</v>
      </c>
      <c r="EA43">
        <v>73.305999999999997</v>
      </c>
      <c r="EB43">
        <v>1.02062376390299</v>
      </c>
      <c r="EC43">
        <v>1.20449936397015</v>
      </c>
      <c r="ED43">
        <v>192800381.839582</v>
      </c>
      <c r="EE43">
        <v>3.1657802322288302</v>
      </c>
      <c r="EF43">
        <v>4.3499999999999997E-2</v>
      </c>
      <c r="EG43">
        <v>3.0492648484848499E-2</v>
      </c>
      <c r="EH43">
        <v>3.050813492075E-2</v>
      </c>
      <c r="EI43">
        <v>4.4180333333333301E-2</v>
      </c>
    </row>
    <row r="44" spans="1:139" x14ac:dyDescent="0.25">
      <c r="A44" s="2">
        <v>49553</v>
      </c>
      <c r="B44">
        <v>495171.08967442601</v>
      </c>
      <c r="C44">
        <v>41869.715054681503</v>
      </c>
      <c r="D44">
        <v>25819.0150501883</v>
      </c>
      <c r="E44">
        <v>344679.14552651602</v>
      </c>
      <c r="F44">
        <v>67963.746866898902</v>
      </c>
      <c r="G44">
        <v>21229.6793658518</v>
      </c>
      <c r="H44">
        <v>88973.724706000401</v>
      </c>
      <c r="I44">
        <v>91716.337169913299</v>
      </c>
      <c r="J44">
        <v>102922.65298536301</v>
      </c>
      <c r="K44">
        <v>403.42540844353499</v>
      </c>
      <c r="L44">
        <v>5682.8333476438402</v>
      </c>
      <c r="M44">
        <v>0.672393997867889</v>
      </c>
      <c r="N44">
        <v>43522.321476275298</v>
      </c>
      <c r="O44">
        <v>230.170211984746</v>
      </c>
      <c r="P44">
        <v>2.45115654704701</v>
      </c>
      <c r="Q44">
        <v>1.56003267268503</v>
      </c>
      <c r="R44">
        <v>1.07579576924304</v>
      </c>
      <c r="S44">
        <v>0.12527380292950999</v>
      </c>
      <c r="T44">
        <v>5195.1533422991297</v>
      </c>
      <c r="U44">
        <v>0.46555392121759798</v>
      </c>
      <c r="V44">
        <v>0.60736882859890495</v>
      </c>
      <c r="W44">
        <v>35301571.366558</v>
      </c>
      <c r="X44">
        <v>114394.373285776</v>
      </c>
      <c r="Y44">
        <v>4777513.8860489903</v>
      </c>
      <c r="Z44">
        <v>1603.7327005346899</v>
      </c>
      <c r="AA44">
        <v>1.28650225317654</v>
      </c>
      <c r="AB44">
        <v>1.1897382979669699</v>
      </c>
      <c r="AC44">
        <v>1.5793086643795</v>
      </c>
      <c r="AD44">
        <v>1.7471438489934199</v>
      </c>
      <c r="AE44">
        <v>151.12552154592001</v>
      </c>
      <c r="AF44">
        <v>118650.718428886</v>
      </c>
      <c r="AG44">
        <v>1415.0406844326201</v>
      </c>
      <c r="AH44">
        <v>220.103476749587</v>
      </c>
      <c r="AI44">
        <v>109812.79266934301</v>
      </c>
      <c r="AJ44">
        <v>97065.313568712096</v>
      </c>
      <c r="AK44">
        <v>536.42414159713803</v>
      </c>
      <c r="AL44">
        <v>37789.319065658798</v>
      </c>
      <c r="AM44">
        <v>20576.136051970101</v>
      </c>
      <c r="AN44">
        <v>0.85011514066641103</v>
      </c>
      <c r="AO44">
        <v>1.1312797532811201</v>
      </c>
      <c r="AP44">
        <v>1.450430862992</v>
      </c>
      <c r="AQ44">
        <v>1.6082820718369799</v>
      </c>
      <c r="AR44">
        <v>42669.2218918504</v>
      </c>
      <c r="AS44">
        <v>297879.61616498599</v>
      </c>
      <c r="AT44">
        <v>5.25787343812699E-2</v>
      </c>
      <c r="AU44">
        <v>5.6118232660924E-2</v>
      </c>
      <c r="AV44">
        <v>-0.395155465383774</v>
      </c>
      <c r="AW44">
        <v>344679.14552651602</v>
      </c>
      <c r="AX44">
        <v>12391.8719243332</v>
      </c>
      <c r="AY44">
        <v>23739.513883383599</v>
      </c>
      <c r="AZ44">
        <v>197952.52481256699</v>
      </c>
      <c r="BA44">
        <v>796374.78587338701</v>
      </c>
      <c r="BB44">
        <v>293645.19812270399</v>
      </c>
      <c r="BC44">
        <v>73152.415116893899</v>
      </c>
      <c r="BD44">
        <v>30374.417997497399</v>
      </c>
      <c r="BE44">
        <v>33216.2210368663</v>
      </c>
      <c r="BF44">
        <v>130648.48378235901</v>
      </c>
      <c r="BG44">
        <v>69348.928079051795</v>
      </c>
      <c r="BH44">
        <v>87496.105620411807</v>
      </c>
      <c r="BI44">
        <v>37034.417291738297</v>
      </c>
      <c r="BJ44">
        <v>23277.366116351499</v>
      </c>
      <c r="BK44">
        <v>64484.084123644803</v>
      </c>
      <c r="BL44">
        <v>223881.533152146</v>
      </c>
      <c r="BM44">
        <v>320457.63081403199</v>
      </c>
      <c r="BN44">
        <v>1330184.3523468699</v>
      </c>
      <c r="BO44">
        <v>944992.26397249196</v>
      </c>
      <c r="BP44">
        <v>1045349.31573842</v>
      </c>
      <c r="BQ44">
        <v>138.31281311622999</v>
      </c>
      <c r="BR44">
        <v>1.4076139553382301</v>
      </c>
      <c r="BS44">
        <v>1.13098599456678</v>
      </c>
      <c r="BT44">
        <v>105.130176832967</v>
      </c>
      <c r="BU44">
        <v>105356.25008211601</v>
      </c>
      <c r="BV44">
        <v>2.42885080082806</v>
      </c>
      <c r="BW44">
        <v>255894.61238418799</v>
      </c>
      <c r="BX44">
        <v>11414.7578755991</v>
      </c>
      <c r="BY44">
        <v>17097.5912232429</v>
      </c>
      <c r="BZ44">
        <v>17634.792029198899</v>
      </c>
      <c r="CA44">
        <v>537.20080595604304</v>
      </c>
      <c r="CB44">
        <v>3.0462554845344499E-2</v>
      </c>
      <c r="CC44">
        <v>12284620.9987674</v>
      </c>
      <c r="CD44">
        <v>683692.333235292</v>
      </c>
      <c r="CE44">
        <v>856864.98894147296</v>
      </c>
      <c r="CF44">
        <v>431346.81782248901</v>
      </c>
      <c r="CG44">
        <v>25033.078544330201</v>
      </c>
      <c r="CH44">
        <v>1218133.9626297001</v>
      </c>
      <c r="CI44">
        <v>0.103254727291599</v>
      </c>
      <c r="CJ44">
        <v>9.6847866071634794</v>
      </c>
      <c r="CK44">
        <v>1314986.9972227199</v>
      </c>
      <c r="CL44">
        <v>3886966.7629407798</v>
      </c>
      <c r="CM44">
        <v>3599960.9310939698</v>
      </c>
      <c r="CN44">
        <v>5201953.7601635</v>
      </c>
      <c r="CO44">
        <v>10858227.202400399</v>
      </c>
      <c r="CP44">
        <v>1.31299435522162E-2</v>
      </c>
      <c r="CQ44">
        <v>1.6669441831870298E-2</v>
      </c>
      <c r="CR44">
        <v>8.5825012100456705E-2</v>
      </c>
      <c r="CS44">
        <v>2.2228781006706799</v>
      </c>
      <c r="CT44">
        <v>8.5825012100456899E-2</v>
      </c>
      <c r="CU44">
        <v>3.9440022763365001E-2</v>
      </c>
      <c r="CV44">
        <v>1.94400227633649E-2</v>
      </c>
      <c r="CW44">
        <v>-2.7705809314945802E-3</v>
      </c>
      <c r="CX44">
        <v>0.52826876003969903</v>
      </c>
      <c r="CY44">
        <v>6.9675944889036003</v>
      </c>
      <c r="CZ44">
        <v>7.0308225631269899E-2</v>
      </c>
      <c r="DA44">
        <v>4.7766615169632598E-2</v>
      </c>
      <c r="DB44">
        <v>8.1479216130615397E-3</v>
      </c>
      <c r="DC44">
        <v>0.15179292214983101</v>
      </c>
      <c r="DD44">
        <v>232781.71554889201</v>
      </c>
      <c r="DE44">
        <v>153.61940363018601</v>
      </c>
      <c r="DF44">
        <v>5.0728358731182404</v>
      </c>
      <c r="DG44">
        <v>4.36006213845251</v>
      </c>
      <c r="DH44">
        <v>878564.49583005405</v>
      </c>
      <c r="DI44">
        <v>466292.698865832</v>
      </c>
      <c r="DJ44">
        <v>1458.2886679516</v>
      </c>
      <c r="DK44">
        <v>4.1125687527523401E-2</v>
      </c>
      <c r="DL44">
        <v>0.67022357421816503</v>
      </c>
      <c r="DM44">
        <v>1.5872078415655599</v>
      </c>
      <c r="DN44">
        <v>3.57615042376472E-2</v>
      </c>
      <c r="DO44">
        <v>4.6545582279544397E-2</v>
      </c>
      <c r="DP44">
        <v>31251</v>
      </c>
      <c r="DQ44">
        <v>26226.873061207501</v>
      </c>
      <c r="DR44">
        <v>4.25</v>
      </c>
      <c r="DS44">
        <v>185932.74686938801</v>
      </c>
      <c r="DT44">
        <v>32827.727873508396</v>
      </c>
      <c r="DU44">
        <v>14021.2408059962</v>
      </c>
      <c r="DV44">
        <v>0</v>
      </c>
      <c r="DW44">
        <v>0</v>
      </c>
      <c r="DX44">
        <v>58.75</v>
      </c>
      <c r="DY44">
        <v>208288.96</v>
      </c>
      <c r="DZ44">
        <v>2.5102590065438202</v>
      </c>
      <c r="EA44">
        <v>73.305999999999997</v>
      </c>
      <c r="EB44">
        <v>1.02062376390299</v>
      </c>
      <c r="EC44">
        <v>1.20449936397015</v>
      </c>
      <c r="ED44">
        <v>194128178.545387</v>
      </c>
      <c r="EE44">
        <v>3.1657802322288302</v>
      </c>
      <c r="EF44">
        <v>4.3499999999999997E-2</v>
      </c>
      <c r="EG44">
        <v>3.0492648484848499E-2</v>
      </c>
      <c r="EH44">
        <v>3.050813492075E-2</v>
      </c>
      <c r="EI44">
        <v>4.4180333333333301E-2</v>
      </c>
    </row>
    <row r="45" spans="1:139" x14ac:dyDescent="0.25">
      <c r="A45" s="2">
        <v>49644</v>
      </c>
      <c r="B45">
        <v>499852.04367056303</v>
      </c>
      <c r="C45">
        <v>42068.350493911901</v>
      </c>
      <c r="D45">
        <v>25838.262916823998</v>
      </c>
      <c r="E45">
        <v>350698.287044139</v>
      </c>
      <c r="F45">
        <v>68782.409205690899</v>
      </c>
      <c r="G45">
        <v>21628.641995540798</v>
      </c>
      <c r="H45">
        <v>90341.114111947405</v>
      </c>
      <c r="I45">
        <v>91163.3294472165</v>
      </c>
      <c r="J45">
        <v>103157.323569606</v>
      </c>
      <c r="K45">
        <v>403.511724649374</v>
      </c>
      <c r="L45">
        <v>5710.2216176140601</v>
      </c>
      <c r="M45">
        <v>0.67251983885364297</v>
      </c>
      <c r="N45">
        <v>44137.191074618</v>
      </c>
      <c r="O45">
        <v>232.445354177539</v>
      </c>
      <c r="P45">
        <v>2.4861832164025</v>
      </c>
      <c r="Q45">
        <v>1.56256146117674</v>
      </c>
      <c r="R45">
        <v>1.07599453333951</v>
      </c>
      <c r="S45">
        <v>0.12658238685114101</v>
      </c>
      <c r="T45">
        <v>5195.5558714379704</v>
      </c>
      <c r="U45">
        <v>0.46714833052197602</v>
      </c>
      <c r="V45">
        <v>0.60724485864511302</v>
      </c>
      <c r="W45">
        <v>35914750.465111203</v>
      </c>
      <c r="X45">
        <v>116341.835840039</v>
      </c>
      <c r="Y45">
        <v>4793125.5181798898</v>
      </c>
      <c r="Z45">
        <v>1627.2752875804699</v>
      </c>
      <c r="AA45">
        <v>1.29294892348276</v>
      </c>
      <c r="AB45">
        <v>1.1924143312917399</v>
      </c>
      <c r="AC45">
        <v>1.5956591483557301</v>
      </c>
      <c r="AD45">
        <v>1.76453253545988</v>
      </c>
      <c r="AE45">
        <v>152.502129267257</v>
      </c>
      <c r="AF45">
        <v>119466.972996814</v>
      </c>
      <c r="AG45">
        <v>1425.07465151424</v>
      </c>
      <c r="AH45">
        <v>223.330026971085</v>
      </c>
      <c r="AI45">
        <v>111719.99307377099</v>
      </c>
      <c r="AJ45">
        <v>97188.395010815002</v>
      </c>
      <c r="AK45">
        <v>535.38419508006302</v>
      </c>
      <c r="AL45">
        <v>38364.583769805497</v>
      </c>
      <c r="AM45">
        <v>20629.452108329198</v>
      </c>
      <c r="AN45">
        <v>0.84957677203312099</v>
      </c>
      <c r="AO45">
        <v>1.1359094710634601</v>
      </c>
      <c r="AP45">
        <v>1.4615887818628699</v>
      </c>
      <c r="AQ45">
        <v>1.6228757463485799</v>
      </c>
      <c r="AR45">
        <v>42979.525906986099</v>
      </c>
      <c r="AS45">
        <v>303727.01678898401</v>
      </c>
      <c r="AT45">
        <v>5.3436829905902102E-2</v>
      </c>
      <c r="AU45">
        <v>5.6255882722889498E-2</v>
      </c>
      <c r="AV45">
        <v>-0.42265801196732</v>
      </c>
      <c r="AW45">
        <v>350698.287044139</v>
      </c>
      <c r="AX45">
        <v>12450.6605957957</v>
      </c>
      <c r="AY45">
        <v>23953.241661426</v>
      </c>
      <c r="AZ45">
        <v>198764.54324634699</v>
      </c>
      <c r="BA45">
        <v>811197.75823660905</v>
      </c>
      <c r="BB45">
        <v>297525.47437219298</v>
      </c>
      <c r="BC45">
        <v>74230.973159637098</v>
      </c>
      <c r="BD45">
        <v>30954.6234063911</v>
      </c>
      <c r="BE45">
        <v>33407.554222972001</v>
      </c>
      <c r="BF45">
        <v>133216.51953492701</v>
      </c>
      <c r="BG45">
        <v>70596.995156572593</v>
      </c>
      <c r="BH45">
        <v>87640.065969842006</v>
      </c>
      <c r="BI45">
        <v>37428.4122903975</v>
      </c>
      <c r="BJ45">
        <v>23433.190032701201</v>
      </c>
      <c r="BK45">
        <v>65544.692157126294</v>
      </c>
      <c r="BL45">
        <v>225635.920450067</v>
      </c>
      <c r="BM45">
        <v>326808.609692464</v>
      </c>
      <c r="BN45">
        <v>1349957.2088469099</v>
      </c>
      <c r="BO45">
        <v>953500.066521061</v>
      </c>
      <c r="BP45">
        <v>1058892.49939673</v>
      </c>
      <c r="BQ45">
        <v>139.02315927275799</v>
      </c>
      <c r="BR45">
        <v>1.4157913560317801</v>
      </c>
      <c r="BS45">
        <v>1.13519200539915</v>
      </c>
      <c r="BT45">
        <v>105.501651748724</v>
      </c>
      <c r="BU45">
        <v>106352.204349487</v>
      </c>
      <c r="BV45">
        <v>2.4644559135011002</v>
      </c>
      <c r="BW45">
        <v>262100.31892297001</v>
      </c>
      <c r="BX45">
        <v>11449.6084997897</v>
      </c>
      <c r="BY45">
        <v>17159.830117403799</v>
      </c>
      <c r="BZ45">
        <v>17688.2426245354</v>
      </c>
      <c r="CA45">
        <v>528.41250713158297</v>
      </c>
      <c r="CB45">
        <v>2.9873658674919801E-2</v>
      </c>
      <c r="CC45">
        <v>12319409.9321901</v>
      </c>
      <c r="CD45">
        <v>695875.269692951</v>
      </c>
      <c r="CE45">
        <v>869296.71319623198</v>
      </c>
      <c r="CF45">
        <v>435920.895722077</v>
      </c>
      <c r="CG45">
        <v>25396.268000927499</v>
      </c>
      <c r="CH45">
        <v>1236241.2182130299</v>
      </c>
      <c r="CI45">
        <v>0.103046566782831</v>
      </c>
      <c r="CJ45">
        <v>9.7043504817339805</v>
      </c>
      <c r="CK45">
        <v>1319821.03749116</v>
      </c>
      <c r="CL45">
        <v>3932738.0798600102</v>
      </c>
      <c r="CM45">
        <v>3613113.42482229</v>
      </c>
      <c r="CN45">
        <v>5252559.1173511799</v>
      </c>
      <c r="CO45">
        <v>10921985.053316399</v>
      </c>
      <c r="CP45">
        <v>1.3760727731168401E-2</v>
      </c>
      <c r="CQ45">
        <v>1.6579780548155901E-2</v>
      </c>
      <c r="CR45">
        <v>8.6906284676407E-2</v>
      </c>
      <c r="CS45">
        <v>2.2448503781112001</v>
      </c>
      <c r="CT45">
        <v>8.6906284676407194E-2</v>
      </c>
      <c r="CU45">
        <v>3.9440022763365001E-2</v>
      </c>
      <c r="CV45">
        <v>1.9440022763365001E-2</v>
      </c>
      <c r="CW45">
        <v>-2.8602422152091199E-3</v>
      </c>
      <c r="CX45">
        <v>0.52754278480912697</v>
      </c>
      <c r="CY45">
        <v>7.0006789051054801</v>
      </c>
      <c r="CZ45">
        <v>7.1166321155902004E-2</v>
      </c>
      <c r="DA45">
        <v>4.8337104095227498E-2</v>
      </c>
      <c r="DB45">
        <v>8.1583103982701601E-3</v>
      </c>
      <c r="DC45">
        <v>0.15179811226475401</v>
      </c>
      <c r="DD45">
        <v>233440.932272392</v>
      </c>
      <c r="DE45">
        <v>154.961671607315</v>
      </c>
      <c r="DF45">
        <v>5.0816927448840401</v>
      </c>
      <c r="DG45">
        <v>4.3659978063877096</v>
      </c>
      <c r="DH45">
        <v>883742.67581133801</v>
      </c>
      <c r="DI45">
        <v>469412.47276882298</v>
      </c>
      <c r="DJ45">
        <v>1479.38414450753</v>
      </c>
      <c r="DK45">
        <v>4.1125687527523401E-2</v>
      </c>
      <c r="DL45">
        <v>0.67022357421816503</v>
      </c>
      <c r="DM45">
        <v>1.6034672963932599</v>
      </c>
      <c r="DN45">
        <v>3.57615042376472E-2</v>
      </c>
      <c r="DO45">
        <v>4.6545582279544397E-2</v>
      </c>
      <c r="DP45">
        <v>31339.5</v>
      </c>
      <c r="DQ45">
        <v>26301.443619397502</v>
      </c>
      <c r="DR45">
        <v>4.25</v>
      </c>
      <c r="DS45">
        <v>186459.291559092</v>
      </c>
      <c r="DT45">
        <v>32920.693023961401</v>
      </c>
      <c r="DU45">
        <v>14060.9476893385</v>
      </c>
      <c r="DV45">
        <v>0</v>
      </c>
      <c r="DW45">
        <v>0</v>
      </c>
      <c r="DX45">
        <v>58.75</v>
      </c>
      <c r="DY45">
        <v>208288.96</v>
      </c>
      <c r="DZ45">
        <v>2.52271725022432</v>
      </c>
      <c r="EA45">
        <v>73.305999999999997</v>
      </c>
      <c r="EB45">
        <v>1.02062376390299</v>
      </c>
      <c r="EC45">
        <v>1.20449936397015</v>
      </c>
      <c r="ED45">
        <v>195465119.65264699</v>
      </c>
      <c r="EE45">
        <v>3.1657802322288302</v>
      </c>
      <c r="EF45">
        <v>4.3499999999999997E-2</v>
      </c>
      <c r="EG45">
        <v>3.0492648484848499E-2</v>
      </c>
      <c r="EH45">
        <v>3.050813492075E-2</v>
      </c>
      <c r="EI45">
        <v>4.4180333333333301E-2</v>
      </c>
    </row>
    <row r="46" spans="1:139" x14ac:dyDescent="0.25">
      <c r="A46" s="2">
        <v>49735</v>
      </c>
      <c r="B46">
        <v>504718.98550272902</v>
      </c>
      <c r="C46">
        <v>42276.561531634601</v>
      </c>
      <c r="D46">
        <v>25858.496625728701</v>
      </c>
      <c r="E46">
        <v>356983.92092268099</v>
      </c>
      <c r="F46">
        <v>69613.859701538706</v>
      </c>
      <c r="G46">
        <v>22048.947268411499</v>
      </c>
      <c r="H46">
        <v>91749.3092546525</v>
      </c>
      <c r="I46">
        <v>91038.652311080703</v>
      </c>
      <c r="J46">
        <v>103398.038554813</v>
      </c>
      <c r="K46">
        <v>403.68446519372498</v>
      </c>
      <c r="L46">
        <v>5738.0851671497303</v>
      </c>
      <c r="M46">
        <v>0.67266981029114303</v>
      </c>
      <c r="N46">
        <v>44774.245203873397</v>
      </c>
      <c r="O46">
        <v>234.770138463481</v>
      </c>
      <c r="P46">
        <v>2.5216477414365301</v>
      </c>
      <c r="Q46">
        <v>1.5651623096543299</v>
      </c>
      <c r="R46">
        <v>1.0764154445513501</v>
      </c>
      <c r="S46">
        <v>0.12806412127075301</v>
      </c>
      <c r="T46">
        <v>5197.9344415256801</v>
      </c>
      <c r="U46">
        <v>0.468624501974789</v>
      </c>
      <c r="V46">
        <v>0.60696291613314302</v>
      </c>
      <c r="W46">
        <v>36541010.634175897</v>
      </c>
      <c r="X46">
        <v>118329.214784361</v>
      </c>
      <c r="Y46">
        <v>4810474.3546748199</v>
      </c>
      <c r="Z46">
        <v>1651.3649483015199</v>
      </c>
      <c r="AA46">
        <v>1.29947240765186</v>
      </c>
      <c r="AB46">
        <v>1.1951208915658</v>
      </c>
      <c r="AC46">
        <v>1.6121848302081401</v>
      </c>
      <c r="AD46">
        <v>1.7820482994257101</v>
      </c>
      <c r="AE46">
        <v>153.891542670446</v>
      </c>
      <c r="AF46">
        <v>120367.039793918</v>
      </c>
      <c r="AG46">
        <v>1435.18909078153</v>
      </c>
      <c r="AH46">
        <v>226.60055414555799</v>
      </c>
      <c r="AI46">
        <v>113718.74213134201</v>
      </c>
      <c r="AJ46">
        <v>97177.122091847501</v>
      </c>
      <c r="AK46">
        <v>534.28487038907997</v>
      </c>
      <c r="AL46">
        <v>38959.543872385497</v>
      </c>
      <c r="AM46">
        <v>20687.630755961502</v>
      </c>
      <c r="AN46">
        <v>0.84933884075584398</v>
      </c>
      <c r="AO46">
        <v>1.1408053639183</v>
      </c>
      <c r="AP46">
        <v>1.47303494522418</v>
      </c>
      <c r="AQ46">
        <v>1.6377773760783301</v>
      </c>
      <c r="AR46">
        <v>43303.708895709002</v>
      </c>
      <c r="AS46">
        <v>309835.08338462003</v>
      </c>
      <c r="AT46">
        <v>5.4486747831724497E-2</v>
      </c>
      <c r="AU46">
        <v>5.6429304066140697E-2</v>
      </c>
      <c r="AV46">
        <v>-0.455326852745643</v>
      </c>
      <c r="AW46">
        <v>356983.92092268099</v>
      </c>
      <c r="AX46">
        <v>12512.2832867866</v>
      </c>
      <c r="AY46">
        <v>24175.255227539899</v>
      </c>
      <c r="AZ46">
        <v>199609.633434024</v>
      </c>
      <c r="BA46">
        <v>826617.33547689999</v>
      </c>
      <c r="BB46">
        <v>301455.72866409301</v>
      </c>
      <c r="BC46">
        <v>75338.8745830158</v>
      </c>
      <c r="BD46">
        <v>31551.570890339299</v>
      </c>
      <c r="BE46">
        <v>33602.402868493104</v>
      </c>
      <c r="BF46">
        <v>135907.64315374001</v>
      </c>
      <c r="BG46">
        <v>71899.214958059296</v>
      </c>
      <c r="BH46">
        <v>87819.970202573095</v>
      </c>
      <c r="BI46">
        <v>37838.198308419298</v>
      </c>
      <c r="BJ46">
        <v>23600.560133162198</v>
      </c>
      <c r="BK46">
        <v>66640.745653125894</v>
      </c>
      <c r="BL46">
        <v>227489.03429728001</v>
      </c>
      <c r="BM46">
        <v>333511.26901906001</v>
      </c>
      <c r="BN46">
        <v>1370350.5358728601</v>
      </c>
      <c r="BO46">
        <v>962337.69914642896</v>
      </c>
      <c r="BP46">
        <v>1072993.10744661</v>
      </c>
      <c r="BQ46">
        <v>139.736850845324</v>
      </c>
      <c r="BR46">
        <v>1.42398087246335</v>
      </c>
      <c r="BS46">
        <v>1.13966961605824</v>
      </c>
      <c r="BT46">
        <v>105.87637160234701</v>
      </c>
      <c r="BU46">
        <v>107387.730759443</v>
      </c>
      <c r="BV46">
        <v>2.5005463136354198</v>
      </c>
      <c r="BW46">
        <v>268527.994280199</v>
      </c>
      <c r="BX46">
        <v>11486.1335079161</v>
      </c>
      <c r="BY46">
        <v>17224.2186750658</v>
      </c>
      <c r="BZ46">
        <v>17742.3495868475</v>
      </c>
      <c r="CA46">
        <v>518.13091178167497</v>
      </c>
      <c r="CB46">
        <v>2.9203061676752198E-2</v>
      </c>
      <c r="CC46">
        <v>12354198.865612701</v>
      </c>
      <c r="CD46">
        <v>708567.99444465898</v>
      </c>
      <c r="CE46">
        <v>882546.80156831001</v>
      </c>
      <c r="CF46">
        <v>440552.34019886598</v>
      </c>
      <c r="CG46">
        <v>25783.365743533701</v>
      </c>
      <c r="CH46">
        <v>1254916.6779096599</v>
      </c>
      <c r="CI46">
        <v>0.102787920163198</v>
      </c>
      <c r="CJ46">
        <v>9.72876966877317</v>
      </c>
      <c r="CK46">
        <v>1324597.1824960499</v>
      </c>
      <c r="CL46">
        <v>3979662.4711874099</v>
      </c>
      <c r="CM46">
        <v>3626359.63533082</v>
      </c>
      <c r="CN46">
        <v>5304259.6536834603</v>
      </c>
      <c r="CO46">
        <v>10986931.800157201</v>
      </c>
      <c r="CP46">
        <v>1.44953250784836E-2</v>
      </c>
      <c r="CQ46">
        <v>1.6437881312899701E-2</v>
      </c>
      <c r="CR46">
        <v>8.8072698517511996E-2</v>
      </c>
      <c r="CS46">
        <v>2.2673020760674301</v>
      </c>
      <c r="CT46">
        <v>8.8072698517512205E-2</v>
      </c>
      <c r="CU46">
        <v>3.9440022763365001E-2</v>
      </c>
      <c r="CV46">
        <v>1.94400227633649E-2</v>
      </c>
      <c r="CW46">
        <v>-3.0021414504651802E-3</v>
      </c>
      <c r="CX46">
        <v>0.52663069481732505</v>
      </c>
      <c r="CY46">
        <v>7.03396504815026</v>
      </c>
      <c r="CZ46">
        <v>7.2216239081724504E-2</v>
      </c>
      <c r="DA46">
        <v>4.9032692248726001E-2</v>
      </c>
      <c r="DB46">
        <v>8.1714023897364301E-3</v>
      </c>
      <c r="DC46">
        <v>0.151800918989344</v>
      </c>
      <c r="DD46">
        <v>234100.14899589101</v>
      </c>
      <c r="DE46">
        <v>156.33911503456</v>
      </c>
      <c r="DF46">
        <v>5.0906996045847404</v>
      </c>
      <c r="DG46">
        <v>4.3720834622578097</v>
      </c>
      <c r="DH46">
        <v>888951.37551888695</v>
      </c>
      <c r="DI46">
        <v>472553.11980413902</v>
      </c>
      <c r="DJ46">
        <v>1500.78478638559</v>
      </c>
      <c r="DK46">
        <v>4.1125687527523401E-2</v>
      </c>
      <c r="DL46">
        <v>0.67022357421816503</v>
      </c>
      <c r="DM46">
        <v>1.61989331407705</v>
      </c>
      <c r="DN46">
        <v>3.57615042376472E-2</v>
      </c>
      <c r="DO46">
        <v>4.6545582279544397E-2</v>
      </c>
      <c r="DP46">
        <v>31428</v>
      </c>
      <c r="DQ46">
        <v>26376.015863069999</v>
      </c>
      <c r="DR46">
        <v>4.25</v>
      </c>
      <c r="DS46">
        <v>186985.836248796</v>
      </c>
      <c r="DT46">
        <v>33013.658174414297</v>
      </c>
      <c r="DU46">
        <v>14100.6545726808</v>
      </c>
      <c r="DV46">
        <v>0</v>
      </c>
      <c r="DW46">
        <v>0</v>
      </c>
      <c r="DX46">
        <v>58.75</v>
      </c>
      <c r="DY46">
        <v>208288.96</v>
      </c>
      <c r="DZ46">
        <v>2.5352373233157199</v>
      </c>
      <c r="EA46">
        <v>73.305999999999997</v>
      </c>
      <c r="EB46">
        <v>1.02062376390299</v>
      </c>
      <c r="EC46">
        <v>1.20449936397015</v>
      </c>
      <c r="ED46">
        <v>196409858.95568699</v>
      </c>
      <c r="EE46">
        <v>3.1657802322288302</v>
      </c>
      <c r="EF46">
        <v>4.3499999999999997E-2</v>
      </c>
      <c r="EG46">
        <v>3.0492648484848499E-2</v>
      </c>
      <c r="EH46">
        <v>3.050813492075E-2</v>
      </c>
      <c r="EI46">
        <v>4.4180333333333301E-2</v>
      </c>
    </row>
    <row r="47" spans="1:139" x14ac:dyDescent="0.25">
      <c r="A47" s="2">
        <v>49827</v>
      </c>
      <c r="B47">
        <v>509335.80103246501</v>
      </c>
      <c r="C47">
        <v>42494.909024267799</v>
      </c>
      <c r="D47">
        <v>25879.431090701401</v>
      </c>
      <c r="E47">
        <v>363552.51636877802</v>
      </c>
      <c r="F47">
        <v>70294.618159072706</v>
      </c>
      <c r="G47">
        <v>22487.3796516773</v>
      </c>
      <c r="H47">
        <v>93132.387203872699</v>
      </c>
      <c r="I47">
        <v>91227.203131052098</v>
      </c>
      <c r="J47">
        <v>103114.77052347</v>
      </c>
      <c r="K47">
        <v>403.79839349164598</v>
      </c>
      <c r="L47">
        <v>5765.8066897896197</v>
      </c>
      <c r="M47">
        <v>0.67283980782280195</v>
      </c>
      <c r="N47">
        <v>45438.790634986297</v>
      </c>
      <c r="O47">
        <v>237.13659380527201</v>
      </c>
      <c r="P47">
        <v>2.5578728218753901</v>
      </c>
      <c r="Q47">
        <v>1.56783956852249</v>
      </c>
      <c r="R47">
        <v>1.0770321659258799</v>
      </c>
      <c r="S47">
        <v>0.12961704638251201</v>
      </c>
      <c r="T47">
        <v>5200.0783712919501</v>
      </c>
      <c r="U47">
        <v>0.47001656344039799</v>
      </c>
      <c r="V47">
        <v>0.60654799417352501</v>
      </c>
      <c r="W47">
        <v>37178853.716538697</v>
      </c>
      <c r="X47">
        <v>120355.72885740599</v>
      </c>
      <c r="Y47">
        <v>4826724.4015213102</v>
      </c>
      <c r="Z47">
        <v>1675.9495065456499</v>
      </c>
      <c r="AA47">
        <v>1.30612292896866</v>
      </c>
      <c r="AB47">
        <v>1.19787036610016</v>
      </c>
      <c r="AC47">
        <v>1.6291136965405499</v>
      </c>
      <c r="AD47">
        <v>1.7997444179839099</v>
      </c>
      <c r="AE47">
        <v>155.30203047950201</v>
      </c>
      <c r="AF47">
        <v>121245.954184583</v>
      </c>
      <c r="AG47">
        <v>1445.3873391595801</v>
      </c>
      <c r="AH47">
        <v>229.91555930248401</v>
      </c>
      <c r="AI47">
        <v>115781.75130893</v>
      </c>
      <c r="AJ47">
        <v>96865.034369707704</v>
      </c>
      <c r="AK47">
        <v>532.95441270870197</v>
      </c>
      <c r="AL47">
        <v>39548.700619222502</v>
      </c>
      <c r="AM47">
        <v>20732.212275223101</v>
      </c>
      <c r="AN47">
        <v>0.84935655130195697</v>
      </c>
      <c r="AO47">
        <v>1.14641745572836</v>
      </c>
      <c r="AP47">
        <v>1.48471112481171</v>
      </c>
      <c r="AQ47">
        <v>1.65293616423412</v>
      </c>
      <c r="AR47">
        <v>43587.703507816499</v>
      </c>
      <c r="AS47">
        <v>316009.33645931497</v>
      </c>
      <c r="AT47">
        <v>5.5563958535424299E-2</v>
      </c>
      <c r="AU47">
        <v>5.6634774877816402E-2</v>
      </c>
      <c r="AV47">
        <v>-0.48447999897676203</v>
      </c>
      <c r="AW47">
        <v>363552.51636877802</v>
      </c>
      <c r="AX47">
        <v>12576.9059898591</v>
      </c>
      <c r="AY47">
        <v>24383.533485607499</v>
      </c>
      <c r="AZ47">
        <v>199863.21979211699</v>
      </c>
      <c r="BA47">
        <v>841899.56495530903</v>
      </c>
      <c r="BB47">
        <v>305478.98805783998</v>
      </c>
      <c r="BC47">
        <v>76479.975309160101</v>
      </c>
      <c r="BD47">
        <v>32170.126014742302</v>
      </c>
      <c r="BE47">
        <v>33801.718336229598</v>
      </c>
      <c r="BF47">
        <v>138691.52745779901</v>
      </c>
      <c r="BG47">
        <v>73259.691718052694</v>
      </c>
      <c r="BH47">
        <v>87581.205880107096</v>
      </c>
      <c r="BI47">
        <v>38229.468619128398</v>
      </c>
      <c r="BJ47">
        <v>23767.770048181599</v>
      </c>
      <c r="BK47">
        <v>67692.588587024002</v>
      </c>
      <c r="BL47">
        <v>228860.59313444101</v>
      </c>
      <c r="BM47">
        <v>340352.22009957698</v>
      </c>
      <c r="BN47">
        <v>1390289.9648839999</v>
      </c>
      <c r="BO47">
        <v>970628.57415243902</v>
      </c>
      <c r="BP47">
        <v>1087204.6479443801</v>
      </c>
      <c r="BQ47">
        <v>140.438041800988</v>
      </c>
      <c r="BR47">
        <v>1.4323603688406401</v>
      </c>
      <c r="BS47">
        <v>1.1450860912402201</v>
      </c>
      <c r="BT47">
        <v>106.318653004745</v>
      </c>
      <c r="BU47">
        <v>108370.03845404999</v>
      </c>
      <c r="BV47">
        <v>2.5371275301116598</v>
      </c>
      <c r="BW47">
        <v>274948.608001029</v>
      </c>
      <c r="BX47">
        <v>11521.682635769899</v>
      </c>
      <c r="BY47">
        <v>17287.4893255596</v>
      </c>
      <c r="BZ47">
        <v>17797.009752600399</v>
      </c>
      <c r="CA47">
        <v>509.52042704089399</v>
      </c>
      <c r="CB47">
        <v>2.8629553683747401E-2</v>
      </c>
      <c r="CC47">
        <v>12388987.7990353</v>
      </c>
      <c r="CD47">
        <v>721726.10931060696</v>
      </c>
      <c r="CE47">
        <v>896364.04893811897</v>
      </c>
      <c r="CF47">
        <v>444406.83550924802</v>
      </c>
      <c r="CG47">
        <v>26187.032882626601</v>
      </c>
      <c r="CH47">
        <v>1273176.4744792499</v>
      </c>
      <c r="CI47">
        <v>0.10248968854988399</v>
      </c>
      <c r="CJ47">
        <v>9.7570791183863594</v>
      </c>
      <c r="CK47">
        <v>1329317.3419904099</v>
      </c>
      <c r="CL47">
        <v>4027812.4875781299</v>
      </c>
      <c r="CM47">
        <v>3639708.3906306401</v>
      </c>
      <c r="CN47">
        <v>5357129.8295685397</v>
      </c>
      <c r="CO47">
        <v>11053150.7313421</v>
      </c>
      <c r="CP47">
        <v>1.52089649700754E-2</v>
      </c>
      <c r="CQ47">
        <v>1.6279781312467601E-2</v>
      </c>
      <c r="CR47">
        <v>8.9262052817162693E-2</v>
      </c>
      <c r="CS47">
        <v>2.2901562139253402</v>
      </c>
      <c r="CT47">
        <v>8.9262052817162693E-2</v>
      </c>
      <c r="CU47">
        <v>3.9440022763365001E-2</v>
      </c>
      <c r="CV47">
        <v>1.9440022763365001E-2</v>
      </c>
      <c r="CW47">
        <v>-3.1602414508974499E-3</v>
      </c>
      <c r="CX47">
        <v>0.52556011221691701</v>
      </c>
      <c r="CY47">
        <v>7.0674436182628204</v>
      </c>
      <c r="CZ47">
        <v>7.3293449785424306E-2</v>
      </c>
      <c r="DA47">
        <v>4.9743552192197497E-2</v>
      </c>
      <c r="DB47">
        <v>8.1869188661928601E-3</v>
      </c>
      <c r="DC47">
        <v>0.15177915542697101</v>
      </c>
      <c r="DD47">
        <v>234759.36571939001</v>
      </c>
      <c r="DE47">
        <v>157.882124203161</v>
      </c>
      <c r="DF47">
        <v>5.1006780514040999</v>
      </c>
      <c r="DG47">
        <v>4.3791407052465798</v>
      </c>
      <c r="DH47">
        <v>894190.77483321703</v>
      </c>
      <c r="DI47">
        <v>475714.77962538</v>
      </c>
      <c r="DJ47">
        <v>1522.4950080807</v>
      </c>
      <c r="DK47">
        <v>4.1125687527523401E-2</v>
      </c>
      <c r="DL47">
        <v>0.67022357421816503</v>
      </c>
      <c r="DM47">
        <v>1.6364876008970699</v>
      </c>
      <c r="DN47">
        <v>3.57615042376472E-2</v>
      </c>
      <c r="DO47">
        <v>4.6545582279544397E-2</v>
      </c>
      <c r="DP47">
        <v>31516.5</v>
      </c>
      <c r="DQ47">
        <v>26450.589792225001</v>
      </c>
      <c r="DR47">
        <v>4.25</v>
      </c>
      <c r="DS47">
        <v>187512.38093849999</v>
      </c>
      <c r="DT47">
        <v>33106.623324867302</v>
      </c>
      <c r="DU47">
        <v>14140.3614560231</v>
      </c>
      <c r="DV47">
        <v>0</v>
      </c>
      <c r="DW47">
        <v>0</v>
      </c>
      <c r="DX47">
        <v>58.75</v>
      </c>
      <c r="DY47">
        <v>208288.96</v>
      </c>
      <c r="DZ47">
        <v>2.5478195326731701</v>
      </c>
      <c r="EA47">
        <v>73.305999999999997</v>
      </c>
      <c r="EB47">
        <v>1.02062376390299</v>
      </c>
      <c r="EC47">
        <v>1.20449936397015</v>
      </c>
      <c r="ED47">
        <v>197359164.456278</v>
      </c>
      <c r="EE47">
        <v>3.1657802322288302</v>
      </c>
      <c r="EF47">
        <v>4.3499999999999997E-2</v>
      </c>
      <c r="EG47">
        <v>3.0492648484848499E-2</v>
      </c>
      <c r="EH47">
        <v>3.050813492075E-2</v>
      </c>
      <c r="EI47">
        <v>4.4180333333333301E-2</v>
      </c>
    </row>
    <row r="48" spans="1:139" x14ac:dyDescent="0.25">
      <c r="A48" s="2">
        <v>49919</v>
      </c>
      <c r="B48">
        <v>514164.25884965499</v>
      </c>
      <c r="C48">
        <v>42720.8948763925</v>
      </c>
      <c r="D48">
        <v>25901.461219053101</v>
      </c>
      <c r="E48">
        <v>370342.14711673302</v>
      </c>
      <c r="F48">
        <v>71138.522840903606</v>
      </c>
      <c r="G48">
        <v>22948.374263035301</v>
      </c>
      <c r="H48">
        <v>94606.644183754004</v>
      </c>
      <c r="I48">
        <v>95764.549055261596</v>
      </c>
      <c r="J48">
        <v>103496.258905775</v>
      </c>
      <c r="K48">
        <v>404.05040596661797</v>
      </c>
      <c r="L48">
        <v>5794.0015192627798</v>
      </c>
      <c r="M48">
        <v>0.67300644611072002</v>
      </c>
      <c r="N48">
        <v>46119.546845454199</v>
      </c>
      <c r="O48">
        <v>239.56570693543401</v>
      </c>
      <c r="P48">
        <v>2.59388608383879</v>
      </c>
      <c r="Q48">
        <v>1.5706034773006201</v>
      </c>
      <c r="R48">
        <v>1.0778974559883201</v>
      </c>
      <c r="S48">
        <v>0.13132692050383801</v>
      </c>
      <c r="T48">
        <v>5198.7952320490203</v>
      </c>
      <c r="U48">
        <v>0.47126789523280699</v>
      </c>
      <c r="V48">
        <v>0.60599307482042797</v>
      </c>
      <c r="W48">
        <v>37828136.618259497</v>
      </c>
      <c r="X48">
        <v>122427.25834506701</v>
      </c>
      <c r="Y48">
        <v>4845332.6347570196</v>
      </c>
      <c r="Z48">
        <v>1701.37713764721</v>
      </c>
      <c r="AA48">
        <v>1.31281013509623</v>
      </c>
      <c r="AB48">
        <v>1.20072016159921</v>
      </c>
      <c r="AC48">
        <v>1.6460224583880401</v>
      </c>
      <c r="AD48">
        <v>1.81770401256352</v>
      </c>
      <c r="AE48">
        <v>156.72883146834499</v>
      </c>
      <c r="AF48">
        <v>122147.107373415</v>
      </c>
      <c r="AG48">
        <v>1455.6735037953299</v>
      </c>
      <c r="AH48">
        <v>233.282048008798</v>
      </c>
      <c r="AI48">
        <v>117916.845334317</v>
      </c>
      <c r="AJ48">
        <v>96586.0233017789</v>
      </c>
      <c r="AK48">
        <v>531.770405305243</v>
      </c>
      <c r="AL48">
        <v>40156.959901367802</v>
      </c>
      <c r="AM48">
        <v>20798.5652737745</v>
      </c>
      <c r="AN48">
        <v>0.849635765882222</v>
      </c>
      <c r="AO48">
        <v>1.1517336269862599</v>
      </c>
      <c r="AP48">
        <v>1.4967589239552099</v>
      </c>
      <c r="AQ48">
        <v>1.6684887447950001</v>
      </c>
      <c r="AR48">
        <v>43933.813270630199</v>
      </c>
      <c r="AS48">
        <v>322331.461272944</v>
      </c>
      <c r="AT48">
        <v>5.6865660142107602E-2</v>
      </c>
      <c r="AU48">
        <v>5.68795654790629E-2</v>
      </c>
      <c r="AV48">
        <v>-0.52188757519420503</v>
      </c>
      <c r="AW48">
        <v>370342.14711673302</v>
      </c>
      <c r="AX48">
        <v>12643.789362067</v>
      </c>
      <c r="AY48">
        <v>24620.583262563199</v>
      </c>
      <c r="AZ48">
        <v>200894.220712743</v>
      </c>
      <c r="BA48">
        <v>857877.278505889</v>
      </c>
      <c r="BB48">
        <v>309516.294635183</v>
      </c>
      <c r="BC48">
        <v>77653.942037122993</v>
      </c>
      <c r="BD48">
        <v>32796.549273254503</v>
      </c>
      <c r="BE48">
        <v>34003.700802174899</v>
      </c>
      <c r="BF48">
        <v>141585.132182281</v>
      </c>
      <c r="BG48">
        <v>74671.402081080698</v>
      </c>
      <c r="BH48">
        <v>87934.123201352704</v>
      </c>
      <c r="BI48">
        <v>38669.173685351401</v>
      </c>
      <c r="BJ48">
        <v>23954.407018874801</v>
      </c>
      <c r="BK48">
        <v>68856.952158543398</v>
      </c>
      <c r="BL48">
        <v>231004.21606412201</v>
      </c>
      <c r="BM48">
        <v>347440.26209110598</v>
      </c>
      <c r="BN48">
        <v>1411668.25349</v>
      </c>
      <c r="BO48">
        <v>980064.74906176003</v>
      </c>
      <c r="BP48">
        <v>1101931.94578298</v>
      </c>
      <c r="BQ48">
        <v>141.148114490957</v>
      </c>
      <c r="BR48">
        <v>1.44038257653084</v>
      </c>
      <c r="BS48">
        <v>1.14987984843244</v>
      </c>
      <c r="BT48">
        <v>106.678037140195</v>
      </c>
      <c r="BU48">
        <v>109397.37672138101</v>
      </c>
      <c r="BV48">
        <v>2.57427686964532</v>
      </c>
      <c r="BW48">
        <v>281619.13649372698</v>
      </c>
      <c r="BX48">
        <v>11558.8876561625</v>
      </c>
      <c r="BY48">
        <v>17352.889175425302</v>
      </c>
      <c r="BZ48">
        <v>17851.404755885302</v>
      </c>
      <c r="CA48">
        <v>498.51558046002498</v>
      </c>
      <c r="CB48">
        <v>2.79258471527336E-2</v>
      </c>
      <c r="CC48">
        <v>12423776.732457999</v>
      </c>
      <c r="CD48">
        <v>735310.135522041</v>
      </c>
      <c r="CE48">
        <v>915620.98695700394</v>
      </c>
      <c r="CF48">
        <v>449045.98895788402</v>
      </c>
      <c r="CG48">
        <v>26749.619110528802</v>
      </c>
      <c r="CH48">
        <v>1292753.9258061501</v>
      </c>
      <c r="CI48">
        <v>0.102287238017577</v>
      </c>
      <c r="CJ48">
        <v>9.7763906757181207</v>
      </c>
      <c r="CK48">
        <v>1333983.11016466</v>
      </c>
      <c r="CL48">
        <v>4077232.1958131199</v>
      </c>
      <c r="CM48">
        <v>3653169.0091673699</v>
      </c>
      <c r="CN48">
        <v>5411215.3059777804</v>
      </c>
      <c r="CO48">
        <v>11120696.8262881</v>
      </c>
      <c r="CP48">
        <v>1.60458908519325E-2</v>
      </c>
      <c r="CQ48">
        <v>1.60597961888879E-2</v>
      </c>
      <c r="CR48">
        <v>9.0507151213663206E-2</v>
      </c>
      <c r="CS48">
        <v>2.3136154719002402</v>
      </c>
      <c r="CT48">
        <v>9.0507151213663206E-2</v>
      </c>
      <c r="CU48">
        <v>3.9440022763365001E-2</v>
      </c>
      <c r="CV48">
        <v>1.9440022763365001E-2</v>
      </c>
      <c r="CW48">
        <v>-3.38022657447714E-3</v>
      </c>
      <c r="CX48">
        <v>0.52428980196031305</v>
      </c>
      <c r="CY48">
        <v>7.1019227226280499</v>
      </c>
      <c r="CZ48">
        <v>7.4595151392107595E-2</v>
      </c>
      <c r="DA48">
        <v>5.0600384373146998E-2</v>
      </c>
      <c r="DB48">
        <v>8.2054117136317398E-3</v>
      </c>
      <c r="DC48">
        <v>0.15186655148000699</v>
      </c>
      <c r="DD48">
        <v>235418.58244289001</v>
      </c>
      <c r="DE48">
        <v>159.304997263785</v>
      </c>
      <c r="DF48">
        <v>5.1098071365551201</v>
      </c>
      <c r="DG48">
        <v>4.3853485865669999</v>
      </c>
      <c r="DH48">
        <v>899461.05469504499</v>
      </c>
      <c r="DI48">
        <v>478897.59282050899</v>
      </c>
      <c r="DJ48">
        <v>1544.51928794746</v>
      </c>
      <c r="DK48">
        <v>4.1125687527523401E-2</v>
      </c>
      <c r="DL48">
        <v>0.67022357421816503</v>
      </c>
      <c r="DM48">
        <v>1.6532518806127201</v>
      </c>
      <c r="DN48">
        <v>3.57615042376472E-2</v>
      </c>
      <c r="DO48">
        <v>4.6545582279544397E-2</v>
      </c>
      <c r="DP48">
        <v>31605</v>
      </c>
      <c r="DQ48">
        <v>26524.864448249999</v>
      </c>
      <c r="DR48">
        <v>4.25</v>
      </c>
      <c r="DS48">
        <v>188038.92562820399</v>
      </c>
      <c r="DT48">
        <v>33199.588475320299</v>
      </c>
      <c r="DU48">
        <v>14180.0683393654</v>
      </c>
      <c r="DV48">
        <v>0</v>
      </c>
      <c r="DW48">
        <v>0</v>
      </c>
      <c r="DX48">
        <v>58.75</v>
      </c>
      <c r="DY48">
        <v>208288.96</v>
      </c>
      <c r="DZ48">
        <v>2.5604641866747002</v>
      </c>
      <c r="EA48">
        <v>73.305999999999997</v>
      </c>
      <c r="EB48">
        <v>1.02062376390299</v>
      </c>
      <c r="EC48">
        <v>1.20449936397015</v>
      </c>
      <c r="ED48">
        <v>198313058.22417101</v>
      </c>
      <c r="EE48">
        <v>3.1657802322288302</v>
      </c>
      <c r="EF48">
        <v>4.3499999999999997E-2</v>
      </c>
      <c r="EG48">
        <v>3.0492648484848499E-2</v>
      </c>
      <c r="EH48">
        <v>3.050813492075E-2</v>
      </c>
      <c r="EI48">
        <v>4.4180333333333301E-2</v>
      </c>
    </row>
    <row r="49" spans="1:139" x14ac:dyDescent="0.25">
      <c r="A49" s="2">
        <v>50010</v>
      </c>
      <c r="B49">
        <v>519217.15349049802</v>
      </c>
      <c r="C49">
        <v>42955.700707866403</v>
      </c>
      <c r="D49">
        <v>25925.271220738799</v>
      </c>
      <c r="E49">
        <v>377485.06380399701</v>
      </c>
      <c r="F49">
        <v>71924.837926876498</v>
      </c>
      <c r="G49">
        <v>23428.495956053801</v>
      </c>
      <c r="H49">
        <v>96104.516084438204</v>
      </c>
      <c r="I49">
        <v>95087.811330662604</v>
      </c>
      <c r="J49">
        <v>103414.91845355601</v>
      </c>
      <c r="K49">
        <v>404.35095683572598</v>
      </c>
      <c r="L49">
        <v>5822.4532157701196</v>
      </c>
      <c r="M49">
        <v>0.67319542841803504</v>
      </c>
      <c r="N49">
        <v>46832.509777960702</v>
      </c>
      <c r="O49">
        <v>242.055036375529</v>
      </c>
      <c r="P49">
        <v>2.6308689091291901</v>
      </c>
      <c r="Q49">
        <v>1.5734840414043201</v>
      </c>
      <c r="R49">
        <v>1.0790019285555701</v>
      </c>
      <c r="S49">
        <v>0.13318682177331201</v>
      </c>
      <c r="T49">
        <v>5201.5685325862496</v>
      </c>
      <c r="U49">
        <v>0.47242911144703398</v>
      </c>
      <c r="V49">
        <v>0.60528730209003401</v>
      </c>
      <c r="W49">
        <v>38495082.669271201</v>
      </c>
      <c r="X49">
        <v>124544.591005642</v>
      </c>
      <c r="Y49">
        <v>4864847.9049711302</v>
      </c>
      <c r="Z49">
        <v>1727.49254413736</v>
      </c>
      <c r="AA49">
        <v>1.3196885598802299</v>
      </c>
      <c r="AB49">
        <v>1.20358842314223</v>
      </c>
      <c r="AC49">
        <v>1.6633388808291401</v>
      </c>
      <c r="AD49">
        <v>1.8359689093026099</v>
      </c>
      <c r="AE49">
        <v>158.16959438859001</v>
      </c>
      <c r="AF49">
        <v>123107.51485441301</v>
      </c>
      <c r="AG49">
        <v>1466.05279437526</v>
      </c>
      <c r="AH49">
        <v>236.69253295655301</v>
      </c>
      <c r="AI49">
        <v>120148.755007606</v>
      </c>
      <c r="AJ49">
        <v>96110.260128333801</v>
      </c>
      <c r="AK49">
        <v>530.89124268500802</v>
      </c>
      <c r="AL49">
        <v>40786.344765564398</v>
      </c>
      <c r="AM49">
        <v>20861.2021103554</v>
      </c>
      <c r="AN49">
        <v>0.85018907878861705</v>
      </c>
      <c r="AO49">
        <v>1.15763256946261</v>
      </c>
      <c r="AP49">
        <v>1.5091732099689801</v>
      </c>
      <c r="AQ49">
        <v>1.6844204677763399</v>
      </c>
      <c r="AR49">
        <v>44269.618553858898</v>
      </c>
      <c r="AS49">
        <v>328938.920888644</v>
      </c>
      <c r="AT49">
        <v>5.8302682654574403E-2</v>
      </c>
      <c r="AU49">
        <v>5.7165168374580001E-2</v>
      </c>
      <c r="AV49">
        <v>-0.56219669121572802</v>
      </c>
      <c r="AW49">
        <v>377485.06380399701</v>
      </c>
      <c r="AX49">
        <v>12713.283118757499</v>
      </c>
      <c r="AY49">
        <v>24855.7149291077</v>
      </c>
      <c r="AZ49">
        <v>201446.454046878</v>
      </c>
      <c r="BA49">
        <v>874580.00015152397</v>
      </c>
      <c r="BB49">
        <v>313648.27836161002</v>
      </c>
      <c r="BC49">
        <v>78865.330976950805</v>
      </c>
      <c r="BD49">
        <v>33446.981290096199</v>
      </c>
      <c r="BE49">
        <v>34213.283841801102</v>
      </c>
      <c r="BF49">
        <v>144609.64914448699</v>
      </c>
      <c r="BG49">
        <v>76153.457453273397</v>
      </c>
      <c r="BH49">
        <v>87922.234253028699</v>
      </c>
      <c r="BI49">
        <v>39110.070778646201</v>
      </c>
      <c r="BJ49">
        <v>24149.6070010896</v>
      </c>
      <c r="BK49">
        <v>70021.076104014501</v>
      </c>
      <c r="BL49">
        <v>232792.54813677899</v>
      </c>
      <c r="BM49">
        <v>354925.73001583602</v>
      </c>
      <c r="BN49">
        <v>1433383.79934069</v>
      </c>
      <c r="BO49">
        <v>989424.57027513999</v>
      </c>
      <c r="BP49">
        <v>1117346.9922396999</v>
      </c>
      <c r="BQ49">
        <v>141.86412395111</v>
      </c>
      <c r="BR49">
        <v>1.44870440308145</v>
      </c>
      <c r="BS49">
        <v>1.1556050923716299</v>
      </c>
      <c r="BT49">
        <v>107.099446422547</v>
      </c>
      <c r="BU49">
        <v>110472.467821246</v>
      </c>
      <c r="BV49">
        <v>2.6119117094892701</v>
      </c>
      <c r="BW49">
        <v>288544.33227848797</v>
      </c>
      <c r="BX49">
        <v>11596.8164956454</v>
      </c>
      <c r="BY49">
        <v>17419.269711415502</v>
      </c>
      <c r="BZ49">
        <v>17906.418844853299</v>
      </c>
      <c r="CA49">
        <v>487.14913343782598</v>
      </c>
      <c r="CB49">
        <v>2.72052808938998E-2</v>
      </c>
      <c r="CC49">
        <v>12458565.6658806</v>
      </c>
      <c r="CD49">
        <v>749533.59605587204</v>
      </c>
      <c r="CE49">
        <v>929386.95653169602</v>
      </c>
      <c r="CF49">
        <v>453403.05099913798</v>
      </c>
      <c r="CG49">
        <v>27151.788182727501</v>
      </c>
      <c r="CH49">
        <v>1312640.2249278401</v>
      </c>
      <c r="CI49">
        <v>0.102063683167709</v>
      </c>
      <c r="CJ49">
        <v>9.7978043606051397</v>
      </c>
      <c r="CK49">
        <v>1338596.4506759001</v>
      </c>
      <c r="CL49">
        <v>4127972.7613589801</v>
      </c>
      <c r="CM49">
        <v>3666748.2369571198</v>
      </c>
      <c r="CN49">
        <v>5466569.2120348802</v>
      </c>
      <c r="CO49">
        <v>11189629.960134899</v>
      </c>
      <c r="CP49">
        <v>1.6960999436203598E-2</v>
      </c>
      <c r="CQ49">
        <v>1.58234851562092E-2</v>
      </c>
      <c r="CR49">
        <v>9.1845138554940794E-2</v>
      </c>
      <c r="CS49">
        <v>2.3376562713157201</v>
      </c>
      <c r="CT49">
        <v>9.1845138554940503E-2</v>
      </c>
      <c r="CU49">
        <v>3.9440022763365001E-2</v>
      </c>
      <c r="CV49">
        <v>1.9440022763365001E-2</v>
      </c>
      <c r="CW49">
        <v>-3.6165376071558399E-3</v>
      </c>
      <c r="CX49">
        <v>0.52283442711141903</v>
      </c>
      <c r="CY49">
        <v>7.1367758754554096</v>
      </c>
      <c r="CZ49">
        <v>7.6032173904574396E-2</v>
      </c>
      <c r="DA49">
        <v>5.15444086827513E-2</v>
      </c>
      <c r="DB49">
        <v>8.2269974667984191E-3</v>
      </c>
      <c r="DC49">
        <v>0.151962420787118</v>
      </c>
      <c r="DD49">
        <v>236077.79916638901</v>
      </c>
      <c r="DE49">
        <v>160.85035666442499</v>
      </c>
      <c r="DF49">
        <v>5.1196182248741602</v>
      </c>
      <c r="DG49">
        <v>4.3922384710554399</v>
      </c>
      <c r="DH49">
        <v>904762.397111536</v>
      </c>
      <c r="DI49">
        <v>482101.70091810601</v>
      </c>
      <c r="DJ49">
        <v>1566.86216912396</v>
      </c>
      <c r="DK49">
        <v>4.1125687527523401E-2</v>
      </c>
      <c r="DL49">
        <v>0.67022357421816503</v>
      </c>
      <c r="DM49">
        <v>1.6701878946416799</v>
      </c>
      <c r="DN49">
        <v>3.57615042376472E-2</v>
      </c>
      <c r="DO49">
        <v>4.6545582279544397E-2</v>
      </c>
      <c r="DP49">
        <v>31693.5</v>
      </c>
      <c r="DQ49">
        <v>26599.139104275</v>
      </c>
      <c r="DR49">
        <v>4.25</v>
      </c>
      <c r="DS49">
        <v>188565.47031790801</v>
      </c>
      <c r="DT49">
        <v>33292.553625773202</v>
      </c>
      <c r="DU49">
        <v>14219.7752227078</v>
      </c>
      <c r="DV49">
        <v>0</v>
      </c>
      <c r="DW49">
        <v>0</v>
      </c>
      <c r="DX49">
        <v>58.75</v>
      </c>
      <c r="DY49">
        <v>208288.96</v>
      </c>
      <c r="DZ49">
        <v>2.5731715952287999</v>
      </c>
      <c r="EA49">
        <v>73.305999999999997</v>
      </c>
      <c r="EB49">
        <v>1.02062376390299</v>
      </c>
      <c r="EC49">
        <v>1.20449936397015</v>
      </c>
      <c r="ED49">
        <v>199271562.43578401</v>
      </c>
      <c r="EE49">
        <v>3.1657802322288302</v>
      </c>
      <c r="EF49">
        <v>4.3499999999999997E-2</v>
      </c>
      <c r="EG49">
        <v>3.0492648484848499E-2</v>
      </c>
      <c r="EH49">
        <v>3.050813492075E-2</v>
      </c>
      <c r="EI49">
        <v>4.4180333333333301E-2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2" sqref="G12"/>
    </sheetView>
  </sheetViews>
  <sheetFormatPr defaultColWidth="11.42578125" defaultRowHeight="15" x14ac:dyDescent="0.25"/>
  <cols>
    <col min="1" max="1" width="13.7109375" customWidth="1"/>
    <col min="2" max="4" width="15.7109375" customWidth="1"/>
  </cols>
  <sheetData>
    <row r="1" spans="1:4" x14ac:dyDescent="0.25">
      <c r="A1" s="1" t="s">
        <v>165</v>
      </c>
      <c r="B1" t="s">
        <v>166</v>
      </c>
      <c r="C1" t="s">
        <v>167</v>
      </c>
      <c r="D1" t="s">
        <v>168</v>
      </c>
    </row>
    <row r="2" spans="1:4" x14ac:dyDescent="0.25">
      <c r="A2" t="s">
        <v>180</v>
      </c>
      <c r="B2" t="s">
        <v>181</v>
      </c>
      <c r="C2">
        <v>-1.4947973556032199E-2</v>
      </c>
      <c r="D2">
        <v>1.1021640045370099E-2</v>
      </c>
    </row>
    <row r="3" spans="1:4" x14ac:dyDescent="0.25">
      <c r="A3" t="s">
        <v>180</v>
      </c>
      <c r="B3" t="s">
        <v>182</v>
      </c>
      <c r="C3">
        <v>-3.8544342128356703E-2</v>
      </c>
      <c r="D3">
        <v>1.3039320695960799E-2</v>
      </c>
    </row>
    <row r="4" spans="1:4" x14ac:dyDescent="0.25">
      <c r="A4" t="s">
        <v>180</v>
      </c>
      <c r="B4" t="s">
        <v>183</v>
      </c>
      <c r="C4">
        <v>0.91322426201991802</v>
      </c>
      <c r="D4">
        <v>5.9178935284830203E-2</v>
      </c>
    </row>
    <row r="5" spans="1:4" x14ac:dyDescent="0.25">
      <c r="A5" t="s">
        <v>180</v>
      </c>
      <c r="B5" t="s">
        <v>184</v>
      </c>
      <c r="C5">
        <v>8.5793711376955198E-2</v>
      </c>
      <c r="D5">
        <v>2.5760108930140201E-2</v>
      </c>
    </row>
    <row r="6" spans="1:4" x14ac:dyDescent="0.25">
      <c r="A6" t="s">
        <v>180</v>
      </c>
      <c r="B6" t="s">
        <v>185</v>
      </c>
      <c r="C6">
        <v>1.8294289389451102E-2</v>
      </c>
      <c r="D6">
        <v>3.10060278808891E-2</v>
      </c>
    </row>
    <row r="7" spans="1:4" x14ac:dyDescent="0.25">
      <c r="A7" t="s">
        <v>180</v>
      </c>
      <c r="B7" t="s">
        <v>186</v>
      </c>
      <c r="C7">
        <v>3.2512589369501903E-2</v>
      </c>
      <c r="D7">
        <v>3.1353656173574003E-2</v>
      </c>
    </row>
    <row r="8" spans="1:4" x14ac:dyDescent="0.25">
      <c r="A8" t="s">
        <v>180</v>
      </c>
      <c r="B8" t="s">
        <v>187</v>
      </c>
      <c r="C8">
        <v>7.4450715052135505E-2</v>
      </c>
      <c r="D8">
        <v>3.0042972835158499E-2</v>
      </c>
    </row>
    <row r="9" spans="1:4" x14ac:dyDescent="0.25">
      <c r="A9" t="s">
        <v>180</v>
      </c>
      <c r="B9" t="s">
        <v>188</v>
      </c>
      <c r="C9">
        <v>-0.275109701209172</v>
      </c>
      <c r="D9">
        <v>3.9687529247939703E-2</v>
      </c>
    </row>
    <row r="10" spans="1:4" x14ac:dyDescent="0.25">
      <c r="A10" t="s">
        <v>180</v>
      </c>
      <c r="B10" t="s">
        <v>189</v>
      </c>
      <c r="C10">
        <v>1.1534289998598799</v>
      </c>
      <c r="D10">
        <v>4.0927445137314999E-2</v>
      </c>
    </row>
    <row r="11" spans="1:4" x14ac:dyDescent="0.25">
      <c r="A11" t="s">
        <v>190</v>
      </c>
      <c r="B11" t="s">
        <v>181</v>
      </c>
      <c r="C11">
        <v>-0.18507288873015801</v>
      </c>
      <c r="D11">
        <v>7.8872046085227798E-2</v>
      </c>
    </row>
    <row r="12" spans="1:4" x14ac:dyDescent="0.25">
      <c r="A12" t="s">
        <v>190</v>
      </c>
      <c r="B12" t="s">
        <v>182</v>
      </c>
      <c r="C12">
        <v>-8.1798672325739494E-2</v>
      </c>
      <c r="D12">
        <v>3.4281073364315198E-2</v>
      </c>
    </row>
    <row r="13" spans="1:4" x14ac:dyDescent="0.25">
      <c r="A13" t="s">
        <v>190</v>
      </c>
      <c r="B13" t="s">
        <v>191</v>
      </c>
      <c r="C13">
        <v>-0.71674326576653002</v>
      </c>
      <c r="D13">
        <v>0.55177625789182105</v>
      </c>
    </row>
    <row r="14" spans="1:4" x14ac:dyDescent="0.25">
      <c r="A14" t="s">
        <v>190</v>
      </c>
      <c r="B14" t="s">
        <v>192</v>
      </c>
      <c r="C14">
        <v>-1.3980405118397301</v>
      </c>
      <c r="D14">
        <v>3.5502599146424498</v>
      </c>
    </row>
    <row r="15" spans="1:4" x14ac:dyDescent="0.25">
      <c r="A15" t="s">
        <v>190</v>
      </c>
      <c r="B15" t="s">
        <v>193</v>
      </c>
      <c r="C15">
        <v>0.103298964258971</v>
      </c>
      <c r="D15">
        <v>0.136819881331287</v>
      </c>
    </row>
    <row r="16" spans="1:4" x14ac:dyDescent="0.25">
      <c r="A16" t="s">
        <v>190</v>
      </c>
      <c r="B16" t="s">
        <v>185</v>
      </c>
      <c r="C16">
        <v>0.21472263986450299</v>
      </c>
      <c r="D16">
        <v>0.13634043781004099</v>
      </c>
    </row>
    <row r="17" spans="1:4" x14ac:dyDescent="0.25">
      <c r="A17" t="s">
        <v>190</v>
      </c>
      <c r="B17" t="s">
        <v>186</v>
      </c>
      <c r="C17">
        <v>0.12538558418172599</v>
      </c>
      <c r="D17">
        <v>0.13790358051469501</v>
      </c>
    </row>
    <row r="18" spans="1:4" x14ac:dyDescent="0.25">
      <c r="A18" t="s">
        <v>190</v>
      </c>
      <c r="B18" t="s">
        <v>187</v>
      </c>
      <c r="C18">
        <v>6.4587364023851596E-2</v>
      </c>
      <c r="D18">
        <v>0.137878731803427</v>
      </c>
    </row>
    <row r="19" spans="1:4" x14ac:dyDescent="0.25">
      <c r="A19" t="s">
        <v>190</v>
      </c>
      <c r="B19" t="s">
        <v>188</v>
      </c>
      <c r="C19">
        <v>-6.9305584783287993E-2</v>
      </c>
      <c r="D19">
        <v>2.6766961754572601E-2</v>
      </c>
    </row>
    <row r="20" spans="1:4" x14ac:dyDescent="0.25">
      <c r="A20" t="s">
        <v>190</v>
      </c>
      <c r="B20" t="s">
        <v>194</v>
      </c>
      <c r="C20">
        <v>4.2665095329556903E-2</v>
      </c>
      <c r="D20">
        <v>2.65244514645393E-2</v>
      </c>
    </row>
    <row r="21" spans="1:4" x14ac:dyDescent="0.25">
      <c r="A21" t="s">
        <v>190</v>
      </c>
      <c r="B21" t="s">
        <v>195</v>
      </c>
      <c r="C21">
        <v>5.7853567588747802E-2</v>
      </c>
      <c r="D21">
        <v>2.6439891252450901E-2</v>
      </c>
    </row>
    <row r="22" spans="1:4" x14ac:dyDescent="0.25">
      <c r="A22" t="s">
        <v>196</v>
      </c>
      <c r="B22" t="s">
        <v>181</v>
      </c>
      <c r="C22">
        <v>-4.0500507348106299E-2</v>
      </c>
      <c r="D22">
        <v>5.9082355903217899E-2</v>
      </c>
    </row>
    <row r="23" spans="1:4" x14ac:dyDescent="0.25">
      <c r="A23" t="s">
        <v>196</v>
      </c>
      <c r="B23" t="s">
        <v>182</v>
      </c>
      <c r="C23">
        <v>-1.6961353081581199E-2</v>
      </c>
      <c r="D23">
        <v>1.85207602768938E-2</v>
      </c>
    </row>
    <row r="24" spans="1:4" x14ac:dyDescent="0.25">
      <c r="A24" t="s">
        <v>196</v>
      </c>
      <c r="B24" t="s">
        <v>183</v>
      </c>
      <c r="C24">
        <v>2.2713745627022202</v>
      </c>
      <c r="D24">
        <v>2.50618215909109</v>
      </c>
    </row>
    <row r="25" spans="1:4" x14ac:dyDescent="0.25">
      <c r="A25" t="s">
        <v>196</v>
      </c>
      <c r="B25" t="s">
        <v>191</v>
      </c>
      <c r="C25">
        <v>0.23574674736801501</v>
      </c>
      <c r="D25">
        <v>9.3628797371361899E-2</v>
      </c>
    </row>
    <row r="26" spans="1:4" x14ac:dyDescent="0.25">
      <c r="A26" t="s">
        <v>196</v>
      </c>
      <c r="B26" t="s">
        <v>192</v>
      </c>
      <c r="C26">
        <v>-5.9851112027136499E-2</v>
      </c>
      <c r="D26">
        <v>0.10138252103800501</v>
      </c>
    </row>
    <row r="27" spans="1:4" x14ac:dyDescent="0.25">
      <c r="A27" t="s">
        <v>196</v>
      </c>
      <c r="B27" t="s">
        <v>184</v>
      </c>
      <c r="C27">
        <v>0.221063298618002</v>
      </c>
      <c r="D27">
        <v>9.4014884455400599E-2</v>
      </c>
    </row>
    <row r="28" spans="1:4" x14ac:dyDescent="0.25">
      <c r="A28" t="s">
        <v>196</v>
      </c>
      <c r="B28" t="s">
        <v>193</v>
      </c>
      <c r="C28">
        <v>-0.21883210095819999</v>
      </c>
      <c r="D28">
        <v>5.7873190966407903E-2</v>
      </c>
    </row>
    <row r="29" spans="1:4" x14ac:dyDescent="0.25">
      <c r="A29" t="s">
        <v>197</v>
      </c>
      <c r="B29" t="s">
        <v>181</v>
      </c>
      <c r="C29">
        <v>-7.59492819612302E-2</v>
      </c>
      <c r="D29">
        <v>2.8068870894709799E-2</v>
      </c>
    </row>
    <row r="30" spans="1:4" x14ac:dyDescent="0.25">
      <c r="A30" t="s">
        <v>197</v>
      </c>
      <c r="B30" t="s">
        <v>182</v>
      </c>
      <c r="C30">
        <v>-5.8011264743002298E-2</v>
      </c>
      <c r="D30">
        <v>2.2341018929565699E-2</v>
      </c>
    </row>
    <row r="31" spans="1:4" x14ac:dyDescent="0.25">
      <c r="A31" t="s">
        <v>197</v>
      </c>
      <c r="B31" t="s">
        <v>183</v>
      </c>
      <c r="C31">
        <v>-1.91880816209429E-2</v>
      </c>
      <c r="D31">
        <v>1.14454682193649E-2</v>
      </c>
    </row>
    <row r="32" spans="1:4" x14ac:dyDescent="0.25">
      <c r="A32" t="s">
        <v>197</v>
      </c>
      <c r="B32" t="s">
        <v>191</v>
      </c>
      <c r="C32">
        <v>1.8325884647461699E-4</v>
      </c>
      <c r="D32">
        <v>1.00331147604342E-4</v>
      </c>
    </row>
    <row r="33" spans="1:4" x14ac:dyDescent="0.25">
      <c r="A33" t="s">
        <v>197</v>
      </c>
      <c r="B33" t="s">
        <v>192</v>
      </c>
      <c r="C33">
        <v>-4.58638089471713E-7</v>
      </c>
      <c r="D33">
        <v>2.7177408696655899E-7</v>
      </c>
    </row>
    <row r="34" spans="1:4" x14ac:dyDescent="0.25">
      <c r="A34" t="s">
        <v>197</v>
      </c>
      <c r="B34" t="s">
        <v>184</v>
      </c>
      <c r="C34">
        <v>0.22671972584310399</v>
      </c>
      <c r="D34">
        <v>8.2949154749436996E-2</v>
      </c>
    </row>
    <row r="35" spans="1:4" x14ac:dyDescent="0.25">
      <c r="A35" t="s">
        <v>197</v>
      </c>
      <c r="B35" t="s">
        <v>193</v>
      </c>
      <c r="C35">
        <v>0.215403043884944</v>
      </c>
      <c r="D35">
        <v>7.9286638051695196E-2</v>
      </c>
    </row>
    <row r="36" spans="1:4" x14ac:dyDescent="0.25">
      <c r="A36" t="s">
        <v>197</v>
      </c>
      <c r="B36" t="s">
        <v>185</v>
      </c>
      <c r="C36">
        <v>0.17477751734347199</v>
      </c>
      <c r="D36">
        <v>0.105842718973507</v>
      </c>
    </row>
    <row r="37" spans="1:4" x14ac:dyDescent="0.25">
      <c r="A37" t="s">
        <v>198</v>
      </c>
      <c r="B37" t="s">
        <v>181</v>
      </c>
      <c r="C37">
        <v>-0.45054495728892502</v>
      </c>
      <c r="D37">
        <v>0.151485676859203</v>
      </c>
    </row>
    <row r="38" spans="1:4" x14ac:dyDescent="0.25">
      <c r="A38" t="s">
        <v>198</v>
      </c>
      <c r="B38" t="s">
        <v>182</v>
      </c>
      <c r="C38">
        <v>-0.11672136308389899</v>
      </c>
      <c r="D38">
        <v>3.1515939029179797E-2</v>
      </c>
    </row>
    <row r="39" spans="1:4" x14ac:dyDescent="0.25">
      <c r="A39" t="s">
        <v>198</v>
      </c>
      <c r="B39" t="s">
        <v>192</v>
      </c>
      <c r="C39">
        <v>0.43289637496064398</v>
      </c>
      <c r="D39">
        <v>0.175113223948407</v>
      </c>
    </row>
    <row r="40" spans="1:4" x14ac:dyDescent="0.25">
      <c r="A40" t="s">
        <v>198</v>
      </c>
      <c r="B40" t="s">
        <v>184</v>
      </c>
      <c r="C40">
        <v>1.22329634158635</v>
      </c>
      <c r="D40">
        <v>0.18882940978764601</v>
      </c>
    </row>
    <row r="41" spans="1:4" x14ac:dyDescent="0.25">
      <c r="A41" t="s">
        <v>198</v>
      </c>
      <c r="B41" t="s">
        <v>193</v>
      </c>
      <c r="C41">
        <v>0.22410299007813</v>
      </c>
      <c r="D41">
        <v>6.0304537524776998E-2</v>
      </c>
    </row>
    <row r="42" spans="1:4" x14ac:dyDescent="0.25">
      <c r="A42" t="s">
        <v>199</v>
      </c>
      <c r="B42" t="s">
        <v>181</v>
      </c>
      <c r="C42">
        <v>-0.76932761128210003</v>
      </c>
      <c r="D42">
        <v>0.14090877333127999</v>
      </c>
    </row>
    <row r="43" spans="1:4" x14ac:dyDescent="0.25">
      <c r="A43" t="s">
        <v>199</v>
      </c>
      <c r="B43" t="s">
        <v>182</v>
      </c>
      <c r="C43">
        <v>-0.22485994836944401</v>
      </c>
      <c r="D43">
        <v>4.0251149117053901E-2</v>
      </c>
    </row>
    <row r="44" spans="1:4" x14ac:dyDescent="0.25">
      <c r="A44" t="s">
        <v>199</v>
      </c>
      <c r="B44" t="s">
        <v>191</v>
      </c>
      <c r="C44">
        <v>-1.2273159214667599</v>
      </c>
      <c r="D44">
        <v>0.36378036174147199</v>
      </c>
    </row>
    <row r="45" spans="1:4" x14ac:dyDescent="0.25">
      <c r="A45" t="s">
        <v>199</v>
      </c>
      <c r="B45" t="s">
        <v>192</v>
      </c>
      <c r="C45">
        <v>-0.17775754845054001</v>
      </c>
      <c r="D45">
        <v>9.4763687786275405E-2</v>
      </c>
    </row>
    <row r="46" spans="1:4" x14ac:dyDescent="0.25">
      <c r="A46" t="s">
        <v>200</v>
      </c>
      <c r="B46" t="s">
        <v>181</v>
      </c>
      <c r="C46">
        <v>-1.38361353899677E-2</v>
      </c>
      <c r="D46">
        <v>2.8168197726905399E-2</v>
      </c>
    </row>
    <row r="47" spans="1:4" x14ac:dyDescent="0.25">
      <c r="A47" t="s">
        <v>200</v>
      </c>
      <c r="B47" t="s">
        <v>182</v>
      </c>
      <c r="C47">
        <v>-5.7508827194815296E-3</v>
      </c>
      <c r="D47">
        <v>1.1177151065953499E-2</v>
      </c>
    </row>
    <row r="48" spans="1:4" x14ac:dyDescent="0.25">
      <c r="A48" t="s">
        <v>200</v>
      </c>
      <c r="B48" t="s">
        <v>183</v>
      </c>
      <c r="C48">
        <v>-0.12184488480540601</v>
      </c>
      <c r="D48">
        <v>0.30594171255362601</v>
      </c>
    </row>
    <row r="49" spans="1:4" x14ac:dyDescent="0.25">
      <c r="A49" t="s">
        <v>200</v>
      </c>
      <c r="B49" t="s">
        <v>191</v>
      </c>
      <c r="C49">
        <v>0.91716588557575696</v>
      </c>
      <c r="D49">
        <v>0.154973187130865</v>
      </c>
    </row>
    <row r="50" spans="1:4" x14ac:dyDescent="0.25">
      <c r="A50" t="s">
        <v>201</v>
      </c>
      <c r="B50" t="s">
        <v>181</v>
      </c>
      <c r="C50">
        <v>-0.72926203869818795</v>
      </c>
      <c r="D50">
        <v>0.12969533791071</v>
      </c>
    </row>
    <row r="51" spans="1:4" x14ac:dyDescent="0.25">
      <c r="A51" t="s">
        <v>201</v>
      </c>
      <c r="B51" t="s">
        <v>182</v>
      </c>
      <c r="C51">
        <v>-0.29373598253064997</v>
      </c>
      <c r="D51">
        <v>4.9936897051440797E-2</v>
      </c>
    </row>
    <row r="52" spans="1:4" x14ac:dyDescent="0.25">
      <c r="A52" t="s">
        <v>201</v>
      </c>
      <c r="B52" t="s">
        <v>183</v>
      </c>
      <c r="C52">
        <v>0.92819178502296795</v>
      </c>
      <c r="D52">
        <v>4.3405693375911797E-2</v>
      </c>
    </row>
    <row r="53" spans="1:4" x14ac:dyDescent="0.25">
      <c r="A53" t="s">
        <v>201</v>
      </c>
      <c r="B53" t="s">
        <v>191</v>
      </c>
      <c r="C53">
        <v>-1.30131214729473</v>
      </c>
      <c r="D53">
        <v>0.90812167183858195</v>
      </c>
    </row>
    <row r="54" spans="1:4" x14ac:dyDescent="0.25">
      <c r="A54" t="s">
        <v>201</v>
      </c>
      <c r="B54" t="s">
        <v>192</v>
      </c>
      <c r="C54">
        <v>1.41691892682964</v>
      </c>
      <c r="D54">
        <v>0.87030201207244895</v>
      </c>
    </row>
    <row r="55" spans="1:4" x14ac:dyDescent="0.25">
      <c r="A55" t="s">
        <v>201</v>
      </c>
      <c r="B55" t="s">
        <v>184</v>
      </c>
      <c r="C55">
        <v>4.4236443694228203E-2</v>
      </c>
      <c r="D55">
        <v>1.1730080041710601E-2</v>
      </c>
    </row>
    <row r="56" spans="1:4" x14ac:dyDescent="0.25">
      <c r="A56" t="s">
        <v>201</v>
      </c>
      <c r="B56" t="s">
        <v>193</v>
      </c>
      <c r="C56">
        <v>0.71584043683115195</v>
      </c>
      <c r="D56">
        <v>0.140735481880468</v>
      </c>
    </row>
    <row r="57" spans="1:4" x14ac:dyDescent="0.25">
      <c r="A57" t="s">
        <v>202</v>
      </c>
      <c r="B57" t="s">
        <v>181</v>
      </c>
      <c r="C57">
        <v>-0.13279921643793199</v>
      </c>
      <c r="D57">
        <v>5.1633748422585703E-2</v>
      </c>
    </row>
    <row r="58" spans="1:4" x14ac:dyDescent="0.25">
      <c r="A58" t="s">
        <v>202</v>
      </c>
      <c r="B58" t="s">
        <v>182</v>
      </c>
      <c r="C58">
        <v>-4.9145883297769297E-2</v>
      </c>
      <c r="D58">
        <v>1.8881054142225299E-2</v>
      </c>
    </row>
    <row r="59" spans="1:4" x14ac:dyDescent="0.25">
      <c r="A59" t="s">
        <v>202</v>
      </c>
      <c r="B59" t="s">
        <v>183</v>
      </c>
      <c r="C59">
        <v>-0.26186339257173102</v>
      </c>
      <c r="D59">
        <v>7.4935943111312103E-2</v>
      </c>
    </row>
    <row r="60" spans="1:4" x14ac:dyDescent="0.25">
      <c r="A60" t="s">
        <v>202</v>
      </c>
      <c r="B60" t="s">
        <v>191</v>
      </c>
      <c r="C60">
        <v>2.5093129894662201</v>
      </c>
      <c r="D60">
        <v>1.0312020129886199</v>
      </c>
    </row>
    <row r="61" spans="1:4" x14ac:dyDescent="0.25">
      <c r="A61" t="s">
        <v>202</v>
      </c>
      <c r="B61" t="s">
        <v>192</v>
      </c>
      <c r="C61">
        <v>-2.3499678399730901</v>
      </c>
      <c r="D61">
        <v>1.3678547964998899</v>
      </c>
    </row>
    <row r="62" spans="1:4" x14ac:dyDescent="0.25">
      <c r="A62" t="s">
        <v>202</v>
      </c>
      <c r="B62" t="s">
        <v>184</v>
      </c>
      <c r="C62">
        <v>1.3637853245912299</v>
      </c>
      <c r="D62">
        <v>1.0393237668124899</v>
      </c>
    </row>
    <row r="63" spans="1:4" x14ac:dyDescent="0.25">
      <c r="A63" t="s">
        <v>202</v>
      </c>
      <c r="B63" t="s">
        <v>193</v>
      </c>
      <c r="C63">
        <v>1.0691550918000401</v>
      </c>
      <c r="D63">
        <v>0.82918069520772197</v>
      </c>
    </row>
    <row r="64" spans="1:4" x14ac:dyDescent="0.25">
      <c r="A64" t="s">
        <v>202</v>
      </c>
      <c r="B64" t="s">
        <v>185</v>
      </c>
      <c r="C64">
        <v>-1.91209240485121</v>
      </c>
      <c r="D64">
        <v>1.1005060596133101</v>
      </c>
    </row>
    <row r="65" spans="1:4" x14ac:dyDescent="0.25">
      <c r="A65" t="s">
        <v>202</v>
      </c>
      <c r="B65" t="s">
        <v>186</v>
      </c>
      <c r="C65">
        <v>0.71385953821869397</v>
      </c>
      <c r="D65">
        <v>0.802161060787562</v>
      </c>
    </row>
    <row r="66" spans="1:4" x14ac:dyDescent="0.25">
      <c r="A66" t="s">
        <v>202</v>
      </c>
      <c r="B66" t="s">
        <v>187</v>
      </c>
      <c r="C66">
        <v>3.6410810450219197E-2</v>
      </c>
      <c r="D66">
        <v>3.3344977296012997E-2</v>
      </c>
    </row>
    <row r="67" spans="1:4" x14ac:dyDescent="0.25">
      <c r="A67" t="s">
        <v>202</v>
      </c>
      <c r="B67" t="s">
        <v>188</v>
      </c>
      <c r="C67">
        <v>-2.21390516353404E-3</v>
      </c>
      <c r="D67">
        <v>3.5490962515982397E-2</v>
      </c>
    </row>
    <row r="68" spans="1:4" x14ac:dyDescent="0.25">
      <c r="A68" t="s">
        <v>202</v>
      </c>
      <c r="B68" t="s">
        <v>189</v>
      </c>
      <c r="C68">
        <v>-5.4064689097381297E-3</v>
      </c>
      <c r="D68">
        <v>3.3137673479622202E-2</v>
      </c>
    </row>
    <row r="69" spans="1:4" x14ac:dyDescent="0.25">
      <c r="A69" t="s">
        <v>203</v>
      </c>
      <c r="B69" t="s">
        <v>204</v>
      </c>
      <c r="C69">
        <v>0.69431185670898998</v>
      </c>
      <c r="D69">
        <v>5.9332131861788401E-2</v>
      </c>
    </row>
    <row r="70" spans="1:4" x14ac:dyDescent="0.25">
      <c r="A70" t="s">
        <v>203</v>
      </c>
      <c r="B70" t="s">
        <v>181</v>
      </c>
      <c r="C70">
        <v>453.252785821587</v>
      </c>
      <c r="D70">
        <v>0.86138906171591401</v>
      </c>
    </row>
    <row r="71" spans="1:4" x14ac:dyDescent="0.25">
      <c r="A71" t="s">
        <v>203</v>
      </c>
      <c r="B71" t="s">
        <v>182</v>
      </c>
      <c r="C71">
        <v>-16.728491626977402</v>
      </c>
      <c r="D71">
        <v>3.6442203022006501</v>
      </c>
    </row>
    <row r="72" spans="1:4" x14ac:dyDescent="0.25">
      <c r="A72" t="s">
        <v>203</v>
      </c>
      <c r="B72" t="s">
        <v>183</v>
      </c>
      <c r="C72">
        <v>-0.98811871271565699</v>
      </c>
      <c r="D72">
        <v>7.2569063999480904E-2</v>
      </c>
    </row>
    <row r="73" spans="1:4" x14ac:dyDescent="0.25">
      <c r="A73" t="s">
        <v>203</v>
      </c>
      <c r="B73" t="s">
        <v>191</v>
      </c>
      <c r="C73">
        <v>-0.37375981845015799</v>
      </c>
      <c r="D73">
        <v>1.71185795425489E-2</v>
      </c>
    </row>
    <row r="74" spans="1:4" x14ac:dyDescent="0.25">
      <c r="A74" t="s">
        <v>205</v>
      </c>
      <c r="B74" t="s">
        <v>181</v>
      </c>
      <c r="C74">
        <v>-2.1104941602081402</v>
      </c>
      <c r="D74">
        <v>0.23314253463756501</v>
      </c>
    </row>
    <row r="75" spans="1:4" x14ac:dyDescent="0.25">
      <c r="A75" t="s">
        <v>205</v>
      </c>
      <c r="B75" t="s">
        <v>182</v>
      </c>
      <c r="C75">
        <v>0.46713594364355598</v>
      </c>
      <c r="D75">
        <v>6.6007896022683393E-2</v>
      </c>
    </row>
    <row r="76" spans="1:4" x14ac:dyDescent="0.25">
      <c r="A76" t="s">
        <v>205</v>
      </c>
      <c r="B76" t="s">
        <v>183</v>
      </c>
      <c r="C76">
        <v>1.98439247495431E-3</v>
      </c>
      <c r="D76">
        <v>2.1588768673119199E-4</v>
      </c>
    </row>
    <row r="77" spans="1:4" x14ac:dyDescent="0.25">
      <c r="A77" t="s">
        <v>205</v>
      </c>
      <c r="B77" t="s">
        <v>191</v>
      </c>
      <c r="C77">
        <v>0.494873480285002</v>
      </c>
      <c r="D77">
        <v>4.1168518752883299E-2</v>
      </c>
    </row>
    <row r="78" spans="1:4" x14ac:dyDescent="0.25">
      <c r="A78" t="s">
        <v>206</v>
      </c>
      <c r="B78" t="s">
        <v>181</v>
      </c>
      <c r="C78">
        <v>4.6010747670093498E-4</v>
      </c>
      <c r="D78">
        <v>1.4360378180077799E-4</v>
      </c>
    </row>
    <row r="79" spans="1:4" x14ac:dyDescent="0.25">
      <c r="A79" t="s">
        <v>206</v>
      </c>
      <c r="B79" t="s">
        <v>182</v>
      </c>
      <c r="C79">
        <v>-0.36656120246634799</v>
      </c>
      <c r="D79">
        <v>5.7322197225339003E-2</v>
      </c>
    </row>
    <row r="80" spans="1:4" x14ac:dyDescent="0.25">
      <c r="A80" t="s">
        <v>206</v>
      </c>
      <c r="B80" t="s">
        <v>183</v>
      </c>
      <c r="C80">
        <v>-0.127036063448562</v>
      </c>
      <c r="D80">
        <v>2.7435800276271901E-2</v>
      </c>
    </row>
    <row r="81" spans="1:4" x14ac:dyDescent="0.25">
      <c r="A81" t="s">
        <v>206</v>
      </c>
      <c r="B81" t="s">
        <v>191</v>
      </c>
      <c r="C81">
        <v>0.103240769368788</v>
      </c>
      <c r="D81">
        <v>5.5675931792048501E-2</v>
      </c>
    </row>
    <row r="82" spans="1:4" x14ac:dyDescent="0.25">
      <c r="A82" t="s">
        <v>206</v>
      </c>
      <c r="B82" t="s">
        <v>192</v>
      </c>
      <c r="C82">
        <v>-3.8568663535729797E-2</v>
      </c>
      <c r="D82">
        <v>6.2080130175691701E-2</v>
      </c>
    </row>
    <row r="83" spans="1:4" x14ac:dyDescent="0.25">
      <c r="A83" t="s">
        <v>206</v>
      </c>
      <c r="B83" t="s">
        <v>184</v>
      </c>
      <c r="C83">
        <v>-8.4870141911679801E-5</v>
      </c>
      <c r="D83">
        <v>4.1122340472763498E-5</v>
      </c>
    </row>
    <row r="84" spans="1:4" x14ac:dyDescent="0.25">
      <c r="A84" t="s">
        <v>206</v>
      </c>
      <c r="B84" t="s">
        <v>193</v>
      </c>
      <c r="C84">
        <v>-2.4946358039924999E-2</v>
      </c>
      <c r="D84">
        <v>2.1397718038425602E-3</v>
      </c>
    </row>
    <row r="85" spans="1:4" x14ac:dyDescent="0.25">
      <c r="A85" t="s">
        <v>206</v>
      </c>
      <c r="B85" t="s">
        <v>185</v>
      </c>
      <c r="C85">
        <v>9.5533243057589392E-3</v>
      </c>
      <c r="D85">
        <v>2.51650131431475E-3</v>
      </c>
    </row>
    <row r="86" spans="1:4" x14ac:dyDescent="0.25">
      <c r="A86" t="s">
        <v>206</v>
      </c>
      <c r="B86" t="s">
        <v>186</v>
      </c>
      <c r="C86">
        <v>9.4484893510049899E-3</v>
      </c>
      <c r="D86">
        <v>1.93088441953089E-3</v>
      </c>
    </row>
    <row r="87" spans="1:4" x14ac:dyDescent="0.25">
      <c r="A87" t="s">
        <v>207</v>
      </c>
      <c r="B87" t="s">
        <v>181</v>
      </c>
      <c r="C87">
        <v>2.1273667319243899E-3</v>
      </c>
      <c r="D87">
        <v>7.0350352597982205E-4</v>
      </c>
    </row>
    <row r="88" spans="1:4" x14ac:dyDescent="0.25">
      <c r="A88" t="s">
        <v>207</v>
      </c>
      <c r="B88" t="s">
        <v>182</v>
      </c>
      <c r="C88">
        <v>0.21421885807416399</v>
      </c>
      <c r="D88">
        <v>0.19077789040214199</v>
      </c>
    </row>
    <row r="89" spans="1:4" x14ac:dyDescent="0.25">
      <c r="A89" t="s">
        <v>207</v>
      </c>
      <c r="B89" t="s">
        <v>183</v>
      </c>
      <c r="C89">
        <v>-9.8018790268237007E-3</v>
      </c>
      <c r="D89">
        <v>7.5708712671584003E-3</v>
      </c>
    </row>
    <row r="90" spans="1:4" x14ac:dyDescent="0.25">
      <c r="A90" t="s">
        <v>207</v>
      </c>
      <c r="B90" t="s">
        <v>191</v>
      </c>
      <c r="C90">
        <v>0.72368924123946798</v>
      </c>
      <c r="D90">
        <v>0.24495994262519399</v>
      </c>
    </row>
    <row r="91" spans="1:4" x14ac:dyDescent="0.25">
      <c r="A91" t="s">
        <v>207</v>
      </c>
      <c r="B91" t="s">
        <v>192</v>
      </c>
      <c r="C91">
        <v>-0.97401837840445604</v>
      </c>
      <c r="D91">
        <v>0.26484693359113298</v>
      </c>
    </row>
    <row r="92" spans="1:4" x14ac:dyDescent="0.25">
      <c r="A92" t="s">
        <v>208</v>
      </c>
      <c r="B92" t="s">
        <v>181</v>
      </c>
      <c r="C92">
        <v>2.07738761008576E-2</v>
      </c>
      <c r="D92">
        <v>5.13773095044163E-3</v>
      </c>
    </row>
    <row r="93" spans="1:4" x14ac:dyDescent="0.25">
      <c r="A93" t="s">
        <v>208</v>
      </c>
      <c r="B93" t="s">
        <v>182</v>
      </c>
      <c r="C93">
        <v>-0.12786473272354701</v>
      </c>
      <c r="D93">
        <v>3.1150815548177498E-2</v>
      </c>
    </row>
    <row r="94" spans="1:4" x14ac:dyDescent="0.25">
      <c r="A94" t="s">
        <v>208</v>
      </c>
      <c r="B94" t="s">
        <v>183</v>
      </c>
      <c r="C94">
        <v>8.0786743087859396E-4</v>
      </c>
      <c r="D94">
        <v>5.5811302344202102E-5</v>
      </c>
    </row>
    <row r="95" spans="1:4" x14ac:dyDescent="0.25">
      <c r="A95" t="s">
        <v>208</v>
      </c>
      <c r="B95" t="s">
        <v>191</v>
      </c>
      <c r="C95">
        <v>1.07324565376541</v>
      </c>
      <c r="D95">
        <v>4.7899069941169603E-2</v>
      </c>
    </row>
    <row r="96" spans="1:4" x14ac:dyDescent="0.25">
      <c r="A96" t="s">
        <v>208</v>
      </c>
      <c r="B96" t="s">
        <v>184</v>
      </c>
      <c r="C96">
        <v>-2.6063839777005601E-2</v>
      </c>
      <c r="D96">
        <v>4.1269049047484999E-3</v>
      </c>
    </row>
    <row r="97" spans="1:4" x14ac:dyDescent="0.25">
      <c r="A97" t="s">
        <v>208</v>
      </c>
      <c r="B97" t="s">
        <v>193</v>
      </c>
      <c r="C97">
        <v>2.6121990045118199E-2</v>
      </c>
      <c r="D97">
        <v>4.0807814445683903E-3</v>
      </c>
    </row>
    <row r="98" spans="1:4" x14ac:dyDescent="0.25">
      <c r="A98" t="s">
        <v>208</v>
      </c>
      <c r="B98" t="s">
        <v>185</v>
      </c>
      <c r="C98">
        <v>-1.72789676710387E-2</v>
      </c>
      <c r="D98">
        <v>4.05018450779626E-3</v>
      </c>
    </row>
    <row r="99" spans="1:4" x14ac:dyDescent="0.25">
      <c r="A99" t="s">
        <v>209</v>
      </c>
      <c r="B99" t="s">
        <v>181</v>
      </c>
      <c r="C99">
        <v>-1.56115838829169</v>
      </c>
      <c r="D99">
        <v>2.97253656595938E-2</v>
      </c>
    </row>
    <row r="100" spans="1:4" x14ac:dyDescent="0.25">
      <c r="A100" t="s">
        <v>209</v>
      </c>
      <c r="B100" t="s">
        <v>183</v>
      </c>
      <c r="C100">
        <v>8.3961203378829109E-3</v>
      </c>
      <c r="D100">
        <v>2.19528392031233E-4</v>
      </c>
    </row>
    <row r="101" spans="1:4" x14ac:dyDescent="0.25">
      <c r="A101" t="s">
        <v>210</v>
      </c>
      <c r="B101" t="s">
        <v>181</v>
      </c>
      <c r="C101">
        <v>-1.2812862361108599E-2</v>
      </c>
      <c r="D101">
        <v>6.0466763592021602E-3</v>
      </c>
    </row>
    <row r="102" spans="1:4" x14ac:dyDescent="0.25">
      <c r="A102" t="s">
        <v>210</v>
      </c>
      <c r="B102" t="s">
        <v>182</v>
      </c>
      <c r="C102">
        <v>-5.9914130578544202E-2</v>
      </c>
      <c r="D102">
        <v>1.8959142382893601E-2</v>
      </c>
    </row>
    <row r="103" spans="1:4" x14ac:dyDescent="0.25">
      <c r="A103" t="s">
        <v>210</v>
      </c>
      <c r="B103" t="s">
        <v>183</v>
      </c>
      <c r="C103">
        <v>0.30930098845952603</v>
      </c>
      <c r="D103">
        <v>3.8597154070524102E-2</v>
      </c>
    </row>
    <row r="104" spans="1:4" x14ac:dyDescent="0.25">
      <c r="A104" t="s">
        <v>210</v>
      </c>
      <c r="B104" t="s">
        <v>191</v>
      </c>
      <c r="C104">
        <v>0.19181236257594</v>
      </c>
      <c r="D104">
        <v>3.94064892625886E-2</v>
      </c>
    </row>
    <row r="105" spans="1:4" x14ac:dyDescent="0.25">
      <c r="A105" t="s">
        <v>210</v>
      </c>
      <c r="B105" t="s">
        <v>192</v>
      </c>
      <c r="C105">
        <v>-0.173888398931065</v>
      </c>
      <c r="D105">
        <v>2.9955624891110099E-2</v>
      </c>
    </row>
    <row r="106" spans="1:4" x14ac:dyDescent="0.25">
      <c r="A106" t="s">
        <v>210</v>
      </c>
      <c r="B106" t="s">
        <v>184</v>
      </c>
      <c r="C106">
        <v>-8.1781545911869993E-2</v>
      </c>
      <c r="D106">
        <v>1.742848851562E-2</v>
      </c>
    </row>
    <row r="107" spans="1:4" x14ac:dyDescent="0.25">
      <c r="A107" t="s">
        <v>211</v>
      </c>
      <c r="B107" t="s">
        <v>181</v>
      </c>
      <c r="C107">
        <v>-5.44532874707261E-2</v>
      </c>
      <c r="D107">
        <v>2.36123808963772E-2</v>
      </c>
    </row>
    <row r="108" spans="1:4" x14ac:dyDescent="0.25">
      <c r="A108" t="s">
        <v>211</v>
      </c>
      <c r="B108" t="s">
        <v>182</v>
      </c>
      <c r="C108">
        <v>-3.7752227056586797E-2</v>
      </c>
      <c r="D108">
        <v>2.63204465052976E-2</v>
      </c>
    </row>
    <row r="109" spans="1:4" x14ac:dyDescent="0.25">
      <c r="A109" t="s">
        <v>211</v>
      </c>
      <c r="B109" t="s">
        <v>183</v>
      </c>
      <c r="C109">
        <v>0.71264627112966406</v>
      </c>
      <c r="D109">
        <v>0.173557933164279</v>
      </c>
    </row>
    <row r="110" spans="1:4" x14ac:dyDescent="0.25">
      <c r="A110" t="s">
        <v>211</v>
      </c>
      <c r="B110" t="s">
        <v>191</v>
      </c>
      <c r="C110">
        <v>-4.32907097910916E-3</v>
      </c>
      <c r="D110">
        <v>1.35456771991617E-3</v>
      </c>
    </row>
    <row r="111" spans="1:4" x14ac:dyDescent="0.25">
      <c r="A111" t="s">
        <v>211</v>
      </c>
      <c r="B111" t="s">
        <v>192</v>
      </c>
      <c r="C111">
        <v>0.55355986222652498</v>
      </c>
      <c r="D111">
        <v>3.75360483861975E-2</v>
      </c>
    </row>
    <row r="112" spans="1:4" x14ac:dyDescent="0.25">
      <c r="A112" t="s">
        <v>211</v>
      </c>
      <c r="B112" t="s">
        <v>184</v>
      </c>
      <c r="C112">
        <v>2.96602030848266E-2</v>
      </c>
      <c r="D112">
        <v>9.8195154580683792E-3</v>
      </c>
    </row>
    <row r="113" spans="1:4" x14ac:dyDescent="0.25">
      <c r="A113" t="s">
        <v>212</v>
      </c>
      <c r="B113" t="s">
        <v>181</v>
      </c>
      <c r="C113">
        <v>-9.5678171233755702E-2</v>
      </c>
      <c r="D113">
        <v>2.46356692092707E-2</v>
      </c>
    </row>
    <row r="114" spans="1:4" x14ac:dyDescent="0.25">
      <c r="A114" t="s">
        <v>212</v>
      </c>
      <c r="B114" t="s">
        <v>182</v>
      </c>
      <c r="C114">
        <v>1.8306048317516799E-2</v>
      </c>
      <c r="D114">
        <v>1.6581975350609399E-3</v>
      </c>
    </row>
    <row r="115" spans="1:4" x14ac:dyDescent="0.25">
      <c r="A115" t="s">
        <v>212</v>
      </c>
      <c r="B115" t="s">
        <v>183</v>
      </c>
      <c r="C115">
        <v>5.4724996567640904E-4</v>
      </c>
      <c r="D115">
        <v>6.9503073623456305E-5</v>
      </c>
    </row>
    <row r="116" spans="1:4" x14ac:dyDescent="0.25">
      <c r="A116" t="s">
        <v>212</v>
      </c>
      <c r="B116" t="s">
        <v>191</v>
      </c>
      <c r="C116">
        <v>0.64162292498162798</v>
      </c>
      <c r="D116">
        <v>3.2549724361476198E-2</v>
      </c>
    </row>
    <row r="117" spans="1:4" x14ac:dyDescent="0.25">
      <c r="A117" t="s">
        <v>212</v>
      </c>
      <c r="B117" t="s">
        <v>192</v>
      </c>
      <c r="C117">
        <v>0.222260572383399</v>
      </c>
      <c r="D117">
        <v>3.3494732993372203E-2</v>
      </c>
    </row>
    <row r="118" spans="1:4" x14ac:dyDescent="0.25">
      <c r="A118" t="s">
        <v>213</v>
      </c>
      <c r="B118" t="s">
        <v>181</v>
      </c>
      <c r="C118">
        <v>3.83730692653588E-2</v>
      </c>
      <c r="D118">
        <v>1.5843316974301701E-2</v>
      </c>
    </row>
    <row r="119" spans="1:4" x14ac:dyDescent="0.25">
      <c r="A119" t="s">
        <v>213</v>
      </c>
      <c r="B119" t="s">
        <v>182</v>
      </c>
      <c r="C119">
        <v>0.95573664347214304</v>
      </c>
      <c r="D119">
        <v>0.78972139785960405</v>
      </c>
    </row>
    <row r="120" spans="1:4" x14ac:dyDescent="0.25">
      <c r="A120" t="s">
        <v>213</v>
      </c>
      <c r="B120" t="s">
        <v>183</v>
      </c>
      <c r="C120">
        <v>-5.0350352670501497</v>
      </c>
      <c r="D120">
        <v>1.8472335626729199</v>
      </c>
    </row>
    <row r="121" spans="1:4" x14ac:dyDescent="0.25">
      <c r="A121" t="s">
        <v>213</v>
      </c>
      <c r="B121" t="s">
        <v>191</v>
      </c>
      <c r="C121">
        <v>3.45356769068546</v>
      </c>
      <c r="D121">
        <v>2.2757822632892002</v>
      </c>
    </row>
    <row r="122" spans="1:4" x14ac:dyDescent="0.25">
      <c r="A122" t="s">
        <v>213</v>
      </c>
      <c r="B122" t="s">
        <v>192</v>
      </c>
      <c r="C122">
        <v>0.27815336451659001</v>
      </c>
      <c r="D122">
        <v>8.7813032479609907E-2</v>
      </c>
    </row>
    <row r="123" spans="1:4" x14ac:dyDescent="0.25">
      <c r="A123" t="s">
        <v>213</v>
      </c>
      <c r="B123" t="s">
        <v>184</v>
      </c>
      <c r="C123">
        <v>-0.16362294057351801</v>
      </c>
      <c r="D123">
        <v>8.5847680689939296E-2</v>
      </c>
    </row>
    <row r="124" spans="1:4" x14ac:dyDescent="0.25">
      <c r="A124" t="s">
        <v>214</v>
      </c>
      <c r="B124" t="s">
        <v>181</v>
      </c>
      <c r="C124">
        <v>-0.550097332237936</v>
      </c>
      <c r="D124">
        <v>0.188131310274013</v>
      </c>
    </row>
    <row r="125" spans="1:4" x14ac:dyDescent="0.25">
      <c r="A125" t="s">
        <v>214</v>
      </c>
      <c r="B125" t="s">
        <v>182</v>
      </c>
      <c r="C125">
        <v>-0.162134564340388</v>
      </c>
      <c r="D125">
        <v>5.17022892810481E-2</v>
      </c>
    </row>
    <row r="126" spans="1:4" x14ac:dyDescent="0.25">
      <c r="A126" t="s">
        <v>214</v>
      </c>
      <c r="B126" t="s">
        <v>183</v>
      </c>
      <c r="C126">
        <v>-0.58230484138887495</v>
      </c>
      <c r="D126">
        <v>0.112930770874641</v>
      </c>
    </row>
    <row r="127" spans="1:4" x14ac:dyDescent="0.25">
      <c r="A127" t="s">
        <v>214</v>
      </c>
      <c r="B127" t="s">
        <v>191</v>
      </c>
      <c r="C127">
        <v>-5.1142016254397102</v>
      </c>
      <c r="D127">
        <v>2.8322008522135298</v>
      </c>
    </row>
    <row r="128" spans="1:4" x14ac:dyDescent="0.25">
      <c r="A128" t="s">
        <v>214</v>
      </c>
      <c r="B128" t="s">
        <v>192</v>
      </c>
      <c r="C128">
        <v>5.5529308505008403E-2</v>
      </c>
      <c r="D128">
        <v>0.15687577143110401</v>
      </c>
    </row>
    <row r="129" spans="1:4" x14ac:dyDescent="0.25">
      <c r="A129" t="s">
        <v>214</v>
      </c>
      <c r="B129" t="s">
        <v>184</v>
      </c>
      <c r="C129">
        <v>0.15507922855756601</v>
      </c>
      <c r="D129">
        <v>0.124324415948526</v>
      </c>
    </row>
    <row r="130" spans="1:4" x14ac:dyDescent="0.25">
      <c r="A130" t="s">
        <v>214</v>
      </c>
      <c r="B130" t="s">
        <v>193</v>
      </c>
      <c r="C130">
        <v>-0.55323606827500105</v>
      </c>
      <c r="D130">
        <v>0.93780127407736102</v>
      </c>
    </row>
    <row r="131" spans="1:4" x14ac:dyDescent="0.25">
      <c r="A131" t="s">
        <v>215</v>
      </c>
      <c r="B131" t="s">
        <v>181</v>
      </c>
      <c r="C131">
        <v>-3.4286966187734701E-3</v>
      </c>
      <c r="D131">
        <v>1.83705202755303E-3</v>
      </c>
    </row>
    <row r="132" spans="1:4" x14ac:dyDescent="0.25">
      <c r="A132" t="s">
        <v>215</v>
      </c>
      <c r="B132" t="s">
        <v>182</v>
      </c>
      <c r="C132">
        <v>1.01279766478653</v>
      </c>
      <c r="D132">
        <v>4.3461394791844202E-2</v>
      </c>
    </row>
    <row r="133" spans="1:4" x14ac:dyDescent="0.25">
      <c r="A133" t="s">
        <v>215</v>
      </c>
      <c r="B133" t="s">
        <v>183</v>
      </c>
      <c r="C133">
        <v>0.28279382483690702</v>
      </c>
      <c r="D133">
        <v>0.16088021722925999</v>
      </c>
    </row>
    <row r="134" spans="1:4" x14ac:dyDescent="0.25">
      <c r="A134" t="s">
        <v>216</v>
      </c>
      <c r="B134" t="s">
        <v>181</v>
      </c>
      <c r="C134">
        <v>9.3848980269869899E-3</v>
      </c>
      <c r="D134">
        <v>1.34882361995132E-3</v>
      </c>
    </row>
    <row r="135" spans="1:4" x14ac:dyDescent="0.25">
      <c r="A135" t="s">
        <v>216</v>
      </c>
      <c r="B135" t="s">
        <v>182</v>
      </c>
      <c r="C135">
        <v>0.52754618400408804</v>
      </c>
      <c r="D135">
        <v>5.2298395325714099E-2</v>
      </c>
    </row>
    <row r="136" spans="1:4" x14ac:dyDescent="0.25">
      <c r="A136" t="s">
        <v>216</v>
      </c>
      <c r="B136" t="s">
        <v>183</v>
      </c>
      <c r="C136">
        <v>0.149570417263239</v>
      </c>
      <c r="D136">
        <v>1.50180243671564E-2</v>
      </c>
    </row>
    <row r="137" spans="1:4" x14ac:dyDescent="0.25">
      <c r="A137" t="s">
        <v>216</v>
      </c>
      <c r="B137" t="s">
        <v>191</v>
      </c>
      <c r="C137">
        <v>-4.1781088053228499E-2</v>
      </c>
      <c r="D137">
        <v>1.8185709085108501E-2</v>
      </c>
    </row>
    <row r="138" spans="1:4" x14ac:dyDescent="0.25">
      <c r="A138" t="s">
        <v>217</v>
      </c>
      <c r="B138" t="s">
        <v>181</v>
      </c>
      <c r="C138">
        <v>-0.12300002845208</v>
      </c>
      <c r="D138">
        <v>3.3998676551683198E-2</v>
      </c>
    </row>
    <row r="139" spans="1:4" x14ac:dyDescent="0.25">
      <c r="A139" t="s">
        <v>217</v>
      </c>
      <c r="B139" t="s">
        <v>182</v>
      </c>
      <c r="C139">
        <v>-6.044644175655E-2</v>
      </c>
      <c r="D139">
        <v>1.4982002122002199E-2</v>
      </c>
    </row>
    <row r="140" spans="1:4" x14ac:dyDescent="0.25">
      <c r="A140" t="s">
        <v>217</v>
      </c>
      <c r="B140" t="s">
        <v>183</v>
      </c>
      <c r="C140">
        <v>1.24379938259809E-3</v>
      </c>
      <c r="D140">
        <v>4.5697782047379103E-4</v>
      </c>
    </row>
    <row r="141" spans="1:4" x14ac:dyDescent="0.25">
      <c r="A141" t="s">
        <v>217</v>
      </c>
      <c r="B141" t="s">
        <v>191</v>
      </c>
      <c r="C141">
        <v>0.49688411480225703</v>
      </c>
      <c r="D141">
        <v>0.170701189666911</v>
      </c>
    </row>
    <row r="142" spans="1:4" x14ac:dyDescent="0.25">
      <c r="A142" t="s">
        <v>218</v>
      </c>
      <c r="B142" t="s">
        <v>181</v>
      </c>
      <c r="C142">
        <v>0.29104009574641398</v>
      </c>
      <c r="D142">
        <v>4.7248791530610297E-2</v>
      </c>
    </row>
    <row r="143" spans="1:4" x14ac:dyDescent="0.25">
      <c r="A143" t="s">
        <v>218</v>
      </c>
      <c r="B143" t="s">
        <v>182</v>
      </c>
      <c r="C143">
        <v>9.8954201454853603</v>
      </c>
      <c r="D143">
        <v>0.892214169076473</v>
      </c>
    </row>
    <row r="144" spans="1:4" x14ac:dyDescent="0.25">
      <c r="A144" t="s">
        <v>218</v>
      </c>
      <c r="B144" t="s">
        <v>191</v>
      </c>
      <c r="C144">
        <v>-2.8509504717413301E-3</v>
      </c>
      <c r="D144">
        <v>1.52404262669021E-4</v>
      </c>
    </row>
    <row r="145" spans="1:4" x14ac:dyDescent="0.25">
      <c r="A145" t="s">
        <v>218</v>
      </c>
      <c r="B145" t="s">
        <v>192</v>
      </c>
      <c r="C145">
        <v>1.1936341734676399</v>
      </c>
      <c r="D145">
        <v>0.439585649194567</v>
      </c>
    </row>
    <row r="146" spans="1:4" x14ac:dyDescent="0.25">
      <c r="A146" t="s">
        <v>218</v>
      </c>
      <c r="B146" t="s">
        <v>184</v>
      </c>
      <c r="C146">
        <v>-0.86187007577127706</v>
      </c>
      <c r="D146">
        <v>0.26904894951681002</v>
      </c>
    </row>
    <row r="147" spans="1:4" x14ac:dyDescent="0.25">
      <c r="A147" t="s">
        <v>218</v>
      </c>
      <c r="B147" t="s">
        <v>193</v>
      </c>
      <c r="C147">
        <v>0.11950548701380501</v>
      </c>
      <c r="D147">
        <v>0.25517248775175599</v>
      </c>
    </row>
    <row r="148" spans="1:4" x14ac:dyDescent="0.25">
      <c r="A148" t="s">
        <v>218</v>
      </c>
      <c r="B148" t="s">
        <v>185</v>
      </c>
      <c r="C148">
        <v>-5.3617463708038701E-2</v>
      </c>
      <c r="D148">
        <v>1.2051120380009901E-2</v>
      </c>
    </row>
    <row r="149" spans="1:4" x14ac:dyDescent="0.25">
      <c r="A149" t="s">
        <v>218</v>
      </c>
      <c r="B149" t="s">
        <v>186</v>
      </c>
      <c r="C149">
        <v>5.4765994422109603E-2</v>
      </c>
      <c r="D149">
        <v>9.7931483243253008E-3</v>
      </c>
    </row>
    <row r="150" spans="1:4" x14ac:dyDescent="0.25">
      <c r="A150" t="s">
        <v>219</v>
      </c>
      <c r="B150" t="s">
        <v>181</v>
      </c>
      <c r="C150">
        <v>0.345043024574955</v>
      </c>
      <c r="D150">
        <v>0.42520735852538</v>
      </c>
    </row>
    <row r="151" spans="1:4" x14ac:dyDescent="0.25">
      <c r="A151" t="s">
        <v>219</v>
      </c>
      <c r="B151" t="s">
        <v>182</v>
      </c>
      <c r="C151">
        <v>-0.297020497656239</v>
      </c>
      <c r="D151">
        <v>8.1604094241427699E-2</v>
      </c>
    </row>
    <row r="152" spans="1:4" x14ac:dyDescent="0.25">
      <c r="A152" t="s">
        <v>219</v>
      </c>
      <c r="B152" t="s">
        <v>183</v>
      </c>
      <c r="C152">
        <v>4.9366773329968397E-3</v>
      </c>
      <c r="D152">
        <v>4.7374728882061998E-4</v>
      </c>
    </row>
    <row r="153" spans="1:4" x14ac:dyDescent="0.25">
      <c r="A153" t="s">
        <v>219</v>
      </c>
      <c r="B153" t="s">
        <v>191</v>
      </c>
      <c r="C153">
        <v>-0.35641837063832399</v>
      </c>
      <c r="D153">
        <v>1.0154213186711101</v>
      </c>
    </row>
    <row r="154" spans="1:4" x14ac:dyDescent="0.25">
      <c r="A154" t="s">
        <v>219</v>
      </c>
      <c r="B154" t="s">
        <v>192</v>
      </c>
      <c r="C154">
        <v>0.96074803467665004</v>
      </c>
      <c r="D154">
        <v>0.46139870011318801</v>
      </c>
    </row>
    <row r="155" spans="1:4" x14ac:dyDescent="0.25">
      <c r="A155" t="s">
        <v>219</v>
      </c>
      <c r="B155" t="s">
        <v>184</v>
      </c>
      <c r="C155">
        <v>-1.1937862601714</v>
      </c>
      <c r="D155">
        <v>0.659303879079146</v>
      </c>
    </row>
    <row r="156" spans="1:4" x14ac:dyDescent="0.25">
      <c r="A156" t="s">
        <v>219</v>
      </c>
      <c r="B156" t="s">
        <v>193</v>
      </c>
      <c r="C156">
        <v>0.28898880248413999</v>
      </c>
      <c r="D156">
        <v>0.111753738620906</v>
      </c>
    </row>
    <row r="157" spans="1:4" x14ac:dyDescent="0.25">
      <c r="A157" t="s">
        <v>219</v>
      </c>
      <c r="B157" t="s">
        <v>185</v>
      </c>
      <c r="C157">
        <v>0.317245991319626</v>
      </c>
      <c r="D157">
        <v>0.115865186954661</v>
      </c>
    </row>
    <row r="158" spans="1:4" x14ac:dyDescent="0.25">
      <c r="A158" t="s">
        <v>220</v>
      </c>
      <c r="B158" t="s">
        <v>181</v>
      </c>
      <c r="C158">
        <v>-5.30213588703497E-2</v>
      </c>
      <c r="D158">
        <v>0.11392668710579899</v>
      </c>
    </row>
    <row r="159" spans="1:4" x14ac:dyDescent="0.25">
      <c r="A159" t="s">
        <v>220</v>
      </c>
      <c r="B159" t="s">
        <v>182</v>
      </c>
      <c r="C159">
        <v>-2.37178205474654E-2</v>
      </c>
      <c r="D159">
        <v>2.7784605314520601E-2</v>
      </c>
    </row>
    <row r="160" spans="1:4" x14ac:dyDescent="0.25">
      <c r="A160" t="s">
        <v>220</v>
      </c>
      <c r="B160" t="s">
        <v>183</v>
      </c>
      <c r="C160">
        <v>0.51492023363542105</v>
      </c>
      <c r="D160">
        <v>0.44660979862426903</v>
      </c>
    </row>
    <row r="161" spans="1:4" x14ac:dyDescent="0.25">
      <c r="A161" t="s">
        <v>220</v>
      </c>
      <c r="B161" t="s">
        <v>191</v>
      </c>
      <c r="C161">
        <v>8.9592865485104298E-2</v>
      </c>
      <c r="D161">
        <v>2.1049477059657599E-2</v>
      </c>
    </row>
    <row r="162" spans="1:4" x14ac:dyDescent="0.25">
      <c r="A162" t="s">
        <v>220</v>
      </c>
      <c r="B162" t="s">
        <v>184</v>
      </c>
      <c r="C162">
        <v>5.0448411928928599E-2</v>
      </c>
      <c r="D162">
        <v>2.0309346767756899E-2</v>
      </c>
    </row>
    <row r="163" spans="1:4" x14ac:dyDescent="0.25">
      <c r="A163" t="s">
        <v>220</v>
      </c>
      <c r="B163" t="s">
        <v>193</v>
      </c>
      <c r="C163">
        <v>5.29883204795304E-2</v>
      </c>
      <c r="D163">
        <v>3.4825113038106398E-2</v>
      </c>
    </row>
    <row r="164" spans="1:4" x14ac:dyDescent="0.25">
      <c r="A164" t="s">
        <v>220</v>
      </c>
      <c r="B164" t="s">
        <v>186</v>
      </c>
      <c r="C164">
        <v>5.0934506591794798E-2</v>
      </c>
      <c r="D164">
        <v>3.3579114172136201E-2</v>
      </c>
    </row>
    <row r="165" spans="1:4" x14ac:dyDescent="0.25">
      <c r="A165" t="s">
        <v>220</v>
      </c>
      <c r="B165" t="s">
        <v>187</v>
      </c>
      <c r="C165">
        <v>3.1715389529947201E-2</v>
      </c>
      <c r="D165">
        <v>3.2450187046668397E-2</v>
      </c>
    </row>
    <row r="166" spans="1:4" x14ac:dyDescent="0.25">
      <c r="A166" t="s">
        <v>220</v>
      </c>
      <c r="B166" t="s">
        <v>188</v>
      </c>
      <c r="C166">
        <v>1.39053263808359E-2</v>
      </c>
      <c r="D166">
        <v>2.79150315250254E-3</v>
      </c>
    </row>
    <row r="167" spans="1:4" x14ac:dyDescent="0.25">
      <c r="A167" t="s">
        <v>220</v>
      </c>
      <c r="B167" t="s">
        <v>189</v>
      </c>
      <c r="C167">
        <v>4.1980338936567401E-3</v>
      </c>
      <c r="D167">
        <v>2.6708156044212201E-3</v>
      </c>
    </row>
    <row r="168" spans="1:4" x14ac:dyDescent="0.25">
      <c r="A168" t="s">
        <v>221</v>
      </c>
      <c r="B168" t="s">
        <v>181</v>
      </c>
      <c r="C168">
        <v>-1.8504325121042602E-2</v>
      </c>
      <c r="D168">
        <v>1.38068669490855E-2</v>
      </c>
    </row>
    <row r="169" spans="1:4" x14ac:dyDescent="0.25">
      <c r="A169" t="s">
        <v>221</v>
      </c>
      <c r="B169" t="s">
        <v>182</v>
      </c>
      <c r="C169">
        <v>-3.6500985234653803E-2</v>
      </c>
      <c r="D169">
        <v>1.07745079202025E-2</v>
      </c>
    </row>
    <row r="170" spans="1:4" x14ac:dyDescent="0.25">
      <c r="A170" t="s">
        <v>221</v>
      </c>
      <c r="B170" t="s">
        <v>183</v>
      </c>
      <c r="C170">
        <v>0.13191683517297501</v>
      </c>
      <c r="D170">
        <v>8.5007625469425696E-2</v>
      </c>
    </row>
    <row r="171" spans="1:4" x14ac:dyDescent="0.25">
      <c r="A171" t="s">
        <v>221</v>
      </c>
      <c r="B171" t="s">
        <v>184</v>
      </c>
      <c r="C171">
        <v>0.14346186622260501</v>
      </c>
      <c r="D171">
        <v>1.6753123658395701E-2</v>
      </c>
    </row>
    <row r="172" spans="1:4" x14ac:dyDescent="0.25">
      <c r="A172" t="s">
        <v>221</v>
      </c>
      <c r="B172" t="s">
        <v>193</v>
      </c>
      <c r="C172">
        <v>3.8002120517532399E-2</v>
      </c>
      <c r="D172">
        <v>2.5740097607632399E-2</v>
      </c>
    </row>
    <row r="173" spans="1:4" x14ac:dyDescent="0.25">
      <c r="A173" t="s">
        <v>221</v>
      </c>
      <c r="B173" t="s">
        <v>185</v>
      </c>
      <c r="C173">
        <v>6.6970532588672999E-2</v>
      </c>
      <c r="D173">
        <v>1.7444353207443E-2</v>
      </c>
    </row>
    <row r="174" spans="1:4" x14ac:dyDescent="0.25">
      <c r="A174" t="s">
        <v>221</v>
      </c>
      <c r="B174" t="s">
        <v>186</v>
      </c>
      <c r="C174">
        <v>6.7056714046860602E-2</v>
      </c>
      <c r="D174">
        <v>1.7046395610280599E-2</v>
      </c>
    </row>
    <row r="175" spans="1:4" x14ac:dyDescent="0.25">
      <c r="A175" t="s">
        <v>221</v>
      </c>
      <c r="B175" t="s">
        <v>187</v>
      </c>
      <c r="C175">
        <v>2.4585517987099699E-3</v>
      </c>
      <c r="D175">
        <v>2.4769670380722399E-3</v>
      </c>
    </row>
    <row r="176" spans="1:4" x14ac:dyDescent="0.25">
      <c r="A176" t="s">
        <v>221</v>
      </c>
      <c r="B176" t="s">
        <v>188</v>
      </c>
      <c r="C176">
        <v>3.4977945221160698E-3</v>
      </c>
      <c r="D176">
        <v>2.4132767555485502E-3</v>
      </c>
    </row>
    <row r="177" spans="1:4" x14ac:dyDescent="0.25">
      <c r="A177" t="s">
        <v>222</v>
      </c>
      <c r="B177" t="s">
        <v>181</v>
      </c>
      <c r="C177">
        <v>-0.40254391459468702</v>
      </c>
      <c r="D177">
        <v>0.13398954313524</v>
      </c>
    </row>
    <row r="178" spans="1:4" x14ac:dyDescent="0.25">
      <c r="A178" t="s">
        <v>222</v>
      </c>
      <c r="B178" t="s">
        <v>182</v>
      </c>
      <c r="C178">
        <v>-7.8591614708135596E-2</v>
      </c>
      <c r="D178">
        <v>2.4154113886921399E-2</v>
      </c>
    </row>
    <row r="179" spans="1:4" x14ac:dyDescent="0.25">
      <c r="A179" t="s">
        <v>222</v>
      </c>
      <c r="B179" t="s">
        <v>183</v>
      </c>
      <c r="C179">
        <v>1.1320405673531899</v>
      </c>
      <c r="D179">
        <v>4.11491715865741E-2</v>
      </c>
    </row>
    <row r="180" spans="1:4" x14ac:dyDescent="0.25">
      <c r="A180" t="s">
        <v>222</v>
      </c>
      <c r="B180" t="s">
        <v>191</v>
      </c>
      <c r="C180">
        <v>0.160643011207769</v>
      </c>
      <c r="D180">
        <v>4.7845193981804403E-2</v>
      </c>
    </row>
    <row r="181" spans="1:4" x14ac:dyDescent="0.25">
      <c r="A181" t="s">
        <v>222</v>
      </c>
      <c r="B181" t="s">
        <v>192</v>
      </c>
      <c r="C181">
        <v>-0.31333506024388402</v>
      </c>
      <c r="D181">
        <v>7.2924744775559394E-2</v>
      </c>
    </row>
    <row r="182" spans="1:4" x14ac:dyDescent="0.25">
      <c r="A182" t="s">
        <v>223</v>
      </c>
      <c r="B182" t="s">
        <v>181</v>
      </c>
      <c r="C182">
        <v>-0.117687374100091</v>
      </c>
      <c r="D182">
        <v>7.2618051601081396E-2</v>
      </c>
    </row>
    <row r="183" spans="1:4" x14ac:dyDescent="0.25">
      <c r="A183" t="s">
        <v>223</v>
      </c>
      <c r="B183" t="s">
        <v>182</v>
      </c>
      <c r="C183">
        <v>-3.09498870145456E-2</v>
      </c>
      <c r="D183">
        <v>1.50701083529108E-2</v>
      </c>
    </row>
    <row r="184" spans="1:4" x14ac:dyDescent="0.25">
      <c r="A184" t="s">
        <v>223</v>
      </c>
      <c r="B184" t="s">
        <v>183</v>
      </c>
      <c r="C184">
        <v>0.63394105957977498</v>
      </c>
      <c r="D184">
        <v>0.17569732596569199</v>
      </c>
    </row>
    <row r="185" spans="1:4" x14ac:dyDescent="0.25">
      <c r="A185" t="s">
        <v>223</v>
      </c>
      <c r="B185" t="s">
        <v>191</v>
      </c>
      <c r="C185">
        <v>4.8119743865442204E-3</v>
      </c>
      <c r="D185">
        <v>1.1189425327968799E-3</v>
      </c>
    </row>
    <row r="186" spans="1:4" x14ac:dyDescent="0.25">
      <c r="A186" t="s">
        <v>223</v>
      </c>
      <c r="B186" t="s">
        <v>192</v>
      </c>
      <c r="C186">
        <v>6.47392655637654E-2</v>
      </c>
      <c r="D186">
        <v>4.4051992013842004E-3</v>
      </c>
    </row>
    <row r="187" spans="1:4" x14ac:dyDescent="0.25">
      <c r="A187" t="s">
        <v>223</v>
      </c>
      <c r="B187" t="s">
        <v>184</v>
      </c>
      <c r="C187">
        <v>0.80472203141916099</v>
      </c>
      <c r="D187">
        <v>5.4486466509153002E-2</v>
      </c>
    </row>
    <row r="188" spans="1:4" x14ac:dyDescent="0.25">
      <c r="A188" t="s">
        <v>223</v>
      </c>
      <c r="B188" t="s">
        <v>193</v>
      </c>
      <c r="C188">
        <v>-7.4703871710037395E-2</v>
      </c>
      <c r="D188">
        <v>5.57922051323902E-3</v>
      </c>
    </row>
    <row r="189" spans="1:4" x14ac:dyDescent="0.25">
      <c r="A189" t="s">
        <v>224</v>
      </c>
      <c r="B189" t="s">
        <v>181</v>
      </c>
      <c r="C189">
        <v>6.3381437381523102E-3</v>
      </c>
      <c r="D189">
        <v>2.6037138436675799E-3</v>
      </c>
    </row>
    <row r="190" spans="1:4" x14ac:dyDescent="0.25">
      <c r="A190" t="s">
        <v>224</v>
      </c>
      <c r="B190" t="s">
        <v>182</v>
      </c>
      <c r="C190">
        <v>-3.62804650918684E-2</v>
      </c>
      <c r="D190">
        <v>1.30912850707186E-2</v>
      </c>
    </row>
    <row r="191" spans="1:4" x14ac:dyDescent="0.25">
      <c r="A191" t="s">
        <v>224</v>
      </c>
      <c r="B191" t="s">
        <v>191</v>
      </c>
      <c r="C191">
        <v>2.9346620368812001E-3</v>
      </c>
      <c r="D191">
        <v>4.2949310706043899E-4</v>
      </c>
    </row>
    <row r="192" spans="1:4" x14ac:dyDescent="0.25">
      <c r="A192" t="s">
        <v>224</v>
      </c>
      <c r="B192" t="s">
        <v>192</v>
      </c>
      <c r="C192">
        <v>5.2148431422045602E-2</v>
      </c>
      <c r="D192">
        <v>2.36746798764483E-2</v>
      </c>
    </row>
    <row r="193" spans="1:4" x14ac:dyDescent="0.25">
      <c r="A193" t="s">
        <v>224</v>
      </c>
      <c r="B193" t="s">
        <v>184</v>
      </c>
      <c r="C193">
        <v>3.5401126509403399E-2</v>
      </c>
      <c r="D193">
        <v>2.45487737585087E-2</v>
      </c>
    </row>
    <row r="194" spans="1:4" x14ac:dyDescent="0.25">
      <c r="A194" t="s">
        <v>225</v>
      </c>
      <c r="B194" t="s">
        <v>181</v>
      </c>
      <c r="C194">
        <v>3.88048055347812E-4</v>
      </c>
      <c r="D194">
        <v>5.4842544749662998E-3</v>
      </c>
    </row>
    <row r="195" spans="1:4" x14ac:dyDescent="0.25">
      <c r="A195" t="s">
        <v>225</v>
      </c>
      <c r="B195" t="s">
        <v>182</v>
      </c>
      <c r="C195">
        <v>-6.09629945132244E-2</v>
      </c>
      <c r="D195">
        <v>2.2333497143877799E-2</v>
      </c>
    </row>
    <row r="196" spans="1:4" x14ac:dyDescent="0.25">
      <c r="A196" t="s">
        <v>225</v>
      </c>
      <c r="B196" t="s">
        <v>191</v>
      </c>
      <c r="C196">
        <v>-0.134407462554407</v>
      </c>
      <c r="D196">
        <v>6.7649033222289295E-2</v>
      </c>
    </row>
    <row r="197" spans="1:4" x14ac:dyDescent="0.25">
      <c r="A197" t="s">
        <v>225</v>
      </c>
      <c r="B197" t="s">
        <v>192</v>
      </c>
      <c r="C197">
        <v>-0.152649830263001</v>
      </c>
      <c r="D197">
        <v>6.8435764166787705E-2</v>
      </c>
    </row>
    <row r="198" spans="1:4" x14ac:dyDescent="0.25">
      <c r="A198" t="s">
        <v>225</v>
      </c>
      <c r="B198" t="s">
        <v>184</v>
      </c>
      <c r="C198">
        <v>1.12951230278418</v>
      </c>
      <c r="D198">
        <v>0.29191689671129301</v>
      </c>
    </row>
    <row r="199" spans="1:4" x14ac:dyDescent="0.25">
      <c r="A199" t="s">
        <v>225</v>
      </c>
      <c r="B199" t="s">
        <v>193</v>
      </c>
      <c r="C199">
        <v>-0.31758524785366699</v>
      </c>
      <c r="D199">
        <v>6.0453739173146302E-2</v>
      </c>
    </row>
    <row r="200" spans="1:4" x14ac:dyDescent="0.25">
      <c r="A200" t="s">
        <v>225</v>
      </c>
      <c r="B200" t="s">
        <v>185</v>
      </c>
      <c r="C200">
        <v>-0.24860332748493899</v>
      </c>
      <c r="D200">
        <v>4.2862638039123102E-2</v>
      </c>
    </row>
    <row r="201" spans="1:4" x14ac:dyDescent="0.25">
      <c r="A201" t="s">
        <v>226</v>
      </c>
      <c r="B201" t="s">
        <v>227</v>
      </c>
      <c r="C201">
        <v>0.12705732520170801</v>
      </c>
      <c r="D201">
        <v>0.125247842972247</v>
      </c>
    </row>
    <row r="202" spans="1:4" x14ac:dyDescent="0.25">
      <c r="A202" t="s">
        <v>228</v>
      </c>
      <c r="B202" t="s">
        <v>181</v>
      </c>
      <c r="C202">
        <v>-0.136731415969541</v>
      </c>
      <c r="D202">
        <v>2.8632296806746001E-2</v>
      </c>
    </row>
    <row r="203" spans="1:4" x14ac:dyDescent="0.25">
      <c r="A203" t="s">
        <v>228</v>
      </c>
      <c r="B203" t="s">
        <v>182</v>
      </c>
      <c r="C203">
        <v>-5.6793390994599902E-2</v>
      </c>
      <c r="D203">
        <v>1.21321897710696E-2</v>
      </c>
    </row>
    <row r="204" spans="1:4" x14ac:dyDescent="0.25">
      <c r="A204" t="s">
        <v>228</v>
      </c>
      <c r="B204" t="s">
        <v>191</v>
      </c>
      <c r="C204">
        <v>15.135479074153899</v>
      </c>
      <c r="D204">
        <v>0.82564761271641496</v>
      </c>
    </row>
    <row r="205" spans="1:4" x14ac:dyDescent="0.25">
      <c r="A205" t="s">
        <v>228</v>
      </c>
      <c r="B205" t="s">
        <v>192</v>
      </c>
      <c r="C205">
        <v>3.0134488535127402E-2</v>
      </c>
      <c r="D205">
        <v>1.13775396931588E-2</v>
      </c>
    </row>
    <row r="206" spans="1:4" x14ac:dyDescent="0.25">
      <c r="A206" t="s">
        <v>228</v>
      </c>
      <c r="B206" t="s">
        <v>184</v>
      </c>
      <c r="C206">
        <v>-6.5902262009898502E-2</v>
      </c>
      <c r="D206">
        <v>4.1873862154087303E-2</v>
      </c>
    </row>
    <row r="207" spans="1:4" x14ac:dyDescent="0.25">
      <c r="A207" t="s">
        <v>228</v>
      </c>
      <c r="B207" t="s">
        <v>193</v>
      </c>
      <c r="C207">
        <v>9.3263136349393594E-2</v>
      </c>
      <c r="D207">
        <v>4.2015862163479301E-2</v>
      </c>
    </row>
    <row r="208" spans="1:4" x14ac:dyDescent="0.25">
      <c r="A208" t="s">
        <v>228</v>
      </c>
      <c r="B208" t="s">
        <v>185</v>
      </c>
      <c r="C208">
        <v>0.43996773095602798</v>
      </c>
      <c r="D208">
        <v>9.4107114908572501E-2</v>
      </c>
    </row>
    <row r="209" spans="1:4" x14ac:dyDescent="0.25">
      <c r="A209" t="s">
        <v>229</v>
      </c>
      <c r="B209" t="s">
        <v>181</v>
      </c>
      <c r="C209">
        <v>-0.42256430402996997</v>
      </c>
      <c r="D209">
        <v>0.22566298176743099</v>
      </c>
    </row>
    <row r="210" spans="1:4" x14ac:dyDescent="0.25">
      <c r="A210" t="s">
        <v>229</v>
      </c>
      <c r="B210" t="s">
        <v>182</v>
      </c>
      <c r="C210">
        <v>-5.1012178798948198E-2</v>
      </c>
      <c r="D210">
        <v>2.7310723043545201E-2</v>
      </c>
    </row>
    <row r="211" spans="1:4" x14ac:dyDescent="0.25">
      <c r="A211" t="s">
        <v>229</v>
      </c>
      <c r="B211" t="s">
        <v>192</v>
      </c>
      <c r="C211">
        <v>0.87652708655376599</v>
      </c>
      <c r="D211">
        <v>0.25258663300103801</v>
      </c>
    </row>
    <row r="212" spans="1:4" x14ac:dyDescent="0.25">
      <c r="A212" t="s">
        <v>229</v>
      </c>
      <c r="B212" t="s">
        <v>184</v>
      </c>
      <c r="C212">
        <v>0.76001480526679899</v>
      </c>
      <c r="D212">
        <v>0.26288633001547801</v>
      </c>
    </row>
    <row r="213" spans="1:4" x14ac:dyDescent="0.25">
      <c r="A213" t="s">
        <v>229</v>
      </c>
      <c r="B213" t="s">
        <v>193</v>
      </c>
      <c r="C213">
        <v>0.46202171507185302</v>
      </c>
      <c r="D213">
        <v>0.253777632544475</v>
      </c>
    </row>
    <row r="214" spans="1:4" x14ac:dyDescent="0.25">
      <c r="A214" t="s">
        <v>229</v>
      </c>
      <c r="B214" t="s">
        <v>185</v>
      </c>
      <c r="C214">
        <v>0.33428533027535601</v>
      </c>
      <c r="D214">
        <v>0.258391767228494</v>
      </c>
    </row>
    <row r="215" spans="1:4" x14ac:dyDescent="0.25">
      <c r="A215" t="s">
        <v>229</v>
      </c>
      <c r="B215" t="s">
        <v>186</v>
      </c>
      <c r="C215">
        <v>-0.28972687817072501</v>
      </c>
      <c r="D215">
        <v>9.2265668803028306E-2</v>
      </c>
    </row>
    <row r="216" spans="1:4" x14ac:dyDescent="0.25">
      <c r="A216" t="s">
        <v>229</v>
      </c>
      <c r="B216" t="s">
        <v>187</v>
      </c>
      <c r="C216">
        <v>-0.17604894999788601</v>
      </c>
      <c r="D216">
        <v>3.4886019007429402E-2</v>
      </c>
    </row>
    <row r="217" spans="1:4" x14ac:dyDescent="0.25">
      <c r="A217" t="s">
        <v>229</v>
      </c>
      <c r="B217" t="s">
        <v>188</v>
      </c>
      <c r="C217">
        <v>-0.48428052492763302</v>
      </c>
      <c r="D217">
        <v>0.491024362394759</v>
      </c>
    </row>
    <row r="218" spans="1:4" x14ac:dyDescent="0.25">
      <c r="A218" t="s">
        <v>230</v>
      </c>
      <c r="B218" t="s">
        <v>181</v>
      </c>
      <c r="C218">
        <v>0.11740986733690199</v>
      </c>
      <c r="D218">
        <v>2.97859713279876E-2</v>
      </c>
    </row>
    <row r="219" spans="1:4" x14ac:dyDescent="0.25">
      <c r="A219" t="s">
        <v>230</v>
      </c>
      <c r="B219" t="s">
        <v>231</v>
      </c>
      <c r="C219">
        <v>-0.48915207501087099</v>
      </c>
      <c r="D219">
        <v>0.138922251187899</v>
      </c>
    </row>
    <row r="220" spans="1:4" x14ac:dyDescent="0.25">
      <c r="A220" t="s">
        <v>230</v>
      </c>
      <c r="B220" t="s">
        <v>232</v>
      </c>
      <c r="C220">
        <v>-2.77252005151064E-2</v>
      </c>
      <c r="D220">
        <v>0.21138920219738999</v>
      </c>
    </row>
    <row r="221" spans="1:4" x14ac:dyDescent="0.25">
      <c r="A221" t="s">
        <v>230</v>
      </c>
      <c r="B221" t="s">
        <v>233</v>
      </c>
      <c r="C221">
        <v>0.193827246327542</v>
      </c>
      <c r="D221">
        <v>0.33998748164968501</v>
      </c>
    </row>
    <row r="222" spans="1:4" x14ac:dyDescent="0.25">
      <c r="A222" t="s">
        <v>230</v>
      </c>
      <c r="B222" t="s">
        <v>234</v>
      </c>
      <c r="C222">
        <v>-0.45004266626807399</v>
      </c>
      <c r="D222">
        <v>0.339640547702663</v>
      </c>
    </row>
    <row r="223" spans="1:4" x14ac:dyDescent="0.25">
      <c r="A223" t="s">
        <v>230</v>
      </c>
      <c r="B223" t="s">
        <v>235</v>
      </c>
      <c r="C223">
        <v>0.241181274151784</v>
      </c>
      <c r="D223">
        <v>0.211531544300953</v>
      </c>
    </row>
    <row r="224" spans="1:4" x14ac:dyDescent="0.25">
      <c r="A224" t="s">
        <v>230</v>
      </c>
      <c r="B224" t="s">
        <v>236</v>
      </c>
      <c r="C224">
        <v>0.710666390029421</v>
      </c>
      <c r="D224">
        <v>6.7675829480538602E-2</v>
      </c>
    </row>
    <row r="225" spans="1:4" x14ac:dyDescent="0.25">
      <c r="A225" t="s">
        <v>237</v>
      </c>
      <c r="B225" t="s">
        <v>181</v>
      </c>
      <c r="C225">
        <v>-1.0934691211176599</v>
      </c>
      <c r="D225">
        <v>0.293525431351426</v>
      </c>
    </row>
    <row r="226" spans="1:4" x14ac:dyDescent="0.25">
      <c r="A226" t="s">
        <v>237</v>
      </c>
      <c r="B226" t="s">
        <v>182</v>
      </c>
      <c r="C226">
        <v>-0.312527322966272</v>
      </c>
      <c r="D226">
        <v>7.7424337812654995E-2</v>
      </c>
    </row>
    <row r="227" spans="1:4" x14ac:dyDescent="0.25">
      <c r="A227" t="s">
        <v>237</v>
      </c>
      <c r="B227" t="s">
        <v>183</v>
      </c>
      <c r="C227">
        <v>0.52422655808309404</v>
      </c>
      <c r="D227">
        <v>0.194969629260484</v>
      </c>
    </row>
    <row r="228" spans="1:4" x14ac:dyDescent="0.25">
      <c r="A228" t="s">
        <v>237</v>
      </c>
      <c r="B228" t="s">
        <v>191</v>
      </c>
      <c r="C228">
        <v>-1.3775984006698001</v>
      </c>
      <c r="D228">
        <v>0.43673275008053902</v>
      </c>
    </row>
    <row r="229" spans="1:4" x14ac:dyDescent="0.25">
      <c r="A229" t="s">
        <v>237</v>
      </c>
      <c r="B229" t="s">
        <v>192</v>
      </c>
      <c r="C229">
        <v>-9.1520825168354206E-3</v>
      </c>
      <c r="D229">
        <v>1.47442268083951E-3</v>
      </c>
    </row>
    <row r="230" spans="1:4" x14ac:dyDescent="0.25">
      <c r="A230" t="s">
        <v>237</v>
      </c>
      <c r="B230" t="s">
        <v>193</v>
      </c>
      <c r="C230">
        <v>6.7417035085994004E-2</v>
      </c>
      <c r="D230">
        <v>9.7436271741833294E-2</v>
      </c>
    </row>
    <row r="231" spans="1:4" x14ac:dyDescent="0.25">
      <c r="A231" t="s">
        <v>237</v>
      </c>
      <c r="B231" t="s">
        <v>185</v>
      </c>
      <c r="C231">
        <v>-0.76293979188191297</v>
      </c>
      <c r="D231">
        <v>0.28878334517281801</v>
      </c>
    </row>
    <row r="232" spans="1:4" x14ac:dyDescent="0.25">
      <c r="A232" t="s">
        <v>237</v>
      </c>
      <c r="B232" t="s">
        <v>186</v>
      </c>
      <c r="C232">
        <v>0.22150960555506599</v>
      </c>
      <c r="D232">
        <v>0.33967853757668998</v>
      </c>
    </row>
    <row r="233" spans="1:4" x14ac:dyDescent="0.25">
      <c r="A233" t="s">
        <v>237</v>
      </c>
      <c r="B233" t="s">
        <v>187</v>
      </c>
      <c r="C233">
        <v>0.15497564683440701</v>
      </c>
      <c r="D233">
        <v>0.35050597779600201</v>
      </c>
    </row>
    <row r="234" spans="1:4" x14ac:dyDescent="0.25">
      <c r="A234" t="s">
        <v>237</v>
      </c>
      <c r="B234" t="s">
        <v>188</v>
      </c>
      <c r="C234">
        <v>6.3396064448343697E-2</v>
      </c>
      <c r="D234">
        <v>0.36888120509188899</v>
      </c>
    </row>
    <row r="235" spans="1:4" x14ac:dyDescent="0.25">
      <c r="A235" t="s">
        <v>237</v>
      </c>
      <c r="B235" t="s">
        <v>189</v>
      </c>
      <c r="C235">
        <v>0.49046200799325801</v>
      </c>
      <c r="D235">
        <v>0.35484827819465597</v>
      </c>
    </row>
    <row r="236" spans="1:4" x14ac:dyDescent="0.25">
      <c r="A236" t="s">
        <v>237</v>
      </c>
      <c r="B236" t="s">
        <v>194</v>
      </c>
      <c r="C236">
        <v>0.57524027117310605</v>
      </c>
      <c r="D236">
        <v>0.35244808220304602</v>
      </c>
    </row>
    <row r="237" spans="1:4" x14ac:dyDescent="0.25">
      <c r="A237" t="s">
        <v>238</v>
      </c>
      <c r="B237" t="s">
        <v>181</v>
      </c>
      <c r="C237">
        <v>-0.17087672802314899</v>
      </c>
      <c r="D237">
        <v>0.120226872098535</v>
      </c>
    </row>
    <row r="238" spans="1:4" x14ac:dyDescent="0.25">
      <c r="A238" t="s">
        <v>238</v>
      </c>
      <c r="B238" t="s">
        <v>182</v>
      </c>
      <c r="C238">
        <v>-7.5570864795641304E-2</v>
      </c>
      <c r="D238">
        <v>4.5449763221596502E-2</v>
      </c>
    </row>
    <row r="239" spans="1:4" x14ac:dyDescent="0.25">
      <c r="A239" t="s">
        <v>238</v>
      </c>
      <c r="B239" t="s">
        <v>183</v>
      </c>
      <c r="C239">
        <v>4.7761749536656302E-2</v>
      </c>
      <c r="D239">
        <v>2.16494214058893E-2</v>
      </c>
    </row>
    <row r="240" spans="1:4" x14ac:dyDescent="0.25">
      <c r="A240" t="s">
        <v>238</v>
      </c>
      <c r="B240" t="s">
        <v>191</v>
      </c>
      <c r="C240">
        <v>-2.5747941768777898E-3</v>
      </c>
      <c r="D240">
        <v>1.2956703597071901E-3</v>
      </c>
    </row>
    <row r="241" spans="1:4" x14ac:dyDescent="0.25">
      <c r="A241" t="s">
        <v>238</v>
      </c>
      <c r="B241" t="s">
        <v>192</v>
      </c>
      <c r="C241">
        <v>0.72095582876820996</v>
      </c>
      <c r="D241">
        <v>8.1171394142645195E-2</v>
      </c>
    </row>
    <row r="242" spans="1:4" x14ac:dyDescent="0.25">
      <c r="A242" t="s">
        <v>238</v>
      </c>
      <c r="B242" t="s">
        <v>184</v>
      </c>
      <c r="C242">
        <v>-8.3474610690818699E-2</v>
      </c>
      <c r="D242">
        <v>7.8920015485993797E-2</v>
      </c>
    </row>
    <row r="243" spans="1:4" x14ac:dyDescent="0.25">
      <c r="A243" t="s">
        <v>238</v>
      </c>
      <c r="B243" t="s">
        <v>193</v>
      </c>
      <c r="C243">
        <v>-0.12282884114374</v>
      </c>
      <c r="D243">
        <v>7.9638287421929799E-2</v>
      </c>
    </row>
    <row r="244" spans="1:4" x14ac:dyDescent="0.25">
      <c r="A244" t="s">
        <v>238</v>
      </c>
      <c r="B244" t="s">
        <v>185</v>
      </c>
      <c r="C244">
        <v>-0.181651641952986</v>
      </c>
      <c r="D244">
        <v>7.8206905404043098E-2</v>
      </c>
    </row>
    <row r="245" spans="1:4" x14ac:dyDescent="0.25">
      <c r="A245" t="s">
        <v>238</v>
      </c>
      <c r="B245" t="s">
        <v>186</v>
      </c>
      <c r="C245">
        <v>-0.17114092732952901</v>
      </c>
      <c r="D245">
        <v>7.6707334056015902E-2</v>
      </c>
    </row>
    <row r="246" spans="1:4" x14ac:dyDescent="0.25">
      <c r="A246" t="s">
        <v>239</v>
      </c>
      <c r="B246" t="s">
        <v>181</v>
      </c>
      <c r="C246">
        <v>-0.140763101014305</v>
      </c>
      <c r="D246">
        <v>6.2401012221725498E-2</v>
      </c>
    </row>
    <row r="247" spans="1:4" x14ac:dyDescent="0.25">
      <c r="A247" t="s">
        <v>239</v>
      </c>
      <c r="B247" t="s">
        <v>182</v>
      </c>
      <c r="C247">
        <v>-4.7492127155865801E-2</v>
      </c>
      <c r="D247">
        <v>1.7181084189853101E-2</v>
      </c>
    </row>
    <row r="248" spans="1:4" x14ac:dyDescent="0.25">
      <c r="A248" t="s">
        <v>239</v>
      </c>
      <c r="B248" t="s">
        <v>183</v>
      </c>
      <c r="C248">
        <v>-0.15329374879614499</v>
      </c>
      <c r="D248">
        <v>0.80603374998901001</v>
      </c>
    </row>
    <row r="249" spans="1:4" x14ac:dyDescent="0.25">
      <c r="A249" t="s">
        <v>239</v>
      </c>
      <c r="B249" t="s">
        <v>191</v>
      </c>
      <c r="C249">
        <v>0.71458298009404397</v>
      </c>
      <c r="D249">
        <v>0.46414667991811098</v>
      </c>
    </row>
    <row r="250" spans="1:4" x14ac:dyDescent="0.25">
      <c r="A250" t="s">
        <v>239</v>
      </c>
      <c r="B250" t="s">
        <v>192</v>
      </c>
      <c r="C250">
        <v>-6.4605897255863402E-3</v>
      </c>
      <c r="D250">
        <v>3.5703705036615099E-3</v>
      </c>
    </row>
    <row r="251" spans="1:4" x14ac:dyDescent="0.25">
      <c r="A251" t="s">
        <v>239</v>
      </c>
      <c r="B251" t="s">
        <v>184</v>
      </c>
      <c r="C251">
        <v>-0.13758031465262099</v>
      </c>
      <c r="D251">
        <v>7.5435680937264299E-2</v>
      </c>
    </row>
    <row r="252" spans="1:4" x14ac:dyDescent="0.25">
      <c r="A252" t="s">
        <v>239</v>
      </c>
      <c r="B252" t="s">
        <v>193</v>
      </c>
      <c r="C252">
        <v>0.94773119891119395</v>
      </c>
      <c r="D252">
        <v>0.28178731464343398</v>
      </c>
    </row>
    <row r="253" spans="1:4" x14ac:dyDescent="0.25">
      <c r="A253" t="s">
        <v>240</v>
      </c>
      <c r="B253" t="s">
        <v>181</v>
      </c>
      <c r="C253">
        <v>-5.4440952174993597E-2</v>
      </c>
      <c r="D253">
        <v>2.0680822360068501E-2</v>
      </c>
    </row>
    <row r="254" spans="1:4" x14ac:dyDescent="0.25">
      <c r="A254" t="s">
        <v>240</v>
      </c>
      <c r="B254" t="s">
        <v>182</v>
      </c>
      <c r="C254">
        <v>-7.86331977014844E-2</v>
      </c>
      <c r="D254">
        <v>2.61953336102509E-2</v>
      </c>
    </row>
    <row r="255" spans="1:4" x14ac:dyDescent="0.25">
      <c r="A255" t="s">
        <v>240</v>
      </c>
      <c r="B255" t="s">
        <v>183</v>
      </c>
      <c r="C255">
        <v>0.412289921914963</v>
      </c>
      <c r="D255">
        <v>6.24645114779038E-2</v>
      </c>
    </row>
    <row r="256" spans="1:4" x14ac:dyDescent="0.25">
      <c r="A256" t="s">
        <v>240</v>
      </c>
      <c r="B256" t="s">
        <v>191</v>
      </c>
      <c r="C256">
        <v>-1.1047048399867001</v>
      </c>
      <c r="D256">
        <v>0.131858501535839</v>
      </c>
    </row>
    <row r="257" spans="1:4" x14ac:dyDescent="0.25">
      <c r="A257" t="s">
        <v>241</v>
      </c>
      <c r="B257" t="s">
        <v>181</v>
      </c>
      <c r="C257">
        <v>-0.32666311693383598</v>
      </c>
      <c r="D257">
        <v>0.107267156673681</v>
      </c>
    </row>
    <row r="258" spans="1:4" x14ac:dyDescent="0.25">
      <c r="A258" t="s">
        <v>241</v>
      </c>
      <c r="B258" t="s">
        <v>182</v>
      </c>
      <c r="C258">
        <v>-0.145134891623487</v>
      </c>
      <c r="D258">
        <v>4.2126009833436902E-2</v>
      </c>
    </row>
    <row r="259" spans="1:4" x14ac:dyDescent="0.25">
      <c r="A259" t="s">
        <v>241</v>
      </c>
      <c r="B259" t="s">
        <v>183</v>
      </c>
      <c r="C259">
        <v>0.47620975947731697</v>
      </c>
      <c r="D259">
        <v>0.143772646744558</v>
      </c>
    </row>
    <row r="260" spans="1:4" x14ac:dyDescent="0.25">
      <c r="A260" t="s">
        <v>241</v>
      </c>
      <c r="B260" t="s">
        <v>191</v>
      </c>
      <c r="C260">
        <v>1.09084171202984E-3</v>
      </c>
      <c r="D260">
        <v>4.5452878748020599E-4</v>
      </c>
    </row>
    <row r="261" spans="1:4" x14ac:dyDescent="0.25">
      <c r="A261" t="s">
        <v>241</v>
      </c>
      <c r="B261" t="s">
        <v>192</v>
      </c>
      <c r="C261">
        <v>0.50303237392342304</v>
      </c>
      <c r="D261">
        <v>0.13015791394045401</v>
      </c>
    </row>
    <row r="262" spans="1:4" x14ac:dyDescent="0.25">
      <c r="A262" t="s">
        <v>241</v>
      </c>
      <c r="B262" t="s">
        <v>184</v>
      </c>
      <c r="C262">
        <v>0.733801294600122</v>
      </c>
      <c r="D262">
        <v>7.5467374700171994E-2</v>
      </c>
    </row>
    <row r="263" spans="1:4" x14ac:dyDescent="0.25">
      <c r="A263" t="s">
        <v>242</v>
      </c>
      <c r="B263" t="s">
        <v>181</v>
      </c>
      <c r="C263">
        <v>-0.276477236688348</v>
      </c>
      <c r="D263">
        <v>7.2797593859643295E-2</v>
      </c>
    </row>
    <row r="264" spans="1:4" x14ac:dyDescent="0.25">
      <c r="A264" t="s">
        <v>242</v>
      </c>
      <c r="B264" t="s">
        <v>182</v>
      </c>
      <c r="C264">
        <v>-8.1745705912226199E-2</v>
      </c>
      <c r="D264">
        <v>2.11698711577459E-2</v>
      </c>
    </row>
    <row r="265" spans="1:4" x14ac:dyDescent="0.25">
      <c r="A265" t="s">
        <v>242</v>
      </c>
      <c r="B265" t="s">
        <v>183</v>
      </c>
      <c r="C265">
        <v>0.75029143412187105</v>
      </c>
      <c r="D265">
        <v>2.0781122948835402E-2</v>
      </c>
    </row>
    <row r="266" spans="1:4" x14ac:dyDescent="0.25">
      <c r="A266" t="s">
        <v>242</v>
      </c>
      <c r="B266" t="s">
        <v>191</v>
      </c>
      <c r="C266">
        <v>-6.0027421634134296E-3</v>
      </c>
      <c r="D266">
        <v>5.5825578071560002E-3</v>
      </c>
    </row>
    <row r="267" spans="1:4" x14ac:dyDescent="0.25">
      <c r="A267" t="s">
        <v>242</v>
      </c>
      <c r="B267" t="s">
        <v>192</v>
      </c>
      <c r="C267">
        <v>5.5673558536363597E-2</v>
      </c>
      <c r="D267">
        <v>2.5176261961889601E-2</v>
      </c>
    </row>
    <row r="268" spans="1:4" x14ac:dyDescent="0.25">
      <c r="A268" t="s">
        <v>242</v>
      </c>
      <c r="B268" t="s">
        <v>184</v>
      </c>
      <c r="C268">
        <v>2.6453735074446399E-2</v>
      </c>
      <c r="D268">
        <v>1.27488550696146E-2</v>
      </c>
    </row>
    <row r="269" spans="1:4" x14ac:dyDescent="0.25">
      <c r="A269" t="s">
        <v>242</v>
      </c>
      <c r="B269" t="s">
        <v>186</v>
      </c>
      <c r="C269">
        <v>2.0716546940022802E-2</v>
      </c>
      <c r="D269">
        <v>3.6217982877909398E-3</v>
      </c>
    </row>
    <row r="270" spans="1:4" x14ac:dyDescent="0.25">
      <c r="A270" t="s">
        <v>242</v>
      </c>
      <c r="B270" t="s">
        <v>187</v>
      </c>
      <c r="C270">
        <v>-1.19587219788003E-2</v>
      </c>
      <c r="D270">
        <v>8.3500470611826607E-3</v>
      </c>
    </row>
    <row r="271" spans="1:4" x14ac:dyDescent="0.25">
      <c r="A271" t="s">
        <v>243</v>
      </c>
      <c r="B271" t="s">
        <v>181</v>
      </c>
      <c r="C271">
        <v>0.80117918674163802</v>
      </c>
      <c r="D271">
        <v>5.0470206874003304E-3</v>
      </c>
    </row>
    <row r="272" spans="1:4" x14ac:dyDescent="0.25">
      <c r="A272" t="s">
        <v>244</v>
      </c>
      <c r="B272" t="s">
        <v>181</v>
      </c>
      <c r="C272">
        <v>-0.88577786885420295</v>
      </c>
      <c r="D272">
        <v>0.35053871980189699</v>
      </c>
    </row>
    <row r="273" spans="1:4" x14ac:dyDescent="0.25">
      <c r="A273" t="s">
        <v>244</v>
      </c>
      <c r="B273" t="s">
        <v>182</v>
      </c>
      <c r="C273">
        <v>-8.7120671074664702E-2</v>
      </c>
      <c r="D273">
        <v>3.6377526668970102E-2</v>
      </c>
    </row>
    <row r="274" spans="1:4" x14ac:dyDescent="0.25">
      <c r="A274" t="s">
        <v>244</v>
      </c>
      <c r="B274" t="s">
        <v>183</v>
      </c>
      <c r="C274">
        <v>-7.6780744170794196E-3</v>
      </c>
      <c r="D274">
        <v>1.27222426537585E-2</v>
      </c>
    </row>
    <row r="275" spans="1:4" x14ac:dyDescent="0.25">
      <c r="A275" t="s">
        <v>244</v>
      </c>
      <c r="B275" t="s">
        <v>191</v>
      </c>
      <c r="C275">
        <v>0.64058648278663399</v>
      </c>
      <c r="D275">
        <v>0.16435083675379</v>
      </c>
    </row>
    <row r="276" spans="1:4" x14ac:dyDescent="0.25">
      <c r="A276" t="s">
        <v>244</v>
      </c>
      <c r="B276" t="s">
        <v>192</v>
      </c>
      <c r="C276">
        <v>-2.6551789047306899E-3</v>
      </c>
      <c r="D276">
        <v>2.7966699509812199E-3</v>
      </c>
    </row>
    <row r="277" spans="1:4" x14ac:dyDescent="0.25">
      <c r="A277" t="s">
        <v>244</v>
      </c>
      <c r="B277" t="s">
        <v>184</v>
      </c>
      <c r="C277">
        <v>1.3874925285631099</v>
      </c>
      <c r="D277">
        <v>0.44523236264708699</v>
      </c>
    </row>
    <row r="278" spans="1:4" x14ac:dyDescent="0.25">
      <c r="A278" t="s">
        <v>244</v>
      </c>
      <c r="B278" t="s">
        <v>193</v>
      </c>
      <c r="C278">
        <v>0.25893464560886698</v>
      </c>
      <c r="D278">
        <v>3.0034932085534899E-2</v>
      </c>
    </row>
    <row r="279" spans="1:4" x14ac:dyDescent="0.25">
      <c r="A279" t="s">
        <v>244</v>
      </c>
      <c r="B279" t="s">
        <v>185</v>
      </c>
      <c r="C279">
        <v>-0.120920326000098</v>
      </c>
      <c r="D279">
        <v>2.4696009524379999E-2</v>
      </c>
    </row>
    <row r="280" spans="1:4" x14ac:dyDescent="0.25">
      <c r="A280" t="s">
        <v>244</v>
      </c>
      <c r="B280" t="s">
        <v>186</v>
      </c>
      <c r="C280">
        <v>-0.15615005255733899</v>
      </c>
      <c r="D280">
        <v>4.2665555115364101E-2</v>
      </c>
    </row>
    <row r="281" spans="1:4" x14ac:dyDescent="0.25">
      <c r="A281" t="s">
        <v>244</v>
      </c>
      <c r="B281" t="s">
        <v>187</v>
      </c>
      <c r="C281">
        <v>-0.119785064236841</v>
      </c>
      <c r="D281">
        <v>2.7033264182821301E-2</v>
      </c>
    </row>
    <row r="282" spans="1:4" x14ac:dyDescent="0.25">
      <c r="A282" t="s">
        <v>245</v>
      </c>
      <c r="B282" t="s">
        <v>181</v>
      </c>
      <c r="C282">
        <v>-4.1809714973393697E-2</v>
      </c>
      <c r="D282">
        <v>1.37805624158975E-2</v>
      </c>
    </row>
    <row r="283" spans="1:4" x14ac:dyDescent="0.25">
      <c r="A283" t="s">
        <v>245</v>
      </c>
      <c r="B283" t="s">
        <v>182</v>
      </c>
      <c r="C283">
        <v>-8.8521010332854297E-2</v>
      </c>
      <c r="D283">
        <v>2.2988460897841199E-2</v>
      </c>
    </row>
    <row r="284" spans="1:4" x14ac:dyDescent="0.25">
      <c r="A284" t="s">
        <v>245</v>
      </c>
      <c r="B284" t="s">
        <v>183</v>
      </c>
      <c r="C284">
        <v>-1.0958513146466999</v>
      </c>
      <c r="D284">
        <v>6.2470994044114603E-2</v>
      </c>
    </row>
    <row r="285" spans="1:4" x14ac:dyDescent="0.25">
      <c r="A285" t="s">
        <v>245</v>
      </c>
      <c r="B285" t="s">
        <v>191</v>
      </c>
      <c r="C285">
        <v>1.3600143329421199</v>
      </c>
      <c r="D285">
        <v>0.14401443282863299</v>
      </c>
    </row>
    <row r="286" spans="1:4" x14ac:dyDescent="0.25">
      <c r="A286" t="s">
        <v>245</v>
      </c>
      <c r="B286" t="s">
        <v>192</v>
      </c>
      <c r="C286">
        <v>0.58069401190115799</v>
      </c>
      <c r="D286">
        <v>0.14227514263771199</v>
      </c>
    </row>
    <row r="287" spans="1:4" x14ac:dyDescent="0.25">
      <c r="A287" t="s">
        <v>245</v>
      </c>
      <c r="B287" t="s">
        <v>184</v>
      </c>
      <c r="C287">
        <v>-21.487551610782301</v>
      </c>
      <c r="D287">
        <v>4.8156377615143597</v>
      </c>
    </row>
    <row r="288" spans="1:4" x14ac:dyDescent="0.25">
      <c r="A288" t="s">
        <v>246</v>
      </c>
      <c r="B288" t="s">
        <v>181</v>
      </c>
      <c r="C288">
        <v>7.6181587553112995E-2</v>
      </c>
      <c r="D288">
        <v>4.1039286073756703E-2</v>
      </c>
    </row>
    <row r="289" spans="1:4" x14ac:dyDescent="0.25">
      <c r="A289" t="s">
        <v>246</v>
      </c>
      <c r="B289" t="s">
        <v>182</v>
      </c>
      <c r="C289">
        <v>-3.6589373122010098</v>
      </c>
      <c r="D289">
        <v>1.9212914679445301</v>
      </c>
    </row>
    <row r="290" spans="1:4" x14ac:dyDescent="0.25">
      <c r="A290" t="s">
        <v>246</v>
      </c>
      <c r="B290" t="s">
        <v>183</v>
      </c>
      <c r="C290">
        <v>-0.45025933500663001</v>
      </c>
      <c r="D290">
        <v>0.69932903015039105</v>
      </c>
    </row>
    <row r="291" spans="1:4" x14ac:dyDescent="0.25">
      <c r="A291" t="s">
        <v>246</v>
      </c>
      <c r="B291" t="s">
        <v>191</v>
      </c>
      <c r="C291">
        <v>-0.69844056363790497</v>
      </c>
      <c r="D291">
        <v>0.19737097261268</v>
      </c>
    </row>
    <row r="292" spans="1:4" x14ac:dyDescent="0.25">
      <c r="A292" t="s">
        <v>246</v>
      </c>
      <c r="B292" t="s">
        <v>247</v>
      </c>
      <c r="C292">
        <v>-5.73857646289746</v>
      </c>
      <c r="D292">
        <v>0.56854108675570803</v>
      </c>
    </row>
    <row r="293" spans="1:4" x14ac:dyDescent="0.25">
      <c r="A293" t="s">
        <v>246</v>
      </c>
      <c r="B293" t="s">
        <v>248</v>
      </c>
      <c r="C293">
        <v>-4.8027979721729697</v>
      </c>
      <c r="D293">
        <v>5.3188071844502499E-2</v>
      </c>
    </row>
    <row r="294" spans="1:4" x14ac:dyDescent="0.25">
      <c r="A294" t="s">
        <v>249</v>
      </c>
      <c r="B294" t="s">
        <v>181</v>
      </c>
      <c r="C294">
        <v>8.0493657545425697E-4</v>
      </c>
      <c r="D294">
        <v>4.8215966696644802E-4</v>
      </c>
    </row>
    <row r="295" spans="1:4" x14ac:dyDescent="0.25">
      <c r="A295" t="s">
        <v>249</v>
      </c>
      <c r="B295" t="s">
        <v>250</v>
      </c>
      <c r="C295">
        <v>9.1479234745439106E-2</v>
      </c>
      <c r="D295">
        <v>2.2778669617180801E-2</v>
      </c>
    </row>
    <row r="296" spans="1:4" x14ac:dyDescent="0.25">
      <c r="A296" t="s">
        <v>249</v>
      </c>
      <c r="B296" t="s">
        <v>251</v>
      </c>
      <c r="C296">
        <v>5.3014476924046199E-2</v>
      </c>
      <c r="D296">
        <v>2.60073617903596E-2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showGridLines="0" topLeftCell="A3" workbookViewId="0">
      <selection activeCell="B18" sqref="B18"/>
    </sheetView>
  </sheetViews>
  <sheetFormatPr defaultColWidth="11.42578125" defaultRowHeight="15" x14ac:dyDescent="0.25"/>
  <cols>
    <col min="1" max="1" width="28.7109375" customWidth="1"/>
    <col min="2" max="2" width="18.7109375" customWidth="1"/>
  </cols>
  <sheetData>
    <row r="1" spans="1:2" ht="26.25" customHeight="1" x14ac:dyDescent="0.4">
      <c r="A1" s="3" t="s">
        <v>169</v>
      </c>
    </row>
    <row r="4" spans="1:2" x14ac:dyDescent="0.25">
      <c r="A4" s="4" t="s">
        <v>170</v>
      </c>
      <c r="B4" s="4" t="s">
        <v>171</v>
      </c>
    </row>
    <row r="5" spans="1:2" x14ac:dyDescent="0.25">
      <c r="A5" t="s">
        <v>172</v>
      </c>
      <c r="B5" s="2">
        <v>45717</v>
      </c>
    </row>
    <row r="6" spans="1:2" x14ac:dyDescent="0.25">
      <c r="A6" t="s">
        <v>173</v>
      </c>
      <c r="B6" s="2">
        <v>50010</v>
      </c>
    </row>
    <row r="7" spans="1:2" x14ac:dyDescent="0.25">
      <c r="A7" t="s">
        <v>174</v>
      </c>
      <c r="B7" s="5">
        <v>4.8136859322403198E-2</v>
      </c>
    </row>
    <row r="8" spans="1:2" x14ac:dyDescent="0.25">
      <c r="A8" t="s">
        <v>175</v>
      </c>
      <c r="B8" s="5">
        <v>3.4119946689521799E-2</v>
      </c>
    </row>
    <row r="9" spans="1:2" x14ac:dyDescent="0.25">
      <c r="A9" t="s">
        <v>176</v>
      </c>
      <c r="B9" s="5">
        <v>2.72052808938998E-2</v>
      </c>
    </row>
    <row r="10" spans="1:2" x14ac:dyDescent="0.25">
      <c r="A10" t="s">
        <v>177</v>
      </c>
      <c r="B10" s="5">
        <v>5.8302682654574403E-2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9686DA76C3A04C9F719365DB3A9BBE" ma:contentTypeVersion="14" ma:contentTypeDescription="Create a new document." ma:contentTypeScope="" ma:versionID="e43538da615c7740bf98ebe8f38aec7a">
  <xsd:schema xmlns:xsd="http://www.w3.org/2001/XMLSchema" xmlns:xs="http://www.w3.org/2001/XMLSchema" xmlns:p="http://schemas.microsoft.com/office/2006/metadata/properties" xmlns:ns2="20e5fc90-9338-4e03-8b0c-4bb910c470a0" xmlns:ns3="bcedea03-c697-496a-b488-6c3e00d5be03" targetNamespace="http://schemas.microsoft.com/office/2006/metadata/properties" ma:root="true" ma:fieldsID="af557e144e1220236b73c06242926705" ns2:_="" ns3:_="">
    <xsd:import namespace="20e5fc90-9338-4e03-8b0c-4bb910c470a0"/>
    <xsd:import namespace="bcedea03-c697-496a-b488-6c3e00d5be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e5fc90-9338-4e03-8b0c-4bb910c470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dea03-c697-496a-b488-6c3e00d5be0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f71a0d4-107b-43d9-ad3e-00eaf6dc9dc1}" ma:internalName="TaxCatchAll" ma:showField="CatchAllData" ma:web="bcedea03-c697-496a-b488-6c3e00d5be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e5fc90-9338-4e03-8b0c-4bb910c470a0">
      <Terms xmlns="http://schemas.microsoft.com/office/infopath/2007/PartnerControls"/>
    </lcf76f155ced4ddcb4097134ff3c332f>
    <TaxCatchAll xmlns="bcedea03-c697-496a-b488-6c3e00d5be03" xsi:nil="true"/>
  </documentManagement>
</p:properties>
</file>

<file path=customXml/itemProps1.xml><?xml version="1.0" encoding="utf-8"?>
<ds:datastoreItem xmlns:ds="http://schemas.openxmlformats.org/officeDocument/2006/customXml" ds:itemID="{01B538B5-923D-4CA3-8459-BC6B287B0B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e5fc90-9338-4e03-8b0c-4bb910c470a0"/>
    <ds:schemaRef ds:uri="bcedea03-c697-496a-b488-6c3e00d5be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08F1BE-6917-4618-84BC-525C624612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D6439E-24D9-45E2-9E29-88E90CC9DE81}">
  <ds:schemaRefs>
    <ds:schemaRef ds:uri="http://schemas.microsoft.com/office/2006/metadata/properties"/>
    <ds:schemaRef ds:uri="http://schemas.microsoft.com/office/infopath/2007/PartnerControls"/>
    <ds:schemaRef ds:uri="20e5fc90-9338-4e03-8b0c-4bb910c470a0"/>
    <ds:schemaRef ds:uri="bcedea03-c697-496a-b488-6c3e00d5be03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Comparison</vt:lpstr>
      <vt:lpstr>Forecast</vt:lpstr>
      <vt:lpstr>Coefficients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Crossley, Andy</cp:lastModifiedBy>
  <dcterms:created xsi:type="dcterms:W3CDTF">2026-08-18T03:17:00Z</dcterms:created>
  <dcterms:modified xsi:type="dcterms:W3CDTF">2026-08-26T06:36:26Z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0x010100599686DA76C3A04C9F719365DB3A9BBE</vt:lpwstr>
  </property>
</Properties>
</file>