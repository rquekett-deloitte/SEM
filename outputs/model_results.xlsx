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drawings/drawing4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</Types>
</file>

<file path=_rels/.rels><?xml version="1.0" encoding="UTF-8" standalone="yes"?><Relationships xmlns="http://schemas.openxmlformats.org/package/2006/relationships">
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workbookPr defaultThemeVersion="124226"/>
  <bookViews>
    <workbookView xWindow="3720" yWindow="1725" windowWidth="23760" windowHeight="14235" firstSheet="0" activeTab="0"/>
  </bookViews>
  <sheets>
    <sheet name="Comparison" sheetId="1" state="visible" r:id="rId1"/>
    <sheet name="Forecast" sheetId="2" state="visible" r:id="rId2"/>
    <sheet name="Coefficients" sheetId="3" state="visible" r:id="rId3"/>
    <sheet name="Dashboard" sheetId="4" state="visible" r:id="rId4"/>
  </sheets>
  <calcPr calcId="191029"/>
</workbook>
</file>

<file path=xl/sharedStrings.xml><?xml version="1.0" encoding="utf-8"?>
<sst xmlns="http://schemas.openxmlformats.org/spreadsheetml/2006/main" count="252" uniqueCount="252">
  <si>
    <t>date</t>
  </si>
  <si>
    <t>Ygdp</t>
  </si>
  <si>
    <t>Cpr</t>
  </si>
  <si>
    <t>Pcpi</t>
  </si>
  <si>
    <t>Lemp</t>
  </si>
  <si>
    <t>Lhrs</t>
  </si>
  <si>
    <t>Lur</t>
  </si>
  <si>
    <t>Lpar</t>
  </si>
  <si>
    <t>R90d</t>
  </si>
  <si>
    <t>R10y</t>
  </si>
  <si>
    <t>period</t>
  </si>
  <si>
    <t>GDP_annual_growth</t>
  </si>
  <si>
    <t>Consumption_annual_growth</t>
  </si>
  <si>
    <t>CPI_inflation</t>
  </si>
  <si>
    <t>Unemployment_rate</t>
  </si>
  <si>
    <t>Participation_rate</t>
  </si>
  <si>
    <t>Cash_rate</t>
  </si>
  <si>
    <t>Ten_year_rate</t>
  </si>
  <si>
    <t>Employment_index</t>
  </si>
  <si>
    <t>Hours_index</t>
  </si>
  <si>
    <t>GDP_annual_growth_actual</t>
  </si>
  <si>
    <t>GDP_annual_growth_forecast</t>
  </si>
  <si>
    <t>Consumption_annual_growth_actual</t>
  </si>
  <si>
    <t>Consumption_annual_growth_forecast</t>
  </si>
  <si>
    <t>Employment_index_actual</t>
  </si>
  <si>
    <t>Employment_index_forecast</t>
  </si>
  <si>
    <t>Hours_index_actual</t>
  </si>
  <si>
    <t>Hours_index_forecast</t>
  </si>
  <si>
    <t>Unemployment_rate_actual</t>
  </si>
  <si>
    <t>Unemployment_rate_forecast</t>
  </si>
  <si>
    <t>Cash_rate_actual</t>
  </si>
  <si>
    <t>Cash_rate_forecast</t>
  </si>
  <si>
    <t>Ten_year_rate_actual</t>
  </si>
  <si>
    <t>Ten_year_rate_forecast</t>
  </si>
  <si>
    <t>CPI_inflation_actual</t>
  </si>
  <si>
    <t>CPI_inflation_forecast</t>
  </si>
  <si>
    <t>Idwell</t>
  </si>
  <si>
    <t>Imin</t>
  </si>
  <si>
    <t>IvtNonfarm</t>
  </si>
  <si>
    <t>Tcit</t>
  </si>
  <si>
    <t>Tprl</t>
  </si>
  <si>
    <t>Toth</t>
  </si>
  <si>
    <t>Ytsf</t>
  </si>
  <si>
    <t>Xmin</t>
  </si>
  <si>
    <t>LavhMkt</t>
  </si>
  <si>
    <t>LempNonmkt</t>
  </si>
  <si>
    <t>Lwge</t>
  </si>
  <si>
    <t>Piret</t>
  </si>
  <si>
    <t>Pxagr</t>
  </si>
  <si>
    <t>Pmgs</t>
  </si>
  <si>
    <t>Rmort</t>
  </si>
  <si>
    <t>Peq</t>
  </si>
  <si>
    <t>Rtwi</t>
  </si>
  <si>
    <t>Rusd</t>
  </si>
  <si>
    <t>Whh</t>
  </si>
  <si>
    <t>Ygdw</t>
  </si>
  <si>
    <t>PhouseSa</t>
  </si>
  <si>
    <t>Pimin</t>
  </si>
  <si>
    <t>Pinonmin</t>
  </si>
  <si>
    <t>Pgov</t>
  </si>
  <si>
    <t>Pidwell</t>
  </si>
  <si>
    <t>Pxsvc</t>
  </si>
  <si>
    <t>Tpit</t>
  </si>
  <si>
    <t>GovDebt</t>
  </si>
  <si>
    <t>PcpiRent</t>
  </si>
  <si>
    <t>Inonmin</t>
  </si>
  <si>
    <t>Ynli</t>
  </si>
  <si>
    <t>EqEarn</t>
  </si>
  <si>
    <t>Tgst</t>
  </si>
  <si>
    <t>Xoth</t>
  </si>
  <si>
    <t>Pxmin</t>
  </si>
  <si>
    <t>Pxoth</t>
  </si>
  <si>
    <t>PconsExrent</t>
  </si>
  <si>
    <t>Ppcd</t>
  </si>
  <si>
    <t>Xsvc</t>
  </si>
  <si>
    <t>Mtot</t>
  </si>
  <si>
    <t>GapAvh</t>
  </si>
  <si>
    <t>Ivt</t>
  </si>
  <si>
    <t>Iotc</t>
  </si>
  <si>
    <t>Xagr</t>
  </si>
  <si>
    <t>Xtot</t>
  </si>
  <si>
    <t>CprNom</t>
  </si>
  <si>
    <t>CgovNom</t>
  </si>
  <si>
    <t>IdwellNom</t>
  </si>
  <si>
    <t>IotcNom</t>
  </si>
  <si>
    <t>IminNom</t>
  </si>
  <si>
    <t>InonminNom</t>
  </si>
  <si>
    <t>YgovIvtNom</t>
  </si>
  <si>
    <t>XminNom</t>
  </si>
  <si>
    <t>XagrNom</t>
  </si>
  <si>
    <t>XothNom</t>
  </si>
  <si>
    <t>XsvcNom</t>
  </si>
  <si>
    <t>XtotNom</t>
  </si>
  <si>
    <t>MtotNom</t>
  </si>
  <si>
    <t>YgdpNom</t>
  </si>
  <si>
    <t>Ygne</t>
  </si>
  <si>
    <t>Pgne</t>
  </si>
  <si>
    <t>Pgdp</t>
  </si>
  <si>
    <t>Pxtot</t>
  </si>
  <si>
    <t>Ptot</t>
  </si>
  <si>
    <t>CconsRent</t>
  </si>
  <si>
    <t>PconsRent</t>
  </si>
  <si>
    <t>CconsRentNom</t>
  </si>
  <si>
    <t>LempMkt</t>
  </si>
  <si>
    <t>Lsup</t>
  </si>
  <si>
    <t>Lune</t>
  </si>
  <si>
    <t>Lhh</t>
  </si>
  <si>
    <t>Ywss</t>
  </si>
  <si>
    <t>Yhdi</t>
  </si>
  <si>
    <t>Ygoa</t>
  </si>
  <si>
    <t>SavHh</t>
  </si>
  <si>
    <t>Wfor</t>
  </si>
  <si>
    <t>EqYield</t>
  </si>
  <si>
    <t>PeRatio</t>
  </si>
  <si>
    <t>KMin</t>
  </si>
  <si>
    <t>KNbiz</t>
  </si>
  <si>
    <t>KDwell</t>
  </si>
  <si>
    <t>KBiz</t>
  </si>
  <si>
    <t>KTotal</t>
  </si>
  <si>
    <t>R90dReal</t>
  </si>
  <si>
    <t>R10yReal</t>
  </si>
  <si>
    <t>RmortReal</t>
  </si>
  <si>
    <t>PcpiExGst</t>
  </si>
  <si>
    <t>RmortRealExgst</t>
  </si>
  <si>
    <t>Fr10y</t>
  </si>
  <si>
    <t>Fr10yReal</t>
  </si>
  <si>
    <t>Rdif10y</t>
  </si>
  <si>
    <t>RtwiNom</t>
  </si>
  <si>
    <t>PhouseReal</t>
  </si>
  <si>
    <t>Rbiz</t>
  </si>
  <si>
    <t>RbizReal</t>
  </si>
  <si>
    <t>KdepAllow</t>
  </si>
  <si>
    <t>CostCap</t>
  </si>
  <si>
    <t>GovDem</t>
  </si>
  <si>
    <t>Pulc</t>
  </si>
  <si>
    <t>UlcDom</t>
  </si>
  <si>
    <t>UlcExp</t>
  </si>
  <si>
    <t>YgdpHpf</t>
  </si>
  <si>
    <t>CprHpf</t>
  </si>
  <si>
    <t>PhouseHpf</t>
  </si>
  <si>
    <t>RmortRealHpf</t>
  </si>
  <si>
    <t>LparHpf</t>
  </si>
  <si>
    <t>PpcdHpf</t>
  </si>
  <si>
    <t>LurHpf</t>
  </si>
  <si>
    <t>InflExp</t>
  </si>
  <si>
    <t>Lpop</t>
  </si>
  <si>
    <t>Lpop15Plus</t>
  </si>
  <si>
    <t>Ustar</t>
  </si>
  <si>
    <t>Cgov</t>
  </si>
  <si>
    <t>Igov</t>
  </si>
  <si>
    <t>Ipubent</t>
  </si>
  <si>
    <t>GovDef</t>
  </si>
  <si>
    <t>IvtFar</t>
  </si>
  <si>
    <t>Lnom</t>
  </si>
  <si>
    <t>IntStu</t>
  </si>
  <si>
    <t>Fpcpi</t>
  </si>
  <si>
    <t>Fpoil</t>
  </si>
  <si>
    <t>Fpcom</t>
  </si>
  <si>
    <t>Fpagr</t>
  </si>
  <si>
    <t>FcGdp</t>
  </si>
  <si>
    <t>FcPpp</t>
  </si>
  <si>
    <t>Fr10yUs</t>
  </si>
  <si>
    <t>Fr10yJp</t>
  </si>
  <si>
    <t>Fr10yDe</t>
  </si>
  <si>
    <t>Fr10yUk</t>
  </si>
  <si>
    <t>equation</t>
  </si>
  <si>
    <t>term</t>
  </si>
  <si>
    <t>estimate</t>
  </si>
  <si>
    <t>std_error</t>
  </si>
  <si>
    <t>Macro scenario model</t>
  </si>
  <si>
    <t>Metric</t>
  </si>
  <si>
    <t>Value</t>
  </si>
  <si>
    <t>Forecast origin</t>
  </si>
  <si>
    <t>Forecast horizon</t>
  </si>
  <si>
    <t>2025Q1 unemployment</t>
  </si>
  <si>
    <t>2025Q1 90-day rate</t>
  </si>
  <si>
    <t>Terminal unemployment</t>
  </si>
  <si>
    <t>Terminal 90-day rate</t>
  </si>
  <si>
    <t xml:space="preserve">Actual</t>
  </si>
  <si>
    <t xml:space="preserve">Forecast</t>
  </si>
  <si>
    <t xml:space="preserve">Cpr</t>
  </si>
  <si>
    <t xml:space="preserve">c1</t>
  </si>
  <si>
    <t xml:space="preserve">c2</t>
  </si>
  <si>
    <t xml:space="preserve">c3</t>
  </si>
  <si>
    <t xml:space="preserve">c6</t>
  </si>
  <si>
    <t xml:space="preserve">c8</t>
  </si>
  <si>
    <t xml:space="preserve">c9</t>
  </si>
  <si>
    <t xml:space="preserve">c10</t>
  </si>
  <si>
    <t xml:space="preserve">c11</t>
  </si>
  <si>
    <t xml:space="preserve">c12</t>
  </si>
  <si>
    <t xml:space="preserve">Idwell</t>
  </si>
  <si>
    <t xml:space="preserve">c4</t>
  </si>
  <si>
    <t xml:space="preserve">c5</t>
  </si>
  <si>
    <t xml:space="preserve">c7</t>
  </si>
  <si>
    <t xml:space="preserve">c13</t>
  </si>
  <si>
    <t xml:space="preserve">c14</t>
  </si>
  <si>
    <t xml:space="preserve">Imin</t>
  </si>
  <si>
    <t xml:space="preserve">IvtNonfarm</t>
  </si>
  <si>
    <t xml:space="preserve">Tcit</t>
  </si>
  <si>
    <t xml:space="preserve">Tprl</t>
  </si>
  <si>
    <t xml:space="preserve">Toth</t>
  </si>
  <si>
    <t xml:space="preserve">Ytsf</t>
  </si>
  <si>
    <t xml:space="preserve">Xmin</t>
  </si>
  <si>
    <t xml:space="preserve">Lavh</t>
  </si>
  <si>
    <t xml:space="preserve">rho</t>
  </si>
  <si>
    <t xml:space="preserve">LempNonmkt</t>
  </si>
  <si>
    <t xml:space="preserve">Lpar</t>
  </si>
  <si>
    <t xml:space="preserve">Lwge</t>
  </si>
  <si>
    <t xml:space="preserve">Pcpi</t>
  </si>
  <si>
    <t xml:space="preserve">Piret</t>
  </si>
  <si>
    <t xml:space="preserve">Pxagr</t>
  </si>
  <si>
    <t xml:space="preserve">Pmgs</t>
  </si>
  <si>
    <t xml:space="preserve">Rmort</t>
  </si>
  <si>
    <t xml:space="preserve">Peq</t>
  </si>
  <si>
    <t xml:space="preserve">Rtwi</t>
  </si>
  <si>
    <t xml:space="preserve">Rusd</t>
  </si>
  <si>
    <t xml:space="preserve">Whh</t>
  </si>
  <si>
    <t xml:space="preserve">Ygdw</t>
  </si>
  <si>
    <t xml:space="preserve">Lhrs</t>
  </si>
  <si>
    <t xml:space="preserve">Phouse</t>
  </si>
  <si>
    <t xml:space="preserve">Pimin</t>
  </si>
  <si>
    <t xml:space="preserve">Pinonmin</t>
  </si>
  <si>
    <t xml:space="preserve">Pgov</t>
  </si>
  <si>
    <t xml:space="preserve">Pidwell</t>
  </si>
  <si>
    <t xml:space="preserve">Pxsvc</t>
  </si>
  <si>
    <t xml:space="preserve">Tpit</t>
  </si>
  <si>
    <t xml:space="preserve">GovDebt</t>
  </si>
  <si>
    <t xml:space="preserve">x</t>
  </si>
  <si>
    <t xml:space="preserve">PcpiRent</t>
  </si>
  <si>
    <t xml:space="preserve">Inonmin</t>
  </si>
  <si>
    <t xml:space="preserve">Ynli</t>
  </si>
  <si>
    <t xml:space="preserve">rm</t>
  </si>
  <si>
    <t xml:space="preserve">pe</t>
  </si>
  <si>
    <t xml:space="preserve">pe1</t>
  </si>
  <si>
    <t xml:space="preserve">pe2</t>
  </si>
  <si>
    <t xml:space="preserve">pe3</t>
  </si>
  <si>
    <t xml:space="preserve">l_r</t>
  </si>
  <si>
    <t xml:space="preserve">EqEarn</t>
  </si>
  <si>
    <t xml:space="preserve">Tgst</t>
  </si>
  <si>
    <t xml:space="preserve">Xoth</t>
  </si>
  <si>
    <t xml:space="preserve">Pxmin</t>
  </si>
  <si>
    <t xml:space="preserve">Pxoth</t>
  </si>
  <si>
    <t xml:space="preserve">PconsExrent</t>
  </si>
  <si>
    <t xml:space="preserve">Ppcd</t>
  </si>
  <si>
    <t xml:space="preserve">Xsvc</t>
  </si>
  <si>
    <t xml:space="preserve">Mtot</t>
  </si>
  <si>
    <t xml:space="preserve">Rcash</t>
  </si>
  <si>
    <t xml:space="preserve">log_sig_state</t>
  </si>
  <si>
    <t xml:space="preserve">log_sig_obs</t>
  </si>
  <si>
    <t xml:space="preserve">R10y</t>
  </si>
  <si>
    <t xml:space="preserve">d_rat</t>
  </si>
  <si>
    <t xml:space="preserve">d_r90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</si>
</sst>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0"/>
  <fonts count="4">
    <font>
      <sz val="11"/>
      <color theme="1"/>
      <name val="Calibri"/>
      <family val="2"/>
      <scheme val="minor"/>
    </font>
    <font>
      <sz val="11"/>
      <color theme="1"/>
      <name val="Calibri"/>
    </font>
    <font>
      <sz val="20"/>
      <color rgb="FF0D1C24"/>
      <name val="Calibri"/>
      <family val="2"/>
      <scheme val="minor"/>
      <b/>
    </font>
    <font>
      <sz val="11"/>
      <color rgb="FFFFFFFF"/>
      <name val="Calibri"/>
      <family val="2"/>
      <scheme val="minor"/>
      <b/>
    </font>
  </fonts>
  <fills count="3">
    <fill>
      <patternFill patternType="none"/>
    </fill>
    <fill>
      <patternFill patternType="gray125"/>
    </fill>
    <fill>
      <patternFill patternType="solid">
        <fgColor rgb="FF0D1C24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</border>
  </borders>
  <cellStyleXfs count="1">
    <xf numFmtId="0" fontId="0" fillId="0" borderId="0"/>
  </cellStyleXfs>
  <cellXfs count="6">
    <xf numFmtId="0" fontId="0" fillId="0" borderId="0" xfId="0"/>
    <xf numFmtId="17" fontId="1" fillId="0" borderId="0" xfId="0" applyFont="1" applyNumberFormat="1"/>
    <xf numFmtId="14" fontId="1" fillId="0" borderId="0" xfId="0" applyFont="1" applyNumberFormat="1"/>
    <xf numFmtId="0" fontId="2" fillId="0" borderId="0" xfId="0" applyFont="1"/>
    <xf numFmtId="0" fontId="3" fillId="2" borderId="1" xfId="0" applyFont="1" applyFill="1" applyBorder="1"/>
    <xf numFmtId="10" fontId="1" fillId="0" borderId="0" xfId="0" applyFont="1" applyNumberFormat="1"/>
  </cellXfs>
  <cellStyles count="1">
    <cellStyle name="Normal" xfId="0" builtinId="0"/>
  </cellStyles>
  <dxfs count="1">
    <dxf>
      <numFmt numFmtId="19" formatCode="d/mm/yyyy"/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theme" Target="theme/theme1.xml"/><Relationship Id="rId6" Type="http://schemas.openxmlformats.org/officeDocument/2006/relationships/styles" Target="styles.xml"/><Relationship Id="rId7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Annual growth in activity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GDP - Actual</c:v>
          </c:tx>
          <c:spPr>
            <a:ln w="25400">
              <a:solidFill>
                <a:srgbClr val="86BC25"/>
              </a:solidFill>
              <a:prstDash val="solid"/>
            </a:ln>
          </c:spPr>
          <c:marker>
            <c:symbol val="none"/>
          </c:marker>
          <c:cat>
            <c:numRef>
              <c:f>Comparison!$A$2:$A$201</c:f>
              <c:numCache>
                <c:formatCode>m/d/yyyy</c:formatCode>
                <c:ptCount val="200"/>
              </c:numCache>
            </c:numRef>
          </c:cat>
          <c:val>
            <c:numRef>
              <c:f>Comparison!$U$2:$U$201</c:f>
              <c:numCache>
                <c:formatCode>General</c:formatCode>
                <c:ptCount val="200"/>
                <c:pt idx="0">
                  <c:v>#N/A</c:v>
                </c:pt>
                <c:pt idx="1">
                  <c:v>#N/A</c:v>
                </c:pt>
                <c:pt idx="2">
                  <c:v>#N/A</c:v>
                </c:pt>
                <c:pt idx="3">
                  <c:v>#N/A</c:v>
                </c:pt>
                <c:pt idx="4">
                  <c:v>#N/A</c:v>
                </c:pt>
                <c:pt idx="5">
                  <c:v>#N/A</c:v>
                </c:pt>
                <c:pt idx="6">
                  <c:v>#N/A</c:v>
                </c:pt>
                <c:pt idx="7">
                  <c:v>#N/A</c:v>
                </c:pt>
                <c:pt idx="8">
                  <c:v>#N/A</c:v>
                </c:pt>
                <c:pt idx="9">
                  <c:v>#N/A</c:v>
                </c:pt>
                <c:pt idx="10">
                  <c:v>#N/A</c:v>
                </c:pt>
                <c:pt idx="11">
                  <c:v>#N/A</c:v>
                </c:pt>
                <c:pt idx="12">
                  <c:v>#N/A</c:v>
                </c:pt>
                <c:pt idx="13">
                  <c:v>#N/A</c:v>
                </c:pt>
                <c:pt idx="14">
                  <c:v>#N/A</c:v>
                </c:pt>
                <c:pt idx="15">
                  <c:v>#N/A</c:v>
                </c:pt>
                <c:pt idx="16">
                  <c:v>#N/A</c:v>
                </c:pt>
                <c:pt idx="17">
                  <c:v>#N/A</c:v>
                </c:pt>
                <c:pt idx="18">
                  <c:v>#N/A</c:v>
                </c:pt>
                <c:pt idx="19">
                  <c:v>#N/A</c:v>
                </c:pt>
                <c:pt idx="20">
                  <c:v>#N/A</c:v>
                </c:pt>
                <c:pt idx="21">
                  <c:v>#N/A</c:v>
                </c:pt>
                <c:pt idx="22">
                  <c:v>#N/A</c:v>
                </c:pt>
                <c:pt idx="23">
                  <c:v>#N/A</c:v>
                </c:pt>
                <c:pt idx="24">
                  <c:v>#N/A</c:v>
                </c:pt>
                <c:pt idx="25">
                  <c:v>#N/A</c:v>
                </c:pt>
                <c:pt idx="26">
                  <c:v>#N/A</c:v>
                </c:pt>
                <c:pt idx="27">
                  <c:v>#N/A</c:v>
                </c:pt>
                <c:pt idx="28">
                  <c:v>#N/A</c:v>
                </c:pt>
                <c:pt idx="29">
                  <c:v>#N/A</c:v>
                </c:pt>
                <c:pt idx="30">
                  <c:v>#N/A</c:v>
                </c:pt>
                <c:pt idx="31">
                  <c:v>#N/A</c:v>
                </c:pt>
                <c:pt idx="32">
                  <c:v>#N/A</c:v>
                </c:pt>
                <c:pt idx="33">
                  <c:v>#N/A</c:v>
                </c:pt>
                <c:pt idx="34">
                  <c:v>#N/A</c:v>
                </c:pt>
                <c:pt idx="35">
                  <c:v>#N/A</c:v>
                </c:pt>
                <c:pt idx="36">
                  <c:v>#N/A</c:v>
                </c:pt>
                <c:pt idx="37">
                  <c:v>#N/A</c:v>
                </c:pt>
                <c:pt idx="38">
                  <c:v>#N/A</c:v>
                </c:pt>
                <c:pt idx="39">
                  <c:v>#N/A</c:v>
                </c:pt>
                <c:pt idx="40">
                  <c:v>#N/A</c:v>
                </c:pt>
                <c:pt idx="41">
                  <c:v>#N/A</c:v>
                </c:pt>
                <c:pt idx="42">
                  <c:v>#N/A</c:v>
                </c:pt>
                <c:pt idx="43">
                  <c:v>#N/A</c:v>
                </c:pt>
                <c:pt idx="44">
                  <c:v>#N/A</c:v>
                </c:pt>
                <c:pt idx="45">
                  <c:v>#N/A</c:v>
                </c:pt>
                <c:pt idx="46">
                  <c:v>#N/A</c:v>
                </c:pt>
                <c:pt idx="47">
                  <c:v>#N/A</c:v>
                </c:pt>
                <c:pt idx="48">
                  <c:v>#N/A</c:v>
                </c:pt>
                <c:pt idx="49">
                  <c:v>#N/A</c:v>
                </c:pt>
                <c:pt idx="50">
                  <c:v>#N/A</c:v>
                </c:pt>
                <c:pt idx="51">
                  <c:v>#N/A</c:v>
                </c:pt>
                <c:pt idx="52">
                  <c:v>#N/A</c:v>
                </c:pt>
                <c:pt idx="53">
                  <c:v>#N/A</c:v>
                </c:pt>
                <c:pt idx="54">
                  <c:v>#N/A</c:v>
                </c:pt>
                <c:pt idx="55">
                  <c:v>#N/A</c:v>
                </c:pt>
                <c:pt idx="56">
                  <c:v>#N/A</c:v>
                </c:pt>
                <c:pt idx="57">
                  <c:v>#N/A</c:v>
                </c:pt>
                <c:pt idx="58">
                  <c:v>#N/A</c:v>
                </c:pt>
                <c:pt idx="59">
                  <c:v>#N/A</c:v>
                </c:pt>
                <c:pt idx="60">
                  <c:v>#N/A</c:v>
                </c:pt>
                <c:pt idx="61">
                  <c:v>#N/A</c:v>
                </c:pt>
                <c:pt idx="62">
                  <c:v>#N/A</c:v>
                </c:pt>
                <c:pt idx="63">
                  <c:v>#N/A</c:v>
                </c:pt>
                <c:pt idx="64">
                  <c:v>#N/A</c:v>
                </c:pt>
                <c:pt idx="65">
                  <c:v>#N/A</c:v>
                </c:pt>
                <c:pt idx="66">
                  <c:v>#N/A</c:v>
                </c:pt>
                <c:pt idx="67">
                  <c:v>#N/A</c:v>
                </c:pt>
                <c:pt idx="68">
                  <c:v>#N/A</c:v>
                </c:pt>
                <c:pt idx="69">
                  <c:v>#N/A</c:v>
                </c:pt>
                <c:pt idx="70">
                  <c:v>#N/A</c:v>
                </c:pt>
                <c:pt idx="71">
                  <c:v>#N/A</c:v>
                </c:pt>
                <c:pt idx="72">
                  <c:v>#N/A</c:v>
                </c:pt>
                <c:pt idx="73">
                  <c:v>#N/A</c:v>
                </c:pt>
                <c:pt idx="74">
                  <c:v>#N/A</c:v>
                </c:pt>
                <c:pt idx="75">
                  <c:v>#N/A</c:v>
                </c:pt>
                <c:pt idx="76">
                  <c:v>#N/A</c:v>
                </c:pt>
                <c:pt idx="77">
                  <c:v>#N/A</c:v>
                </c:pt>
                <c:pt idx="78">
                  <c:v>#N/A</c:v>
                </c:pt>
                <c:pt idx="79">
                  <c:v>#N/A</c:v>
                </c:pt>
                <c:pt idx="80">
                  <c:v>#N/A</c:v>
                </c:pt>
                <c:pt idx="81">
                  <c:v>#N/A</c:v>
                </c:pt>
                <c:pt idx="82">
                  <c:v>#N/A</c:v>
                </c:pt>
                <c:pt idx="83">
                  <c:v>#N/A</c:v>
                </c:pt>
                <c:pt idx="84">
                  <c:v>#N/A</c:v>
                </c:pt>
                <c:pt idx="85">
                  <c:v>#N/A</c:v>
                </c:pt>
                <c:pt idx="86">
                  <c:v>#N/A</c:v>
                </c:pt>
                <c:pt idx="87">
                  <c:v>#N/A</c:v>
                </c:pt>
                <c:pt idx="88">
                  <c:v>#N/A</c:v>
                </c:pt>
                <c:pt idx="89">
                  <c:v>#N/A</c:v>
                </c:pt>
                <c:pt idx="90">
                  <c:v>#N/A</c:v>
                </c:pt>
                <c:pt idx="91">
                  <c:v>#N/A</c:v>
                </c:pt>
                <c:pt idx="92">
                  <c:v>#N/A</c:v>
                </c:pt>
                <c:pt idx="93">
                  <c:v>#N/A</c:v>
                </c:pt>
                <c:pt idx="94">
                  <c:v>#N/A</c:v>
                </c:pt>
                <c:pt idx="95">
                  <c:v>#N/A</c:v>
                </c:pt>
                <c:pt idx="96">
                  <c:v>#N/A</c:v>
                </c:pt>
                <c:pt idx="97">
                  <c:v>#N/A</c:v>
                </c:pt>
                <c:pt idx="98">
                  <c:v>#N/A</c:v>
                </c:pt>
                <c:pt idx="99">
                  <c:v>#N/A</c:v>
                </c:pt>
                <c:pt idx="100">
                  <c:v>#N/A</c:v>
                </c:pt>
                <c:pt idx="101">
                  <c:v>#N/A</c:v>
                </c:pt>
                <c:pt idx="102">
                  <c:v>#N/A</c:v>
                </c:pt>
                <c:pt idx="103">
                  <c:v>#N/A</c:v>
                </c:pt>
                <c:pt idx="104">
                  <c:v>#N/A</c:v>
                </c:pt>
                <c:pt idx="105">
                  <c:v>#N/A</c:v>
                </c:pt>
                <c:pt idx="106">
                  <c:v>#N/A</c:v>
                </c:pt>
                <c:pt idx="107">
                  <c:v>#N/A</c:v>
                </c:pt>
                <c:pt idx="108">
                  <c:v>#N/A</c:v>
                </c:pt>
                <c:pt idx="109">
                  <c:v>#N/A</c:v>
                </c:pt>
                <c:pt idx="110">
                  <c:v>#N/A</c:v>
                </c:pt>
                <c:pt idx="111">
                  <c:v>#N/A</c:v>
                </c:pt>
                <c:pt idx="112">
                  <c:v>#N/A</c:v>
                </c:pt>
                <c:pt idx="113">
                  <c:v>#N/A</c:v>
                </c:pt>
                <c:pt idx="114">
                  <c:v>#N/A</c:v>
                </c:pt>
                <c:pt idx="115">
                  <c:v>#N/A</c:v>
                </c:pt>
                <c:pt idx="116">
                  <c:v>#N/A</c:v>
                </c:pt>
                <c:pt idx="117">
                  <c:v>#N/A</c:v>
                </c:pt>
                <c:pt idx="118">
                  <c:v>#N/A</c:v>
                </c:pt>
                <c:pt idx="119">
                  <c:v>#N/A</c:v>
                </c:pt>
                <c:pt idx="120">
                  <c:v>#N/A</c:v>
                </c:pt>
                <c:pt idx="121">
                  <c:v>#N/A</c:v>
                </c:pt>
                <c:pt idx="122">
                  <c:v>#N/A</c:v>
                </c:pt>
                <c:pt idx="123">
                  <c:v>#N/A</c:v>
                </c:pt>
                <c:pt idx="124">
                  <c:v>#N/A</c:v>
                </c:pt>
                <c:pt idx="125">
                  <c:v>#N/A</c:v>
                </c:pt>
                <c:pt idx="126">
                  <c:v>#N/A</c:v>
                </c:pt>
                <c:pt idx="127">
                  <c:v>#N/A</c:v>
                </c:pt>
                <c:pt idx="128">
                  <c:v>#N/A</c:v>
                </c:pt>
                <c:pt idx="129">
                  <c:v>#N/A</c:v>
                </c:pt>
                <c:pt idx="130">
                  <c:v>#N/A</c:v>
                </c:pt>
                <c:pt idx="131">
                  <c:v>#N/A</c:v>
                </c:pt>
                <c:pt idx="132">
                  <c:v>#N/A</c:v>
                </c:pt>
                <c:pt idx="133">
                  <c:v>#N/A</c:v>
                </c:pt>
                <c:pt idx="134">
                  <c:v>#N/A</c:v>
                </c:pt>
                <c:pt idx="135">
                  <c:v>#N/A</c:v>
                </c:pt>
                <c:pt idx="136">
                  <c:v>#N/A</c:v>
                </c:pt>
                <c:pt idx="137">
                  <c:v>#N/A</c:v>
                </c:pt>
                <c:pt idx="138">
                  <c:v>#N/A</c:v>
                </c:pt>
                <c:pt idx="139">
                  <c:v>#N/A</c:v>
                </c:pt>
                <c:pt idx="140">
                  <c:v>#N/A</c:v>
                </c:pt>
                <c:pt idx="141">
                  <c:v>#N/A</c:v>
                </c:pt>
                <c:pt idx="142">
                  <c:v>#N/A</c:v>
                </c:pt>
                <c:pt idx="143">
                  <c:v>#N/A</c:v>
                </c:pt>
                <c:pt idx="144">
                  <c:v>#N/A</c:v>
                </c:pt>
                <c:pt idx="145">
                  <c:v>#N/A</c:v>
                </c:pt>
                <c:pt idx="146">
                  <c:v>#N/A</c:v>
                </c:pt>
                <c:pt idx="147">
                  <c:v>#N/A</c:v>
                </c:pt>
                <c:pt idx="148">
                  <c:v>#N/A</c:v>
                </c:pt>
                <c:pt idx="149">
                  <c:v>#N/A</c:v>
                </c:pt>
                <c:pt idx="150">
                  <c:v>#N/A</c:v>
                </c:pt>
                <c:pt idx="151">
                  <c:v>#N/A</c:v>
                </c:pt>
                <c:pt idx="152">
                  <c:v>#N/A</c:v>
                </c:pt>
                <c:pt idx="153">
                  <c:v>#N/A</c:v>
                </c:pt>
                <c:pt idx="154">
                  <c:v>#N/A</c:v>
                </c:pt>
                <c:pt idx="155">
                  <c:v>#N/A</c:v>
                </c:pt>
                <c:pt idx="156">
                  <c:v>#N/A</c:v>
                </c:pt>
                <c:pt idx="157">
                  <c:v>#N/A</c:v>
                </c:pt>
                <c:pt idx="158">
                  <c:v>#N/A</c:v>
                </c:pt>
                <c:pt idx="159">
                  <c:v>#N/A</c:v>
                </c:pt>
                <c:pt idx="160">
                  <c:v>#N/A</c:v>
                </c:pt>
                <c:pt idx="161">
                  <c:v>#N/A</c:v>
                </c:pt>
                <c:pt idx="162">
                  <c:v>#N/A</c:v>
                </c:pt>
                <c:pt idx="163">
                  <c:v>#N/A</c:v>
                </c:pt>
                <c:pt idx="164">
                  <c:v>#N/A</c:v>
                </c:pt>
                <c:pt idx="165">
                  <c:v>#N/A</c:v>
                </c:pt>
                <c:pt idx="166">
                  <c:v>#N/A</c:v>
                </c:pt>
                <c:pt idx="167">
                  <c:v>#N/A</c:v>
                </c:pt>
                <c:pt idx="168">
                  <c:v>#N/A</c:v>
                </c:pt>
                <c:pt idx="169">
                  <c:v>#N/A</c:v>
                </c:pt>
                <c:pt idx="170">
                  <c:v>#N/A</c:v>
                </c:pt>
                <c:pt idx="171">
                  <c:v>#N/A</c:v>
                </c:pt>
                <c:pt idx="172">
                  <c:v>#N/A</c:v>
                </c:pt>
                <c:pt idx="173">
                  <c:v>#N/A</c:v>
                </c:pt>
                <c:pt idx="174">
                  <c:v>#N/A</c:v>
                </c:pt>
                <c:pt idx="175">
                  <c:v>#N/A</c:v>
                </c:pt>
                <c:pt idx="176">
                  <c:v>#N/A</c:v>
                </c:pt>
                <c:pt idx="177">
                  <c:v>#N/A</c:v>
                </c:pt>
                <c:pt idx="178">
                  <c:v>#N/A</c:v>
                </c:pt>
                <c:pt idx="179">
                  <c:v>#N/A</c:v>
                </c:pt>
                <c:pt idx="180">
                  <c:v>#N/A</c:v>
                </c:pt>
                <c:pt idx="181">
                  <c:v>#N/A</c:v>
                </c:pt>
                <c:pt idx="182">
                  <c:v>#N/A</c:v>
                </c:pt>
                <c:pt idx="183">
                  <c:v>#N/A</c:v>
                </c:pt>
                <c:pt idx="184">
                  <c:v>#N/A</c:v>
                </c:pt>
                <c:pt idx="185">
                  <c:v>#N/A</c:v>
                </c:pt>
                <c:pt idx="186">
                  <c:v>#N/A</c:v>
                </c:pt>
                <c:pt idx="187">
                  <c:v>#N/A</c:v>
                </c:pt>
                <c:pt idx="188">
                  <c:v>#N/A</c:v>
                </c:pt>
                <c:pt idx="189">
                  <c:v>#N/A</c:v>
                </c:pt>
                <c:pt idx="190">
                  <c:v>#N/A</c:v>
                </c:pt>
                <c:pt idx="191">
                  <c:v>#N/A</c:v>
                </c:pt>
                <c:pt idx="192">
                  <c:v>#N/A</c:v>
                </c:pt>
                <c:pt idx="193">
                  <c:v>#N/A</c:v>
                </c:pt>
                <c:pt idx="194">
                  <c:v>#N/A</c:v>
                </c:pt>
                <c:pt idx="195">
                  <c:v>#N/A</c:v>
                </c:pt>
                <c:pt idx="196">
                  <c:v>#N/A</c:v>
                </c:pt>
                <c:pt idx="197">
                  <c:v>#N/A</c:v>
                </c:pt>
                <c:pt idx="198">
                  <c:v>#N/A</c:v>
                </c:pt>
                <c:pt idx="199">
                  <c:v>#N/A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6539-4ED4-BDB8-874CF0EC1F1C}"/>
            </c:ext>
          </c:extLst>
        </c:ser>
        <c:ser>
          <c:idx val="1"/>
          <c:order val="1"/>
          <c:tx>
            <c:v>GDP - Forecast</c:v>
          </c:tx>
          <c:spPr>
            <a:ln w="25400">
              <a:solidFill>
                <a:srgbClr val="86BC25"/>
              </a:solidFill>
              <a:prstDash val="dash"/>
            </a:ln>
          </c:spPr>
          <c:marker>
            <c:symbol val="none"/>
          </c:marker>
          <c:cat>
            <c:numRef>
              <c:f>Comparison!$A$2:$A$201</c:f>
              <c:numCache>
                <c:formatCode>m/d/yyyy</c:formatCode>
                <c:ptCount val="200"/>
              </c:numCache>
            </c:numRef>
          </c:cat>
          <c:val>
            <c:numRef>
              <c:f>Comparison!$V$2:$V$201</c:f>
              <c:numCache>
                <c:formatCode>General</c:formatCode>
                <c:ptCount val="200"/>
                <c:pt idx="0">
                  <c:v>#N/A</c:v>
                </c:pt>
                <c:pt idx="1">
                  <c:v>#N/A</c:v>
                </c:pt>
                <c:pt idx="2">
                  <c:v>#N/A</c:v>
                </c:pt>
                <c:pt idx="3">
                  <c:v>#N/A</c:v>
                </c:pt>
                <c:pt idx="4">
                  <c:v>#N/A</c:v>
                </c:pt>
                <c:pt idx="5">
                  <c:v>#N/A</c:v>
                </c:pt>
                <c:pt idx="6">
                  <c:v>#N/A</c:v>
                </c:pt>
                <c:pt idx="7">
                  <c:v>#N/A</c:v>
                </c:pt>
                <c:pt idx="8">
                  <c:v>#N/A</c:v>
                </c:pt>
                <c:pt idx="9">
                  <c:v>#N/A</c:v>
                </c:pt>
                <c:pt idx="10">
                  <c:v>#N/A</c:v>
                </c:pt>
                <c:pt idx="11">
                  <c:v>#N/A</c:v>
                </c:pt>
                <c:pt idx="12">
                  <c:v>#N/A</c:v>
                </c:pt>
                <c:pt idx="13">
                  <c:v>#N/A</c:v>
                </c:pt>
                <c:pt idx="14">
                  <c:v>#N/A</c:v>
                </c:pt>
                <c:pt idx="15">
                  <c:v>#N/A</c:v>
                </c:pt>
                <c:pt idx="16">
                  <c:v>#N/A</c:v>
                </c:pt>
                <c:pt idx="17">
                  <c:v>#N/A</c:v>
                </c:pt>
                <c:pt idx="18">
                  <c:v>#N/A</c:v>
                </c:pt>
                <c:pt idx="19">
                  <c:v>#N/A</c:v>
                </c:pt>
                <c:pt idx="20">
                  <c:v>#N/A</c:v>
                </c:pt>
                <c:pt idx="21">
                  <c:v>#N/A</c:v>
                </c:pt>
                <c:pt idx="22">
                  <c:v>#N/A</c:v>
                </c:pt>
                <c:pt idx="23">
                  <c:v>#N/A</c:v>
                </c:pt>
                <c:pt idx="24">
                  <c:v>#N/A</c:v>
                </c:pt>
                <c:pt idx="25">
                  <c:v>#N/A</c:v>
                </c:pt>
                <c:pt idx="26">
                  <c:v>#N/A</c:v>
                </c:pt>
                <c:pt idx="27">
                  <c:v>#N/A</c:v>
                </c:pt>
                <c:pt idx="28">
                  <c:v>#N/A</c:v>
                </c:pt>
                <c:pt idx="29">
                  <c:v>#N/A</c:v>
                </c:pt>
                <c:pt idx="30">
                  <c:v>#N/A</c:v>
                </c:pt>
                <c:pt idx="31">
                  <c:v>#N/A</c:v>
                </c:pt>
                <c:pt idx="32">
                  <c:v>#N/A</c:v>
                </c:pt>
                <c:pt idx="33">
                  <c:v>#N/A</c:v>
                </c:pt>
                <c:pt idx="34">
                  <c:v>#N/A</c:v>
                </c:pt>
                <c:pt idx="35">
                  <c:v>#N/A</c:v>
                </c:pt>
                <c:pt idx="36">
                  <c:v>#N/A</c:v>
                </c:pt>
                <c:pt idx="37">
                  <c:v>#N/A</c:v>
                </c:pt>
                <c:pt idx="38">
                  <c:v>#N/A</c:v>
                </c:pt>
                <c:pt idx="39">
                  <c:v>#N/A</c:v>
                </c:pt>
                <c:pt idx="40">
                  <c:v>#N/A</c:v>
                </c:pt>
                <c:pt idx="41">
                  <c:v>#N/A</c:v>
                </c:pt>
                <c:pt idx="42">
                  <c:v>#N/A</c:v>
                </c:pt>
                <c:pt idx="43">
                  <c:v>#N/A</c:v>
                </c:pt>
                <c:pt idx="44">
                  <c:v>#N/A</c:v>
                </c:pt>
                <c:pt idx="45">
                  <c:v>#N/A</c:v>
                </c:pt>
                <c:pt idx="46">
                  <c:v>#N/A</c:v>
                </c:pt>
                <c:pt idx="47">
                  <c:v>#N/A</c:v>
                </c:pt>
                <c:pt idx="48">
                  <c:v>#N/A</c:v>
                </c:pt>
                <c:pt idx="49">
                  <c:v>#N/A</c:v>
                </c:pt>
                <c:pt idx="50">
                  <c:v>#N/A</c:v>
                </c:pt>
                <c:pt idx="51">
                  <c:v>#N/A</c:v>
                </c:pt>
                <c:pt idx="52">
                  <c:v>#N/A</c:v>
                </c:pt>
                <c:pt idx="53">
                  <c:v>#N/A</c:v>
                </c:pt>
                <c:pt idx="54">
                  <c:v>#N/A</c:v>
                </c:pt>
                <c:pt idx="55">
                  <c:v>#N/A</c:v>
                </c:pt>
                <c:pt idx="56">
                  <c:v>#N/A</c:v>
                </c:pt>
                <c:pt idx="57">
                  <c:v>#N/A</c:v>
                </c:pt>
                <c:pt idx="58">
                  <c:v>#N/A</c:v>
                </c:pt>
                <c:pt idx="59">
                  <c:v>#N/A</c:v>
                </c:pt>
                <c:pt idx="60">
                  <c:v>#N/A</c:v>
                </c:pt>
                <c:pt idx="61">
                  <c:v>#N/A</c:v>
                </c:pt>
                <c:pt idx="62">
                  <c:v>#N/A</c:v>
                </c:pt>
                <c:pt idx="63">
                  <c:v>#N/A</c:v>
                </c:pt>
                <c:pt idx="64">
                  <c:v>#N/A</c:v>
                </c:pt>
                <c:pt idx="65">
                  <c:v>#N/A</c:v>
                </c:pt>
                <c:pt idx="66">
                  <c:v>#N/A</c:v>
                </c:pt>
                <c:pt idx="67">
                  <c:v>#N/A</c:v>
                </c:pt>
                <c:pt idx="68">
                  <c:v>#N/A</c:v>
                </c:pt>
                <c:pt idx="69">
                  <c:v>#N/A</c:v>
                </c:pt>
                <c:pt idx="70">
                  <c:v>#N/A</c:v>
                </c:pt>
                <c:pt idx="71">
                  <c:v>#N/A</c:v>
                </c:pt>
                <c:pt idx="72">
                  <c:v>#N/A</c:v>
                </c:pt>
                <c:pt idx="73">
                  <c:v>#N/A</c:v>
                </c:pt>
                <c:pt idx="74">
                  <c:v>#N/A</c:v>
                </c:pt>
                <c:pt idx="75">
                  <c:v>#N/A</c:v>
                </c:pt>
                <c:pt idx="76">
                  <c:v>#N/A</c:v>
                </c:pt>
                <c:pt idx="77">
                  <c:v>#N/A</c:v>
                </c:pt>
                <c:pt idx="78">
                  <c:v>#N/A</c:v>
                </c:pt>
                <c:pt idx="79">
                  <c:v>#N/A</c:v>
                </c:pt>
                <c:pt idx="80">
                  <c:v>#N/A</c:v>
                </c:pt>
                <c:pt idx="81">
                  <c:v>#N/A</c:v>
                </c:pt>
                <c:pt idx="82">
                  <c:v>#N/A</c:v>
                </c:pt>
                <c:pt idx="83">
                  <c:v>#N/A</c:v>
                </c:pt>
                <c:pt idx="84">
                  <c:v>#N/A</c:v>
                </c:pt>
                <c:pt idx="85">
                  <c:v>#N/A</c:v>
                </c:pt>
                <c:pt idx="86">
                  <c:v>#N/A</c:v>
                </c:pt>
                <c:pt idx="87">
                  <c:v>#N/A</c:v>
                </c:pt>
                <c:pt idx="88">
                  <c:v>#N/A</c:v>
                </c:pt>
                <c:pt idx="89">
                  <c:v>#N/A</c:v>
                </c:pt>
                <c:pt idx="90">
                  <c:v>#N/A</c:v>
                </c:pt>
                <c:pt idx="91">
                  <c:v>#N/A</c:v>
                </c:pt>
                <c:pt idx="92">
                  <c:v>#N/A</c:v>
                </c:pt>
                <c:pt idx="93">
                  <c:v>#N/A</c:v>
                </c:pt>
                <c:pt idx="94">
                  <c:v>#N/A</c:v>
                </c:pt>
                <c:pt idx="95">
                  <c:v>#N/A</c:v>
                </c:pt>
                <c:pt idx="96">
                  <c:v>#N/A</c:v>
                </c:pt>
                <c:pt idx="97">
                  <c:v>#N/A</c:v>
                </c:pt>
                <c:pt idx="98">
                  <c:v>#N/A</c:v>
                </c:pt>
                <c:pt idx="99">
                  <c:v>#N/A</c:v>
                </c:pt>
                <c:pt idx="100">
                  <c:v>#N/A</c:v>
                </c:pt>
                <c:pt idx="101">
                  <c:v>#N/A</c:v>
                </c:pt>
                <c:pt idx="102">
                  <c:v>#N/A</c:v>
                </c:pt>
                <c:pt idx="103">
                  <c:v>#N/A</c:v>
                </c:pt>
                <c:pt idx="104">
                  <c:v>#N/A</c:v>
                </c:pt>
                <c:pt idx="105">
                  <c:v>#N/A</c:v>
                </c:pt>
                <c:pt idx="106">
                  <c:v>#N/A</c:v>
                </c:pt>
                <c:pt idx="107">
                  <c:v>#N/A</c:v>
                </c:pt>
                <c:pt idx="108">
                  <c:v>#N/A</c:v>
                </c:pt>
                <c:pt idx="109">
                  <c:v>#N/A</c:v>
                </c:pt>
                <c:pt idx="110">
                  <c:v>#N/A</c:v>
                </c:pt>
                <c:pt idx="111">
                  <c:v>#N/A</c:v>
                </c:pt>
                <c:pt idx="112">
                  <c:v>#N/A</c:v>
                </c:pt>
                <c:pt idx="113">
                  <c:v>#N/A</c:v>
                </c:pt>
                <c:pt idx="114">
                  <c:v>#N/A</c:v>
                </c:pt>
                <c:pt idx="115">
                  <c:v>#N/A</c:v>
                </c:pt>
                <c:pt idx="116">
                  <c:v>#N/A</c:v>
                </c:pt>
                <c:pt idx="117">
                  <c:v>#N/A</c:v>
                </c:pt>
                <c:pt idx="118">
                  <c:v>#N/A</c:v>
                </c:pt>
                <c:pt idx="119">
                  <c:v>#N/A</c:v>
                </c:pt>
                <c:pt idx="120">
                  <c:v>#N/A</c:v>
                </c:pt>
                <c:pt idx="121">
                  <c:v>#N/A</c:v>
                </c:pt>
                <c:pt idx="122">
                  <c:v>#N/A</c:v>
                </c:pt>
                <c:pt idx="123">
                  <c:v>#N/A</c:v>
                </c:pt>
                <c:pt idx="124">
                  <c:v>#N/A</c:v>
                </c:pt>
                <c:pt idx="125">
                  <c:v>#N/A</c:v>
                </c:pt>
                <c:pt idx="126">
                  <c:v>#N/A</c:v>
                </c:pt>
                <c:pt idx="127">
                  <c:v>#N/A</c:v>
                </c:pt>
                <c:pt idx="128">
                  <c:v>#N/A</c:v>
                </c:pt>
                <c:pt idx="129">
                  <c:v>#N/A</c:v>
                </c:pt>
                <c:pt idx="130">
                  <c:v>#N/A</c:v>
                </c:pt>
                <c:pt idx="131">
                  <c:v>#N/A</c:v>
                </c:pt>
                <c:pt idx="132">
                  <c:v>#N/A</c:v>
                </c:pt>
                <c:pt idx="133">
                  <c:v>#N/A</c:v>
                </c:pt>
                <c:pt idx="134">
                  <c:v>#N/A</c:v>
                </c:pt>
                <c:pt idx="135">
                  <c:v>#N/A</c:v>
                </c:pt>
                <c:pt idx="136">
                  <c:v>#N/A</c:v>
                </c:pt>
                <c:pt idx="137">
                  <c:v>#N/A</c:v>
                </c:pt>
                <c:pt idx="138">
                  <c:v>#N/A</c:v>
                </c:pt>
                <c:pt idx="139">
                  <c:v>#N/A</c:v>
                </c:pt>
                <c:pt idx="140">
                  <c:v>#N/A</c:v>
                </c:pt>
                <c:pt idx="141">
                  <c:v>#N/A</c:v>
                </c:pt>
                <c:pt idx="142">
                  <c:v>#N/A</c:v>
                </c:pt>
                <c:pt idx="143">
                  <c:v>#N/A</c:v>
                </c:pt>
                <c:pt idx="144">
                  <c:v>#N/A</c:v>
                </c:pt>
                <c:pt idx="145">
                  <c:v>#N/A</c:v>
                </c:pt>
                <c:pt idx="146">
                  <c:v>#N/A</c:v>
                </c:pt>
                <c:pt idx="147">
                  <c:v>#N/A</c:v>
                </c:pt>
                <c:pt idx="148">
                  <c:v>#N/A</c:v>
                </c:pt>
                <c:pt idx="149">
                  <c:v>#N/A</c:v>
                </c:pt>
                <c:pt idx="150">
                  <c:v>#N/A</c:v>
                </c:pt>
                <c:pt idx="151">
                  <c:v>#N/A</c:v>
                </c:pt>
                <c:pt idx="152">
                  <c:v>#N/A</c:v>
                </c:pt>
                <c:pt idx="153">
                  <c:v>#N/A</c:v>
                </c:pt>
                <c:pt idx="154">
                  <c:v>#N/A</c:v>
                </c:pt>
                <c:pt idx="155">
                  <c:v>#N/A</c:v>
                </c:pt>
                <c:pt idx="156">
                  <c:v>#N/A</c:v>
                </c:pt>
                <c:pt idx="157">
                  <c:v>#N/A</c:v>
                </c:pt>
                <c:pt idx="158">
                  <c:v>#N/A</c:v>
                </c:pt>
                <c:pt idx="159">
                  <c:v>#N/A</c:v>
                </c:pt>
                <c:pt idx="160">
                  <c:v>#N/A</c:v>
                </c:pt>
                <c:pt idx="161">
                  <c:v>#N/A</c:v>
                </c:pt>
                <c:pt idx="162">
                  <c:v>#N/A</c:v>
                </c:pt>
                <c:pt idx="163">
                  <c:v>#N/A</c:v>
                </c:pt>
                <c:pt idx="164">
                  <c:v>#N/A</c:v>
                </c:pt>
                <c:pt idx="165">
                  <c:v>#N/A</c:v>
                </c:pt>
                <c:pt idx="166">
                  <c:v>#N/A</c:v>
                </c:pt>
                <c:pt idx="167">
                  <c:v>#N/A</c:v>
                </c:pt>
                <c:pt idx="168">
                  <c:v>#N/A</c:v>
                </c:pt>
                <c:pt idx="169">
                  <c:v>#N/A</c:v>
                </c:pt>
                <c:pt idx="170">
                  <c:v>#N/A</c:v>
                </c:pt>
                <c:pt idx="171">
                  <c:v>#N/A</c:v>
                </c:pt>
                <c:pt idx="172">
                  <c:v>#N/A</c:v>
                </c:pt>
                <c:pt idx="173">
                  <c:v>#N/A</c:v>
                </c:pt>
                <c:pt idx="174">
                  <c:v>#N/A</c:v>
                </c:pt>
                <c:pt idx="175">
                  <c:v>#N/A</c:v>
                </c:pt>
                <c:pt idx="176">
                  <c:v>#N/A</c:v>
                </c:pt>
                <c:pt idx="177">
                  <c:v>#N/A</c:v>
                </c:pt>
                <c:pt idx="178">
                  <c:v>#N/A</c:v>
                </c:pt>
                <c:pt idx="179">
                  <c:v>#N/A</c:v>
                </c:pt>
                <c:pt idx="180">
                  <c:v>#N/A</c:v>
                </c:pt>
                <c:pt idx="181">
                  <c:v>#N/A</c:v>
                </c:pt>
                <c:pt idx="182">
                  <c:v>#N/A</c:v>
                </c:pt>
                <c:pt idx="183">
                  <c:v>#N/A</c:v>
                </c:pt>
                <c:pt idx="184">
                  <c:v>#N/A</c:v>
                </c:pt>
                <c:pt idx="185">
                  <c:v>#N/A</c:v>
                </c:pt>
                <c:pt idx="186">
                  <c:v>#N/A</c:v>
                </c:pt>
                <c:pt idx="187">
                  <c:v>#N/A</c:v>
                </c:pt>
                <c:pt idx="188">
                  <c:v>#N/A</c:v>
                </c:pt>
                <c:pt idx="189">
                  <c:v>#N/A</c:v>
                </c:pt>
                <c:pt idx="190">
                  <c:v>#N/A</c:v>
                </c:pt>
                <c:pt idx="191">
                  <c:v>#N/A</c:v>
                </c:pt>
                <c:pt idx="192">
                  <c:v>#N/A</c:v>
                </c:pt>
                <c:pt idx="193">
                  <c:v>#N/A</c:v>
                </c:pt>
                <c:pt idx="194">
                  <c:v>#N/A</c:v>
                </c:pt>
                <c:pt idx="195">
                  <c:v>#N/A</c:v>
                </c:pt>
                <c:pt idx="196">
                  <c:v>#N/A</c:v>
                </c:pt>
                <c:pt idx="197">
                  <c:v>#N/A</c:v>
                </c:pt>
                <c:pt idx="198">
                  <c:v>#N/A</c:v>
                </c:pt>
                <c:pt idx="199">
                  <c:v>#N/A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6539-4ED4-BDB8-874CF0EC1F1C}"/>
            </c:ext>
          </c:extLst>
        </c:ser>
        <c:ser>
          <c:idx val="2"/>
          <c:order val="2"/>
          <c:tx>
            <c:v>Consumption - Actual</c:v>
          </c:tx>
          <c:spPr>
            <a:ln w="25400">
              <a:solidFill>
                <a:srgbClr val="00A3E0"/>
              </a:solidFill>
              <a:prstDash val="solid"/>
            </a:ln>
          </c:spPr>
          <c:marker>
            <c:symbol val="none"/>
          </c:marker>
          <c:cat>
            <c:numRef>
              <c:f>Comparison!$A$2:$A$201</c:f>
              <c:numCache>
                <c:formatCode>m/d/yyyy</c:formatCode>
                <c:ptCount val="200"/>
              </c:numCache>
            </c:numRef>
          </c:cat>
          <c:val>
            <c:numRef>
              <c:f>Comparison!$W$2:$W$201</c:f>
              <c:numCache>
                <c:formatCode>General</c:formatCode>
                <c:ptCount val="200"/>
                <c:pt idx="0">
                  <c:v>#N/A</c:v>
                </c:pt>
                <c:pt idx="1">
                  <c:v>#N/A</c:v>
                </c:pt>
                <c:pt idx="2">
                  <c:v>#N/A</c:v>
                </c:pt>
                <c:pt idx="3">
                  <c:v>#N/A</c:v>
                </c:pt>
                <c:pt idx="4">
                  <c:v>#N/A</c:v>
                </c:pt>
                <c:pt idx="5">
                  <c:v>#N/A</c:v>
                </c:pt>
                <c:pt idx="6">
                  <c:v>#N/A</c:v>
                </c:pt>
                <c:pt idx="7">
                  <c:v>#N/A</c:v>
                </c:pt>
                <c:pt idx="8">
                  <c:v>#N/A</c:v>
                </c:pt>
                <c:pt idx="9">
                  <c:v>#N/A</c:v>
                </c:pt>
                <c:pt idx="10">
                  <c:v>#N/A</c:v>
                </c:pt>
                <c:pt idx="11">
                  <c:v>#N/A</c:v>
                </c:pt>
                <c:pt idx="12">
                  <c:v>#N/A</c:v>
                </c:pt>
                <c:pt idx="13">
                  <c:v>#N/A</c:v>
                </c:pt>
                <c:pt idx="14">
                  <c:v>#N/A</c:v>
                </c:pt>
                <c:pt idx="15">
                  <c:v>#N/A</c:v>
                </c:pt>
                <c:pt idx="16">
                  <c:v>#N/A</c:v>
                </c:pt>
                <c:pt idx="17">
                  <c:v>#N/A</c:v>
                </c:pt>
                <c:pt idx="18">
                  <c:v>#N/A</c:v>
                </c:pt>
                <c:pt idx="19">
                  <c:v>#N/A</c:v>
                </c:pt>
                <c:pt idx="20">
                  <c:v>#N/A</c:v>
                </c:pt>
                <c:pt idx="21">
                  <c:v>#N/A</c:v>
                </c:pt>
                <c:pt idx="22">
                  <c:v>#N/A</c:v>
                </c:pt>
                <c:pt idx="23">
                  <c:v>#N/A</c:v>
                </c:pt>
                <c:pt idx="24">
                  <c:v>#N/A</c:v>
                </c:pt>
                <c:pt idx="25">
                  <c:v>#N/A</c:v>
                </c:pt>
                <c:pt idx="26">
                  <c:v>#N/A</c:v>
                </c:pt>
                <c:pt idx="27">
                  <c:v>#N/A</c:v>
                </c:pt>
                <c:pt idx="28">
                  <c:v>#N/A</c:v>
                </c:pt>
                <c:pt idx="29">
                  <c:v>#N/A</c:v>
                </c:pt>
                <c:pt idx="30">
                  <c:v>#N/A</c:v>
                </c:pt>
                <c:pt idx="31">
                  <c:v>#N/A</c:v>
                </c:pt>
                <c:pt idx="32">
                  <c:v>#N/A</c:v>
                </c:pt>
                <c:pt idx="33">
                  <c:v>#N/A</c:v>
                </c:pt>
                <c:pt idx="34">
                  <c:v>#N/A</c:v>
                </c:pt>
                <c:pt idx="35">
                  <c:v>#N/A</c:v>
                </c:pt>
                <c:pt idx="36">
                  <c:v>#N/A</c:v>
                </c:pt>
                <c:pt idx="37">
                  <c:v>#N/A</c:v>
                </c:pt>
                <c:pt idx="38">
                  <c:v>#N/A</c:v>
                </c:pt>
                <c:pt idx="39">
                  <c:v>#N/A</c:v>
                </c:pt>
                <c:pt idx="40">
                  <c:v>#N/A</c:v>
                </c:pt>
                <c:pt idx="41">
                  <c:v>#N/A</c:v>
                </c:pt>
                <c:pt idx="42">
                  <c:v>#N/A</c:v>
                </c:pt>
                <c:pt idx="43">
                  <c:v>#N/A</c:v>
                </c:pt>
                <c:pt idx="44">
                  <c:v>#N/A</c:v>
                </c:pt>
                <c:pt idx="45">
                  <c:v>#N/A</c:v>
                </c:pt>
                <c:pt idx="46">
                  <c:v>#N/A</c:v>
                </c:pt>
                <c:pt idx="47">
                  <c:v>#N/A</c:v>
                </c:pt>
                <c:pt idx="48">
                  <c:v>#N/A</c:v>
                </c:pt>
                <c:pt idx="49">
                  <c:v>#N/A</c:v>
                </c:pt>
                <c:pt idx="50">
                  <c:v>#N/A</c:v>
                </c:pt>
                <c:pt idx="51">
                  <c:v>#N/A</c:v>
                </c:pt>
                <c:pt idx="52">
                  <c:v>#N/A</c:v>
                </c:pt>
                <c:pt idx="53">
                  <c:v>#N/A</c:v>
                </c:pt>
                <c:pt idx="54">
                  <c:v>#N/A</c:v>
                </c:pt>
                <c:pt idx="55">
                  <c:v>#N/A</c:v>
                </c:pt>
                <c:pt idx="56">
                  <c:v>#N/A</c:v>
                </c:pt>
                <c:pt idx="57">
                  <c:v>#N/A</c:v>
                </c:pt>
                <c:pt idx="58">
                  <c:v>#N/A</c:v>
                </c:pt>
                <c:pt idx="59">
                  <c:v>#N/A</c:v>
                </c:pt>
                <c:pt idx="60">
                  <c:v>#N/A</c:v>
                </c:pt>
                <c:pt idx="61">
                  <c:v>#N/A</c:v>
                </c:pt>
                <c:pt idx="62">
                  <c:v>#N/A</c:v>
                </c:pt>
                <c:pt idx="63">
                  <c:v>#N/A</c:v>
                </c:pt>
                <c:pt idx="64">
                  <c:v>#N/A</c:v>
                </c:pt>
                <c:pt idx="65">
                  <c:v>#N/A</c:v>
                </c:pt>
                <c:pt idx="66">
                  <c:v>#N/A</c:v>
                </c:pt>
                <c:pt idx="67">
                  <c:v>#N/A</c:v>
                </c:pt>
                <c:pt idx="68">
                  <c:v>#N/A</c:v>
                </c:pt>
                <c:pt idx="69">
                  <c:v>#N/A</c:v>
                </c:pt>
                <c:pt idx="70">
                  <c:v>#N/A</c:v>
                </c:pt>
                <c:pt idx="71">
                  <c:v>#N/A</c:v>
                </c:pt>
                <c:pt idx="72">
                  <c:v>#N/A</c:v>
                </c:pt>
                <c:pt idx="73">
                  <c:v>#N/A</c:v>
                </c:pt>
                <c:pt idx="74">
                  <c:v>#N/A</c:v>
                </c:pt>
                <c:pt idx="75">
                  <c:v>#N/A</c:v>
                </c:pt>
                <c:pt idx="76">
                  <c:v>#N/A</c:v>
                </c:pt>
                <c:pt idx="77">
                  <c:v>#N/A</c:v>
                </c:pt>
                <c:pt idx="78">
                  <c:v>#N/A</c:v>
                </c:pt>
                <c:pt idx="79">
                  <c:v>#N/A</c:v>
                </c:pt>
                <c:pt idx="80">
                  <c:v>#N/A</c:v>
                </c:pt>
                <c:pt idx="81">
                  <c:v>#N/A</c:v>
                </c:pt>
                <c:pt idx="82">
                  <c:v>#N/A</c:v>
                </c:pt>
                <c:pt idx="83">
                  <c:v>#N/A</c:v>
                </c:pt>
                <c:pt idx="84">
                  <c:v>#N/A</c:v>
                </c:pt>
                <c:pt idx="85">
                  <c:v>#N/A</c:v>
                </c:pt>
                <c:pt idx="86">
                  <c:v>#N/A</c:v>
                </c:pt>
                <c:pt idx="87">
                  <c:v>#N/A</c:v>
                </c:pt>
                <c:pt idx="88">
                  <c:v>#N/A</c:v>
                </c:pt>
                <c:pt idx="89">
                  <c:v>#N/A</c:v>
                </c:pt>
                <c:pt idx="90">
                  <c:v>#N/A</c:v>
                </c:pt>
                <c:pt idx="91">
                  <c:v>#N/A</c:v>
                </c:pt>
                <c:pt idx="92">
                  <c:v>#N/A</c:v>
                </c:pt>
                <c:pt idx="93">
                  <c:v>#N/A</c:v>
                </c:pt>
                <c:pt idx="94">
                  <c:v>#N/A</c:v>
                </c:pt>
                <c:pt idx="95">
                  <c:v>#N/A</c:v>
                </c:pt>
                <c:pt idx="96">
                  <c:v>#N/A</c:v>
                </c:pt>
                <c:pt idx="97">
                  <c:v>#N/A</c:v>
                </c:pt>
                <c:pt idx="98">
                  <c:v>#N/A</c:v>
                </c:pt>
                <c:pt idx="99">
                  <c:v>#N/A</c:v>
                </c:pt>
                <c:pt idx="100">
                  <c:v>#N/A</c:v>
                </c:pt>
                <c:pt idx="101">
                  <c:v>#N/A</c:v>
                </c:pt>
                <c:pt idx="102">
                  <c:v>#N/A</c:v>
                </c:pt>
                <c:pt idx="103">
                  <c:v>#N/A</c:v>
                </c:pt>
                <c:pt idx="104">
                  <c:v>#N/A</c:v>
                </c:pt>
                <c:pt idx="105">
                  <c:v>#N/A</c:v>
                </c:pt>
                <c:pt idx="106">
                  <c:v>#N/A</c:v>
                </c:pt>
                <c:pt idx="107">
                  <c:v>#N/A</c:v>
                </c:pt>
                <c:pt idx="108">
                  <c:v>#N/A</c:v>
                </c:pt>
                <c:pt idx="109">
                  <c:v>#N/A</c:v>
                </c:pt>
                <c:pt idx="110">
                  <c:v>#N/A</c:v>
                </c:pt>
                <c:pt idx="111">
                  <c:v>#N/A</c:v>
                </c:pt>
                <c:pt idx="112">
                  <c:v>#N/A</c:v>
                </c:pt>
                <c:pt idx="113">
                  <c:v>#N/A</c:v>
                </c:pt>
                <c:pt idx="114">
                  <c:v>#N/A</c:v>
                </c:pt>
                <c:pt idx="115">
                  <c:v>#N/A</c:v>
                </c:pt>
                <c:pt idx="116">
                  <c:v>#N/A</c:v>
                </c:pt>
                <c:pt idx="117">
                  <c:v>#N/A</c:v>
                </c:pt>
                <c:pt idx="118">
                  <c:v>#N/A</c:v>
                </c:pt>
                <c:pt idx="119">
                  <c:v>#N/A</c:v>
                </c:pt>
                <c:pt idx="120">
                  <c:v>#N/A</c:v>
                </c:pt>
                <c:pt idx="121">
                  <c:v>#N/A</c:v>
                </c:pt>
                <c:pt idx="122">
                  <c:v>#N/A</c:v>
                </c:pt>
                <c:pt idx="123">
                  <c:v>#N/A</c:v>
                </c:pt>
                <c:pt idx="124">
                  <c:v>#N/A</c:v>
                </c:pt>
                <c:pt idx="125">
                  <c:v>#N/A</c:v>
                </c:pt>
                <c:pt idx="126">
                  <c:v>#N/A</c:v>
                </c:pt>
                <c:pt idx="127">
                  <c:v>#N/A</c:v>
                </c:pt>
                <c:pt idx="128">
                  <c:v>#N/A</c:v>
                </c:pt>
                <c:pt idx="129">
                  <c:v>#N/A</c:v>
                </c:pt>
                <c:pt idx="130">
                  <c:v>#N/A</c:v>
                </c:pt>
                <c:pt idx="131">
                  <c:v>#N/A</c:v>
                </c:pt>
                <c:pt idx="132">
                  <c:v>#N/A</c:v>
                </c:pt>
                <c:pt idx="133">
                  <c:v>#N/A</c:v>
                </c:pt>
                <c:pt idx="134">
                  <c:v>#N/A</c:v>
                </c:pt>
                <c:pt idx="135">
                  <c:v>#N/A</c:v>
                </c:pt>
                <c:pt idx="136">
                  <c:v>#N/A</c:v>
                </c:pt>
                <c:pt idx="137">
                  <c:v>#N/A</c:v>
                </c:pt>
                <c:pt idx="138">
                  <c:v>#N/A</c:v>
                </c:pt>
                <c:pt idx="139">
                  <c:v>#N/A</c:v>
                </c:pt>
                <c:pt idx="140">
                  <c:v>#N/A</c:v>
                </c:pt>
                <c:pt idx="141">
                  <c:v>#N/A</c:v>
                </c:pt>
                <c:pt idx="142">
                  <c:v>#N/A</c:v>
                </c:pt>
                <c:pt idx="143">
                  <c:v>#N/A</c:v>
                </c:pt>
                <c:pt idx="144">
                  <c:v>#N/A</c:v>
                </c:pt>
                <c:pt idx="145">
                  <c:v>#N/A</c:v>
                </c:pt>
                <c:pt idx="146">
                  <c:v>#N/A</c:v>
                </c:pt>
                <c:pt idx="147">
                  <c:v>#N/A</c:v>
                </c:pt>
                <c:pt idx="148">
                  <c:v>#N/A</c:v>
                </c:pt>
                <c:pt idx="149">
                  <c:v>#N/A</c:v>
                </c:pt>
                <c:pt idx="150">
                  <c:v>#N/A</c:v>
                </c:pt>
                <c:pt idx="151">
                  <c:v>#N/A</c:v>
                </c:pt>
                <c:pt idx="152">
                  <c:v>#N/A</c:v>
                </c:pt>
                <c:pt idx="153">
                  <c:v>#N/A</c:v>
                </c:pt>
                <c:pt idx="154">
                  <c:v>#N/A</c:v>
                </c:pt>
                <c:pt idx="155">
                  <c:v>#N/A</c:v>
                </c:pt>
                <c:pt idx="156">
                  <c:v>#N/A</c:v>
                </c:pt>
                <c:pt idx="157">
                  <c:v>#N/A</c:v>
                </c:pt>
                <c:pt idx="158">
                  <c:v>#N/A</c:v>
                </c:pt>
                <c:pt idx="159">
                  <c:v>#N/A</c:v>
                </c:pt>
                <c:pt idx="160">
                  <c:v>#N/A</c:v>
                </c:pt>
                <c:pt idx="161">
                  <c:v>#N/A</c:v>
                </c:pt>
                <c:pt idx="162">
                  <c:v>#N/A</c:v>
                </c:pt>
                <c:pt idx="163">
                  <c:v>#N/A</c:v>
                </c:pt>
                <c:pt idx="164">
                  <c:v>#N/A</c:v>
                </c:pt>
                <c:pt idx="165">
                  <c:v>#N/A</c:v>
                </c:pt>
                <c:pt idx="166">
                  <c:v>#N/A</c:v>
                </c:pt>
                <c:pt idx="167">
                  <c:v>#N/A</c:v>
                </c:pt>
                <c:pt idx="168">
                  <c:v>#N/A</c:v>
                </c:pt>
                <c:pt idx="169">
                  <c:v>#N/A</c:v>
                </c:pt>
                <c:pt idx="170">
                  <c:v>#N/A</c:v>
                </c:pt>
                <c:pt idx="171">
                  <c:v>#N/A</c:v>
                </c:pt>
                <c:pt idx="172">
                  <c:v>#N/A</c:v>
                </c:pt>
                <c:pt idx="173">
                  <c:v>#N/A</c:v>
                </c:pt>
                <c:pt idx="174">
                  <c:v>#N/A</c:v>
                </c:pt>
                <c:pt idx="175">
                  <c:v>#N/A</c:v>
                </c:pt>
                <c:pt idx="176">
                  <c:v>#N/A</c:v>
                </c:pt>
                <c:pt idx="177">
                  <c:v>#N/A</c:v>
                </c:pt>
                <c:pt idx="178">
                  <c:v>#N/A</c:v>
                </c:pt>
                <c:pt idx="179">
                  <c:v>#N/A</c:v>
                </c:pt>
                <c:pt idx="180">
                  <c:v>#N/A</c:v>
                </c:pt>
                <c:pt idx="181">
                  <c:v>#N/A</c:v>
                </c:pt>
                <c:pt idx="182">
                  <c:v>#N/A</c:v>
                </c:pt>
                <c:pt idx="183">
                  <c:v>#N/A</c:v>
                </c:pt>
                <c:pt idx="184">
                  <c:v>#N/A</c:v>
                </c:pt>
                <c:pt idx="185">
                  <c:v>#N/A</c:v>
                </c:pt>
                <c:pt idx="186">
                  <c:v>#N/A</c:v>
                </c:pt>
                <c:pt idx="187">
                  <c:v>#N/A</c:v>
                </c:pt>
                <c:pt idx="188">
                  <c:v>#N/A</c:v>
                </c:pt>
                <c:pt idx="189">
                  <c:v>#N/A</c:v>
                </c:pt>
                <c:pt idx="190">
                  <c:v>#N/A</c:v>
                </c:pt>
                <c:pt idx="191">
                  <c:v>#N/A</c:v>
                </c:pt>
                <c:pt idx="192">
                  <c:v>#N/A</c:v>
                </c:pt>
                <c:pt idx="193">
                  <c:v>#N/A</c:v>
                </c:pt>
                <c:pt idx="194">
                  <c:v>#N/A</c:v>
                </c:pt>
                <c:pt idx="195">
                  <c:v>#N/A</c:v>
                </c:pt>
                <c:pt idx="196">
                  <c:v>#N/A</c:v>
                </c:pt>
                <c:pt idx="197">
                  <c:v>#N/A</c:v>
                </c:pt>
                <c:pt idx="198">
                  <c:v>#N/A</c:v>
                </c:pt>
                <c:pt idx="199">
                  <c:v>#N/A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6539-4ED4-BDB8-874CF0EC1F1C}"/>
            </c:ext>
          </c:extLst>
        </c:ser>
        <c:ser>
          <c:idx val="3"/>
          <c:order val="3"/>
          <c:tx>
            <c:v>Consumption - Forecast</c:v>
          </c:tx>
          <c:spPr>
            <a:ln w="25400">
              <a:solidFill>
                <a:srgbClr val="00A3E0"/>
              </a:solidFill>
              <a:prstDash val="dash"/>
            </a:ln>
          </c:spPr>
          <c:marker>
            <c:symbol val="none"/>
          </c:marker>
          <c:cat>
            <c:numRef>
              <c:f>Comparison!$A$2:$A$201</c:f>
              <c:numCache>
                <c:formatCode>m/d/yyyy</c:formatCode>
                <c:ptCount val="200"/>
              </c:numCache>
            </c:numRef>
          </c:cat>
          <c:val>
            <c:numRef>
              <c:f>Comparison!$X$2:$X$201</c:f>
              <c:numCache>
                <c:formatCode>General</c:formatCode>
                <c:ptCount val="200"/>
                <c:pt idx="0">
                  <c:v>#N/A</c:v>
                </c:pt>
                <c:pt idx="1">
                  <c:v>#N/A</c:v>
                </c:pt>
                <c:pt idx="2">
                  <c:v>#N/A</c:v>
                </c:pt>
                <c:pt idx="3">
                  <c:v>#N/A</c:v>
                </c:pt>
                <c:pt idx="4">
                  <c:v>#N/A</c:v>
                </c:pt>
                <c:pt idx="5">
                  <c:v>#N/A</c:v>
                </c:pt>
                <c:pt idx="6">
                  <c:v>#N/A</c:v>
                </c:pt>
                <c:pt idx="7">
                  <c:v>#N/A</c:v>
                </c:pt>
                <c:pt idx="8">
                  <c:v>#N/A</c:v>
                </c:pt>
                <c:pt idx="9">
                  <c:v>#N/A</c:v>
                </c:pt>
                <c:pt idx="10">
                  <c:v>#N/A</c:v>
                </c:pt>
                <c:pt idx="11">
                  <c:v>#N/A</c:v>
                </c:pt>
                <c:pt idx="12">
                  <c:v>#N/A</c:v>
                </c:pt>
                <c:pt idx="13">
                  <c:v>#N/A</c:v>
                </c:pt>
                <c:pt idx="14">
                  <c:v>#N/A</c:v>
                </c:pt>
                <c:pt idx="15">
                  <c:v>#N/A</c:v>
                </c:pt>
                <c:pt idx="16">
                  <c:v>#N/A</c:v>
                </c:pt>
                <c:pt idx="17">
                  <c:v>#N/A</c:v>
                </c:pt>
                <c:pt idx="18">
                  <c:v>#N/A</c:v>
                </c:pt>
                <c:pt idx="19">
                  <c:v>#N/A</c:v>
                </c:pt>
                <c:pt idx="20">
                  <c:v>#N/A</c:v>
                </c:pt>
                <c:pt idx="21">
                  <c:v>#N/A</c:v>
                </c:pt>
                <c:pt idx="22">
                  <c:v>#N/A</c:v>
                </c:pt>
                <c:pt idx="23">
                  <c:v>#N/A</c:v>
                </c:pt>
                <c:pt idx="24">
                  <c:v>#N/A</c:v>
                </c:pt>
                <c:pt idx="25">
                  <c:v>#N/A</c:v>
                </c:pt>
                <c:pt idx="26">
                  <c:v>#N/A</c:v>
                </c:pt>
                <c:pt idx="27">
                  <c:v>#N/A</c:v>
                </c:pt>
                <c:pt idx="28">
                  <c:v>#N/A</c:v>
                </c:pt>
                <c:pt idx="29">
                  <c:v>#N/A</c:v>
                </c:pt>
                <c:pt idx="30">
                  <c:v>#N/A</c:v>
                </c:pt>
                <c:pt idx="31">
                  <c:v>#N/A</c:v>
                </c:pt>
                <c:pt idx="32">
                  <c:v>#N/A</c:v>
                </c:pt>
                <c:pt idx="33">
                  <c:v>#N/A</c:v>
                </c:pt>
                <c:pt idx="34">
                  <c:v>#N/A</c:v>
                </c:pt>
                <c:pt idx="35">
                  <c:v>#N/A</c:v>
                </c:pt>
                <c:pt idx="36">
                  <c:v>#N/A</c:v>
                </c:pt>
                <c:pt idx="37">
                  <c:v>#N/A</c:v>
                </c:pt>
                <c:pt idx="38">
                  <c:v>#N/A</c:v>
                </c:pt>
                <c:pt idx="39">
                  <c:v>#N/A</c:v>
                </c:pt>
                <c:pt idx="40">
                  <c:v>#N/A</c:v>
                </c:pt>
                <c:pt idx="41">
                  <c:v>#N/A</c:v>
                </c:pt>
                <c:pt idx="42">
                  <c:v>#N/A</c:v>
                </c:pt>
                <c:pt idx="43">
                  <c:v>#N/A</c:v>
                </c:pt>
                <c:pt idx="44">
                  <c:v>#N/A</c:v>
                </c:pt>
                <c:pt idx="45">
                  <c:v>#N/A</c:v>
                </c:pt>
                <c:pt idx="46">
                  <c:v>#N/A</c:v>
                </c:pt>
                <c:pt idx="47">
                  <c:v>#N/A</c:v>
                </c:pt>
                <c:pt idx="48">
                  <c:v>#N/A</c:v>
                </c:pt>
                <c:pt idx="49">
                  <c:v>#N/A</c:v>
                </c:pt>
                <c:pt idx="50">
                  <c:v>#N/A</c:v>
                </c:pt>
                <c:pt idx="51">
                  <c:v>#N/A</c:v>
                </c:pt>
                <c:pt idx="52">
                  <c:v>#N/A</c:v>
                </c:pt>
                <c:pt idx="53">
                  <c:v>#N/A</c:v>
                </c:pt>
                <c:pt idx="54">
                  <c:v>#N/A</c:v>
                </c:pt>
                <c:pt idx="55">
                  <c:v>#N/A</c:v>
                </c:pt>
                <c:pt idx="56">
                  <c:v>#N/A</c:v>
                </c:pt>
                <c:pt idx="57">
                  <c:v>#N/A</c:v>
                </c:pt>
                <c:pt idx="58">
                  <c:v>#N/A</c:v>
                </c:pt>
                <c:pt idx="59">
                  <c:v>#N/A</c:v>
                </c:pt>
                <c:pt idx="60">
                  <c:v>#N/A</c:v>
                </c:pt>
                <c:pt idx="61">
                  <c:v>#N/A</c:v>
                </c:pt>
                <c:pt idx="62">
                  <c:v>#N/A</c:v>
                </c:pt>
                <c:pt idx="63">
                  <c:v>#N/A</c:v>
                </c:pt>
                <c:pt idx="64">
                  <c:v>#N/A</c:v>
                </c:pt>
                <c:pt idx="65">
                  <c:v>#N/A</c:v>
                </c:pt>
                <c:pt idx="66">
                  <c:v>#N/A</c:v>
                </c:pt>
                <c:pt idx="67">
                  <c:v>#N/A</c:v>
                </c:pt>
                <c:pt idx="68">
                  <c:v>#N/A</c:v>
                </c:pt>
                <c:pt idx="69">
                  <c:v>#N/A</c:v>
                </c:pt>
                <c:pt idx="70">
                  <c:v>#N/A</c:v>
                </c:pt>
                <c:pt idx="71">
                  <c:v>#N/A</c:v>
                </c:pt>
                <c:pt idx="72">
                  <c:v>#N/A</c:v>
                </c:pt>
                <c:pt idx="73">
                  <c:v>#N/A</c:v>
                </c:pt>
                <c:pt idx="74">
                  <c:v>#N/A</c:v>
                </c:pt>
                <c:pt idx="75">
                  <c:v>#N/A</c:v>
                </c:pt>
                <c:pt idx="76">
                  <c:v>#N/A</c:v>
                </c:pt>
                <c:pt idx="77">
                  <c:v>#N/A</c:v>
                </c:pt>
                <c:pt idx="78">
                  <c:v>#N/A</c:v>
                </c:pt>
                <c:pt idx="79">
                  <c:v>#N/A</c:v>
                </c:pt>
                <c:pt idx="80">
                  <c:v>#N/A</c:v>
                </c:pt>
                <c:pt idx="81">
                  <c:v>#N/A</c:v>
                </c:pt>
                <c:pt idx="82">
                  <c:v>#N/A</c:v>
                </c:pt>
                <c:pt idx="83">
                  <c:v>#N/A</c:v>
                </c:pt>
                <c:pt idx="84">
                  <c:v>#N/A</c:v>
                </c:pt>
                <c:pt idx="85">
                  <c:v>#N/A</c:v>
                </c:pt>
                <c:pt idx="86">
                  <c:v>#N/A</c:v>
                </c:pt>
                <c:pt idx="87">
                  <c:v>#N/A</c:v>
                </c:pt>
                <c:pt idx="88">
                  <c:v>#N/A</c:v>
                </c:pt>
                <c:pt idx="89">
                  <c:v>#N/A</c:v>
                </c:pt>
                <c:pt idx="90">
                  <c:v>#N/A</c:v>
                </c:pt>
                <c:pt idx="91">
                  <c:v>#N/A</c:v>
                </c:pt>
                <c:pt idx="92">
                  <c:v>#N/A</c:v>
                </c:pt>
                <c:pt idx="93">
                  <c:v>#N/A</c:v>
                </c:pt>
                <c:pt idx="94">
                  <c:v>#N/A</c:v>
                </c:pt>
                <c:pt idx="95">
                  <c:v>#N/A</c:v>
                </c:pt>
                <c:pt idx="96">
                  <c:v>#N/A</c:v>
                </c:pt>
                <c:pt idx="97">
                  <c:v>#N/A</c:v>
                </c:pt>
                <c:pt idx="98">
                  <c:v>#N/A</c:v>
                </c:pt>
                <c:pt idx="99">
                  <c:v>#N/A</c:v>
                </c:pt>
                <c:pt idx="100">
                  <c:v>#N/A</c:v>
                </c:pt>
                <c:pt idx="101">
                  <c:v>#N/A</c:v>
                </c:pt>
                <c:pt idx="102">
                  <c:v>#N/A</c:v>
                </c:pt>
                <c:pt idx="103">
                  <c:v>#N/A</c:v>
                </c:pt>
                <c:pt idx="104">
                  <c:v>#N/A</c:v>
                </c:pt>
                <c:pt idx="105">
                  <c:v>#N/A</c:v>
                </c:pt>
                <c:pt idx="106">
                  <c:v>#N/A</c:v>
                </c:pt>
                <c:pt idx="107">
                  <c:v>#N/A</c:v>
                </c:pt>
                <c:pt idx="108">
                  <c:v>#N/A</c:v>
                </c:pt>
                <c:pt idx="109">
                  <c:v>#N/A</c:v>
                </c:pt>
                <c:pt idx="110">
                  <c:v>#N/A</c:v>
                </c:pt>
                <c:pt idx="111">
                  <c:v>#N/A</c:v>
                </c:pt>
                <c:pt idx="112">
                  <c:v>#N/A</c:v>
                </c:pt>
                <c:pt idx="113">
                  <c:v>#N/A</c:v>
                </c:pt>
                <c:pt idx="114">
                  <c:v>#N/A</c:v>
                </c:pt>
                <c:pt idx="115">
                  <c:v>#N/A</c:v>
                </c:pt>
                <c:pt idx="116">
                  <c:v>#N/A</c:v>
                </c:pt>
                <c:pt idx="117">
                  <c:v>#N/A</c:v>
                </c:pt>
                <c:pt idx="118">
                  <c:v>#N/A</c:v>
                </c:pt>
                <c:pt idx="119">
                  <c:v>#N/A</c:v>
                </c:pt>
                <c:pt idx="120">
                  <c:v>#N/A</c:v>
                </c:pt>
                <c:pt idx="121">
                  <c:v>#N/A</c:v>
                </c:pt>
                <c:pt idx="122">
                  <c:v>#N/A</c:v>
                </c:pt>
                <c:pt idx="123">
                  <c:v>#N/A</c:v>
                </c:pt>
                <c:pt idx="124">
                  <c:v>#N/A</c:v>
                </c:pt>
                <c:pt idx="125">
                  <c:v>#N/A</c:v>
                </c:pt>
                <c:pt idx="126">
                  <c:v>#N/A</c:v>
                </c:pt>
                <c:pt idx="127">
                  <c:v>#N/A</c:v>
                </c:pt>
                <c:pt idx="128">
                  <c:v>#N/A</c:v>
                </c:pt>
                <c:pt idx="129">
                  <c:v>#N/A</c:v>
                </c:pt>
                <c:pt idx="130">
                  <c:v>#N/A</c:v>
                </c:pt>
                <c:pt idx="131">
                  <c:v>#N/A</c:v>
                </c:pt>
                <c:pt idx="132">
                  <c:v>#N/A</c:v>
                </c:pt>
                <c:pt idx="133">
                  <c:v>#N/A</c:v>
                </c:pt>
                <c:pt idx="134">
                  <c:v>#N/A</c:v>
                </c:pt>
                <c:pt idx="135">
                  <c:v>#N/A</c:v>
                </c:pt>
                <c:pt idx="136">
                  <c:v>#N/A</c:v>
                </c:pt>
                <c:pt idx="137">
                  <c:v>#N/A</c:v>
                </c:pt>
                <c:pt idx="138">
                  <c:v>#N/A</c:v>
                </c:pt>
                <c:pt idx="139">
                  <c:v>#N/A</c:v>
                </c:pt>
                <c:pt idx="140">
                  <c:v>#N/A</c:v>
                </c:pt>
                <c:pt idx="141">
                  <c:v>#N/A</c:v>
                </c:pt>
                <c:pt idx="142">
                  <c:v>#N/A</c:v>
                </c:pt>
                <c:pt idx="143">
                  <c:v>#N/A</c:v>
                </c:pt>
                <c:pt idx="144">
                  <c:v>#N/A</c:v>
                </c:pt>
                <c:pt idx="145">
                  <c:v>#N/A</c:v>
                </c:pt>
                <c:pt idx="146">
                  <c:v>#N/A</c:v>
                </c:pt>
                <c:pt idx="147">
                  <c:v>#N/A</c:v>
                </c:pt>
                <c:pt idx="148">
                  <c:v>#N/A</c:v>
                </c:pt>
                <c:pt idx="149">
                  <c:v>#N/A</c:v>
                </c:pt>
                <c:pt idx="150">
                  <c:v>#N/A</c:v>
                </c:pt>
                <c:pt idx="151">
                  <c:v>#N/A</c:v>
                </c:pt>
                <c:pt idx="152">
                  <c:v>#N/A</c:v>
                </c:pt>
                <c:pt idx="153">
                  <c:v>#N/A</c:v>
                </c:pt>
                <c:pt idx="154">
                  <c:v>#N/A</c:v>
                </c:pt>
                <c:pt idx="155">
                  <c:v>#N/A</c:v>
                </c:pt>
                <c:pt idx="156">
                  <c:v>#N/A</c:v>
                </c:pt>
                <c:pt idx="157">
                  <c:v>#N/A</c:v>
                </c:pt>
                <c:pt idx="158">
                  <c:v>#N/A</c:v>
                </c:pt>
                <c:pt idx="159">
                  <c:v>#N/A</c:v>
                </c:pt>
                <c:pt idx="160">
                  <c:v>#N/A</c:v>
                </c:pt>
                <c:pt idx="161">
                  <c:v>#N/A</c:v>
                </c:pt>
                <c:pt idx="162">
                  <c:v>#N/A</c:v>
                </c:pt>
                <c:pt idx="163">
                  <c:v>#N/A</c:v>
                </c:pt>
                <c:pt idx="164">
                  <c:v>#N/A</c:v>
                </c:pt>
                <c:pt idx="165">
                  <c:v>#N/A</c:v>
                </c:pt>
                <c:pt idx="166">
                  <c:v>#N/A</c:v>
                </c:pt>
                <c:pt idx="167">
                  <c:v>#N/A</c:v>
                </c:pt>
                <c:pt idx="168">
                  <c:v>#N/A</c:v>
                </c:pt>
                <c:pt idx="169">
                  <c:v>#N/A</c:v>
                </c:pt>
                <c:pt idx="170">
                  <c:v>#N/A</c:v>
                </c:pt>
                <c:pt idx="171">
                  <c:v>#N/A</c:v>
                </c:pt>
                <c:pt idx="172">
                  <c:v>#N/A</c:v>
                </c:pt>
                <c:pt idx="173">
                  <c:v>#N/A</c:v>
                </c:pt>
                <c:pt idx="174">
                  <c:v>#N/A</c:v>
                </c:pt>
                <c:pt idx="175">
                  <c:v>#N/A</c:v>
                </c:pt>
                <c:pt idx="176">
                  <c:v>#N/A</c:v>
                </c:pt>
                <c:pt idx="177">
                  <c:v>#N/A</c:v>
                </c:pt>
                <c:pt idx="178">
                  <c:v>#N/A</c:v>
                </c:pt>
                <c:pt idx="179">
                  <c:v>#N/A</c:v>
                </c:pt>
                <c:pt idx="180">
                  <c:v>#N/A</c:v>
                </c:pt>
                <c:pt idx="181">
                  <c:v>#N/A</c:v>
                </c:pt>
                <c:pt idx="182">
                  <c:v>#N/A</c:v>
                </c:pt>
                <c:pt idx="183">
                  <c:v>#N/A</c:v>
                </c:pt>
                <c:pt idx="184">
                  <c:v>#N/A</c:v>
                </c:pt>
                <c:pt idx="185">
                  <c:v>#N/A</c:v>
                </c:pt>
                <c:pt idx="186">
                  <c:v>#N/A</c:v>
                </c:pt>
                <c:pt idx="187">
                  <c:v>#N/A</c:v>
                </c:pt>
                <c:pt idx="188">
                  <c:v>#N/A</c:v>
                </c:pt>
                <c:pt idx="189">
                  <c:v>#N/A</c:v>
                </c:pt>
                <c:pt idx="190">
                  <c:v>#N/A</c:v>
                </c:pt>
                <c:pt idx="191">
                  <c:v>#N/A</c:v>
                </c:pt>
                <c:pt idx="192">
                  <c:v>#N/A</c:v>
                </c:pt>
                <c:pt idx="193">
                  <c:v>#N/A</c:v>
                </c:pt>
                <c:pt idx="194">
                  <c:v>#N/A</c:v>
                </c:pt>
                <c:pt idx="195">
                  <c:v>#N/A</c:v>
                </c:pt>
                <c:pt idx="196">
                  <c:v>#N/A</c:v>
                </c:pt>
                <c:pt idx="197">
                  <c:v>#N/A</c:v>
                </c:pt>
                <c:pt idx="198">
                  <c:v>#N/A</c:v>
                </c:pt>
                <c:pt idx="199">
                  <c:v>#N/A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6539-4ED4-BDB8-874CF0EC1F1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50010001"/>
        <c:axId val="50010002"/>
      </c:lineChart>
      <c:catAx>
        <c:axId val="50010001"/>
        <c:scaling>
          <c:orientation val="minMax"/>
        </c:scaling>
        <c:delete val="0"/>
        <c:axPos val="b"/>
        <c:numFmt formatCode="yyyy" sourceLinked="0"/>
        <c:majorTickMark val="out"/>
        <c:minorTickMark val="none"/>
        <c:tickLblPos val="nextTo"/>
        <c:crossAx val="50010002"/>
        <c:crosses val="autoZero"/>
        <c:auto val="1"/>
        <c:lblAlgn val="ctr"/>
        <c:lblOffset val="100"/>
        <c:noMultiLvlLbl val="0"/>
      </c:catAx>
      <c:valAx>
        <c:axId val="50010002"/>
        <c:scaling>
          <c:orientation val="minMax"/>
        </c:scaling>
        <c:delete val="0"/>
        <c:axPos val="l"/>
        <c:numFmt formatCode="General" sourceLinked="1"/>
        <c:majorTickMark val="out"/>
        <c:minorTickMark val="none"/>
        <c:tickLblPos val="nextTo"/>
        <c:crossAx val="50010001"/>
        <c:crosses val="autoZero"/>
        <c:crossBetween val="between"/>
      </c:valAx>
    </c:plotArea>
    <c:legend>
      <c:legendPos val="b"/>
      <c:overlay val="0"/>
    </c:legend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Labour market volumes</a:t>
            </a:r>
          </a:p>
        </c:rich>
      </c:tx>
      <c:overlay val="0"/>
    </c:title>
    <c:autoTitleDeleted val="0"/>
    <c:plotArea>
      <c:layout>
        <c:manualLayout>
          <c:layoutTarget val="inner"/>
          <c:xMode val="edge"/>
          <c:yMode val="edge"/>
          <c:x val="0.10956730952109249"/>
          <c:y val="0.17369477422133378"/>
          <c:w val="0.86386264216972874"/>
          <c:h val="0.60540763673890607"/>
        </c:manualLayout>
      </c:layout>
      <c:lineChart>
        <c:grouping val="standard"/>
        <c:varyColors val="0"/>
        <c:ser>
          <c:idx val="0"/>
          <c:order val="0"/>
          <c:tx>
            <c:v>Employment - Actual</c:v>
          </c:tx>
          <c:spPr>
            <a:ln w="25400">
              <a:solidFill>
                <a:srgbClr val="86BC25"/>
              </a:solidFill>
              <a:prstDash val="solid"/>
            </a:ln>
          </c:spPr>
          <c:marker>
            <c:symbol val="none"/>
          </c:marker>
          <c:cat>
            <c:numRef>
              <c:f>Comparison!$A$2:$A$201</c:f>
              <c:numCache>
                <c:formatCode>m/d/yyyy</c:formatCode>
                <c:ptCount val="200"/>
              </c:numCache>
            </c:numRef>
          </c:cat>
          <c:val>
            <c:numRef>
              <c:f>Comparison!$Y$2:$Y$201</c:f>
              <c:numCache>
                <c:formatCode>General</c:formatCode>
                <c:ptCount val="200"/>
                <c:pt idx="0">
                  <c:v>#N/A</c:v>
                </c:pt>
                <c:pt idx="1">
                  <c:v>#N/A</c:v>
                </c:pt>
                <c:pt idx="2">
                  <c:v>#N/A</c:v>
                </c:pt>
                <c:pt idx="3">
                  <c:v>#N/A</c:v>
                </c:pt>
                <c:pt idx="4">
                  <c:v>#N/A</c:v>
                </c:pt>
                <c:pt idx="5">
                  <c:v>#N/A</c:v>
                </c:pt>
                <c:pt idx="6">
                  <c:v>#N/A</c:v>
                </c:pt>
                <c:pt idx="7">
                  <c:v>#N/A</c:v>
                </c:pt>
                <c:pt idx="8">
                  <c:v>#N/A</c:v>
                </c:pt>
                <c:pt idx="9">
                  <c:v>#N/A</c:v>
                </c:pt>
                <c:pt idx="10">
                  <c:v>#N/A</c:v>
                </c:pt>
                <c:pt idx="11">
                  <c:v>#N/A</c:v>
                </c:pt>
                <c:pt idx="12">
                  <c:v>#N/A</c:v>
                </c:pt>
                <c:pt idx="13">
                  <c:v>#N/A</c:v>
                </c:pt>
                <c:pt idx="14">
                  <c:v>#N/A</c:v>
                </c:pt>
                <c:pt idx="15">
                  <c:v>#N/A</c:v>
                </c:pt>
                <c:pt idx="16">
                  <c:v>#N/A</c:v>
                </c:pt>
                <c:pt idx="17">
                  <c:v>#N/A</c:v>
                </c:pt>
                <c:pt idx="18">
                  <c:v>#N/A</c:v>
                </c:pt>
                <c:pt idx="19">
                  <c:v>#N/A</c:v>
                </c:pt>
                <c:pt idx="20">
                  <c:v>#N/A</c:v>
                </c:pt>
                <c:pt idx="21">
                  <c:v>#N/A</c:v>
                </c:pt>
                <c:pt idx="22">
                  <c:v>#N/A</c:v>
                </c:pt>
                <c:pt idx="23">
                  <c:v>#N/A</c:v>
                </c:pt>
                <c:pt idx="24">
                  <c:v>#N/A</c:v>
                </c:pt>
                <c:pt idx="25">
                  <c:v>#N/A</c:v>
                </c:pt>
                <c:pt idx="26">
                  <c:v>#N/A</c:v>
                </c:pt>
                <c:pt idx="27">
                  <c:v>#N/A</c:v>
                </c:pt>
                <c:pt idx="28">
                  <c:v>#N/A</c:v>
                </c:pt>
                <c:pt idx="29">
                  <c:v>#N/A</c:v>
                </c:pt>
                <c:pt idx="30">
                  <c:v>#N/A</c:v>
                </c:pt>
                <c:pt idx="31">
                  <c:v>#N/A</c:v>
                </c:pt>
                <c:pt idx="32">
                  <c:v>#N/A</c:v>
                </c:pt>
                <c:pt idx="33">
                  <c:v>#N/A</c:v>
                </c:pt>
                <c:pt idx="34">
                  <c:v>#N/A</c:v>
                </c:pt>
                <c:pt idx="35">
                  <c:v>#N/A</c:v>
                </c:pt>
                <c:pt idx="36">
                  <c:v>#N/A</c:v>
                </c:pt>
                <c:pt idx="37">
                  <c:v>#N/A</c:v>
                </c:pt>
                <c:pt idx="38">
                  <c:v>#N/A</c:v>
                </c:pt>
                <c:pt idx="39">
                  <c:v>#N/A</c:v>
                </c:pt>
                <c:pt idx="40">
                  <c:v>#N/A</c:v>
                </c:pt>
                <c:pt idx="41">
                  <c:v>#N/A</c:v>
                </c:pt>
                <c:pt idx="42">
                  <c:v>#N/A</c:v>
                </c:pt>
                <c:pt idx="43">
                  <c:v>#N/A</c:v>
                </c:pt>
                <c:pt idx="44">
                  <c:v>#N/A</c:v>
                </c:pt>
                <c:pt idx="45">
                  <c:v>#N/A</c:v>
                </c:pt>
                <c:pt idx="46">
                  <c:v>#N/A</c:v>
                </c:pt>
                <c:pt idx="47">
                  <c:v>#N/A</c:v>
                </c:pt>
                <c:pt idx="48">
                  <c:v>#N/A</c:v>
                </c:pt>
                <c:pt idx="49">
                  <c:v>#N/A</c:v>
                </c:pt>
                <c:pt idx="50">
                  <c:v>#N/A</c:v>
                </c:pt>
                <c:pt idx="51">
                  <c:v>#N/A</c:v>
                </c:pt>
                <c:pt idx="52">
                  <c:v>#N/A</c:v>
                </c:pt>
                <c:pt idx="53">
                  <c:v>#N/A</c:v>
                </c:pt>
                <c:pt idx="54">
                  <c:v>#N/A</c:v>
                </c:pt>
                <c:pt idx="55">
                  <c:v>#N/A</c:v>
                </c:pt>
                <c:pt idx="56">
                  <c:v>#N/A</c:v>
                </c:pt>
                <c:pt idx="57">
                  <c:v>#N/A</c:v>
                </c:pt>
                <c:pt idx="58">
                  <c:v>#N/A</c:v>
                </c:pt>
                <c:pt idx="59">
                  <c:v>#N/A</c:v>
                </c:pt>
                <c:pt idx="60">
                  <c:v>#N/A</c:v>
                </c:pt>
                <c:pt idx="61">
                  <c:v>#N/A</c:v>
                </c:pt>
                <c:pt idx="62">
                  <c:v>#N/A</c:v>
                </c:pt>
                <c:pt idx="63">
                  <c:v>#N/A</c:v>
                </c:pt>
                <c:pt idx="64">
                  <c:v>#N/A</c:v>
                </c:pt>
                <c:pt idx="65">
                  <c:v>#N/A</c:v>
                </c:pt>
                <c:pt idx="66">
                  <c:v>#N/A</c:v>
                </c:pt>
                <c:pt idx="67">
                  <c:v>#N/A</c:v>
                </c:pt>
                <c:pt idx="68">
                  <c:v>#N/A</c:v>
                </c:pt>
                <c:pt idx="69">
                  <c:v>#N/A</c:v>
                </c:pt>
                <c:pt idx="70">
                  <c:v>#N/A</c:v>
                </c:pt>
                <c:pt idx="71">
                  <c:v>#N/A</c:v>
                </c:pt>
                <c:pt idx="72">
                  <c:v>#N/A</c:v>
                </c:pt>
                <c:pt idx="73">
                  <c:v>#N/A</c:v>
                </c:pt>
                <c:pt idx="74">
                  <c:v>#N/A</c:v>
                </c:pt>
                <c:pt idx="75">
                  <c:v>#N/A</c:v>
                </c:pt>
                <c:pt idx="76">
                  <c:v>#N/A</c:v>
                </c:pt>
                <c:pt idx="77">
                  <c:v>#N/A</c:v>
                </c:pt>
                <c:pt idx="78">
                  <c:v>#N/A</c:v>
                </c:pt>
                <c:pt idx="79">
                  <c:v>#N/A</c:v>
                </c:pt>
                <c:pt idx="80">
                  <c:v>#N/A</c:v>
                </c:pt>
                <c:pt idx="81">
                  <c:v>#N/A</c:v>
                </c:pt>
                <c:pt idx="82">
                  <c:v>#N/A</c:v>
                </c:pt>
                <c:pt idx="83">
                  <c:v>#N/A</c:v>
                </c:pt>
                <c:pt idx="84">
                  <c:v>#N/A</c:v>
                </c:pt>
                <c:pt idx="85">
                  <c:v>#N/A</c:v>
                </c:pt>
                <c:pt idx="86">
                  <c:v>#N/A</c:v>
                </c:pt>
                <c:pt idx="87">
                  <c:v>#N/A</c:v>
                </c:pt>
                <c:pt idx="88">
                  <c:v>#N/A</c:v>
                </c:pt>
                <c:pt idx="89">
                  <c:v>#N/A</c:v>
                </c:pt>
                <c:pt idx="90">
                  <c:v>#N/A</c:v>
                </c:pt>
                <c:pt idx="91">
                  <c:v>#N/A</c:v>
                </c:pt>
                <c:pt idx="92">
                  <c:v>#N/A</c:v>
                </c:pt>
                <c:pt idx="93">
                  <c:v>#N/A</c:v>
                </c:pt>
                <c:pt idx="94">
                  <c:v>#N/A</c:v>
                </c:pt>
                <c:pt idx="95">
                  <c:v>#N/A</c:v>
                </c:pt>
                <c:pt idx="96">
                  <c:v>#N/A</c:v>
                </c:pt>
                <c:pt idx="97">
                  <c:v>#N/A</c:v>
                </c:pt>
                <c:pt idx="98">
                  <c:v>#N/A</c:v>
                </c:pt>
                <c:pt idx="99">
                  <c:v>#N/A</c:v>
                </c:pt>
                <c:pt idx="100">
                  <c:v>#N/A</c:v>
                </c:pt>
                <c:pt idx="101">
                  <c:v>#N/A</c:v>
                </c:pt>
                <c:pt idx="102">
                  <c:v>#N/A</c:v>
                </c:pt>
                <c:pt idx="103">
                  <c:v>#N/A</c:v>
                </c:pt>
                <c:pt idx="104">
                  <c:v>#N/A</c:v>
                </c:pt>
                <c:pt idx="105">
                  <c:v>#N/A</c:v>
                </c:pt>
                <c:pt idx="106">
                  <c:v>#N/A</c:v>
                </c:pt>
                <c:pt idx="107">
                  <c:v>#N/A</c:v>
                </c:pt>
                <c:pt idx="108">
                  <c:v>#N/A</c:v>
                </c:pt>
                <c:pt idx="109">
                  <c:v>#N/A</c:v>
                </c:pt>
                <c:pt idx="110">
                  <c:v>#N/A</c:v>
                </c:pt>
                <c:pt idx="111">
                  <c:v>#N/A</c:v>
                </c:pt>
                <c:pt idx="112">
                  <c:v>#N/A</c:v>
                </c:pt>
                <c:pt idx="113">
                  <c:v>#N/A</c:v>
                </c:pt>
                <c:pt idx="114">
                  <c:v>#N/A</c:v>
                </c:pt>
                <c:pt idx="115">
                  <c:v>#N/A</c:v>
                </c:pt>
                <c:pt idx="116">
                  <c:v>#N/A</c:v>
                </c:pt>
                <c:pt idx="117">
                  <c:v>#N/A</c:v>
                </c:pt>
                <c:pt idx="118">
                  <c:v>#N/A</c:v>
                </c:pt>
                <c:pt idx="119">
                  <c:v>#N/A</c:v>
                </c:pt>
                <c:pt idx="120">
                  <c:v>#N/A</c:v>
                </c:pt>
                <c:pt idx="121">
                  <c:v>#N/A</c:v>
                </c:pt>
                <c:pt idx="122">
                  <c:v>#N/A</c:v>
                </c:pt>
                <c:pt idx="123">
                  <c:v>#N/A</c:v>
                </c:pt>
                <c:pt idx="124">
                  <c:v>#N/A</c:v>
                </c:pt>
                <c:pt idx="125">
                  <c:v>#N/A</c:v>
                </c:pt>
                <c:pt idx="126">
                  <c:v>#N/A</c:v>
                </c:pt>
                <c:pt idx="127">
                  <c:v>#N/A</c:v>
                </c:pt>
                <c:pt idx="128">
                  <c:v>#N/A</c:v>
                </c:pt>
                <c:pt idx="129">
                  <c:v>#N/A</c:v>
                </c:pt>
                <c:pt idx="130">
                  <c:v>#N/A</c:v>
                </c:pt>
                <c:pt idx="131">
                  <c:v>#N/A</c:v>
                </c:pt>
                <c:pt idx="132">
                  <c:v>#N/A</c:v>
                </c:pt>
                <c:pt idx="133">
                  <c:v>#N/A</c:v>
                </c:pt>
                <c:pt idx="134">
                  <c:v>#N/A</c:v>
                </c:pt>
                <c:pt idx="135">
                  <c:v>#N/A</c:v>
                </c:pt>
                <c:pt idx="136">
                  <c:v>#N/A</c:v>
                </c:pt>
                <c:pt idx="137">
                  <c:v>#N/A</c:v>
                </c:pt>
                <c:pt idx="138">
                  <c:v>#N/A</c:v>
                </c:pt>
                <c:pt idx="139">
                  <c:v>#N/A</c:v>
                </c:pt>
                <c:pt idx="140">
                  <c:v>#N/A</c:v>
                </c:pt>
                <c:pt idx="141">
                  <c:v>#N/A</c:v>
                </c:pt>
                <c:pt idx="142">
                  <c:v>#N/A</c:v>
                </c:pt>
                <c:pt idx="143">
                  <c:v>#N/A</c:v>
                </c:pt>
                <c:pt idx="144">
                  <c:v>#N/A</c:v>
                </c:pt>
                <c:pt idx="145">
                  <c:v>#N/A</c:v>
                </c:pt>
                <c:pt idx="146">
                  <c:v>#N/A</c:v>
                </c:pt>
                <c:pt idx="147">
                  <c:v>#N/A</c:v>
                </c:pt>
                <c:pt idx="148">
                  <c:v>#N/A</c:v>
                </c:pt>
                <c:pt idx="149">
                  <c:v>#N/A</c:v>
                </c:pt>
                <c:pt idx="150">
                  <c:v>#N/A</c:v>
                </c:pt>
                <c:pt idx="151">
                  <c:v>#N/A</c:v>
                </c:pt>
                <c:pt idx="152">
                  <c:v>#N/A</c:v>
                </c:pt>
                <c:pt idx="153">
                  <c:v>#N/A</c:v>
                </c:pt>
                <c:pt idx="154">
                  <c:v>#N/A</c:v>
                </c:pt>
                <c:pt idx="155">
                  <c:v>#N/A</c:v>
                </c:pt>
                <c:pt idx="156">
                  <c:v>#N/A</c:v>
                </c:pt>
                <c:pt idx="157">
                  <c:v>#N/A</c:v>
                </c:pt>
                <c:pt idx="158">
                  <c:v>#N/A</c:v>
                </c:pt>
                <c:pt idx="159">
                  <c:v>#N/A</c:v>
                </c:pt>
                <c:pt idx="160">
                  <c:v>#N/A</c:v>
                </c:pt>
                <c:pt idx="161">
                  <c:v>#N/A</c:v>
                </c:pt>
                <c:pt idx="162">
                  <c:v>#N/A</c:v>
                </c:pt>
                <c:pt idx="163">
                  <c:v>#N/A</c:v>
                </c:pt>
                <c:pt idx="164">
                  <c:v>#N/A</c:v>
                </c:pt>
                <c:pt idx="165">
                  <c:v>#N/A</c:v>
                </c:pt>
                <c:pt idx="166">
                  <c:v>#N/A</c:v>
                </c:pt>
                <c:pt idx="167">
                  <c:v>#N/A</c:v>
                </c:pt>
                <c:pt idx="168">
                  <c:v>#N/A</c:v>
                </c:pt>
                <c:pt idx="169">
                  <c:v>#N/A</c:v>
                </c:pt>
                <c:pt idx="170">
                  <c:v>#N/A</c:v>
                </c:pt>
                <c:pt idx="171">
                  <c:v>#N/A</c:v>
                </c:pt>
                <c:pt idx="172">
                  <c:v>#N/A</c:v>
                </c:pt>
                <c:pt idx="173">
                  <c:v>#N/A</c:v>
                </c:pt>
                <c:pt idx="174">
                  <c:v>#N/A</c:v>
                </c:pt>
                <c:pt idx="175">
                  <c:v>#N/A</c:v>
                </c:pt>
                <c:pt idx="176">
                  <c:v>#N/A</c:v>
                </c:pt>
                <c:pt idx="177">
                  <c:v>#N/A</c:v>
                </c:pt>
                <c:pt idx="178">
                  <c:v>#N/A</c:v>
                </c:pt>
                <c:pt idx="179">
                  <c:v>#N/A</c:v>
                </c:pt>
                <c:pt idx="180">
                  <c:v>#N/A</c:v>
                </c:pt>
                <c:pt idx="181">
                  <c:v>#N/A</c:v>
                </c:pt>
                <c:pt idx="182">
                  <c:v>#N/A</c:v>
                </c:pt>
                <c:pt idx="183">
                  <c:v>#N/A</c:v>
                </c:pt>
                <c:pt idx="184">
                  <c:v>#N/A</c:v>
                </c:pt>
                <c:pt idx="185">
                  <c:v>#N/A</c:v>
                </c:pt>
                <c:pt idx="186">
                  <c:v>#N/A</c:v>
                </c:pt>
                <c:pt idx="187">
                  <c:v>#N/A</c:v>
                </c:pt>
                <c:pt idx="188">
                  <c:v>#N/A</c:v>
                </c:pt>
                <c:pt idx="189">
                  <c:v>#N/A</c:v>
                </c:pt>
                <c:pt idx="190">
                  <c:v>#N/A</c:v>
                </c:pt>
                <c:pt idx="191">
                  <c:v>#N/A</c:v>
                </c:pt>
                <c:pt idx="192">
                  <c:v>#N/A</c:v>
                </c:pt>
                <c:pt idx="193">
                  <c:v>#N/A</c:v>
                </c:pt>
                <c:pt idx="194">
                  <c:v>#N/A</c:v>
                </c:pt>
                <c:pt idx="195">
                  <c:v>#N/A</c:v>
                </c:pt>
                <c:pt idx="196">
                  <c:v>#N/A</c:v>
                </c:pt>
                <c:pt idx="197">
                  <c:v>#N/A</c:v>
                </c:pt>
                <c:pt idx="198">
                  <c:v>#N/A</c:v>
                </c:pt>
                <c:pt idx="199">
                  <c:v>#N/A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8283-4701-991B-173EB1CC12E7}"/>
            </c:ext>
          </c:extLst>
        </c:ser>
        <c:ser>
          <c:idx val="1"/>
          <c:order val="1"/>
          <c:tx>
            <c:v>Employment - Forecast</c:v>
          </c:tx>
          <c:spPr>
            <a:ln w="25400">
              <a:solidFill>
                <a:srgbClr val="86BC25"/>
              </a:solidFill>
              <a:prstDash val="dash"/>
            </a:ln>
          </c:spPr>
          <c:marker>
            <c:symbol val="none"/>
          </c:marker>
          <c:cat>
            <c:numRef>
              <c:f>Comparison!$A$2:$A$201</c:f>
              <c:numCache>
                <c:formatCode>m/d/yyyy</c:formatCode>
                <c:ptCount val="200"/>
              </c:numCache>
            </c:numRef>
          </c:cat>
          <c:val>
            <c:numRef>
              <c:f>Comparison!$Z$2:$Z$201</c:f>
              <c:numCache>
                <c:formatCode>General</c:formatCode>
                <c:ptCount val="200"/>
                <c:pt idx="0">
                  <c:v>#N/A</c:v>
                </c:pt>
                <c:pt idx="1">
                  <c:v>#N/A</c:v>
                </c:pt>
                <c:pt idx="2">
                  <c:v>#N/A</c:v>
                </c:pt>
                <c:pt idx="3">
                  <c:v>#N/A</c:v>
                </c:pt>
                <c:pt idx="4">
                  <c:v>#N/A</c:v>
                </c:pt>
                <c:pt idx="5">
                  <c:v>#N/A</c:v>
                </c:pt>
                <c:pt idx="6">
                  <c:v>#N/A</c:v>
                </c:pt>
                <c:pt idx="7">
                  <c:v>#N/A</c:v>
                </c:pt>
                <c:pt idx="8">
                  <c:v>#N/A</c:v>
                </c:pt>
                <c:pt idx="9">
                  <c:v>#N/A</c:v>
                </c:pt>
                <c:pt idx="10">
                  <c:v>#N/A</c:v>
                </c:pt>
                <c:pt idx="11">
                  <c:v>#N/A</c:v>
                </c:pt>
                <c:pt idx="12">
                  <c:v>#N/A</c:v>
                </c:pt>
                <c:pt idx="13">
                  <c:v>#N/A</c:v>
                </c:pt>
                <c:pt idx="14">
                  <c:v>#N/A</c:v>
                </c:pt>
                <c:pt idx="15">
                  <c:v>#N/A</c:v>
                </c:pt>
                <c:pt idx="16">
                  <c:v>#N/A</c:v>
                </c:pt>
                <c:pt idx="17">
                  <c:v>#N/A</c:v>
                </c:pt>
                <c:pt idx="18">
                  <c:v>#N/A</c:v>
                </c:pt>
                <c:pt idx="19">
                  <c:v>#N/A</c:v>
                </c:pt>
                <c:pt idx="20">
                  <c:v>#N/A</c:v>
                </c:pt>
                <c:pt idx="21">
                  <c:v>#N/A</c:v>
                </c:pt>
                <c:pt idx="22">
                  <c:v>#N/A</c:v>
                </c:pt>
                <c:pt idx="23">
                  <c:v>#N/A</c:v>
                </c:pt>
                <c:pt idx="24">
                  <c:v>#N/A</c:v>
                </c:pt>
                <c:pt idx="25">
                  <c:v>#N/A</c:v>
                </c:pt>
                <c:pt idx="26">
                  <c:v>#N/A</c:v>
                </c:pt>
                <c:pt idx="27">
                  <c:v>#N/A</c:v>
                </c:pt>
                <c:pt idx="28">
                  <c:v>#N/A</c:v>
                </c:pt>
                <c:pt idx="29">
                  <c:v>#N/A</c:v>
                </c:pt>
                <c:pt idx="30">
                  <c:v>#N/A</c:v>
                </c:pt>
                <c:pt idx="31">
                  <c:v>#N/A</c:v>
                </c:pt>
                <c:pt idx="32">
                  <c:v>#N/A</c:v>
                </c:pt>
                <c:pt idx="33">
                  <c:v>#N/A</c:v>
                </c:pt>
                <c:pt idx="34">
                  <c:v>#N/A</c:v>
                </c:pt>
                <c:pt idx="35">
                  <c:v>#N/A</c:v>
                </c:pt>
                <c:pt idx="36">
                  <c:v>#N/A</c:v>
                </c:pt>
                <c:pt idx="37">
                  <c:v>#N/A</c:v>
                </c:pt>
                <c:pt idx="38">
                  <c:v>#N/A</c:v>
                </c:pt>
                <c:pt idx="39">
                  <c:v>#N/A</c:v>
                </c:pt>
                <c:pt idx="40">
                  <c:v>#N/A</c:v>
                </c:pt>
                <c:pt idx="41">
                  <c:v>#N/A</c:v>
                </c:pt>
                <c:pt idx="42">
                  <c:v>#N/A</c:v>
                </c:pt>
                <c:pt idx="43">
                  <c:v>#N/A</c:v>
                </c:pt>
                <c:pt idx="44">
                  <c:v>#N/A</c:v>
                </c:pt>
                <c:pt idx="45">
                  <c:v>#N/A</c:v>
                </c:pt>
                <c:pt idx="46">
                  <c:v>#N/A</c:v>
                </c:pt>
                <c:pt idx="47">
                  <c:v>#N/A</c:v>
                </c:pt>
                <c:pt idx="48">
                  <c:v>#N/A</c:v>
                </c:pt>
                <c:pt idx="49">
                  <c:v>#N/A</c:v>
                </c:pt>
                <c:pt idx="50">
                  <c:v>#N/A</c:v>
                </c:pt>
                <c:pt idx="51">
                  <c:v>#N/A</c:v>
                </c:pt>
                <c:pt idx="52">
                  <c:v>#N/A</c:v>
                </c:pt>
                <c:pt idx="53">
                  <c:v>#N/A</c:v>
                </c:pt>
                <c:pt idx="54">
                  <c:v>#N/A</c:v>
                </c:pt>
                <c:pt idx="55">
                  <c:v>#N/A</c:v>
                </c:pt>
                <c:pt idx="56">
                  <c:v>#N/A</c:v>
                </c:pt>
                <c:pt idx="57">
                  <c:v>#N/A</c:v>
                </c:pt>
                <c:pt idx="58">
                  <c:v>#N/A</c:v>
                </c:pt>
                <c:pt idx="59">
                  <c:v>#N/A</c:v>
                </c:pt>
                <c:pt idx="60">
                  <c:v>#N/A</c:v>
                </c:pt>
                <c:pt idx="61">
                  <c:v>#N/A</c:v>
                </c:pt>
                <c:pt idx="62">
                  <c:v>#N/A</c:v>
                </c:pt>
                <c:pt idx="63">
                  <c:v>#N/A</c:v>
                </c:pt>
                <c:pt idx="64">
                  <c:v>#N/A</c:v>
                </c:pt>
                <c:pt idx="65">
                  <c:v>#N/A</c:v>
                </c:pt>
                <c:pt idx="66">
                  <c:v>#N/A</c:v>
                </c:pt>
                <c:pt idx="67">
                  <c:v>#N/A</c:v>
                </c:pt>
                <c:pt idx="68">
                  <c:v>#N/A</c:v>
                </c:pt>
                <c:pt idx="69">
                  <c:v>#N/A</c:v>
                </c:pt>
                <c:pt idx="70">
                  <c:v>#N/A</c:v>
                </c:pt>
                <c:pt idx="71">
                  <c:v>#N/A</c:v>
                </c:pt>
                <c:pt idx="72">
                  <c:v>#N/A</c:v>
                </c:pt>
                <c:pt idx="73">
                  <c:v>#N/A</c:v>
                </c:pt>
                <c:pt idx="74">
                  <c:v>#N/A</c:v>
                </c:pt>
                <c:pt idx="75">
                  <c:v>#N/A</c:v>
                </c:pt>
                <c:pt idx="76">
                  <c:v>#N/A</c:v>
                </c:pt>
                <c:pt idx="77">
                  <c:v>#N/A</c:v>
                </c:pt>
                <c:pt idx="78">
                  <c:v>#N/A</c:v>
                </c:pt>
                <c:pt idx="79">
                  <c:v>#N/A</c:v>
                </c:pt>
                <c:pt idx="80">
                  <c:v>#N/A</c:v>
                </c:pt>
                <c:pt idx="81">
                  <c:v>#N/A</c:v>
                </c:pt>
                <c:pt idx="82">
                  <c:v>#N/A</c:v>
                </c:pt>
                <c:pt idx="83">
                  <c:v>#N/A</c:v>
                </c:pt>
                <c:pt idx="84">
                  <c:v>#N/A</c:v>
                </c:pt>
                <c:pt idx="85">
                  <c:v>#N/A</c:v>
                </c:pt>
                <c:pt idx="86">
                  <c:v>#N/A</c:v>
                </c:pt>
                <c:pt idx="87">
                  <c:v>#N/A</c:v>
                </c:pt>
                <c:pt idx="88">
                  <c:v>#N/A</c:v>
                </c:pt>
                <c:pt idx="89">
                  <c:v>#N/A</c:v>
                </c:pt>
                <c:pt idx="90">
                  <c:v>#N/A</c:v>
                </c:pt>
                <c:pt idx="91">
                  <c:v>#N/A</c:v>
                </c:pt>
                <c:pt idx="92">
                  <c:v>#N/A</c:v>
                </c:pt>
                <c:pt idx="93">
                  <c:v>#N/A</c:v>
                </c:pt>
                <c:pt idx="94">
                  <c:v>#N/A</c:v>
                </c:pt>
                <c:pt idx="95">
                  <c:v>#N/A</c:v>
                </c:pt>
                <c:pt idx="96">
                  <c:v>#N/A</c:v>
                </c:pt>
                <c:pt idx="97">
                  <c:v>#N/A</c:v>
                </c:pt>
                <c:pt idx="98">
                  <c:v>#N/A</c:v>
                </c:pt>
                <c:pt idx="99">
                  <c:v>#N/A</c:v>
                </c:pt>
                <c:pt idx="100">
                  <c:v>#N/A</c:v>
                </c:pt>
                <c:pt idx="101">
                  <c:v>#N/A</c:v>
                </c:pt>
                <c:pt idx="102">
                  <c:v>#N/A</c:v>
                </c:pt>
                <c:pt idx="103">
                  <c:v>#N/A</c:v>
                </c:pt>
                <c:pt idx="104">
                  <c:v>#N/A</c:v>
                </c:pt>
                <c:pt idx="105">
                  <c:v>#N/A</c:v>
                </c:pt>
                <c:pt idx="106">
                  <c:v>#N/A</c:v>
                </c:pt>
                <c:pt idx="107">
                  <c:v>#N/A</c:v>
                </c:pt>
                <c:pt idx="108">
                  <c:v>#N/A</c:v>
                </c:pt>
                <c:pt idx="109">
                  <c:v>#N/A</c:v>
                </c:pt>
                <c:pt idx="110">
                  <c:v>#N/A</c:v>
                </c:pt>
                <c:pt idx="111">
                  <c:v>#N/A</c:v>
                </c:pt>
                <c:pt idx="112">
                  <c:v>#N/A</c:v>
                </c:pt>
                <c:pt idx="113">
                  <c:v>#N/A</c:v>
                </c:pt>
                <c:pt idx="114">
                  <c:v>#N/A</c:v>
                </c:pt>
                <c:pt idx="115">
                  <c:v>#N/A</c:v>
                </c:pt>
                <c:pt idx="116">
                  <c:v>#N/A</c:v>
                </c:pt>
                <c:pt idx="117">
                  <c:v>#N/A</c:v>
                </c:pt>
                <c:pt idx="118">
                  <c:v>#N/A</c:v>
                </c:pt>
                <c:pt idx="119">
                  <c:v>#N/A</c:v>
                </c:pt>
                <c:pt idx="120">
                  <c:v>#N/A</c:v>
                </c:pt>
                <c:pt idx="121">
                  <c:v>#N/A</c:v>
                </c:pt>
                <c:pt idx="122">
                  <c:v>#N/A</c:v>
                </c:pt>
                <c:pt idx="123">
                  <c:v>#N/A</c:v>
                </c:pt>
                <c:pt idx="124">
                  <c:v>#N/A</c:v>
                </c:pt>
                <c:pt idx="125">
                  <c:v>#N/A</c:v>
                </c:pt>
                <c:pt idx="126">
                  <c:v>#N/A</c:v>
                </c:pt>
                <c:pt idx="127">
                  <c:v>#N/A</c:v>
                </c:pt>
                <c:pt idx="128">
                  <c:v>#N/A</c:v>
                </c:pt>
                <c:pt idx="129">
                  <c:v>#N/A</c:v>
                </c:pt>
                <c:pt idx="130">
                  <c:v>#N/A</c:v>
                </c:pt>
                <c:pt idx="131">
                  <c:v>#N/A</c:v>
                </c:pt>
                <c:pt idx="132">
                  <c:v>#N/A</c:v>
                </c:pt>
                <c:pt idx="133">
                  <c:v>#N/A</c:v>
                </c:pt>
                <c:pt idx="134">
                  <c:v>#N/A</c:v>
                </c:pt>
                <c:pt idx="135">
                  <c:v>#N/A</c:v>
                </c:pt>
                <c:pt idx="136">
                  <c:v>#N/A</c:v>
                </c:pt>
                <c:pt idx="137">
                  <c:v>#N/A</c:v>
                </c:pt>
                <c:pt idx="138">
                  <c:v>#N/A</c:v>
                </c:pt>
                <c:pt idx="139">
                  <c:v>#N/A</c:v>
                </c:pt>
                <c:pt idx="140">
                  <c:v>#N/A</c:v>
                </c:pt>
                <c:pt idx="141">
                  <c:v>#N/A</c:v>
                </c:pt>
                <c:pt idx="142">
                  <c:v>#N/A</c:v>
                </c:pt>
                <c:pt idx="143">
                  <c:v>#N/A</c:v>
                </c:pt>
                <c:pt idx="144">
                  <c:v>#N/A</c:v>
                </c:pt>
                <c:pt idx="145">
                  <c:v>#N/A</c:v>
                </c:pt>
                <c:pt idx="146">
                  <c:v>#N/A</c:v>
                </c:pt>
                <c:pt idx="147">
                  <c:v>#N/A</c:v>
                </c:pt>
                <c:pt idx="148">
                  <c:v>#N/A</c:v>
                </c:pt>
                <c:pt idx="149">
                  <c:v>#N/A</c:v>
                </c:pt>
                <c:pt idx="150">
                  <c:v>#N/A</c:v>
                </c:pt>
                <c:pt idx="151">
                  <c:v>#N/A</c:v>
                </c:pt>
                <c:pt idx="152">
                  <c:v>#N/A</c:v>
                </c:pt>
                <c:pt idx="153">
                  <c:v>#N/A</c:v>
                </c:pt>
                <c:pt idx="154">
                  <c:v>#N/A</c:v>
                </c:pt>
                <c:pt idx="155">
                  <c:v>#N/A</c:v>
                </c:pt>
                <c:pt idx="156">
                  <c:v>#N/A</c:v>
                </c:pt>
                <c:pt idx="157">
                  <c:v>#N/A</c:v>
                </c:pt>
                <c:pt idx="158">
                  <c:v>#N/A</c:v>
                </c:pt>
                <c:pt idx="159">
                  <c:v>#N/A</c:v>
                </c:pt>
                <c:pt idx="160">
                  <c:v>#N/A</c:v>
                </c:pt>
                <c:pt idx="161">
                  <c:v>#N/A</c:v>
                </c:pt>
                <c:pt idx="162">
                  <c:v>#N/A</c:v>
                </c:pt>
                <c:pt idx="163">
                  <c:v>#N/A</c:v>
                </c:pt>
                <c:pt idx="164">
                  <c:v>#N/A</c:v>
                </c:pt>
                <c:pt idx="165">
                  <c:v>#N/A</c:v>
                </c:pt>
                <c:pt idx="166">
                  <c:v>#N/A</c:v>
                </c:pt>
                <c:pt idx="167">
                  <c:v>#N/A</c:v>
                </c:pt>
                <c:pt idx="168">
                  <c:v>#N/A</c:v>
                </c:pt>
                <c:pt idx="169">
                  <c:v>#N/A</c:v>
                </c:pt>
                <c:pt idx="170">
                  <c:v>#N/A</c:v>
                </c:pt>
                <c:pt idx="171">
                  <c:v>#N/A</c:v>
                </c:pt>
                <c:pt idx="172">
                  <c:v>#N/A</c:v>
                </c:pt>
                <c:pt idx="173">
                  <c:v>#N/A</c:v>
                </c:pt>
                <c:pt idx="174">
                  <c:v>#N/A</c:v>
                </c:pt>
                <c:pt idx="175">
                  <c:v>#N/A</c:v>
                </c:pt>
                <c:pt idx="176">
                  <c:v>#N/A</c:v>
                </c:pt>
                <c:pt idx="177">
                  <c:v>#N/A</c:v>
                </c:pt>
                <c:pt idx="178">
                  <c:v>#N/A</c:v>
                </c:pt>
                <c:pt idx="179">
                  <c:v>#N/A</c:v>
                </c:pt>
                <c:pt idx="180">
                  <c:v>#N/A</c:v>
                </c:pt>
                <c:pt idx="181">
                  <c:v>#N/A</c:v>
                </c:pt>
                <c:pt idx="182">
                  <c:v>#N/A</c:v>
                </c:pt>
                <c:pt idx="183">
                  <c:v>#N/A</c:v>
                </c:pt>
                <c:pt idx="184">
                  <c:v>#N/A</c:v>
                </c:pt>
                <c:pt idx="185">
                  <c:v>#N/A</c:v>
                </c:pt>
                <c:pt idx="186">
                  <c:v>#N/A</c:v>
                </c:pt>
                <c:pt idx="187">
                  <c:v>#N/A</c:v>
                </c:pt>
                <c:pt idx="188">
                  <c:v>#N/A</c:v>
                </c:pt>
                <c:pt idx="189">
                  <c:v>#N/A</c:v>
                </c:pt>
                <c:pt idx="190">
                  <c:v>#N/A</c:v>
                </c:pt>
                <c:pt idx="191">
                  <c:v>#N/A</c:v>
                </c:pt>
                <c:pt idx="192">
                  <c:v>#N/A</c:v>
                </c:pt>
                <c:pt idx="193">
                  <c:v>#N/A</c:v>
                </c:pt>
                <c:pt idx="194">
                  <c:v>#N/A</c:v>
                </c:pt>
                <c:pt idx="195">
                  <c:v>#N/A</c:v>
                </c:pt>
                <c:pt idx="196">
                  <c:v>#N/A</c:v>
                </c:pt>
                <c:pt idx="197">
                  <c:v>#N/A</c:v>
                </c:pt>
                <c:pt idx="198">
                  <c:v>#N/A</c:v>
                </c:pt>
                <c:pt idx="199">
                  <c:v>#N/A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8283-4701-991B-173EB1CC12E7}"/>
            </c:ext>
          </c:extLst>
        </c:ser>
        <c:ser>
          <c:idx val="2"/>
          <c:order val="2"/>
          <c:tx>
            <c:v>Market hours - Actual</c:v>
          </c:tx>
          <c:spPr>
            <a:ln w="25400">
              <a:solidFill>
                <a:srgbClr val="00A3E0"/>
              </a:solidFill>
              <a:prstDash val="solid"/>
            </a:ln>
          </c:spPr>
          <c:marker>
            <c:symbol val="none"/>
          </c:marker>
          <c:cat>
            <c:numRef>
              <c:f>Comparison!$A$2:$A$201</c:f>
              <c:numCache>
                <c:formatCode>m/d/yyyy</c:formatCode>
                <c:ptCount val="200"/>
              </c:numCache>
            </c:numRef>
          </c:cat>
          <c:val>
            <c:numRef>
              <c:f>Comparison!$AA$2:$AA$201</c:f>
              <c:numCache>
                <c:formatCode>General</c:formatCode>
                <c:ptCount val="200"/>
                <c:pt idx="0">
                  <c:v>#N/A</c:v>
                </c:pt>
                <c:pt idx="1">
                  <c:v>#N/A</c:v>
                </c:pt>
                <c:pt idx="2">
                  <c:v>#N/A</c:v>
                </c:pt>
                <c:pt idx="3">
                  <c:v>#N/A</c:v>
                </c:pt>
                <c:pt idx="4">
                  <c:v>#N/A</c:v>
                </c:pt>
                <c:pt idx="5">
                  <c:v>#N/A</c:v>
                </c:pt>
                <c:pt idx="6">
                  <c:v>#N/A</c:v>
                </c:pt>
                <c:pt idx="7">
                  <c:v>#N/A</c:v>
                </c:pt>
                <c:pt idx="8">
                  <c:v>#N/A</c:v>
                </c:pt>
                <c:pt idx="9">
                  <c:v>#N/A</c:v>
                </c:pt>
                <c:pt idx="10">
                  <c:v>#N/A</c:v>
                </c:pt>
                <c:pt idx="11">
                  <c:v>#N/A</c:v>
                </c:pt>
                <c:pt idx="12">
                  <c:v>#N/A</c:v>
                </c:pt>
                <c:pt idx="13">
                  <c:v>#N/A</c:v>
                </c:pt>
                <c:pt idx="14">
                  <c:v>#N/A</c:v>
                </c:pt>
                <c:pt idx="15">
                  <c:v>#N/A</c:v>
                </c:pt>
                <c:pt idx="16">
                  <c:v>#N/A</c:v>
                </c:pt>
                <c:pt idx="17">
                  <c:v>#N/A</c:v>
                </c:pt>
                <c:pt idx="18">
                  <c:v>#N/A</c:v>
                </c:pt>
                <c:pt idx="19">
                  <c:v>#N/A</c:v>
                </c:pt>
                <c:pt idx="20">
                  <c:v>#N/A</c:v>
                </c:pt>
                <c:pt idx="21">
                  <c:v>#N/A</c:v>
                </c:pt>
                <c:pt idx="22">
                  <c:v>#N/A</c:v>
                </c:pt>
                <c:pt idx="23">
                  <c:v>#N/A</c:v>
                </c:pt>
                <c:pt idx="24">
                  <c:v>#N/A</c:v>
                </c:pt>
                <c:pt idx="25">
                  <c:v>#N/A</c:v>
                </c:pt>
                <c:pt idx="26">
                  <c:v>#N/A</c:v>
                </c:pt>
                <c:pt idx="27">
                  <c:v>#N/A</c:v>
                </c:pt>
                <c:pt idx="28">
                  <c:v>#N/A</c:v>
                </c:pt>
                <c:pt idx="29">
                  <c:v>#N/A</c:v>
                </c:pt>
                <c:pt idx="30">
                  <c:v>#N/A</c:v>
                </c:pt>
                <c:pt idx="31">
                  <c:v>#N/A</c:v>
                </c:pt>
                <c:pt idx="32">
                  <c:v>#N/A</c:v>
                </c:pt>
                <c:pt idx="33">
                  <c:v>#N/A</c:v>
                </c:pt>
                <c:pt idx="34">
                  <c:v>#N/A</c:v>
                </c:pt>
                <c:pt idx="35">
                  <c:v>#N/A</c:v>
                </c:pt>
                <c:pt idx="36">
                  <c:v>#N/A</c:v>
                </c:pt>
                <c:pt idx="37">
                  <c:v>#N/A</c:v>
                </c:pt>
                <c:pt idx="38">
                  <c:v>#N/A</c:v>
                </c:pt>
                <c:pt idx="39">
                  <c:v>#N/A</c:v>
                </c:pt>
                <c:pt idx="40">
                  <c:v>#N/A</c:v>
                </c:pt>
                <c:pt idx="41">
                  <c:v>#N/A</c:v>
                </c:pt>
                <c:pt idx="42">
                  <c:v>#N/A</c:v>
                </c:pt>
                <c:pt idx="43">
                  <c:v>#N/A</c:v>
                </c:pt>
                <c:pt idx="44">
                  <c:v>#N/A</c:v>
                </c:pt>
                <c:pt idx="45">
                  <c:v>#N/A</c:v>
                </c:pt>
                <c:pt idx="46">
                  <c:v>#N/A</c:v>
                </c:pt>
                <c:pt idx="47">
                  <c:v>#N/A</c:v>
                </c:pt>
                <c:pt idx="48">
                  <c:v>#N/A</c:v>
                </c:pt>
                <c:pt idx="49">
                  <c:v>#N/A</c:v>
                </c:pt>
                <c:pt idx="50">
                  <c:v>#N/A</c:v>
                </c:pt>
                <c:pt idx="51">
                  <c:v>#N/A</c:v>
                </c:pt>
                <c:pt idx="52">
                  <c:v>#N/A</c:v>
                </c:pt>
                <c:pt idx="53">
                  <c:v>#N/A</c:v>
                </c:pt>
                <c:pt idx="54">
                  <c:v>#N/A</c:v>
                </c:pt>
                <c:pt idx="55">
                  <c:v>#N/A</c:v>
                </c:pt>
                <c:pt idx="56">
                  <c:v>#N/A</c:v>
                </c:pt>
                <c:pt idx="57">
                  <c:v>#N/A</c:v>
                </c:pt>
                <c:pt idx="58">
                  <c:v>#N/A</c:v>
                </c:pt>
                <c:pt idx="59">
                  <c:v>#N/A</c:v>
                </c:pt>
                <c:pt idx="60">
                  <c:v>#N/A</c:v>
                </c:pt>
                <c:pt idx="61">
                  <c:v>#N/A</c:v>
                </c:pt>
                <c:pt idx="62">
                  <c:v>#N/A</c:v>
                </c:pt>
                <c:pt idx="63">
                  <c:v>#N/A</c:v>
                </c:pt>
                <c:pt idx="64">
                  <c:v>#N/A</c:v>
                </c:pt>
                <c:pt idx="65">
                  <c:v>#N/A</c:v>
                </c:pt>
                <c:pt idx="66">
                  <c:v>#N/A</c:v>
                </c:pt>
                <c:pt idx="67">
                  <c:v>#N/A</c:v>
                </c:pt>
                <c:pt idx="68">
                  <c:v>#N/A</c:v>
                </c:pt>
                <c:pt idx="69">
                  <c:v>#N/A</c:v>
                </c:pt>
                <c:pt idx="70">
                  <c:v>#N/A</c:v>
                </c:pt>
                <c:pt idx="71">
                  <c:v>#N/A</c:v>
                </c:pt>
                <c:pt idx="72">
                  <c:v>#N/A</c:v>
                </c:pt>
                <c:pt idx="73">
                  <c:v>#N/A</c:v>
                </c:pt>
                <c:pt idx="74">
                  <c:v>#N/A</c:v>
                </c:pt>
                <c:pt idx="75">
                  <c:v>#N/A</c:v>
                </c:pt>
                <c:pt idx="76">
                  <c:v>#N/A</c:v>
                </c:pt>
                <c:pt idx="77">
                  <c:v>#N/A</c:v>
                </c:pt>
                <c:pt idx="78">
                  <c:v>#N/A</c:v>
                </c:pt>
                <c:pt idx="79">
                  <c:v>#N/A</c:v>
                </c:pt>
                <c:pt idx="80">
                  <c:v>#N/A</c:v>
                </c:pt>
                <c:pt idx="81">
                  <c:v>#N/A</c:v>
                </c:pt>
                <c:pt idx="82">
                  <c:v>#N/A</c:v>
                </c:pt>
                <c:pt idx="83">
                  <c:v>#N/A</c:v>
                </c:pt>
                <c:pt idx="84">
                  <c:v>#N/A</c:v>
                </c:pt>
                <c:pt idx="85">
                  <c:v>#N/A</c:v>
                </c:pt>
                <c:pt idx="86">
                  <c:v>#N/A</c:v>
                </c:pt>
                <c:pt idx="87">
                  <c:v>#N/A</c:v>
                </c:pt>
                <c:pt idx="88">
                  <c:v>#N/A</c:v>
                </c:pt>
                <c:pt idx="89">
                  <c:v>#N/A</c:v>
                </c:pt>
                <c:pt idx="90">
                  <c:v>#N/A</c:v>
                </c:pt>
                <c:pt idx="91">
                  <c:v>#N/A</c:v>
                </c:pt>
                <c:pt idx="92">
                  <c:v>#N/A</c:v>
                </c:pt>
                <c:pt idx="93">
                  <c:v>#N/A</c:v>
                </c:pt>
                <c:pt idx="94">
                  <c:v>#N/A</c:v>
                </c:pt>
                <c:pt idx="95">
                  <c:v>#N/A</c:v>
                </c:pt>
                <c:pt idx="96">
                  <c:v>#N/A</c:v>
                </c:pt>
                <c:pt idx="97">
                  <c:v>#N/A</c:v>
                </c:pt>
                <c:pt idx="98">
                  <c:v>#N/A</c:v>
                </c:pt>
                <c:pt idx="99">
                  <c:v>#N/A</c:v>
                </c:pt>
                <c:pt idx="100">
                  <c:v>#N/A</c:v>
                </c:pt>
                <c:pt idx="101">
                  <c:v>#N/A</c:v>
                </c:pt>
                <c:pt idx="102">
                  <c:v>#N/A</c:v>
                </c:pt>
                <c:pt idx="103">
                  <c:v>#N/A</c:v>
                </c:pt>
                <c:pt idx="104">
                  <c:v>#N/A</c:v>
                </c:pt>
                <c:pt idx="105">
                  <c:v>#N/A</c:v>
                </c:pt>
                <c:pt idx="106">
                  <c:v>#N/A</c:v>
                </c:pt>
                <c:pt idx="107">
                  <c:v>#N/A</c:v>
                </c:pt>
                <c:pt idx="108">
                  <c:v>#N/A</c:v>
                </c:pt>
                <c:pt idx="109">
                  <c:v>#N/A</c:v>
                </c:pt>
                <c:pt idx="110">
                  <c:v>#N/A</c:v>
                </c:pt>
                <c:pt idx="111">
                  <c:v>#N/A</c:v>
                </c:pt>
                <c:pt idx="112">
                  <c:v>#N/A</c:v>
                </c:pt>
                <c:pt idx="113">
                  <c:v>#N/A</c:v>
                </c:pt>
                <c:pt idx="114">
                  <c:v>#N/A</c:v>
                </c:pt>
                <c:pt idx="115">
                  <c:v>#N/A</c:v>
                </c:pt>
                <c:pt idx="116">
                  <c:v>#N/A</c:v>
                </c:pt>
                <c:pt idx="117">
                  <c:v>#N/A</c:v>
                </c:pt>
                <c:pt idx="118">
                  <c:v>#N/A</c:v>
                </c:pt>
                <c:pt idx="119">
                  <c:v>#N/A</c:v>
                </c:pt>
                <c:pt idx="120">
                  <c:v>#N/A</c:v>
                </c:pt>
                <c:pt idx="121">
                  <c:v>#N/A</c:v>
                </c:pt>
                <c:pt idx="122">
                  <c:v>#N/A</c:v>
                </c:pt>
                <c:pt idx="123">
                  <c:v>#N/A</c:v>
                </c:pt>
                <c:pt idx="124">
                  <c:v>#N/A</c:v>
                </c:pt>
                <c:pt idx="125">
                  <c:v>#N/A</c:v>
                </c:pt>
                <c:pt idx="126">
                  <c:v>#N/A</c:v>
                </c:pt>
                <c:pt idx="127">
                  <c:v>#N/A</c:v>
                </c:pt>
                <c:pt idx="128">
                  <c:v>#N/A</c:v>
                </c:pt>
                <c:pt idx="129">
                  <c:v>#N/A</c:v>
                </c:pt>
                <c:pt idx="130">
                  <c:v>#N/A</c:v>
                </c:pt>
                <c:pt idx="131">
                  <c:v>#N/A</c:v>
                </c:pt>
                <c:pt idx="132">
                  <c:v>#N/A</c:v>
                </c:pt>
                <c:pt idx="133">
                  <c:v>#N/A</c:v>
                </c:pt>
                <c:pt idx="134">
                  <c:v>#N/A</c:v>
                </c:pt>
                <c:pt idx="135">
                  <c:v>#N/A</c:v>
                </c:pt>
                <c:pt idx="136">
                  <c:v>#N/A</c:v>
                </c:pt>
                <c:pt idx="137">
                  <c:v>#N/A</c:v>
                </c:pt>
                <c:pt idx="138">
                  <c:v>#N/A</c:v>
                </c:pt>
                <c:pt idx="139">
                  <c:v>#N/A</c:v>
                </c:pt>
                <c:pt idx="140">
                  <c:v>#N/A</c:v>
                </c:pt>
                <c:pt idx="141">
                  <c:v>#N/A</c:v>
                </c:pt>
                <c:pt idx="142">
                  <c:v>#N/A</c:v>
                </c:pt>
                <c:pt idx="143">
                  <c:v>#N/A</c:v>
                </c:pt>
                <c:pt idx="144">
                  <c:v>#N/A</c:v>
                </c:pt>
                <c:pt idx="145">
                  <c:v>#N/A</c:v>
                </c:pt>
                <c:pt idx="146">
                  <c:v>#N/A</c:v>
                </c:pt>
                <c:pt idx="147">
                  <c:v>#N/A</c:v>
                </c:pt>
                <c:pt idx="148">
                  <c:v>#N/A</c:v>
                </c:pt>
                <c:pt idx="149">
                  <c:v>#N/A</c:v>
                </c:pt>
                <c:pt idx="150">
                  <c:v>#N/A</c:v>
                </c:pt>
                <c:pt idx="151">
                  <c:v>#N/A</c:v>
                </c:pt>
                <c:pt idx="152">
                  <c:v>#N/A</c:v>
                </c:pt>
                <c:pt idx="153">
                  <c:v>#N/A</c:v>
                </c:pt>
                <c:pt idx="154">
                  <c:v>#N/A</c:v>
                </c:pt>
                <c:pt idx="155">
                  <c:v>#N/A</c:v>
                </c:pt>
                <c:pt idx="156">
                  <c:v>#N/A</c:v>
                </c:pt>
                <c:pt idx="157">
                  <c:v>#N/A</c:v>
                </c:pt>
                <c:pt idx="158">
                  <c:v>#N/A</c:v>
                </c:pt>
                <c:pt idx="159">
                  <c:v>#N/A</c:v>
                </c:pt>
                <c:pt idx="160">
                  <c:v>#N/A</c:v>
                </c:pt>
                <c:pt idx="161">
                  <c:v>#N/A</c:v>
                </c:pt>
                <c:pt idx="162">
                  <c:v>#N/A</c:v>
                </c:pt>
                <c:pt idx="163">
                  <c:v>#N/A</c:v>
                </c:pt>
                <c:pt idx="164">
                  <c:v>#N/A</c:v>
                </c:pt>
                <c:pt idx="165">
                  <c:v>#N/A</c:v>
                </c:pt>
                <c:pt idx="166">
                  <c:v>#N/A</c:v>
                </c:pt>
                <c:pt idx="167">
                  <c:v>#N/A</c:v>
                </c:pt>
                <c:pt idx="168">
                  <c:v>#N/A</c:v>
                </c:pt>
                <c:pt idx="169">
                  <c:v>#N/A</c:v>
                </c:pt>
                <c:pt idx="170">
                  <c:v>#N/A</c:v>
                </c:pt>
                <c:pt idx="171">
                  <c:v>#N/A</c:v>
                </c:pt>
                <c:pt idx="172">
                  <c:v>#N/A</c:v>
                </c:pt>
                <c:pt idx="173">
                  <c:v>#N/A</c:v>
                </c:pt>
                <c:pt idx="174">
                  <c:v>#N/A</c:v>
                </c:pt>
                <c:pt idx="175">
                  <c:v>#N/A</c:v>
                </c:pt>
                <c:pt idx="176">
                  <c:v>#N/A</c:v>
                </c:pt>
                <c:pt idx="177">
                  <c:v>#N/A</c:v>
                </c:pt>
                <c:pt idx="178">
                  <c:v>#N/A</c:v>
                </c:pt>
                <c:pt idx="179">
                  <c:v>#N/A</c:v>
                </c:pt>
                <c:pt idx="180">
                  <c:v>#N/A</c:v>
                </c:pt>
                <c:pt idx="181">
                  <c:v>#N/A</c:v>
                </c:pt>
                <c:pt idx="182">
                  <c:v>#N/A</c:v>
                </c:pt>
                <c:pt idx="183">
                  <c:v>#N/A</c:v>
                </c:pt>
                <c:pt idx="184">
                  <c:v>#N/A</c:v>
                </c:pt>
                <c:pt idx="185">
                  <c:v>#N/A</c:v>
                </c:pt>
                <c:pt idx="186">
                  <c:v>#N/A</c:v>
                </c:pt>
                <c:pt idx="187">
                  <c:v>#N/A</c:v>
                </c:pt>
                <c:pt idx="188">
                  <c:v>#N/A</c:v>
                </c:pt>
                <c:pt idx="189">
                  <c:v>#N/A</c:v>
                </c:pt>
                <c:pt idx="190">
                  <c:v>#N/A</c:v>
                </c:pt>
                <c:pt idx="191">
                  <c:v>#N/A</c:v>
                </c:pt>
                <c:pt idx="192">
                  <c:v>#N/A</c:v>
                </c:pt>
                <c:pt idx="193">
                  <c:v>#N/A</c:v>
                </c:pt>
                <c:pt idx="194">
                  <c:v>#N/A</c:v>
                </c:pt>
                <c:pt idx="195">
                  <c:v>#N/A</c:v>
                </c:pt>
                <c:pt idx="196">
                  <c:v>#N/A</c:v>
                </c:pt>
                <c:pt idx="197">
                  <c:v>#N/A</c:v>
                </c:pt>
                <c:pt idx="198">
                  <c:v>#N/A</c:v>
                </c:pt>
                <c:pt idx="199">
                  <c:v>#N/A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8283-4701-991B-173EB1CC12E7}"/>
            </c:ext>
          </c:extLst>
        </c:ser>
        <c:ser>
          <c:idx val="3"/>
          <c:order val="3"/>
          <c:tx>
            <c:v>Market hours - Forecast</c:v>
          </c:tx>
          <c:spPr>
            <a:ln w="25400">
              <a:solidFill>
                <a:srgbClr val="00A3E0"/>
              </a:solidFill>
              <a:prstDash val="dash"/>
            </a:ln>
          </c:spPr>
          <c:marker>
            <c:symbol val="none"/>
          </c:marker>
          <c:cat>
            <c:numRef>
              <c:f>Comparison!$A$2:$A$201</c:f>
              <c:numCache>
                <c:formatCode>m/d/yyyy</c:formatCode>
                <c:ptCount val="200"/>
              </c:numCache>
            </c:numRef>
          </c:cat>
          <c:val>
            <c:numRef>
              <c:f>Comparison!$AB$2:$AB$201</c:f>
              <c:numCache>
                <c:formatCode>General</c:formatCode>
                <c:ptCount val="200"/>
                <c:pt idx="0">
                  <c:v>#N/A</c:v>
                </c:pt>
                <c:pt idx="1">
                  <c:v>#N/A</c:v>
                </c:pt>
                <c:pt idx="2">
                  <c:v>#N/A</c:v>
                </c:pt>
                <c:pt idx="3">
                  <c:v>#N/A</c:v>
                </c:pt>
                <c:pt idx="4">
                  <c:v>#N/A</c:v>
                </c:pt>
                <c:pt idx="5">
                  <c:v>#N/A</c:v>
                </c:pt>
                <c:pt idx="6">
                  <c:v>#N/A</c:v>
                </c:pt>
                <c:pt idx="7">
                  <c:v>#N/A</c:v>
                </c:pt>
                <c:pt idx="8">
                  <c:v>#N/A</c:v>
                </c:pt>
                <c:pt idx="9">
                  <c:v>#N/A</c:v>
                </c:pt>
                <c:pt idx="10">
                  <c:v>#N/A</c:v>
                </c:pt>
                <c:pt idx="11">
                  <c:v>#N/A</c:v>
                </c:pt>
                <c:pt idx="12">
                  <c:v>#N/A</c:v>
                </c:pt>
                <c:pt idx="13">
                  <c:v>#N/A</c:v>
                </c:pt>
                <c:pt idx="14">
                  <c:v>#N/A</c:v>
                </c:pt>
                <c:pt idx="15">
                  <c:v>#N/A</c:v>
                </c:pt>
                <c:pt idx="16">
                  <c:v>#N/A</c:v>
                </c:pt>
                <c:pt idx="17">
                  <c:v>#N/A</c:v>
                </c:pt>
                <c:pt idx="18">
                  <c:v>#N/A</c:v>
                </c:pt>
                <c:pt idx="19">
                  <c:v>#N/A</c:v>
                </c:pt>
                <c:pt idx="20">
                  <c:v>#N/A</c:v>
                </c:pt>
                <c:pt idx="21">
                  <c:v>#N/A</c:v>
                </c:pt>
                <c:pt idx="22">
                  <c:v>#N/A</c:v>
                </c:pt>
                <c:pt idx="23">
                  <c:v>#N/A</c:v>
                </c:pt>
                <c:pt idx="24">
                  <c:v>#N/A</c:v>
                </c:pt>
                <c:pt idx="25">
                  <c:v>#N/A</c:v>
                </c:pt>
                <c:pt idx="26">
                  <c:v>#N/A</c:v>
                </c:pt>
                <c:pt idx="27">
                  <c:v>#N/A</c:v>
                </c:pt>
                <c:pt idx="28">
                  <c:v>#N/A</c:v>
                </c:pt>
                <c:pt idx="29">
                  <c:v>#N/A</c:v>
                </c:pt>
                <c:pt idx="30">
                  <c:v>#N/A</c:v>
                </c:pt>
                <c:pt idx="31">
                  <c:v>#N/A</c:v>
                </c:pt>
                <c:pt idx="32">
                  <c:v>#N/A</c:v>
                </c:pt>
                <c:pt idx="33">
                  <c:v>#N/A</c:v>
                </c:pt>
                <c:pt idx="34">
                  <c:v>#N/A</c:v>
                </c:pt>
                <c:pt idx="35">
                  <c:v>#N/A</c:v>
                </c:pt>
                <c:pt idx="36">
                  <c:v>#N/A</c:v>
                </c:pt>
                <c:pt idx="37">
                  <c:v>#N/A</c:v>
                </c:pt>
                <c:pt idx="38">
                  <c:v>#N/A</c:v>
                </c:pt>
                <c:pt idx="39">
                  <c:v>#N/A</c:v>
                </c:pt>
                <c:pt idx="40">
                  <c:v>#N/A</c:v>
                </c:pt>
                <c:pt idx="41">
                  <c:v>#N/A</c:v>
                </c:pt>
                <c:pt idx="42">
                  <c:v>#N/A</c:v>
                </c:pt>
                <c:pt idx="43">
                  <c:v>#N/A</c:v>
                </c:pt>
                <c:pt idx="44">
                  <c:v>#N/A</c:v>
                </c:pt>
                <c:pt idx="45">
                  <c:v>#N/A</c:v>
                </c:pt>
                <c:pt idx="46">
                  <c:v>#N/A</c:v>
                </c:pt>
                <c:pt idx="47">
                  <c:v>#N/A</c:v>
                </c:pt>
                <c:pt idx="48">
                  <c:v>#N/A</c:v>
                </c:pt>
                <c:pt idx="49">
                  <c:v>#N/A</c:v>
                </c:pt>
                <c:pt idx="50">
                  <c:v>#N/A</c:v>
                </c:pt>
                <c:pt idx="51">
                  <c:v>#N/A</c:v>
                </c:pt>
                <c:pt idx="52">
                  <c:v>#N/A</c:v>
                </c:pt>
                <c:pt idx="53">
                  <c:v>#N/A</c:v>
                </c:pt>
                <c:pt idx="54">
                  <c:v>#N/A</c:v>
                </c:pt>
                <c:pt idx="55">
                  <c:v>#N/A</c:v>
                </c:pt>
                <c:pt idx="56">
                  <c:v>#N/A</c:v>
                </c:pt>
                <c:pt idx="57">
                  <c:v>#N/A</c:v>
                </c:pt>
                <c:pt idx="58">
                  <c:v>#N/A</c:v>
                </c:pt>
                <c:pt idx="59">
                  <c:v>#N/A</c:v>
                </c:pt>
                <c:pt idx="60">
                  <c:v>#N/A</c:v>
                </c:pt>
                <c:pt idx="61">
                  <c:v>#N/A</c:v>
                </c:pt>
                <c:pt idx="62">
                  <c:v>#N/A</c:v>
                </c:pt>
                <c:pt idx="63">
                  <c:v>#N/A</c:v>
                </c:pt>
                <c:pt idx="64">
                  <c:v>#N/A</c:v>
                </c:pt>
                <c:pt idx="65">
                  <c:v>#N/A</c:v>
                </c:pt>
                <c:pt idx="66">
                  <c:v>#N/A</c:v>
                </c:pt>
                <c:pt idx="67">
                  <c:v>#N/A</c:v>
                </c:pt>
                <c:pt idx="68">
                  <c:v>#N/A</c:v>
                </c:pt>
                <c:pt idx="69">
                  <c:v>#N/A</c:v>
                </c:pt>
                <c:pt idx="70">
                  <c:v>#N/A</c:v>
                </c:pt>
                <c:pt idx="71">
                  <c:v>#N/A</c:v>
                </c:pt>
                <c:pt idx="72">
                  <c:v>#N/A</c:v>
                </c:pt>
                <c:pt idx="73">
                  <c:v>#N/A</c:v>
                </c:pt>
                <c:pt idx="74">
                  <c:v>#N/A</c:v>
                </c:pt>
                <c:pt idx="75">
                  <c:v>#N/A</c:v>
                </c:pt>
                <c:pt idx="76">
                  <c:v>#N/A</c:v>
                </c:pt>
                <c:pt idx="77">
                  <c:v>#N/A</c:v>
                </c:pt>
                <c:pt idx="78">
                  <c:v>#N/A</c:v>
                </c:pt>
                <c:pt idx="79">
                  <c:v>#N/A</c:v>
                </c:pt>
                <c:pt idx="80">
                  <c:v>#N/A</c:v>
                </c:pt>
                <c:pt idx="81">
                  <c:v>#N/A</c:v>
                </c:pt>
                <c:pt idx="82">
                  <c:v>#N/A</c:v>
                </c:pt>
                <c:pt idx="83">
                  <c:v>#N/A</c:v>
                </c:pt>
                <c:pt idx="84">
                  <c:v>#N/A</c:v>
                </c:pt>
                <c:pt idx="85">
                  <c:v>#N/A</c:v>
                </c:pt>
                <c:pt idx="86">
                  <c:v>#N/A</c:v>
                </c:pt>
                <c:pt idx="87">
                  <c:v>#N/A</c:v>
                </c:pt>
                <c:pt idx="88">
                  <c:v>#N/A</c:v>
                </c:pt>
                <c:pt idx="89">
                  <c:v>#N/A</c:v>
                </c:pt>
                <c:pt idx="90">
                  <c:v>#N/A</c:v>
                </c:pt>
                <c:pt idx="91">
                  <c:v>#N/A</c:v>
                </c:pt>
                <c:pt idx="92">
                  <c:v>#N/A</c:v>
                </c:pt>
                <c:pt idx="93">
                  <c:v>#N/A</c:v>
                </c:pt>
                <c:pt idx="94">
                  <c:v>#N/A</c:v>
                </c:pt>
                <c:pt idx="95">
                  <c:v>#N/A</c:v>
                </c:pt>
                <c:pt idx="96">
                  <c:v>#N/A</c:v>
                </c:pt>
                <c:pt idx="97">
                  <c:v>#N/A</c:v>
                </c:pt>
                <c:pt idx="98">
                  <c:v>#N/A</c:v>
                </c:pt>
                <c:pt idx="99">
                  <c:v>#N/A</c:v>
                </c:pt>
                <c:pt idx="100">
                  <c:v>#N/A</c:v>
                </c:pt>
                <c:pt idx="101">
                  <c:v>#N/A</c:v>
                </c:pt>
                <c:pt idx="102">
                  <c:v>#N/A</c:v>
                </c:pt>
                <c:pt idx="103">
                  <c:v>#N/A</c:v>
                </c:pt>
                <c:pt idx="104">
                  <c:v>#N/A</c:v>
                </c:pt>
                <c:pt idx="105">
                  <c:v>#N/A</c:v>
                </c:pt>
                <c:pt idx="106">
                  <c:v>#N/A</c:v>
                </c:pt>
                <c:pt idx="107">
                  <c:v>#N/A</c:v>
                </c:pt>
                <c:pt idx="108">
                  <c:v>#N/A</c:v>
                </c:pt>
                <c:pt idx="109">
                  <c:v>#N/A</c:v>
                </c:pt>
                <c:pt idx="110">
                  <c:v>#N/A</c:v>
                </c:pt>
                <c:pt idx="111">
                  <c:v>#N/A</c:v>
                </c:pt>
                <c:pt idx="112">
                  <c:v>#N/A</c:v>
                </c:pt>
                <c:pt idx="113">
                  <c:v>#N/A</c:v>
                </c:pt>
                <c:pt idx="114">
                  <c:v>#N/A</c:v>
                </c:pt>
                <c:pt idx="115">
                  <c:v>#N/A</c:v>
                </c:pt>
                <c:pt idx="116">
                  <c:v>#N/A</c:v>
                </c:pt>
                <c:pt idx="117">
                  <c:v>#N/A</c:v>
                </c:pt>
                <c:pt idx="118">
                  <c:v>#N/A</c:v>
                </c:pt>
                <c:pt idx="119">
                  <c:v>#N/A</c:v>
                </c:pt>
                <c:pt idx="120">
                  <c:v>#N/A</c:v>
                </c:pt>
                <c:pt idx="121">
                  <c:v>#N/A</c:v>
                </c:pt>
                <c:pt idx="122">
                  <c:v>#N/A</c:v>
                </c:pt>
                <c:pt idx="123">
                  <c:v>#N/A</c:v>
                </c:pt>
                <c:pt idx="124">
                  <c:v>#N/A</c:v>
                </c:pt>
                <c:pt idx="125">
                  <c:v>#N/A</c:v>
                </c:pt>
                <c:pt idx="126">
                  <c:v>#N/A</c:v>
                </c:pt>
                <c:pt idx="127">
                  <c:v>#N/A</c:v>
                </c:pt>
                <c:pt idx="128">
                  <c:v>#N/A</c:v>
                </c:pt>
                <c:pt idx="129">
                  <c:v>#N/A</c:v>
                </c:pt>
                <c:pt idx="130">
                  <c:v>#N/A</c:v>
                </c:pt>
                <c:pt idx="131">
                  <c:v>#N/A</c:v>
                </c:pt>
                <c:pt idx="132">
                  <c:v>#N/A</c:v>
                </c:pt>
                <c:pt idx="133">
                  <c:v>#N/A</c:v>
                </c:pt>
                <c:pt idx="134">
                  <c:v>#N/A</c:v>
                </c:pt>
                <c:pt idx="135">
                  <c:v>#N/A</c:v>
                </c:pt>
                <c:pt idx="136">
                  <c:v>#N/A</c:v>
                </c:pt>
                <c:pt idx="137">
                  <c:v>#N/A</c:v>
                </c:pt>
                <c:pt idx="138">
                  <c:v>#N/A</c:v>
                </c:pt>
                <c:pt idx="139">
                  <c:v>#N/A</c:v>
                </c:pt>
                <c:pt idx="140">
                  <c:v>#N/A</c:v>
                </c:pt>
                <c:pt idx="141">
                  <c:v>#N/A</c:v>
                </c:pt>
                <c:pt idx="142">
                  <c:v>#N/A</c:v>
                </c:pt>
                <c:pt idx="143">
                  <c:v>#N/A</c:v>
                </c:pt>
                <c:pt idx="144">
                  <c:v>#N/A</c:v>
                </c:pt>
                <c:pt idx="145">
                  <c:v>#N/A</c:v>
                </c:pt>
                <c:pt idx="146">
                  <c:v>#N/A</c:v>
                </c:pt>
                <c:pt idx="147">
                  <c:v>#N/A</c:v>
                </c:pt>
                <c:pt idx="148">
                  <c:v>#N/A</c:v>
                </c:pt>
                <c:pt idx="149">
                  <c:v>#N/A</c:v>
                </c:pt>
                <c:pt idx="150">
                  <c:v>#N/A</c:v>
                </c:pt>
                <c:pt idx="151">
                  <c:v>#N/A</c:v>
                </c:pt>
                <c:pt idx="152">
                  <c:v>#N/A</c:v>
                </c:pt>
                <c:pt idx="153">
                  <c:v>#N/A</c:v>
                </c:pt>
                <c:pt idx="154">
                  <c:v>#N/A</c:v>
                </c:pt>
                <c:pt idx="155">
                  <c:v>#N/A</c:v>
                </c:pt>
                <c:pt idx="156">
                  <c:v>#N/A</c:v>
                </c:pt>
                <c:pt idx="157">
                  <c:v>#N/A</c:v>
                </c:pt>
                <c:pt idx="158">
                  <c:v>#N/A</c:v>
                </c:pt>
                <c:pt idx="159">
                  <c:v>#N/A</c:v>
                </c:pt>
                <c:pt idx="160">
                  <c:v>#N/A</c:v>
                </c:pt>
                <c:pt idx="161">
                  <c:v>#N/A</c:v>
                </c:pt>
                <c:pt idx="162">
                  <c:v>#N/A</c:v>
                </c:pt>
                <c:pt idx="163">
                  <c:v>#N/A</c:v>
                </c:pt>
                <c:pt idx="164">
                  <c:v>#N/A</c:v>
                </c:pt>
                <c:pt idx="165">
                  <c:v>#N/A</c:v>
                </c:pt>
                <c:pt idx="166">
                  <c:v>#N/A</c:v>
                </c:pt>
                <c:pt idx="167">
                  <c:v>#N/A</c:v>
                </c:pt>
                <c:pt idx="168">
                  <c:v>#N/A</c:v>
                </c:pt>
                <c:pt idx="169">
                  <c:v>#N/A</c:v>
                </c:pt>
                <c:pt idx="170">
                  <c:v>#N/A</c:v>
                </c:pt>
                <c:pt idx="171">
                  <c:v>#N/A</c:v>
                </c:pt>
                <c:pt idx="172">
                  <c:v>#N/A</c:v>
                </c:pt>
                <c:pt idx="173">
                  <c:v>#N/A</c:v>
                </c:pt>
                <c:pt idx="174">
                  <c:v>#N/A</c:v>
                </c:pt>
                <c:pt idx="175">
                  <c:v>#N/A</c:v>
                </c:pt>
                <c:pt idx="176">
                  <c:v>#N/A</c:v>
                </c:pt>
                <c:pt idx="177">
                  <c:v>#N/A</c:v>
                </c:pt>
                <c:pt idx="178">
                  <c:v>#N/A</c:v>
                </c:pt>
                <c:pt idx="179">
                  <c:v>#N/A</c:v>
                </c:pt>
                <c:pt idx="180">
                  <c:v>#N/A</c:v>
                </c:pt>
                <c:pt idx="181">
                  <c:v>#N/A</c:v>
                </c:pt>
                <c:pt idx="182">
                  <c:v>#N/A</c:v>
                </c:pt>
                <c:pt idx="183">
                  <c:v>#N/A</c:v>
                </c:pt>
                <c:pt idx="184">
                  <c:v>#N/A</c:v>
                </c:pt>
                <c:pt idx="185">
                  <c:v>#N/A</c:v>
                </c:pt>
                <c:pt idx="186">
                  <c:v>#N/A</c:v>
                </c:pt>
                <c:pt idx="187">
                  <c:v>#N/A</c:v>
                </c:pt>
                <c:pt idx="188">
                  <c:v>#N/A</c:v>
                </c:pt>
                <c:pt idx="189">
                  <c:v>#N/A</c:v>
                </c:pt>
                <c:pt idx="190">
                  <c:v>#N/A</c:v>
                </c:pt>
                <c:pt idx="191">
                  <c:v>#N/A</c:v>
                </c:pt>
                <c:pt idx="192">
                  <c:v>#N/A</c:v>
                </c:pt>
                <c:pt idx="193">
                  <c:v>#N/A</c:v>
                </c:pt>
                <c:pt idx="194">
                  <c:v>#N/A</c:v>
                </c:pt>
                <c:pt idx="195">
                  <c:v>#N/A</c:v>
                </c:pt>
                <c:pt idx="196">
                  <c:v>#N/A</c:v>
                </c:pt>
                <c:pt idx="197">
                  <c:v>#N/A</c:v>
                </c:pt>
                <c:pt idx="198">
                  <c:v>#N/A</c:v>
                </c:pt>
                <c:pt idx="199">
                  <c:v>#N/A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8283-4701-991B-173EB1CC12E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50020001"/>
        <c:axId val="50020002"/>
      </c:lineChart>
      <c:catAx>
        <c:axId val="50020001"/>
        <c:scaling>
          <c:orientation val="minMax"/>
        </c:scaling>
        <c:delete val="0"/>
        <c:axPos val="b"/>
        <c:numFmt formatCode="yyyy" sourceLinked="0"/>
        <c:majorTickMark val="out"/>
        <c:minorTickMark val="none"/>
        <c:tickLblPos val="nextTo"/>
        <c:crossAx val="50020002"/>
        <c:crosses val="autoZero"/>
        <c:auto val="1"/>
        <c:lblAlgn val="ctr"/>
        <c:lblOffset val="100"/>
        <c:noMultiLvlLbl val="0"/>
      </c:catAx>
      <c:valAx>
        <c:axId val="50020002"/>
        <c:scaling>
          <c:orientation val="minMax"/>
        </c:scaling>
        <c:delete val="0"/>
        <c:axPos val="l"/>
        <c:title>
          <c:tx>
            <c:rich>
              <a:bodyPr rot="0" vert="horz" anchor="t" anchorCtr="1"/>
              <a:lstStyle/>
              <a:p>
                <a:pPr>
                  <a:defRPr/>
                </a:pPr>
                <a:r>
                  <a:rPr lang="en-US"/>
                  <a:t>2024Q4 = 100</a:t>
                </a:r>
              </a:p>
            </c:rich>
          </c:tx>
          <c:layout>
            <c:manualLayout>
              <c:xMode val="edge"/>
              <c:yMode val="edge"/>
              <c:x val="3.6231884057971016E-2"/>
              <c:y val="5.7575063179022133E-2"/>
            </c:manualLayout>
          </c:layout>
          <c:overlay val="0"/>
        </c:title>
        <c:numFmt formatCode="General" sourceLinked="1"/>
        <c:majorTickMark val="out"/>
        <c:minorTickMark val="none"/>
        <c:tickLblPos val="nextTo"/>
        <c:crossAx val="50020001"/>
        <c:crosses val="autoZero"/>
        <c:crossBetween val="between"/>
      </c:valAx>
    </c:plotArea>
    <c:legend>
      <c:legendPos val="b"/>
      <c:overlay val="0"/>
    </c:legend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Unemployment and interest rates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Unemployment - Actual</c:v>
          </c:tx>
          <c:spPr>
            <a:ln w="25400">
              <a:solidFill>
                <a:srgbClr val="86BC25"/>
              </a:solidFill>
              <a:prstDash val="solid"/>
            </a:ln>
          </c:spPr>
          <c:marker>
            <c:symbol val="none"/>
          </c:marker>
          <c:cat>
            <c:numRef>
              <c:f>Comparison!$A$2:$A$201</c:f>
              <c:numCache>
                <c:formatCode>m/d/yyyy</c:formatCode>
                <c:ptCount val="200"/>
              </c:numCache>
            </c:numRef>
          </c:cat>
          <c:val>
            <c:numRef>
              <c:f>Comparison!$AC$2:$AC$201</c:f>
              <c:numCache>
                <c:formatCode>General</c:formatCode>
                <c:ptCount val="200"/>
                <c:pt idx="0">
                  <c:v>#N/A</c:v>
                </c:pt>
                <c:pt idx="1">
                  <c:v>#N/A</c:v>
                </c:pt>
                <c:pt idx="2">
                  <c:v>#N/A</c:v>
                </c:pt>
                <c:pt idx="3">
                  <c:v>#N/A</c:v>
                </c:pt>
                <c:pt idx="4">
                  <c:v>#N/A</c:v>
                </c:pt>
                <c:pt idx="5">
                  <c:v>#N/A</c:v>
                </c:pt>
                <c:pt idx="6">
                  <c:v>#N/A</c:v>
                </c:pt>
                <c:pt idx="7">
                  <c:v>#N/A</c:v>
                </c:pt>
                <c:pt idx="8">
                  <c:v>#N/A</c:v>
                </c:pt>
                <c:pt idx="9">
                  <c:v>#N/A</c:v>
                </c:pt>
                <c:pt idx="10">
                  <c:v>#N/A</c:v>
                </c:pt>
                <c:pt idx="11">
                  <c:v>#N/A</c:v>
                </c:pt>
                <c:pt idx="12">
                  <c:v>#N/A</c:v>
                </c:pt>
                <c:pt idx="13">
                  <c:v>#N/A</c:v>
                </c:pt>
                <c:pt idx="14">
                  <c:v>#N/A</c:v>
                </c:pt>
                <c:pt idx="15">
                  <c:v>#N/A</c:v>
                </c:pt>
                <c:pt idx="16">
                  <c:v>#N/A</c:v>
                </c:pt>
                <c:pt idx="17">
                  <c:v>#N/A</c:v>
                </c:pt>
                <c:pt idx="18">
                  <c:v>#N/A</c:v>
                </c:pt>
                <c:pt idx="19">
                  <c:v>#N/A</c:v>
                </c:pt>
                <c:pt idx="20">
                  <c:v>#N/A</c:v>
                </c:pt>
                <c:pt idx="21">
                  <c:v>#N/A</c:v>
                </c:pt>
                <c:pt idx="22">
                  <c:v>#N/A</c:v>
                </c:pt>
                <c:pt idx="23">
                  <c:v>#N/A</c:v>
                </c:pt>
                <c:pt idx="24">
                  <c:v>#N/A</c:v>
                </c:pt>
                <c:pt idx="25">
                  <c:v>#N/A</c:v>
                </c:pt>
                <c:pt idx="26">
                  <c:v>#N/A</c:v>
                </c:pt>
                <c:pt idx="27">
                  <c:v>#N/A</c:v>
                </c:pt>
                <c:pt idx="28">
                  <c:v>#N/A</c:v>
                </c:pt>
                <c:pt idx="29">
                  <c:v>#N/A</c:v>
                </c:pt>
                <c:pt idx="30">
                  <c:v>#N/A</c:v>
                </c:pt>
                <c:pt idx="31">
                  <c:v>#N/A</c:v>
                </c:pt>
                <c:pt idx="32">
                  <c:v>#N/A</c:v>
                </c:pt>
                <c:pt idx="33">
                  <c:v>#N/A</c:v>
                </c:pt>
                <c:pt idx="34">
                  <c:v>#N/A</c:v>
                </c:pt>
                <c:pt idx="35">
                  <c:v>#N/A</c:v>
                </c:pt>
                <c:pt idx="36">
                  <c:v>#N/A</c:v>
                </c:pt>
                <c:pt idx="37">
                  <c:v>#N/A</c:v>
                </c:pt>
                <c:pt idx="38">
                  <c:v>#N/A</c:v>
                </c:pt>
                <c:pt idx="39">
                  <c:v>#N/A</c:v>
                </c:pt>
                <c:pt idx="40">
                  <c:v>#N/A</c:v>
                </c:pt>
                <c:pt idx="41">
                  <c:v>#N/A</c:v>
                </c:pt>
                <c:pt idx="42">
                  <c:v>#N/A</c:v>
                </c:pt>
                <c:pt idx="43">
                  <c:v>#N/A</c:v>
                </c:pt>
                <c:pt idx="44">
                  <c:v>#N/A</c:v>
                </c:pt>
                <c:pt idx="45">
                  <c:v>#N/A</c:v>
                </c:pt>
                <c:pt idx="46">
                  <c:v>#N/A</c:v>
                </c:pt>
                <c:pt idx="47">
                  <c:v>#N/A</c:v>
                </c:pt>
                <c:pt idx="48">
                  <c:v>#N/A</c:v>
                </c:pt>
                <c:pt idx="49">
                  <c:v>#N/A</c:v>
                </c:pt>
                <c:pt idx="50">
                  <c:v>#N/A</c:v>
                </c:pt>
                <c:pt idx="51">
                  <c:v>#N/A</c:v>
                </c:pt>
                <c:pt idx="52">
                  <c:v>#N/A</c:v>
                </c:pt>
                <c:pt idx="53">
                  <c:v>#N/A</c:v>
                </c:pt>
                <c:pt idx="54">
                  <c:v>#N/A</c:v>
                </c:pt>
                <c:pt idx="55">
                  <c:v>#N/A</c:v>
                </c:pt>
                <c:pt idx="56">
                  <c:v>#N/A</c:v>
                </c:pt>
                <c:pt idx="57">
                  <c:v>#N/A</c:v>
                </c:pt>
                <c:pt idx="58">
                  <c:v>#N/A</c:v>
                </c:pt>
                <c:pt idx="59">
                  <c:v>#N/A</c:v>
                </c:pt>
                <c:pt idx="60">
                  <c:v>#N/A</c:v>
                </c:pt>
                <c:pt idx="61">
                  <c:v>#N/A</c:v>
                </c:pt>
                <c:pt idx="62">
                  <c:v>#N/A</c:v>
                </c:pt>
                <c:pt idx="63">
                  <c:v>#N/A</c:v>
                </c:pt>
                <c:pt idx="64">
                  <c:v>#N/A</c:v>
                </c:pt>
                <c:pt idx="65">
                  <c:v>#N/A</c:v>
                </c:pt>
                <c:pt idx="66">
                  <c:v>#N/A</c:v>
                </c:pt>
                <c:pt idx="67">
                  <c:v>#N/A</c:v>
                </c:pt>
                <c:pt idx="68">
                  <c:v>#N/A</c:v>
                </c:pt>
                <c:pt idx="69">
                  <c:v>#N/A</c:v>
                </c:pt>
                <c:pt idx="70">
                  <c:v>#N/A</c:v>
                </c:pt>
                <c:pt idx="71">
                  <c:v>#N/A</c:v>
                </c:pt>
                <c:pt idx="72">
                  <c:v>#N/A</c:v>
                </c:pt>
                <c:pt idx="73">
                  <c:v>#N/A</c:v>
                </c:pt>
                <c:pt idx="74">
                  <c:v>#N/A</c:v>
                </c:pt>
                <c:pt idx="75">
                  <c:v>#N/A</c:v>
                </c:pt>
                <c:pt idx="76">
                  <c:v>#N/A</c:v>
                </c:pt>
                <c:pt idx="77">
                  <c:v>#N/A</c:v>
                </c:pt>
                <c:pt idx="78">
                  <c:v>#N/A</c:v>
                </c:pt>
                <c:pt idx="79">
                  <c:v>#N/A</c:v>
                </c:pt>
                <c:pt idx="80">
                  <c:v>#N/A</c:v>
                </c:pt>
                <c:pt idx="81">
                  <c:v>#N/A</c:v>
                </c:pt>
                <c:pt idx="82">
                  <c:v>#N/A</c:v>
                </c:pt>
                <c:pt idx="83">
                  <c:v>#N/A</c:v>
                </c:pt>
                <c:pt idx="84">
                  <c:v>#N/A</c:v>
                </c:pt>
                <c:pt idx="85">
                  <c:v>#N/A</c:v>
                </c:pt>
                <c:pt idx="86">
                  <c:v>#N/A</c:v>
                </c:pt>
                <c:pt idx="87">
                  <c:v>#N/A</c:v>
                </c:pt>
                <c:pt idx="88">
                  <c:v>#N/A</c:v>
                </c:pt>
                <c:pt idx="89">
                  <c:v>#N/A</c:v>
                </c:pt>
                <c:pt idx="90">
                  <c:v>#N/A</c:v>
                </c:pt>
                <c:pt idx="91">
                  <c:v>#N/A</c:v>
                </c:pt>
                <c:pt idx="92">
                  <c:v>#N/A</c:v>
                </c:pt>
                <c:pt idx="93">
                  <c:v>#N/A</c:v>
                </c:pt>
                <c:pt idx="94">
                  <c:v>#N/A</c:v>
                </c:pt>
                <c:pt idx="95">
                  <c:v>#N/A</c:v>
                </c:pt>
                <c:pt idx="96">
                  <c:v>#N/A</c:v>
                </c:pt>
                <c:pt idx="97">
                  <c:v>#N/A</c:v>
                </c:pt>
                <c:pt idx="98">
                  <c:v>#N/A</c:v>
                </c:pt>
                <c:pt idx="99">
                  <c:v>#N/A</c:v>
                </c:pt>
                <c:pt idx="100">
                  <c:v>#N/A</c:v>
                </c:pt>
                <c:pt idx="101">
                  <c:v>#N/A</c:v>
                </c:pt>
                <c:pt idx="102">
                  <c:v>#N/A</c:v>
                </c:pt>
                <c:pt idx="103">
                  <c:v>#N/A</c:v>
                </c:pt>
                <c:pt idx="104">
                  <c:v>#N/A</c:v>
                </c:pt>
                <c:pt idx="105">
                  <c:v>#N/A</c:v>
                </c:pt>
                <c:pt idx="106">
                  <c:v>#N/A</c:v>
                </c:pt>
                <c:pt idx="107">
                  <c:v>#N/A</c:v>
                </c:pt>
                <c:pt idx="108">
                  <c:v>#N/A</c:v>
                </c:pt>
                <c:pt idx="109">
                  <c:v>#N/A</c:v>
                </c:pt>
                <c:pt idx="110">
                  <c:v>#N/A</c:v>
                </c:pt>
                <c:pt idx="111">
                  <c:v>#N/A</c:v>
                </c:pt>
                <c:pt idx="112">
                  <c:v>#N/A</c:v>
                </c:pt>
                <c:pt idx="113">
                  <c:v>#N/A</c:v>
                </c:pt>
                <c:pt idx="114">
                  <c:v>#N/A</c:v>
                </c:pt>
                <c:pt idx="115">
                  <c:v>#N/A</c:v>
                </c:pt>
                <c:pt idx="116">
                  <c:v>#N/A</c:v>
                </c:pt>
                <c:pt idx="117">
                  <c:v>#N/A</c:v>
                </c:pt>
                <c:pt idx="118">
                  <c:v>#N/A</c:v>
                </c:pt>
                <c:pt idx="119">
                  <c:v>#N/A</c:v>
                </c:pt>
                <c:pt idx="120">
                  <c:v>#N/A</c:v>
                </c:pt>
                <c:pt idx="121">
                  <c:v>#N/A</c:v>
                </c:pt>
                <c:pt idx="122">
                  <c:v>#N/A</c:v>
                </c:pt>
                <c:pt idx="123">
                  <c:v>#N/A</c:v>
                </c:pt>
                <c:pt idx="124">
                  <c:v>#N/A</c:v>
                </c:pt>
                <c:pt idx="125">
                  <c:v>#N/A</c:v>
                </c:pt>
                <c:pt idx="126">
                  <c:v>#N/A</c:v>
                </c:pt>
                <c:pt idx="127">
                  <c:v>#N/A</c:v>
                </c:pt>
                <c:pt idx="128">
                  <c:v>#N/A</c:v>
                </c:pt>
                <c:pt idx="129">
                  <c:v>#N/A</c:v>
                </c:pt>
                <c:pt idx="130">
                  <c:v>#N/A</c:v>
                </c:pt>
                <c:pt idx="131">
                  <c:v>#N/A</c:v>
                </c:pt>
                <c:pt idx="132">
                  <c:v>#N/A</c:v>
                </c:pt>
                <c:pt idx="133">
                  <c:v>#N/A</c:v>
                </c:pt>
                <c:pt idx="134">
                  <c:v>#N/A</c:v>
                </c:pt>
                <c:pt idx="135">
                  <c:v>#N/A</c:v>
                </c:pt>
                <c:pt idx="136">
                  <c:v>#N/A</c:v>
                </c:pt>
                <c:pt idx="137">
                  <c:v>#N/A</c:v>
                </c:pt>
                <c:pt idx="138">
                  <c:v>#N/A</c:v>
                </c:pt>
                <c:pt idx="139">
                  <c:v>#N/A</c:v>
                </c:pt>
                <c:pt idx="140">
                  <c:v>#N/A</c:v>
                </c:pt>
                <c:pt idx="141">
                  <c:v>#N/A</c:v>
                </c:pt>
                <c:pt idx="142">
                  <c:v>#N/A</c:v>
                </c:pt>
                <c:pt idx="143">
                  <c:v>#N/A</c:v>
                </c:pt>
                <c:pt idx="144">
                  <c:v>#N/A</c:v>
                </c:pt>
                <c:pt idx="145">
                  <c:v>#N/A</c:v>
                </c:pt>
                <c:pt idx="146">
                  <c:v>#N/A</c:v>
                </c:pt>
                <c:pt idx="147">
                  <c:v>#N/A</c:v>
                </c:pt>
                <c:pt idx="148">
                  <c:v>#N/A</c:v>
                </c:pt>
                <c:pt idx="149">
                  <c:v>#N/A</c:v>
                </c:pt>
                <c:pt idx="150">
                  <c:v>#N/A</c:v>
                </c:pt>
                <c:pt idx="151">
                  <c:v>#N/A</c:v>
                </c:pt>
                <c:pt idx="152">
                  <c:v>#N/A</c:v>
                </c:pt>
                <c:pt idx="153">
                  <c:v>#N/A</c:v>
                </c:pt>
                <c:pt idx="154">
                  <c:v>#N/A</c:v>
                </c:pt>
                <c:pt idx="155">
                  <c:v>#N/A</c:v>
                </c:pt>
                <c:pt idx="156">
                  <c:v>#N/A</c:v>
                </c:pt>
                <c:pt idx="157">
                  <c:v>#N/A</c:v>
                </c:pt>
                <c:pt idx="158">
                  <c:v>#N/A</c:v>
                </c:pt>
                <c:pt idx="159">
                  <c:v>#N/A</c:v>
                </c:pt>
                <c:pt idx="160">
                  <c:v>#N/A</c:v>
                </c:pt>
                <c:pt idx="161">
                  <c:v>#N/A</c:v>
                </c:pt>
                <c:pt idx="162">
                  <c:v>#N/A</c:v>
                </c:pt>
                <c:pt idx="163">
                  <c:v>#N/A</c:v>
                </c:pt>
                <c:pt idx="164">
                  <c:v>#N/A</c:v>
                </c:pt>
                <c:pt idx="165">
                  <c:v>#N/A</c:v>
                </c:pt>
                <c:pt idx="166">
                  <c:v>#N/A</c:v>
                </c:pt>
                <c:pt idx="167">
                  <c:v>#N/A</c:v>
                </c:pt>
                <c:pt idx="168">
                  <c:v>#N/A</c:v>
                </c:pt>
                <c:pt idx="169">
                  <c:v>#N/A</c:v>
                </c:pt>
                <c:pt idx="170">
                  <c:v>#N/A</c:v>
                </c:pt>
                <c:pt idx="171">
                  <c:v>#N/A</c:v>
                </c:pt>
                <c:pt idx="172">
                  <c:v>#N/A</c:v>
                </c:pt>
                <c:pt idx="173">
                  <c:v>#N/A</c:v>
                </c:pt>
                <c:pt idx="174">
                  <c:v>#N/A</c:v>
                </c:pt>
                <c:pt idx="175">
                  <c:v>#N/A</c:v>
                </c:pt>
                <c:pt idx="176">
                  <c:v>#N/A</c:v>
                </c:pt>
                <c:pt idx="177">
                  <c:v>#N/A</c:v>
                </c:pt>
                <c:pt idx="178">
                  <c:v>#N/A</c:v>
                </c:pt>
                <c:pt idx="179">
                  <c:v>#N/A</c:v>
                </c:pt>
                <c:pt idx="180">
                  <c:v>#N/A</c:v>
                </c:pt>
                <c:pt idx="181">
                  <c:v>#N/A</c:v>
                </c:pt>
                <c:pt idx="182">
                  <c:v>#N/A</c:v>
                </c:pt>
                <c:pt idx="183">
                  <c:v>#N/A</c:v>
                </c:pt>
                <c:pt idx="184">
                  <c:v>#N/A</c:v>
                </c:pt>
                <c:pt idx="185">
                  <c:v>#N/A</c:v>
                </c:pt>
                <c:pt idx="186">
                  <c:v>#N/A</c:v>
                </c:pt>
                <c:pt idx="187">
                  <c:v>#N/A</c:v>
                </c:pt>
                <c:pt idx="188">
                  <c:v>#N/A</c:v>
                </c:pt>
                <c:pt idx="189">
                  <c:v>#N/A</c:v>
                </c:pt>
                <c:pt idx="190">
                  <c:v>#N/A</c:v>
                </c:pt>
                <c:pt idx="191">
                  <c:v>#N/A</c:v>
                </c:pt>
                <c:pt idx="192">
                  <c:v>#N/A</c:v>
                </c:pt>
                <c:pt idx="193">
                  <c:v>#N/A</c:v>
                </c:pt>
                <c:pt idx="194">
                  <c:v>#N/A</c:v>
                </c:pt>
                <c:pt idx="195">
                  <c:v>#N/A</c:v>
                </c:pt>
                <c:pt idx="196">
                  <c:v>#N/A</c:v>
                </c:pt>
                <c:pt idx="197">
                  <c:v>#N/A</c:v>
                </c:pt>
                <c:pt idx="198">
                  <c:v>#N/A</c:v>
                </c:pt>
                <c:pt idx="199">
                  <c:v>#N/A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D484-4AB2-893E-821CEF93DF40}"/>
            </c:ext>
          </c:extLst>
        </c:ser>
        <c:ser>
          <c:idx val="1"/>
          <c:order val="1"/>
          <c:tx>
            <c:v>Unemployment - Forecast</c:v>
          </c:tx>
          <c:spPr>
            <a:ln w="25400">
              <a:solidFill>
                <a:srgbClr val="86BC25"/>
              </a:solidFill>
              <a:prstDash val="dash"/>
            </a:ln>
          </c:spPr>
          <c:marker>
            <c:symbol val="none"/>
          </c:marker>
          <c:cat>
            <c:numRef>
              <c:f>Comparison!$A$2:$A$201</c:f>
              <c:numCache>
                <c:formatCode>m/d/yyyy</c:formatCode>
                <c:ptCount val="200"/>
              </c:numCache>
            </c:numRef>
          </c:cat>
          <c:val>
            <c:numRef>
              <c:f>Comparison!$AD$2:$AD$201</c:f>
              <c:numCache>
                <c:formatCode>General</c:formatCode>
                <c:ptCount val="200"/>
                <c:pt idx="0">
                  <c:v>#N/A</c:v>
                </c:pt>
                <c:pt idx="1">
                  <c:v>#N/A</c:v>
                </c:pt>
                <c:pt idx="2">
                  <c:v>#N/A</c:v>
                </c:pt>
                <c:pt idx="3">
                  <c:v>#N/A</c:v>
                </c:pt>
                <c:pt idx="4">
                  <c:v>#N/A</c:v>
                </c:pt>
                <c:pt idx="5">
                  <c:v>#N/A</c:v>
                </c:pt>
                <c:pt idx="6">
                  <c:v>#N/A</c:v>
                </c:pt>
                <c:pt idx="7">
                  <c:v>#N/A</c:v>
                </c:pt>
                <c:pt idx="8">
                  <c:v>#N/A</c:v>
                </c:pt>
                <c:pt idx="9">
                  <c:v>#N/A</c:v>
                </c:pt>
                <c:pt idx="10">
                  <c:v>#N/A</c:v>
                </c:pt>
                <c:pt idx="11">
                  <c:v>#N/A</c:v>
                </c:pt>
                <c:pt idx="12">
                  <c:v>#N/A</c:v>
                </c:pt>
                <c:pt idx="13">
                  <c:v>#N/A</c:v>
                </c:pt>
                <c:pt idx="14">
                  <c:v>#N/A</c:v>
                </c:pt>
                <c:pt idx="15">
                  <c:v>#N/A</c:v>
                </c:pt>
                <c:pt idx="16">
                  <c:v>#N/A</c:v>
                </c:pt>
                <c:pt idx="17">
                  <c:v>#N/A</c:v>
                </c:pt>
                <c:pt idx="18">
                  <c:v>#N/A</c:v>
                </c:pt>
                <c:pt idx="19">
                  <c:v>#N/A</c:v>
                </c:pt>
                <c:pt idx="20">
                  <c:v>#N/A</c:v>
                </c:pt>
                <c:pt idx="21">
                  <c:v>#N/A</c:v>
                </c:pt>
                <c:pt idx="22">
                  <c:v>#N/A</c:v>
                </c:pt>
                <c:pt idx="23">
                  <c:v>#N/A</c:v>
                </c:pt>
                <c:pt idx="24">
                  <c:v>#N/A</c:v>
                </c:pt>
                <c:pt idx="25">
                  <c:v>#N/A</c:v>
                </c:pt>
                <c:pt idx="26">
                  <c:v>#N/A</c:v>
                </c:pt>
                <c:pt idx="27">
                  <c:v>#N/A</c:v>
                </c:pt>
                <c:pt idx="28">
                  <c:v>#N/A</c:v>
                </c:pt>
                <c:pt idx="29">
                  <c:v>#N/A</c:v>
                </c:pt>
                <c:pt idx="30">
                  <c:v>#N/A</c:v>
                </c:pt>
                <c:pt idx="31">
                  <c:v>#N/A</c:v>
                </c:pt>
                <c:pt idx="32">
                  <c:v>#N/A</c:v>
                </c:pt>
                <c:pt idx="33">
                  <c:v>#N/A</c:v>
                </c:pt>
                <c:pt idx="34">
                  <c:v>#N/A</c:v>
                </c:pt>
                <c:pt idx="35">
                  <c:v>#N/A</c:v>
                </c:pt>
                <c:pt idx="36">
                  <c:v>#N/A</c:v>
                </c:pt>
                <c:pt idx="37">
                  <c:v>#N/A</c:v>
                </c:pt>
                <c:pt idx="38">
                  <c:v>#N/A</c:v>
                </c:pt>
                <c:pt idx="39">
                  <c:v>#N/A</c:v>
                </c:pt>
                <c:pt idx="40">
                  <c:v>#N/A</c:v>
                </c:pt>
                <c:pt idx="41">
                  <c:v>#N/A</c:v>
                </c:pt>
                <c:pt idx="42">
                  <c:v>#N/A</c:v>
                </c:pt>
                <c:pt idx="43">
                  <c:v>#N/A</c:v>
                </c:pt>
                <c:pt idx="44">
                  <c:v>#N/A</c:v>
                </c:pt>
                <c:pt idx="45">
                  <c:v>#N/A</c:v>
                </c:pt>
                <c:pt idx="46">
                  <c:v>#N/A</c:v>
                </c:pt>
                <c:pt idx="47">
                  <c:v>#N/A</c:v>
                </c:pt>
                <c:pt idx="48">
                  <c:v>#N/A</c:v>
                </c:pt>
                <c:pt idx="49">
                  <c:v>#N/A</c:v>
                </c:pt>
                <c:pt idx="50">
                  <c:v>#N/A</c:v>
                </c:pt>
                <c:pt idx="51">
                  <c:v>#N/A</c:v>
                </c:pt>
                <c:pt idx="52">
                  <c:v>#N/A</c:v>
                </c:pt>
                <c:pt idx="53">
                  <c:v>#N/A</c:v>
                </c:pt>
                <c:pt idx="54">
                  <c:v>#N/A</c:v>
                </c:pt>
                <c:pt idx="55">
                  <c:v>#N/A</c:v>
                </c:pt>
                <c:pt idx="56">
                  <c:v>#N/A</c:v>
                </c:pt>
                <c:pt idx="57">
                  <c:v>#N/A</c:v>
                </c:pt>
                <c:pt idx="58">
                  <c:v>#N/A</c:v>
                </c:pt>
                <c:pt idx="59">
                  <c:v>#N/A</c:v>
                </c:pt>
                <c:pt idx="60">
                  <c:v>#N/A</c:v>
                </c:pt>
                <c:pt idx="61">
                  <c:v>#N/A</c:v>
                </c:pt>
                <c:pt idx="62">
                  <c:v>#N/A</c:v>
                </c:pt>
                <c:pt idx="63">
                  <c:v>#N/A</c:v>
                </c:pt>
                <c:pt idx="64">
                  <c:v>#N/A</c:v>
                </c:pt>
                <c:pt idx="65">
                  <c:v>#N/A</c:v>
                </c:pt>
                <c:pt idx="66">
                  <c:v>#N/A</c:v>
                </c:pt>
                <c:pt idx="67">
                  <c:v>#N/A</c:v>
                </c:pt>
                <c:pt idx="68">
                  <c:v>#N/A</c:v>
                </c:pt>
                <c:pt idx="69">
                  <c:v>#N/A</c:v>
                </c:pt>
                <c:pt idx="70">
                  <c:v>#N/A</c:v>
                </c:pt>
                <c:pt idx="71">
                  <c:v>#N/A</c:v>
                </c:pt>
                <c:pt idx="72">
                  <c:v>#N/A</c:v>
                </c:pt>
                <c:pt idx="73">
                  <c:v>#N/A</c:v>
                </c:pt>
                <c:pt idx="74">
                  <c:v>#N/A</c:v>
                </c:pt>
                <c:pt idx="75">
                  <c:v>#N/A</c:v>
                </c:pt>
                <c:pt idx="76">
                  <c:v>#N/A</c:v>
                </c:pt>
                <c:pt idx="77">
                  <c:v>#N/A</c:v>
                </c:pt>
                <c:pt idx="78">
                  <c:v>#N/A</c:v>
                </c:pt>
                <c:pt idx="79">
                  <c:v>#N/A</c:v>
                </c:pt>
                <c:pt idx="80">
                  <c:v>#N/A</c:v>
                </c:pt>
                <c:pt idx="81">
                  <c:v>#N/A</c:v>
                </c:pt>
                <c:pt idx="82">
                  <c:v>#N/A</c:v>
                </c:pt>
                <c:pt idx="83">
                  <c:v>#N/A</c:v>
                </c:pt>
                <c:pt idx="84">
                  <c:v>#N/A</c:v>
                </c:pt>
                <c:pt idx="85">
                  <c:v>#N/A</c:v>
                </c:pt>
                <c:pt idx="86">
                  <c:v>#N/A</c:v>
                </c:pt>
                <c:pt idx="87">
                  <c:v>#N/A</c:v>
                </c:pt>
                <c:pt idx="88">
                  <c:v>#N/A</c:v>
                </c:pt>
                <c:pt idx="89">
                  <c:v>#N/A</c:v>
                </c:pt>
                <c:pt idx="90">
                  <c:v>#N/A</c:v>
                </c:pt>
                <c:pt idx="91">
                  <c:v>#N/A</c:v>
                </c:pt>
                <c:pt idx="92">
                  <c:v>#N/A</c:v>
                </c:pt>
                <c:pt idx="93">
                  <c:v>#N/A</c:v>
                </c:pt>
                <c:pt idx="94">
                  <c:v>#N/A</c:v>
                </c:pt>
                <c:pt idx="95">
                  <c:v>#N/A</c:v>
                </c:pt>
                <c:pt idx="96">
                  <c:v>#N/A</c:v>
                </c:pt>
                <c:pt idx="97">
                  <c:v>#N/A</c:v>
                </c:pt>
                <c:pt idx="98">
                  <c:v>#N/A</c:v>
                </c:pt>
                <c:pt idx="99">
                  <c:v>#N/A</c:v>
                </c:pt>
                <c:pt idx="100">
                  <c:v>#N/A</c:v>
                </c:pt>
                <c:pt idx="101">
                  <c:v>#N/A</c:v>
                </c:pt>
                <c:pt idx="102">
                  <c:v>#N/A</c:v>
                </c:pt>
                <c:pt idx="103">
                  <c:v>#N/A</c:v>
                </c:pt>
                <c:pt idx="104">
                  <c:v>#N/A</c:v>
                </c:pt>
                <c:pt idx="105">
                  <c:v>#N/A</c:v>
                </c:pt>
                <c:pt idx="106">
                  <c:v>#N/A</c:v>
                </c:pt>
                <c:pt idx="107">
                  <c:v>#N/A</c:v>
                </c:pt>
                <c:pt idx="108">
                  <c:v>#N/A</c:v>
                </c:pt>
                <c:pt idx="109">
                  <c:v>#N/A</c:v>
                </c:pt>
                <c:pt idx="110">
                  <c:v>#N/A</c:v>
                </c:pt>
                <c:pt idx="111">
                  <c:v>#N/A</c:v>
                </c:pt>
                <c:pt idx="112">
                  <c:v>#N/A</c:v>
                </c:pt>
                <c:pt idx="113">
                  <c:v>#N/A</c:v>
                </c:pt>
                <c:pt idx="114">
                  <c:v>#N/A</c:v>
                </c:pt>
                <c:pt idx="115">
                  <c:v>#N/A</c:v>
                </c:pt>
                <c:pt idx="116">
                  <c:v>#N/A</c:v>
                </c:pt>
                <c:pt idx="117">
                  <c:v>#N/A</c:v>
                </c:pt>
                <c:pt idx="118">
                  <c:v>#N/A</c:v>
                </c:pt>
                <c:pt idx="119">
                  <c:v>#N/A</c:v>
                </c:pt>
                <c:pt idx="120">
                  <c:v>#N/A</c:v>
                </c:pt>
                <c:pt idx="121">
                  <c:v>#N/A</c:v>
                </c:pt>
                <c:pt idx="122">
                  <c:v>#N/A</c:v>
                </c:pt>
                <c:pt idx="123">
                  <c:v>#N/A</c:v>
                </c:pt>
                <c:pt idx="124">
                  <c:v>#N/A</c:v>
                </c:pt>
                <c:pt idx="125">
                  <c:v>#N/A</c:v>
                </c:pt>
                <c:pt idx="126">
                  <c:v>#N/A</c:v>
                </c:pt>
                <c:pt idx="127">
                  <c:v>#N/A</c:v>
                </c:pt>
                <c:pt idx="128">
                  <c:v>#N/A</c:v>
                </c:pt>
                <c:pt idx="129">
                  <c:v>#N/A</c:v>
                </c:pt>
                <c:pt idx="130">
                  <c:v>#N/A</c:v>
                </c:pt>
                <c:pt idx="131">
                  <c:v>#N/A</c:v>
                </c:pt>
                <c:pt idx="132">
                  <c:v>#N/A</c:v>
                </c:pt>
                <c:pt idx="133">
                  <c:v>#N/A</c:v>
                </c:pt>
                <c:pt idx="134">
                  <c:v>#N/A</c:v>
                </c:pt>
                <c:pt idx="135">
                  <c:v>#N/A</c:v>
                </c:pt>
                <c:pt idx="136">
                  <c:v>#N/A</c:v>
                </c:pt>
                <c:pt idx="137">
                  <c:v>#N/A</c:v>
                </c:pt>
                <c:pt idx="138">
                  <c:v>#N/A</c:v>
                </c:pt>
                <c:pt idx="139">
                  <c:v>#N/A</c:v>
                </c:pt>
                <c:pt idx="140">
                  <c:v>#N/A</c:v>
                </c:pt>
                <c:pt idx="141">
                  <c:v>#N/A</c:v>
                </c:pt>
                <c:pt idx="142">
                  <c:v>#N/A</c:v>
                </c:pt>
                <c:pt idx="143">
                  <c:v>#N/A</c:v>
                </c:pt>
                <c:pt idx="144">
                  <c:v>#N/A</c:v>
                </c:pt>
                <c:pt idx="145">
                  <c:v>#N/A</c:v>
                </c:pt>
                <c:pt idx="146">
                  <c:v>#N/A</c:v>
                </c:pt>
                <c:pt idx="147">
                  <c:v>#N/A</c:v>
                </c:pt>
                <c:pt idx="148">
                  <c:v>#N/A</c:v>
                </c:pt>
                <c:pt idx="149">
                  <c:v>#N/A</c:v>
                </c:pt>
                <c:pt idx="150">
                  <c:v>#N/A</c:v>
                </c:pt>
                <c:pt idx="151">
                  <c:v>#N/A</c:v>
                </c:pt>
                <c:pt idx="152">
                  <c:v>#N/A</c:v>
                </c:pt>
                <c:pt idx="153">
                  <c:v>#N/A</c:v>
                </c:pt>
                <c:pt idx="154">
                  <c:v>#N/A</c:v>
                </c:pt>
                <c:pt idx="155">
                  <c:v>#N/A</c:v>
                </c:pt>
                <c:pt idx="156">
                  <c:v>#N/A</c:v>
                </c:pt>
                <c:pt idx="157">
                  <c:v>#N/A</c:v>
                </c:pt>
                <c:pt idx="158">
                  <c:v>#N/A</c:v>
                </c:pt>
                <c:pt idx="159">
                  <c:v>#N/A</c:v>
                </c:pt>
                <c:pt idx="160">
                  <c:v>#N/A</c:v>
                </c:pt>
                <c:pt idx="161">
                  <c:v>#N/A</c:v>
                </c:pt>
                <c:pt idx="162">
                  <c:v>#N/A</c:v>
                </c:pt>
                <c:pt idx="163">
                  <c:v>#N/A</c:v>
                </c:pt>
                <c:pt idx="164">
                  <c:v>#N/A</c:v>
                </c:pt>
                <c:pt idx="165">
                  <c:v>#N/A</c:v>
                </c:pt>
                <c:pt idx="166">
                  <c:v>#N/A</c:v>
                </c:pt>
                <c:pt idx="167">
                  <c:v>#N/A</c:v>
                </c:pt>
                <c:pt idx="168">
                  <c:v>#N/A</c:v>
                </c:pt>
                <c:pt idx="169">
                  <c:v>#N/A</c:v>
                </c:pt>
                <c:pt idx="170">
                  <c:v>#N/A</c:v>
                </c:pt>
                <c:pt idx="171">
                  <c:v>#N/A</c:v>
                </c:pt>
                <c:pt idx="172">
                  <c:v>#N/A</c:v>
                </c:pt>
                <c:pt idx="173">
                  <c:v>#N/A</c:v>
                </c:pt>
                <c:pt idx="174">
                  <c:v>#N/A</c:v>
                </c:pt>
                <c:pt idx="175">
                  <c:v>#N/A</c:v>
                </c:pt>
                <c:pt idx="176">
                  <c:v>#N/A</c:v>
                </c:pt>
                <c:pt idx="177">
                  <c:v>#N/A</c:v>
                </c:pt>
                <c:pt idx="178">
                  <c:v>#N/A</c:v>
                </c:pt>
                <c:pt idx="179">
                  <c:v>#N/A</c:v>
                </c:pt>
                <c:pt idx="180">
                  <c:v>#N/A</c:v>
                </c:pt>
                <c:pt idx="181">
                  <c:v>#N/A</c:v>
                </c:pt>
                <c:pt idx="182">
                  <c:v>#N/A</c:v>
                </c:pt>
                <c:pt idx="183">
                  <c:v>#N/A</c:v>
                </c:pt>
                <c:pt idx="184">
                  <c:v>#N/A</c:v>
                </c:pt>
                <c:pt idx="185">
                  <c:v>#N/A</c:v>
                </c:pt>
                <c:pt idx="186">
                  <c:v>#N/A</c:v>
                </c:pt>
                <c:pt idx="187">
                  <c:v>#N/A</c:v>
                </c:pt>
                <c:pt idx="188">
                  <c:v>#N/A</c:v>
                </c:pt>
                <c:pt idx="189">
                  <c:v>#N/A</c:v>
                </c:pt>
                <c:pt idx="190">
                  <c:v>#N/A</c:v>
                </c:pt>
                <c:pt idx="191">
                  <c:v>#N/A</c:v>
                </c:pt>
                <c:pt idx="192">
                  <c:v>#N/A</c:v>
                </c:pt>
                <c:pt idx="193">
                  <c:v>#N/A</c:v>
                </c:pt>
                <c:pt idx="194">
                  <c:v>#N/A</c:v>
                </c:pt>
                <c:pt idx="195">
                  <c:v>#N/A</c:v>
                </c:pt>
                <c:pt idx="196">
                  <c:v>#N/A</c:v>
                </c:pt>
                <c:pt idx="197">
                  <c:v>#N/A</c:v>
                </c:pt>
                <c:pt idx="198">
                  <c:v>#N/A</c:v>
                </c:pt>
                <c:pt idx="199">
                  <c:v>#N/A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D484-4AB2-893E-821CEF93DF40}"/>
            </c:ext>
          </c:extLst>
        </c:ser>
        <c:ser>
          <c:idx val="2"/>
          <c:order val="2"/>
          <c:tx>
            <c:v>90-day rate - Actual</c:v>
          </c:tx>
          <c:spPr>
            <a:ln w="25400">
              <a:solidFill>
                <a:srgbClr val="00A3E0"/>
              </a:solidFill>
              <a:prstDash val="solid"/>
            </a:ln>
          </c:spPr>
          <c:marker>
            <c:symbol val="none"/>
          </c:marker>
          <c:cat>
            <c:numRef>
              <c:f>Comparison!$A$2:$A$201</c:f>
              <c:numCache>
                <c:formatCode>m/d/yyyy</c:formatCode>
                <c:ptCount val="200"/>
              </c:numCache>
            </c:numRef>
          </c:cat>
          <c:val>
            <c:numRef>
              <c:f>Comparison!$AE$2:$AE$201</c:f>
              <c:numCache>
                <c:formatCode>General</c:formatCode>
                <c:ptCount val="200"/>
                <c:pt idx="0">
                  <c:v>#N/A</c:v>
                </c:pt>
                <c:pt idx="1">
                  <c:v>#N/A</c:v>
                </c:pt>
                <c:pt idx="2">
                  <c:v>#N/A</c:v>
                </c:pt>
                <c:pt idx="3">
                  <c:v>#N/A</c:v>
                </c:pt>
                <c:pt idx="4">
                  <c:v>#N/A</c:v>
                </c:pt>
                <c:pt idx="5">
                  <c:v>#N/A</c:v>
                </c:pt>
                <c:pt idx="6">
                  <c:v>#N/A</c:v>
                </c:pt>
                <c:pt idx="7">
                  <c:v>#N/A</c:v>
                </c:pt>
                <c:pt idx="8">
                  <c:v>#N/A</c:v>
                </c:pt>
                <c:pt idx="9">
                  <c:v>#N/A</c:v>
                </c:pt>
                <c:pt idx="10">
                  <c:v>#N/A</c:v>
                </c:pt>
                <c:pt idx="11">
                  <c:v>#N/A</c:v>
                </c:pt>
                <c:pt idx="12">
                  <c:v>#N/A</c:v>
                </c:pt>
                <c:pt idx="13">
                  <c:v>#N/A</c:v>
                </c:pt>
                <c:pt idx="14">
                  <c:v>#N/A</c:v>
                </c:pt>
                <c:pt idx="15">
                  <c:v>#N/A</c:v>
                </c:pt>
                <c:pt idx="16">
                  <c:v>#N/A</c:v>
                </c:pt>
                <c:pt idx="17">
                  <c:v>#N/A</c:v>
                </c:pt>
                <c:pt idx="18">
                  <c:v>#N/A</c:v>
                </c:pt>
                <c:pt idx="19">
                  <c:v>#N/A</c:v>
                </c:pt>
                <c:pt idx="20">
                  <c:v>#N/A</c:v>
                </c:pt>
                <c:pt idx="21">
                  <c:v>#N/A</c:v>
                </c:pt>
                <c:pt idx="22">
                  <c:v>#N/A</c:v>
                </c:pt>
                <c:pt idx="23">
                  <c:v>#N/A</c:v>
                </c:pt>
                <c:pt idx="24">
                  <c:v>#N/A</c:v>
                </c:pt>
                <c:pt idx="25">
                  <c:v>#N/A</c:v>
                </c:pt>
                <c:pt idx="26">
                  <c:v>#N/A</c:v>
                </c:pt>
                <c:pt idx="27">
                  <c:v>#N/A</c:v>
                </c:pt>
                <c:pt idx="28">
                  <c:v>#N/A</c:v>
                </c:pt>
                <c:pt idx="29">
                  <c:v>#N/A</c:v>
                </c:pt>
                <c:pt idx="30">
                  <c:v>#N/A</c:v>
                </c:pt>
                <c:pt idx="31">
                  <c:v>#N/A</c:v>
                </c:pt>
                <c:pt idx="32">
                  <c:v>#N/A</c:v>
                </c:pt>
                <c:pt idx="33">
                  <c:v>#N/A</c:v>
                </c:pt>
                <c:pt idx="34">
                  <c:v>#N/A</c:v>
                </c:pt>
                <c:pt idx="35">
                  <c:v>#N/A</c:v>
                </c:pt>
                <c:pt idx="36">
                  <c:v>#N/A</c:v>
                </c:pt>
                <c:pt idx="37">
                  <c:v>#N/A</c:v>
                </c:pt>
                <c:pt idx="38">
                  <c:v>#N/A</c:v>
                </c:pt>
                <c:pt idx="39">
                  <c:v>#N/A</c:v>
                </c:pt>
                <c:pt idx="40">
                  <c:v>#N/A</c:v>
                </c:pt>
                <c:pt idx="41">
                  <c:v>#N/A</c:v>
                </c:pt>
                <c:pt idx="42">
                  <c:v>#N/A</c:v>
                </c:pt>
                <c:pt idx="43">
                  <c:v>#N/A</c:v>
                </c:pt>
                <c:pt idx="44">
                  <c:v>#N/A</c:v>
                </c:pt>
                <c:pt idx="45">
                  <c:v>#N/A</c:v>
                </c:pt>
                <c:pt idx="46">
                  <c:v>#N/A</c:v>
                </c:pt>
                <c:pt idx="47">
                  <c:v>#N/A</c:v>
                </c:pt>
                <c:pt idx="48">
                  <c:v>#N/A</c:v>
                </c:pt>
                <c:pt idx="49">
                  <c:v>#N/A</c:v>
                </c:pt>
                <c:pt idx="50">
                  <c:v>#N/A</c:v>
                </c:pt>
                <c:pt idx="51">
                  <c:v>#N/A</c:v>
                </c:pt>
                <c:pt idx="52">
                  <c:v>#N/A</c:v>
                </c:pt>
                <c:pt idx="53">
                  <c:v>#N/A</c:v>
                </c:pt>
                <c:pt idx="54">
                  <c:v>#N/A</c:v>
                </c:pt>
                <c:pt idx="55">
                  <c:v>#N/A</c:v>
                </c:pt>
                <c:pt idx="56">
                  <c:v>#N/A</c:v>
                </c:pt>
                <c:pt idx="57">
                  <c:v>#N/A</c:v>
                </c:pt>
                <c:pt idx="58">
                  <c:v>#N/A</c:v>
                </c:pt>
                <c:pt idx="59">
                  <c:v>#N/A</c:v>
                </c:pt>
                <c:pt idx="60">
                  <c:v>#N/A</c:v>
                </c:pt>
                <c:pt idx="61">
                  <c:v>#N/A</c:v>
                </c:pt>
                <c:pt idx="62">
                  <c:v>#N/A</c:v>
                </c:pt>
                <c:pt idx="63">
                  <c:v>#N/A</c:v>
                </c:pt>
                <c:pt idx="64">
                  <c:v>#N/A</c:v>
                </c:pt>
                <c:pt idx="65">
                  <c:v>#N/A</c:v>
                </c:pt>
                <c:pt idx="66">
                  <c:v>#N/A</c:v>
                </c:pt>
                <c:pt idx="67">
                  <c:v>#N/A</c:v>
                </c:pt>
                <c:pt idx="68">
                  <c:v>#N/A</c:v>
                </c:pt>
                <c:pt idx="69">
                  <c:v>#N/A</c:v>
                </c:pt>
                <c:pt idx="70">
                  <c:v>#N/A</c:v>
                </c:pt>
                <c:pt idx="71">
                  <c:v>#N/A</c:v>
                </c:pt>
                <c:pt idx="72">
                  <c:v>#N/A</c:v>
                </c:pt>
                <c:pt idx="73">
                  <c:v>#N/A</c:v>
                </c:pt>
                <c:pt idx="74">
                  <c:v>#N/A</c:v>
                </c:pt>
                <c:pt idx="75">
                  <c:v>#N/A</c:v>
                </c:pt>
                <c:pt idx="76">
                  <c:v>#N/A</c:v>
                </c:pt>
                <c:pt idx="77">
                  <c:v>#N/A</c:v>
                </c:pt>
                <c:pt idx="78">
                  <c:v>#N/A</c:v>
                </c:pt>
                <c:pt idx="79">
                  <c:v>#N/A</c:v>
                </c:pt>
                <c:pt idx="80">
                  <c:v>#N/A</c:v>
                </c:pt>
                <c:pt idx="81">
                  <c:v>#N/A</c:v>
                </c:pt>
                <c:pt idx="82">
                  <c:v>#N/A</c:v>
                </c:pt>
                <c:pt idx="83">
                  <c:v>#N/A</c:v>
                </c:pt>
                <c:pt idx="84">
                  <c:v>#N/A</c:v>
                </c:pt>
                <c:pt idx="85">
                  <c:v>#N/A</c:v>
                </c:pt>
                <c:pt idx="86">
                  <c:v>#N/A</c:v>
                </c:pt>
                <c:pt idx="87">
                  <c:v>#N/A</c:v>
                </c:pt>
                <c:pt idx="88">
                  <c:v>#N/A</c:v>
                </c:pt>
                <c:pt idx="89">
                  <c:v>#N/A</c:v>
                </c:pt>
                <c:pt idx="90">
                  <c:v>#N/A</c:v>
                </c:pt>
                <c:pt idx="91">
                  <c:v>#N/A</c:v>
                </c:pt>
                <c:pt idx="92">
                  <c:v>#N/A</c:v>
                </c:pt>
                <c:pt idx="93">
                  <c:v>#N/A</c:v>
                </c:pt>
                <c:pt idx="94">
                  <c:v>#N/A</c:v>
                </c:pt>
                <c:pt idx="95">
                  <c:v>#N/A</c:v>
                </c:pt>
                <c:pt idx="96">
                  <c:v>#N/A</c:v>
                </c:pt>
                <c:pt idx="97">
                  <c:v>#N/A</c:v>
                </c:pt>
                <c:pt idx="98">
                  <c:v>#N/A</c:v>
                </c:pt>
                <c:pt idx="99">
                  <c:v>#N/A</c:v>
                </c:pt>
                <c:pt idx="100">
                  <c:v>#N/A</c:v>
                </c:pt>
                <c:pt idx="101">
                  <c:v>#N/A</c:v>
                </c:pt>
                <c:pt idx="102">
                  <c:v>#N/A</c:v>
                </c:pt>
                <c:pt idx="103">
                  <c:v>#N/A</c:v>
                </c:pt>
                <c:pt idx="104">
                  <c:v>#N/A</c:v>
                </c:pt>
                <c:pt idx="105">
                  <c:v>#N/A</c:v>
                </c:pt>
                <c:pt idx="106">
                  <c:v>#N/A</c:v>
                </c:pt>
                <c:pt idx="107">
                  <c:v>#N/A</c:v>
                </c:pt>
                <c:pt idx="108">
                  <c:v>#N/A</c:v>
                </c:pt>
                <c:pt idx="109">
                  <c:v>#N/A</c:v>
                </c:pt>
                <c:pt idx="110">
                  <c:v>#N/A</c:v>
                </c:pt>
                <c:pt idx="111">
                  <c:v>#N/A</c:v>
                </c:pt>
                <c:pt idx="112">
                  <c:v>#N/A</c:v>
                </c:pt>
                <c:pt idx="113">
                  <c:v>#N/A</c:v>
                </c:pt>
                <c:pt idx="114">
                  <c:v>#N/A</c:v>
                </c:pt>
                <c:pt idx="115">
                  <c:v>#N/A</c:v>
                </c:pt>
                <c:pt idx="116">
                  <c:v>#N/A</c:v>
                </c:pt>
                <c:pt idx="117">
                  <c:v>#N/A</c:v>
                </c:pt>
                <c:pt idx="118">
                  <c:v>#N/A</c:v>
                </c:pt>
                <c:pt idx="119">
                  <c:v>#N/A</c:v>
                </c:pt>
                <c:pt idx="120">
                  <c:v>#N/A</c:v>
                </c:pt>
                <c:pt idx="121">
                  <c:v>#N/A</c:v>
                </c:pt>
                <c:pt idx="122">
                  <c:v>#N/A</c:v>
                </c:pt>
                <c:pt idx="123">
                  <c:v>#N/A</c:v>
                </c:pt>
                <c:pt idx="124">
                  <c:v>#N/A</c:v>
                </c:pt>
                <c:pt idx="125">
                  <c:v>#N/A</c:v>
                </c:pt>
                <c:pt idx="126">
                  <c:v>#N/A</c:v>
                </c:pt>
                <c:pt idx="127">
                  <c:v>#N/A</c:v>
                </c:pt>
                <c:pt idx="128">
                  <c:v>#N/A</c:v>
                </c:pt>
                <c:pt idx="129">
                  <c:v>#N/A</c:v>
                </c:pt>
                <c:pt idx="130">
                  <c:v>#N/A</c:v>
                </c:pt>
                <c:pt idx="131">
                  <c:v>#N/A</c:v>
                </c:pt>
                <c:pt idx="132">
                  <c:v>#N/A</c:v>
                </c:pt>
                <c:pt idx="133">
                  <c:v>#N/A</c:v>
                </c:pt>
                <c:pt idx="134">
                  <c:v>#N/A</c:v>
                </c:pt>
                <c:pt idx="135">
                  <c:v>#N/A</c:v>
                </c:pt>
                <c:pt idx="136">
                  <c:v>#N/A</c:v>
                </c:pt>
                <c:pt idx="137">
                  <c:v>#N/A</c:v>
                </c:pt>
                <c:pt idx="138">
                  <c:v>#N/A</c:v>
                </c:pt>
                <c:pt idx="139">
                  <c:v>#N/A</c:v>
                </c:pt>
                <c:pt idx="140">
                  <c:v>#N/A</c:v>
                </c:pt>
                <c:pt idx="141">
                  <c:v>#N/A</c:v>
                </c:pt>
                <c:pt idx="142">
                  <c:v>#N/A</c:v>
                </c:pt>
                <c:pt idx="143">
                  <c:v>#N/A</c:v>
                </c:pt>
                <c:pt idx="144">
                  <c:v>#N/A</c:v>
                </c:pt>
                <c:pt idx="145">
                  <c:v>#N/A</c:v>
                </c:pt>
                <c:pt idx="146">
                  <c:v>#N/A</c:v>
                </c:pt>
                <c:pt idx="147">
                  <c:v>#N/A</c:v>
                </c:pt>
                <c:pt idx="148">
                  <c:v>#N/A</c:v>
                </c:pt>
                <c:pt idx="149">
                  <c:v>#N/A</c:v>
                </c:pt>
                <c:pt idx="150">
                  <c:v>#N/A</c:v>
                </c:pt>
                <c:pt idx="151">
                  <c:v>#N/A</c:v>
                </c:pt>
                <c:pt idx="152">
                  <c:v>#N/A</c:v>
                </c:pt>
                <c:pt idx="153">
                  <c:v>#N/A</c:v>
                </c:pt>
                <c:pt idx="154">
                  <c:v>#N/A</c:v>
                </c:pt>
                <c:pt idx="155">
                  <c:v>#N/A</c:v>
                </c:pt>
                <c:pt idx="156">
                  <c:v>#N/A</c:v>
                </c:pt>
                <c:pt idx="157">
                  <c:v>#N/A</c:v>
                </c:pt>
                <c:pt idx="158">
                  <c:v>#N/A</c:v>
                </c:pt>
                <c:pt idx="159">
                  <c:v>#N/A</c:v>
                </c:pt>
                <c:pt idx="160">
                  <c:v>#N/A</c:v>
                </c:pt>
                <c:pt idx="161">
                  <c:v>#N/A</c:v>
                </c:pt>
                <c:pt idx="162">
                  <c:v>#N/A</c:v>
                </c:pt>
                <c:pt idx="163">
                  <c:v>#N/A</c:v>
                </c:pt>
                <c:pt idx="164">
                  <c:v>#N/A</c:v>
                </c:pt>
                <c:pt idx="165">
                  <c:v>#N/A</c:v>
                </c:pt>
                <c:pt idx="166">
                  <c:v>#N/A</c:v>
                </c:pt>
                <c:pt idx="167">
                  <c:v>#N/A</c:v>
                </c:pt>
                <c:pt idx="168">
                  <c:v>#N/A</c:v>
                </c:pt>
                <c:pt idx="169">
                  <c:v>#N/A</c:v>
                </c:pt>
                <c:pt idx="170">
                  <c:v>#N/A</c:v>
                </c:pt>
                <c:pt idx="171">
                  <c:v>#N/A</c:v>
                </c:pt>
                <c:pt idx="172">
                  <c:v>#N/A</c:v>
                </c:pt>
                <c:pt idx="173">
                  <c:v>#N/A</c:v>
                </c:pt>
                <c:pt idx="174">
                  <c:v>#N/A</c:v>
                </c:pt>
                <c:pt idx="175">
                  <c:v>#N/A</c:v>
                </c:pt>
                <c:pt idx="176">
                  <c:v>#N/A</c:v>
                </c:pt>
                <c:pt idx="177">
                  <c:v>#N/A</c:v>
                </c:pt>
                <c:pt idx="178">
                  <c:v>#N/A</c:v>
                </c:pt>
                <c:pt idx="179">
                  <c:v>#N/A</c:v>
                </c:pt>
                <c:pt idx="180">
                  <c:v>#N/A</c:v>
                </c:pt>
                <c:pt idx="181">
                  <c:v>#N/A</c:v>
                </c:pt>
                <c:pt idx="182">
                  <c:v>#N/A</c:v>
                </c:pt>
                <c:pt idx="183">
                  <c:v>#N/A</c:v>
                </c:pt>
                <c:pt idx="184">
                  <c:v>#N/A</c:v>
                </c:pt>
                <c:pt idx="185">
                  <c:v>#N/A</c:v>
                </c:pt>
                <c:pt idx="186">
                  <c:v>#N/A</c:v>
                </c:pt>
                <c:pt idx="187">
                  <c:v>#N/A</c:v>
                </c:pt>
                <c:pt idx="188">
                  <c:v>#N/A</c:v>
                </c:pt>
                <c:pt idx="189">
                  <c:v>#N/A</c:v>
                </c:pt>
                <c:pt idx="190">
                  <c:v>#N/A</c:v>
                </c:pt>
                <c:pt idx="191">
                  <c:v>#N/A</c:v>
                </c:pt>
                <c:pt idx="192">
                  <c:v>#N/A</c:v>
                </c:pt>
                <c:pt idx="193">
                  <c:v>#N/A</c:v>
                </c:pt>
                <c:pt idx="194">
                  <c:v>#N/A</c:v>
                </c:pt>
                <c:pt idx="195">
                  <c:v>#N/A</c:v>
                </c:pt>
                <c:pt idx="196">
                  <c:v>#N/A</c:v>
                </c:pt>
                <c:pt idx="197">
                  <c:v>#N/A</c:v>
                </c:pt>
                <c:pt idx="198">
                  <c:v>#N/A</c:v>
                </c:pt>
                <c:pt idx="199">
                  <c:v>#N/A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D484-4AB2-893E-821CEF93DF40}"/>
            </c:ext>
          </c:extLst>
        </c:ser>
        <c:ser>
          <c:idx val="3"/>
          <c:order val="3"/>
          <c:tx>
            <c:v>90-day rate - Forecast</c:v>
          </c:tx>
          <c:spPr>
            <a:ln w="25400">
              <a:solidFill>
                <a:srgbClr val="00A3E0"/>
              </a:solidFill>
              <a:prstDash val="dash"/>
            </a:ln>
          </c:spPr>
          <c:marker>
            <c:symbol val="none"/>
          </c:marker>
          <c:cat>
            <c:numRef>
              <c:f>Comparison!$A$2:$A$201</c:f>
              <c:numCache>
                <c:formatCode>m/d/yyyy</c:formatCode>
                <c:ptCount val="200"/>
              </c:numCache>
            </c:numRef>
          </c:cat>
          <c:val>
            <c:numRef>
              <c:f>Comparison!$AF$2:$AF$201</c:f>
              <c:numCache>
                <c:formatCode>General</c:formatCode>
                <c:ptCount val="200"/>
                <c:pt idx="0">
                  <c:v>#N/A</c:v>
                </c:pt>
                <c:pt idx="1">
                  <c:v>#N/A</c:v>
                </c:pt>
                <c:pt idx="2">
                  <c:v>#N/A</c:v>
                </c:pt>
                <c:pt idx="3">
                  <c:v>#N/A</c:v>
                </c:pt>
                <c:pt idx="4">
                  <c:v>#N/A</c:v>
                </c:pt>
                <c:pt idx="5">
                  <c:v>#N/A</c:v>
                </c:pt>
                <c:pt idx="6">
                  <c:v>#N/A</c:v>
                </c:pt>
                <c:pt idx="7">
                  <c:v>#N/A</c:v>
                </c:pt>
                <c:pt idx="8">
                  <c:v>#N/A</c:v>
                </c:pt>
                <c:pt idx="9">
                  <c:v>#N/A</c:v>
                </c:pt>
                <c:pt idx="10">
                  <c:v>#N/A</c:v>
                </c:pt>
                <c:pt idx="11">
                  <c:v>#N/A</c:v>
                </c:pt>
                <c:pt idx="12">
                  <c:v>#N/A</c:v>
                </c:pt>
                <c:pt idx="13">
                  <c:v>#N/A</c:v>
                </c:pt>
                <c:pt idx="14">
                  <c:v>#N/A</c:v>
                </c:pt>
                <c:pt idx="15">
                  <c:v>#N/A</c:v>
                </c:pt>
                <c:pt idx="16">
                  <c:v>#N/A</c:v>
                </c:pt>
                <c:pt idx="17">
                  <c:v>#N/A</c:v>
                </c:pt>
                <c:pt idx="18">
                  <c:v>#N/A</c:v>
                </c:pt>
                <c:pt idx="19">
                  <c:v>#N/A</c:v>
                </c:pt>
                <c:pt idx="20">
                  <c:v>#N/A</c:v>
                </c:pt>
                <c:pt idx="21">
                  <c:v>#N/A</c:v>
                </c:pt>
                <c:pt idx="22">
                  <c:v>#N/A</c:v>
                </c:pt>
                <c:pt idx="23">
                  <c:v>#N/A</c:v>
                </c:pt>
                <c:pt idx="24">
                  <c:v>#N/A</c:v>
                </c:pt>
                <c:pt idx="25">
                  <c:v>#N/A</c:v>
                </c:pt>
                <c:pt idx="26">
                  <c:v>#N/A</c:v>
                </c:pt>
                <c:pt idx="27">
                  <c:v>#N/A</c:v>
                </c:pt>
                <c:pt idx="28">
                  <c:v>#N/A</c:v>
                </c:pt>
                <c:pt idx="29">
                  <c:v>#N/A</c:v>
                </c:pt>
                <c:pt idx="30">
                  <c:v>#N/A</c:v>
                </c:pt>
                <c:pt idx="31">
                  <c:v>#N/A</c:v>
                </c:pt>
                <c:pt idx="32">
                  <c:v>#N/A</c:v>
                </c:pt>
                <c:pt idx="33">
                  <c:v>#N/A</c:v>
                </c:pt>
                <c:pt idx="34">
                  <c:v>#N/A</c:v>
                </c:pt>
                <c:pt idx="35">
                  <c:v>#N/A</c:v>
                </c:pt>
                <c:pt idx="36">
                  <c:v>#N/A</c:v>
                </c:pt>
                <c:pt idx="37">
                  <c:v>#N/A</c:v>
                </c:pt>
                <c:pt idx="38">
                  <c:v>#N/A</c:v>
                </c:pt>
                <c:pt idx="39">
                  <c:v>#N/A</c:v>
                </c:pt>
                <c:pt idx="40">
                  <c:v>#N/A</c:v>
                </c:pt>
                <c:pt idx="41">
                  <c:v>#N/A</c:v>
                </c:pt>
                <c:pt idx="42">
                  <c:v>#N/A</c:v>
                </c:pt>
                <c:pt idx="43">
                  <c:v>#N/A</c:v>
                </c:pt>
                <c:pt idx="44">
                  <c:v>#N/A</c:v>
                </c:pt>
                <c:pt idx="45">
                  <c:v>#N/A</c:v>
                </c:pt>
                <c:pt idx="46">
                  <c:v>#N/A</c:v>
                </c:pt>
                <c:pt idx="47">
                  <c:v>#N/A</c:v>
                </c:pt>
                <c:pt idx="48">
                  <c:v>#N/A</c:v>
                </c:pt>
                <c:pt idx="49">
                  <c:v>#N/A</c:v>
                </c:pt>
                <c:pt idx="50">
                  <c:v>#N/A</c:v>
                </c:pt>
                <c:pt idx="51">
                  <c:v>#N/A</c:v>
                </c:pt>
                <c:pt idx="52">
                  <c:v>#N/A</c:v>
                </c:pt>
                <c:pt idx="53">
                  <c:v>#N/A</c:v>
                </c:pt>
                <c:pt idx="54">
                  <c:v>#N/A</c:v>
                </c:pt>
                <c:pt idx="55">
                  <c:v>#N/A</c:v>
                </c:pt>
                <c:pt idx="56">
                  <c:v>#N/A</c:v>
                </c:pt>
                <c:pt idx="57">
                  <c:v>#N/A</c:v>
                </c:pt>
                <c:pt idx="58">
                  <c:v>#N/A</c:v>
                </c:pt>
                <c:pt idx="59">
                  <c:v>#N/A</c:v>
                </c:pt>
                <c:pt idx="60">
                  <c:v>#N/A</c:v>
                </c:pt>
                <c:pt idx="61">
                  <c:v>#N/A</c:v>
                </c:pt>
                <c:pt idx="62">
                  <c:v>#N/A</c:v>
                </c:pt>
                <c:pt idx="63">
                  <c:v>#N/A</c:v>
                </c:pt>
                <c:pt idx="64">
                  <c:v>#N/A</c:v>
                </c:pt>
                <c:pt idx="65">
                  <c:v>#N/A</c:v>
                </c:pt>
                <c:pt idx="66">
                  <c:v>#N/A</c:v>
                </c:pt>
                <c:pt idx="67">
                  <c:v>#N/A</c:v>
                </c:pt>
                <c:pt idx="68">
                  <c:v>#N/A</c:v>
                </c:pt>
                <c:pt idx="69">
                  <c:v>#N/A</c:v>
                </c:pt>
                <c:pt idx="70">
                  <c:v>#N/A</c:v>
                </c:pt>
                <c:pt idx="71">
                  <c:v>#N/A</c:v>
                </c:pt>
                <c:pt idx="72">
                  <c:v>#N/A</c:v>
                </c:pt>
                <c:pt idx="73">
                  <c:v>#N/A</c:v>
                </c:pt>
                <c:pt idx="74">
                  <c:v>#N/A</c:v>
                </c:pt>
                <c:pt idx="75">
                  <c:v>#N/A</c:v>
                </c:pt>
                <c:pt idx="76">
                  <c:v>#N/A</c:v>
                </c:pt>
                <c:pt idx="77">
                  <c:v>#N/A</c:v>
                </c:pt>
                <c:pt idx="78">
                  <c:v>#N/A</c:v>
                </c:pt>
                <c:pt idx="79">
                  <c:v>#N/A</c:v>
                </c:pt>
                <c:pt idx="80">
                  <c:v>#N/A</c:v>
                </c:pt>
                <c:pt idx="81">
                  <c:v>#N/A</c:v>
                </c:pt>
                <c:pt idx="82">
                  <c:v>#N/A</c:v>
                </c:pt>
                <c:pt idx="83">
                  <c:v>#N/A</c:v>
                </c:pt>
                <c:pt idx="84">
                  <c:v>#N/A</c:v>
                </c:pt>
                <c:pt idx="85">
                  <c:v>#N/A</c:v>
                </c:pt>
                <c:pt idx="86">
                  <c:v>#N/A</c:v>
                </c:pt>
                <c:pt idx="87">
                  <c:v>#N/A</c:v>
                </c:pt>
                <c:pt idx="88">
                  <c:v>#N/A</c:v>
                </c:pt>
                <c:pt idx="89">
                  <c:v>#N/A</c:v>
                </c:pt>
                <c:pt idx="90">
                  <c:v>#N/A</c:v>
                </c:pt>
                <c:pt idx="91">
                  <c:v>#N/A</c:v>
                </c:pt>
                <c:pt idx="92">
                  <c:v>#N/A</c:v>
                </c:pt>
                <c:pt idx="93">
                  <c:v>#N/A</c:v>
                </c:pt>
                <c:pt idx="94">
                  <c:v>#N/A</c:v>
                </c:pt>
                <c:pt idx="95">
                  <c:v>#N/A</c:v>
                </c:pt>
                <c:pt idx="96">
                  <c:v>#N/A</c:v>
                </c:pt>
                <c:pt idx="97">
                  <c:v>#N/A</c:v>
                </c:pt>
                <c:pt idx="98">
                  <c:v>#N/A</c:v>
                </c:pt>
                <c:pt idx="99">
                  <c:v>#N/A</c:v>
                </c:pt>
                <c:pt idx="100">
                  <c:v>#N/A</c:v>
                </c:pt>
                <c:pt idx="101">
                  <c:v>#N/A</c:v>
                </c:pt>
                <c:pt idx="102">
                  <c:v>#N/A</c:v>
                </c:pt>
                <c:pt idx="103">
                  <c:v>#N/A</c:v>
                </c:pt>
                <c:pt idx="104">
                  <c:v>#N/A</c:v>
                </c:pt>
                <c:pt idx="105">
                  <c:v>#N/A</c:v>
                </c:pt>
                <c:pt idx="106">
                  <c:v>#N/A</c:v>
                </c:pt>
                <c:pt idx="107">
                  <c:v>#N/A</c:v>
                </c:pt>
                <c:pt idx="108">
                  <c:v>#N/A</c:v>
                </c:pt>
                <c:pt idx="109">
                  <c:v>#N/A</c:v>
                </c:pt>
                <c:pt idx="110">
                  <c:v>#N/A</c:v>
                </c:pt>
                <c:pt idx="111">
                  <c:v>#N/A</c:v>
                </c:pt>
                <c:pt idx="112">
                  <c:v>#N/A</c:v>
                </c:pt>
                <c:pt idx="113">
                  <c:v>#N/A</c:v>
                </c:pt>
                <c:pt idx="114">
                  <c:v>#N/A</c:v>
                </c:pt>
                <c:pt idx="115">
                  <c:v>#N/A</c:v>
                </c:pt>
                <c:pt idx="116">
                  <c:v>#N/A</c:v>
                </c:pt>
                <c:pt idx="117">
                  <c:v>#N/A</c:v>
                </c:pt>
                <c:pt idx="118">
                  <c:v>#N/A</c:v>
                </c:pt>
                <c:pt idx="119">
                  <c:v>#N/A</c:v>
                </c:pt>
                <c:pt idx="120">
                  <c:v>#N/A</c:v>
                </c:pt>
                <c:pt idx="121">
                  <c:v>#N/A</c:v>
                </c:pt>
                <c:pt idx="122">
                  <c:v>#N/A</c:v>
                </c:pt>
                <c:pt idx="123">
                  <c:v>#N/A</c:v>
                </c:pt>
                <c:pt idx="124">
                  <c:v>#N/A</c:v>
                </c:pt>
                <c:pt idx="125">
                  <c:v>#N/A</c:v>
                </c:pt>
                <c:pt idx="126">
                  <c:v>#N/A</c:v>
                </c:pt>
                <c:pt idx="127">
                  <c:v>#N/A</c:v>
                </c:pt>
                <c:pt idx="128">
                  <c:v>#N/A</c:v>
                </c:pt>
                <c:pt idx="129">
                  <c:v>#N/A</c:v>
                </c:pt>
                <c:pt idx="130">
                  <c:v>#N/A</c:v>
                </c:pt>
                <c:pt idx="131">
                  <c:v>#N/A</c:v>
                </c:pt>
                <c:pt idx="132">
                  <c:v>#N/A</c:v>
                </c:pt>
                <c:pt idx="133">
                  <c:v>#N/A</c:v>
                </c:pt>
                <c:pt idx="134">
                  <c:v>#N/A</c:v>
                </c:pt>
                <c:pt idx="135">
                  <c:v>#N/A</c:v>
                </c:pt>
                <c:pt idx="136">
                  <c:v>#N/A</c:v>
                </c:pt>
                <c:pt idx="137">
                  <c:v>#N/A</c:v>
                </c:pt>
                <c:pt idx="138">
                  <c:v>#N/A</c:v>
                </c:pt>
                <c:pt idx="139">
                  <c:v>#N/A</c:v>
                </c:pt>
                <c:pt idx="140">
                  <c:v>#N/A</c:v>
                </c:pt>
                <c:pt idx="141">
                  <c:v>#N/A</c:v>
                </c:pt>
                <c:pt idx="142">
                  <c:v>#N/A</c:v>
                </c:pt>
                <c:pt idx="143">
                  <c:v>#N/A</c:v>
                </c:pt>
                <c:pt idx="144">
                  <c:v>#N/A</c:v>
                </c:pt>
                <c:pt idx="145">
                  <c:v>#N/A</c:v>
                </c:pt>
                <c:pt idx="146">
                  <c:v>#N/A</c:v>
                </c:pt>
                <c:pt idx="147">
                  <c:v>#N/A</c:v>
                </c:pt>
                <c:pt idx="148">
                  <c:v>#N/A</c:v>
                </c:pt>
                <c:pt idx="149">
                  <c:v>#N/A</c:v>
                </c:pt>
                <c:pt idx="150">
                  <c:v>#N/A</c:v>
                </c:pt>
                <c:pt idx="151">
                  <c:v>#N/A</c:v>
                </c:pt>
                <c:pt idx="152">
                  <c:v>#N/A</c:v>
                </c:pt>
                <c:pt idx="153">
                  <c:v>#N/A</c:v>
                </c:pt>
                <c:pt idx="154">
                  <c:v>#N/A</c:v>
                </c:pt>
                <c:pt idx="155">
                  <c:v>#N/A</c:v>
                </c:pt>
                <c:pt idx="156">
                  <c:v>#N/A</c:v>
                </c:pt>
                <c:pt idx="157">
                  <c:v>#N/A</c:v>
                </c:pt>
                <c:pt idx="158">
                  <c:v>#N/A</c:v>
                </c:pt>
                <c:pt idx="159">
                  <c:v>#N/A</c:v>
                </c:pt>
                <c:pt idx="160">
                  <c:v>#N/A</c:v>
                </c:pt>
                <c:pt idx="161">
                  <c:v>#N/A</c:v>
                </c:pt>
                <c:pt idx="162">
                  <c:v>#N/A</c:v>
                </c:pt>
                <c:pt idx="163">
                  <c:v>#N/A</c:v>
                </c:pt>
                <c:pt idx="164">
                  <c:v>#N/A</c:v>
                </c:pt>
                <c:pt idx="165">
                  <c:v>#N/A</c:v>
                </c:pt>
                <c:pt idx="166">
                  <c:v>#N/A</c:v>
                </c:pt>
                <c:pt idx="167">
                  <c:v>#N/A</c:v>
                </c:pt>
                <c:pt idx="168">
                  <c:v>#N/A</c:v>
                </c:pt>
                <c:pt idx="169">
                  <c:v>#N/A</c:v>
                </c:pt>
                <c:pt idx="170">
                  <c:v>#N/A</c:v>
                </c:pt>
                <c:pt idx="171">
                  <c:v>#N/A</c:v>
                </c:pt>
                <c:pt idx="172">
                  <c:v>#N/A</c:v>
                </c:pt>
                <c:pt idx="173">
                  <c:v>#N/A</c:v>
                </c:pt>
                <c:pt idx="174">
                  <c:v>#N/A</c:v>
                </c:pt>
                <c:pt idx="175">
                  <c:v>#N/A</c:v>
                </c:pt>
                <c:pt idx="176">
                  <c:v>#N/A</c:v>
                </c:pt>
                <c:pt idx="177">
                  <c:v>#N/A</c:v>
                </c:pt>
                <c:pt idx="178">
                  <c:v>#N/A</c:v>
                </c:pt>
                <c:pt idx="179">
                  <c:v>#N/A</c:v>
                </c:pt>
                <c:pt idx="180">
                  <c:v>#N/A</c:v>
                </c:pt>
                <c:pt idx="181">
                  <c:v>#N/A</c:v>
                </c:pt>
                <c:pt idx="182">
                  <c:v>#N/A</c:v>
                </c:pt>
                <c:pt idx="183">
                  <c:v>#N/A</c:v>
                </c:pt>
                <c:pt idx="184">
                  <c:v>#N/A</c:v>
                </c:pt>
                <c:pt idx="185">
                  <c:v>#N/A</c:v>
                </c:pt>
                <c:pt idx="186">
                  <c:v>#N/A</c:v>
                </c:pt>
                <c:pt idx="187">
                  <c:v>#N/A</c:v>
                </c:pt>
                <c:pt idx="188">
                  <c:v>#N/A</c:v>
                </c:pt>
                <c:pt idx="189">
                  <c:v>#N/A</c:v>
                </c:pt>
                <c:pt idx="190">
                  <c:v>#N/A</c:v>
                </c:pt>
                <c:pt idx="191">
                  <c:v>#N/A</c:v>
                </c:pt>
                <c:pt idx="192">
                  <c:v>#N/A</c:v>
                </c:pt>
                <c:pt idx="193">
                  <c:v>#N/A</c:v>
                </c:pt>
                <c:pt idx="194">
                  <c:v>#N/A</c:v>
                </c:pt>
                <c:pt idx="195">
                  <c:v>#N/A</c:v>
                </c:pt>
                <c:pt idx="196">
                  <c:v>#N/A</c:v>
                </c:pt>
                <c:pt idx="197">
                  <c:v>#N/A</c:v>
                </c:pt>
                <c:pt idx="198">
                  <c:v>#N/A</c:v>
                </c:pt>
                <c:pt idx="199">
                  <c:v>#N/A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D484-4AB2-893E-821CEF93DF40}"/>
            </c:ext>
          </c:extLst>
        </c:ser>
        <c:ser>
          <c:idx val="4"/>
          <c:order val="4"/>
          <c:tx>
            <c:v>10-year rate - Actual</c:v>
          </c:tx>
          <c:spPr>
            <a:ln w="25400">
              <a:solidFill>
                <a:srgbClr val="ED8B00"/>
              </a:solidFill>
              <a:prstDash val="solid"/>
            </a:ln>
          </c:spPr>
          <c:marker>
            <c:symbol val="none"/>
          </c:marker>
          <c:cat>
            <c:numRef>
              <c:f>Comparison!$A$2:$A$201</c:f>
              <c:numCache>
                <c:formatCode>m/d/yyyy</c:formatCode>
                <c:ptCount val="200"/>
              </c:numCache>
            </c:numRef>
          </c:cat>
          <c:val>
            <c:numRef>
              <c:f>Comparison!$AG$2:$AG$201</c:f>
              <c:numCache>
                <c:formatCode>General</c:formatCode>
                <c:ptCount val="200"/>
                <c:pt idx="0">
                  <c:v>#N/A</c:v>
                </c:pt>
                <c:pt idx="1">
                  <c:v>#N/A</c:v>
                </c:pt>
                <c:pt idx="2">
                  <c:v>#N/A</c:v>
                </c:pt>
                <c:pt idx="3">
                  <c:v>#N/A</c:v>
                </c:pt>
                <c:pt idx="4">
                  <c:v>#N/A</c:v>
                </c:pt>
                <c:pt idx="5">
                  <c:v>#N/A</c:v>
                </c:pt>
                <c:pt idx="6">
                  <c:v>#N/A</c:v>
                </c:pt>
                <c:pt idx="7">
                  <c:v>#N/A</c:v>
                </c:pt>
                <c:pt idx="8">
                  <c:v>#N/A</c:v>
                </c:pt>
                <c:pt idx="9">
                  <c:v>#N/A</c:v>
                </c:pt>
                <c:pt idx="10">
                  <c:v>#N/A</c:v>
                </c:pt>
                <c:pt idx="11">
                  <c:v>#N/A</c:v>
                </c:pt>
                <c:pt idx="12">
                  <c:v>#N/A</c:v>
                </c:pt>
                <c:pt idx="13">
                  <c:v>#N/A</c:v>
                </c:pt>
                <c:pt idx="14">
                  <c:v>#N/A</c:v>
                </c:pt>
                <c:pt idx="15">
                  <c:v>#N/A</c:v>
                </c:pt>
                <c:pt idx="16">
                  <c:v>#N/A</c:v>
                </c:pt>
                <c:pt idx="17">
                  <c:v>#N/A</c:v>
                </c:pt>
                <c:pt idx="18">
                  <c:v>#N/A</c:v>
                </c:pt>
                <c:pt idx="19">
                  <c:v>#N/A</c:v>
                </c:pt>
                <c:pt idx="20">
                  <c:v>#N/A</c:v>
                </c:pt>
                <c:pt idx="21">
                  <c:v>#N/A</c:v>
                </c:pt>
                <c:pt idx="22">
                  <c:v>#N/A</c:v>
                </c:pt>
                <c:pt idx="23">
                  <c:v>#N/A</c:v>
                </c:pt>
                <c:pt idx="24">
                  <c:v>#N/A</c:v>
                </c:pt>
                <c:pt idx="25">
                  <c:v>#N/A</c:v>
                </c:pt>
                <c:pt idx="26">
                  <c:v>#N/A</c:v>
                </c:pt>
                <c:pt idx="27">
                  <c:v>#N/A</c:v>
                </c:pt>
                <c:pt idx="28">
                  <c:v>#N/A</c:v>
                </c:pt>
                <c:pt idx="29">
                  <c:v>#N/A</c:v>
                </c:pt>
                <c:pt idx="30">
                  <c:v>#N/A</c:v>
                </c:pt>
                <c:pt idx="31">
                  <c:v>#N/A</c:v>
                </c:pt>
                <c:pt idx="32">
                  <c:v>#N/A</c:v>
                </c:pt>
                <c:pt idx="33">
                  <c:v>#N/A</c:v>
                </c:pt>
                <c:pt idx="34">
                  <c:v>#N/A</c:v>
                </c:pt>
                <c:pt idx="35">
                  <c:v>#N/A</c:v>
                </c:pt>
                <c:pt idx="36">
                  <c:v>#N/A</c:v>
                </c:pt>
                <c:pt idx="37">
                  <c:v>#N/A</c:v>
                </c:pt>
                <c:pt idx="38">
                  <c:v>#N/A</c:v>
                </c:pt>
                <c:pt idx="39">
                  <c:v>#N/A</c:v>
                </c:pt>
                <c:pt idx="40">
                  <c:v>#N/A</c:v>
                </c:pt>
                <c:pt idx="41">
                  <c:v>#N/A</c:v>
                </c:pt>
                <c:pt idx="42">
                  <c:v>#N/A</c:v>
                </c:pt>
                <c:pt idx="43">
                  <c:v>#N/A</c:v>
                </c:pt>
                <c:pt idx="44">
                  <c:v>#N/A</c:v>
                </c:pt>
                <c:pt idx="45">
                  <c:v>#N/A</c:v>
                </c:pt>
                <c:pt idx="46">
                  <c:v>#N/A</c:v>
                </c:pt>
                <c:pt idx="47">
                  <c:v>#N/A</c:v>
                </c:pt>
                <c:pt idx="48">
                  <c:v>#N/A</c:v>
                </c:pt>
                <c:pt idx="49">
                  <c:v>#N/A</c:v>
                </c:pt>
                <c:pt idx="50">
                  <c:v>#N/A</c:v>
                </c:pt>
                <c:pt idx="51">
                  <c:v>#N/A</c:v>
                </c:pt>
                <c:pt idx="52">
                  <c:v>#N/A</c:v>
                </c:pt>
                <c:pt idx="53">
                  <c:v>#N/A</c:v>
                </c:pt>
                <c:pt idx="54">
                  <c:v>#N/A</c:v>
                </c:pt>
                <c:pt idx="55">
                  <c:v>#N/A</c:v>
                </c:pt>
                <c:pt idx="56">
                  <c:v>#N/A</c:v>
                </c:pt>
                <c:pt idx="57">
                  <c:v>#N/A</c:v>
                </c:pt>
                <c:pt idx="58">
                  <c:v>#N/A</c:v>
                </c:pt>
                <c:pt idx="59">
                  <c:v>#N/A</c:v>
                </c:pt>
                <c:pt idx="60">
                  <c:v>#N/A</c:v>
                </c:pt>
                <c:pt idx="61">
                  <c:v>#N/A</c:v>
                </c:pt>
                <c:pt idx="62">
                  <c:v>#N/A</c:v>
                </c:pt>
                <c:pt idx="63">
                  <c:v>#N/A</c:v>
                </c:pt>
                <c:pt idx="64">
                  <c:v>#N/A</c:v>
                </c:pt>
                <c:pt idx="65">
                  <c:v>#N/A</c:v>
                </c:pt>
                <c:pt idx="66">
                  <c:v>#N/A</c:v>
                </c:pt>
                <c:pt idx="67">
                  <c:v>#N/A</c:v>
                </c:pt>
                <c:pt idx="68">
                  <c:v>#N/A</c:v>
                </c:pt>
                <c:pt idx="69">
                  <c:v>#N/A</c:v>
                </c:pt>
                <c:pt idx="70">
                  <c:v>#N/A</c:v>
                </c:pt>
                <c:pt idx="71">
                  <c:v>#N/A</c:v>
                </c:pt>
                <c:pt idx="72">
                  <c:v>#N/A</c:v>
                </c:pt>
                <c:pt idx="73">
                  <c:v>#N/A</c:v>
                </c:pt>
                <c:pt idx="74">
                  <c:v>#N/A</c:v>
                </c:pt>
                <c:pt idx="75">
                  <c:v>#N/A</c:v>
                </c:pt>
                <c:pt idx="76">
                  <c:v>#N/A</c:v>
                </c:pt>
                <c:pt idx="77">
                  <c:v>#N/A</c:v>
                </c:pt>
                <c:pt idx="78">
                  <c:v>#N/A</c:v>
                </c:pt>
                <c:pt idx="79">
                  <c:v>#N/A</c:v>
                </c:pt>
                <c:pt idx="80">
                  <c:v>#N/A</c:v>
                </c:pt>
                <c:pt idx="81">
                  <c:v>#N/A</c:v>
                </c:pt>
                <c:pt idx="82">
                  <c:v>#N/A</c:v>
                </c:pt>
                <c:pt idx="83">
                  <c:v>#N/A</c:v>
                </c:pt>
                <c:pt idx="84">
                  <c:v>#N/A</c:v>
                </c:pt>
                <c:pt idx="85">
                  <c:v>#N/A</c:v>
                </c:pt>
                <c:pt idx="86">
                  <c:v>#N/A</c:v>
                </c:pt>
                <c:pt idx="87">
                  <c:v>#N/A</c:v>
                </c:pt>
                <c:pt idx="88">
                  <c:v>#N/A</c:v>
                </c:pt>
                <c:pt idx="89">
                  <c:v>#N/A</c:v>
                </c:pt>
                <c:pt idx="90">
                  <c:v>#N/A</c:v>
                </c:pt>
                <c:pt idx="91">
                  <c:v>#N/A</c:v>
                </c:pt>
                <c:pt idx="92">
                  <c:v>#N/A</c:v>
                </c:pt>
                <c:pt idx="93">
                  <c:v>#N/A</c:v>
                </c:pt>
                <c:pt idx="94">
                  <c:v>#N/A</c:v>
                </c:pt>
                <c:pt idx="95">
                  <c:v>#N/A</c:v>
                </c:pt>
                <c:pt idx="96">
                  <c:v>#N/A</c:v>
                </c:pt>
                <c:pt idx="97">
                  <c:v>#N/A</c:v>
                </c:pt>
                <c:pt idx="98">
                  <c:v>#N/A</c:v>
                </c:pt>
                <c:pt idx="99">
                  <c:v>#N/A</c:v>
                </c:pt>
                <c:pt idx="100">
                  <c:v>#N/A</c:v>
                </c:pt>
                <c:pt idx="101">
                  <c:v>#N/A</c:v>
                </c:pt>
                <c:pt idx="102">
                  <c:v>#N/A</c:v>
                </c:pt>
                <c:pt idx="103">
                  <c:v>#N/A</c:v>
                </c:pt>
                <c:pt idx="104">
                  <c:v>#N/A</c:v>
                </c:pt>
                <c:pt idx="105">
                  <c:v>#N/A</c:v>
                </c:pt>
                <c:pt idx="106">
                  <c:v>#N/A</c:v>
                </c:pt>
                <c:pt idx="107">
                  <c:v>#N/A</c:v>
                </c:pt>
                <c:pt idx="108">
                  <c:v>#N/A</c:v>
                </c:pt>
                <c:pt idx="109">
                  <c:v>#N/A</c:v>
                </c:pt>
                <c:pt idx="110">
                  <c:v>#N/A</c:v>
                </c:pt>
                <c:pt idx="111">
                  <c:v>#N/A</c:v>
                </c:pt>
                <c:pt idx="112">
                  <c:v>#N/A</c:v>
                </c:pt>
                <c:pt idx="113">
                  <c:v>#N/A</c:v>
                </c:pt>
                <c:pt idx="114">
                  <c:v>#N/A</c:v>
                </c:pt>
                <c:pt idx="115">
                  <c:v>#N/A</c:v>
                </c:pt>
                <c:pt idx="116">
                  <c:v>#N/A</c:v>
                </c:pt>
                <c:pt idx="117">
                  <c:v>#N/A</c:v>
                </c:pt>
                <c:pt idx="118">
                  <c:v>#N/A</c:v>
                </c:pt>
                <c:pt idx="119">
                  <c:v>#N/A</c:v>
                </c:pt>
                <c:pt idx="120">
                  <c:v>#N/A</c:v>
                </c:pt>
                <c:pt idx="121">
                  <c:v>#N/A</c:v>
                </c:pt>
                <c:pt idx="122">
                  <c:v>#N/A</c:v>
                </c:pt>
                <c:pt idx="123">
                  <c:v>#N/A</c:v>
                </c:pt>
                <c:pt idx="124">
                  <c:v>#N/A</c:v>
                </c:pt>
                <c:pt idx="125">
                  <c:v>#N/A</c:v>
                </c:pt>
                <c:pt idx="126">
                  <c:v>#N/A</c:v>
                </c:pt>
                <c:pt idx="127">
                  <c:v>#N/A</c:v>
                </c:pt>
                <c:pt idx="128">
                  <c:v>#N/A</c:v>
                </c:pt>
                <c:pt idx="129">
                  <c:v>#N/A</c:v>
                </c:pt>
                <c:pt idx="130">
                  <c:v>#N/A</c:v>
                </c:pt>
                <c:pt idx="131">
                  <c:v>#N/A</c:v>
                </c:pt>
                <c:pt idx="132">
                  <c:v>#N/A</c:v>
                </c:pt>
                <c:pt idx="133">
                  <c:v>#N/A</c:v>
                </c:pt>
                <c:pt idx="134">
                  <c:v>#N/A</c:v>
                </c:pt>
                <c:pt idx="135">
                  <c:v>#N/A</c:v>
                </c:pt>
                <c:pt idx="136">
                  <c:v>#N/A</c:v>
                </c:pt>
                <c:pt idx="137">
                  <c:v>#N/A</c:v>
                </c:pt>
                <c:pt idx="138">
                  <c:v>#N/A</c:v>
                </c:pt>
                <c:pt idx="139">
                  <c:v>#N/A</c:v>
                </c:pt>
                <c:pt idx="140">
                  <c:v>#N/A</c:v>
                </c:pt>
                <c:pt idx="141">
                  <c:v>#N/A</c:v>
                </c:pt>
                <c:pt idx="142">
                  <c:v>#N/A</c:v>
                </c:pt>
                <c:pt idx="143">
                  <c:v>#N/A</c:v>
                </c:pt>
                <c:pt idx="144">
                  <c:v>#N/A</c:v>
                </c:pt>
                <c:pt idx="145">
                  <c:v>#N/A</c:v>
                </c:pt>
                <c:pt idx="146">
                  <c:v>#N/A</c:v>
                </c:pt>
                <c:pt idx="147">
                  <c:v>#N/A</c:v>
                </c:pt>
                <c:pt idx="148">
                  <c:v>#N/A</c:v>
                </c:pt>
                <c:pt idx="149">
                  <c:v>#N/A</c:v>
                </c:pt>
                <c:pt idx="150">
                  <c:v>#N/A</c:v>
                </c:pt>
                <c:pt idx="151">
                  <c:v>#N/A</c:v>
                </c:pt>
                <c:pt idx="152">
                  <c:v>#N/A</c:v>
                </c:pt>
                <c:pt idx="153">
                  <c:v>#N/A</c:v>
                </c:pt>
                <c:pt idx="154">
                  <c:v>#N/A</c:v>
                </c:pt>
                <c:pt idx="155">
                  <c:v>#N/A</c:v>
                </c:pt>
                <c:pt idx="156">
                  <c:v>#N/A</c:v>
                </c:pt>
                <c:pt idx="157">
                  <c:v>#N/A</c:v>
                </c:pt>
                <c:pt idx="158">
                  <c:v>#N/A</c:v>
                </c:pt>
                <c:pt idx="159">
                  <c:v>#N/A</c:v>
                </c:pt>
                <c:pt idx="160">
                  <c:v>#N/A</c:v>
                </c:pt>
                <c:pt idx="161">
                  <c:v>#N/A</c:v>
                </c:pt>
                <c:pt idx="162">
                  <c:v>#N/A</c:v>
                </c:pt>
                <c:pt idx="163">
                  <c:v>#N/A</c:v>
                </c:pt>
                <c:pt idx="164">
                  <c:v>#N/A</c:v>
                </c:pt>
                <c:pt idx="165">
                  <c:v>#N/A</c:v>
                </c:pt>
                <c:pt idx="166">
                  <c:v>#N/A</c:v>
                </c:pt>
                <c:pt idx="167">
                  <c:v>#N/A</c:v>
                </c:pt>
                <c:pt idx="168">
                  <c:v>#N/A</c:v>
                </c:pt>
                <c:pt idx="169">
                  <c:v>#N/A</c:v>
                </c:pt>
                <c:pt idx="170">
                  <c:v>#N/A</c:v>
                </c:pt>
                <c:pt idx="171">
                  <c:v>#N/A</c:v>
                </c:pt>
                <c:pt idx="172">
                  <c:v>#N/A</c:v>
                </c:pt>
                <c:pt idx="173">
                  <c:v>#N/A</c:v>
                </c:pt>
                <c:pt idx="174">
                  <c:v>#N/A</c:v>
                </c:pt>
                <c:pt idx="175">
                  <c:v>#N/A</c:v>
                </c:pt>
                <c:pt idx="176">
                  <c:v>#N/A</c:v>
                </c:pt>
                <c:pt idx="177">
                  <c:v>#N/A</c:v>
                </c:pt>
                <c:pt idx="178">
                  <c:v>#N/A</c:v>
                </c:pt>
                <c:pt idx="179">
                  <c:v>#N/A</c:v>
                </c:pt>
                <c:pt idx="180">
                  <c:v>#N/A</c:v>
                </c:pt>
                <c:pt idx="181">
                  <c:v>#N/A</c:v>
                </c:pt>
                <c:pt idx="182">
                  <c:v>#N/A</c:v>
                </c:pt>
                <c:pt idx="183">
                  <c:v>#N/A</c:v>
                </c:pt>
                <c:pt idx="184">
                  <c:v>#N/A</c:v>
                </c:pt>
                <c:pt idx="185">
                  <c:v>#N/A</c:v>
                </c:pt>
                <c:pt idx="186">
                  <c:v>#N/A</c:v>
                </c:pt>
                <c:pt idx="187">
                  <c:v>#N/A</c:v>
                </c:pt>
                <c:pt idx="188">
                  <c:v>#N/A</c:v>
                </c:pt>
                <c:pt idx="189">
                  <c:v>#N/A</c:v>
                </c:pt>
                <c:pt idx="190">
                  <c:v>#N/A</c:v>
                </c:pt>
                <c:pt idx="191">
                  <c:v>#N/A</c:v>
                </c:pt>
                <c:pt idx="192">
                  <c:v>#N/A</c:v>
                </c:pt>
                <c:pt idx="193">
                  <c:v>#N/A</c:v>
                </c:pt>
                <c:pt idx="194">
                  <c:v>#N/A</c:v>
                </c:pt>
                <c:pt idx="195">
                  <c:v>#N/A</c:v>
                </c:pt>
                <c:pt idx="196">
                  <c:v>#N/A</c:v>
                </c:pt>
                <c:pt idx="197">
                  <c:v>#N/A</c:v>
                </c:pt>
                <c:pt idx="198">
                  <c:v>#N/A</c:v>
                </c:pt>
                <c:pt idx="199">
                  <c:v>#N/A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D484-4AB2-893E-821CEF93DF40}"/>
            </c:ext>
          </c:extLst>
        </c:ser>
        <c:ser>
          <c:idx val="5"/>
          <c:order val="5"/>
          <c:tx>
            <c:v>10-year rate - Forecast</c:v>
          </c:tx>
          <c:spPr>
            <a:ln w="25400">
              <a:solidFill>
                <a:srgbClr val="ED8B00"/>
              </a:solidFill>
              <a:prstDash val="dash"/>
            </a:ln>
          </c:spPr>
          <c:marker>
            <c:symbol val="none"/>
          </c:marker>
          <c:cat>
            <c:numRef>
              <c:f>Comparison!$A$2:$A$201</c:f>
              <c:numCache>
                <c:formatCode>m/d/yyyy</c:formatCode>
                <c:ptCount val="200"/>
              </c:numCache>
            </c:numRef>
          </c:cat>
          <c:val>
            <c:numRef>
              <c:f>Comparison!$AH$2:$AH$201</c:f>
              <c:numCache>
                <c:formatCode>General</c:formatCode>
                <c:ptCount val="200"/>
                <c:pt idx="0">
                  <c:v>#N/A</c:v>
                </c:pt>
                <c:pt idx="1">
                  <c:v>#N/A</c:v>
                </c:pt>
                <c:pt idx="2">
                  <c:v>#N/A</c:v>
                </c:pt>
                <c:pt idx="3">
                  <c:v>#N/A</c:v>
                </c:pt>
                <c:pt idx="4">
                  <c:v>#N/A</c:v>
                </c:pt>
                <c:pt idx="5">
                  <c:v>#N/A</c:v>
                </c:pt>
                <c:pt idx="6">
                  <c:v>#N/A</c:v>
                </c:pt>
                <c:pt idx="7">
                  <c:v>#N/A</c:v>
                </c:pt>
                <c:pt idx="8">
                  <c:v>#N/A</c:v>
                </c:pt>
                <c:pt idx="9">
                  <c:v>#N/A</c:v>
                </c:pt>
                <c:pt idx="10">
                  <c:v>#N/A</c:v>
                </c:pt>
                <c:pt idx="11">
                  <c:v>#N/A</c:v>
                </c:pt>
                <c:pt idx="12">
                  <c:v>#N/A</c:v>
                </c:pt>
                <c:pt idx="13">
                  <c:v>#N/A</c:v>
                </c:pt>
                <c:pt idx="14">
                  <c:v>#N/A</c:v>
                </c:pt>
                <c:pt idx="15">
                  <c:v>#N/A</c:v>
                </c:pt>
                <c:pt idx="16">
                  <c:v>#N/A</c:v>
                </c:pt>
                <c:pt idx="17">
                  <c:v>#N/A</c:v>
                </c:pt>
                <c:pt idx="18">
                  <c:v>#N/A</c:v>
                </c:pt>
                <c:pt idx="19">
                  <c:v>#N/A</c:v>
                </c:pt>
                <c:pt idx="20">
                  <c:v>#N/A</c:v>
                </c:pt>
                <c:pt idx="21">
                  <c:v>#N/A</c:v>
                </c:pt>
                <c:pt idx="22">
                  <c:v>#N/A</c:v>
                </c:pt>
                <c:pt idx="23">
                  <c:v>#N/A</c:v>
                </c:pt>
                <c:pt idx="24">
                  <c:v>#N/A</c:v>
                </c:pt>
                <c:pt idx="25">
                  <c:v>#N/A</c:v>
                </c:pt>
                <c:pt idx="26">
                  <c:v>#N/A</c:v>
                </c:pt>
                <c:pt idx="27">
                  <c:v>#N/A</c:v>
                </c:pt>
                <c:pt idx="28">
                  <c:v>#N/A</c:v>
                </c:pt>
                <c:pt idx="29">
                  <c:v>#N/A</c:v>
                </c:pt>
                <c:pt idx="30">
                  <c:v>#N/A</c:v>
                </c:pt>
                <c:pt idx="31">
                  <c:v>#N/A</c:v>
                </c:pt>
                <c:pt idx="32">
                  <c:v>#N/A</c:v>
                </c:pt>
                <c:pt idx="33">
                  <c:v>#N/A</c:v>
                </c:pt>
                <c:pt idx="34">
                  <c:v>#N/A</c:v>
                </c:pt>
                <c:pt idx="35">
                  <c:v>#N/A</c:v>
                </c:pt>
                <c:pt idx="36">
                  <c:v>#N/A</c:v>
                </c:pt>
                <c:pt idx="37">
                  <c:v>#N/A</c:v>
                </c:pt>
                <c:pt idx="38">
                  <c:v>#N/A</c:v>
                </c:pt>
                <c:pt idx="39">
                  <c:v>#N/A</c:v>
                </c:pt>
                <c:pt idx="40">
                  <c:v>#N/A</c:v>
                </c:pt>
                <c:pt idx="41">
                  <c:v>#N/A</c:v>
                </c:pt>
                <c:pt idx="42">
                  <c:v>#N/A</c:v>
                </c:pt>
                <c:pt idx="43">
                  <c:v>#N/A</c:v>
                </c:pt>
                <c:pt idx="44">
                  <c:v>#N/A</c:v>
                </c:pt>
                <c:pt idx="45">
                  <c:v>#N/A</c:v>
                </c:pt>
                <c:pt idx="46">
                  <c:v>#N/A</c:v>
                </c:pt>
                <c:pt idx="47">
                  <c:v>#N/A</c:v>
                </c:pt>
                <c:pt idx="48">
                  <c:v>#N/A</c:v>
                </c:pt>
                <c:pt idx="49">
                  <c:v>#N/A</c:v>
                </c:pt>
                <c:pt idx="50">
                  <c:v>#N/A</c:v>
                </c:pt>
                <c:pt idx="51">
                  <c:v>#N/A</c:v>
                </c:pt>
                <c:pt idx="52">
                  <c:v>#N/A</c:v>
                </c:pt>
                <c:pt idx="53">
                  <c:v>#N/A</c:v>
                </c:pt>
                <c:pt idx="54">
                  <c:v>#N/A</c:v>
                </c:pt>
                <c:pt idx="55">
                  <c:v>#N/A</c:v>
                </c:pt>
                <c:pt idx="56">
                  <c:v>#N/A</c:v>
                </c:pt>
                <c:pt idx="57">
                  <c:v>#N/A</c:v>
                </c:pt>
                <c:pt idx="58">
                  <c:v>#N/A</c:v>
                </c:pt>
                <c:pt idx="59">
                  <c:v>#N/A</c:v>
                </c:pt>
                <c:pt idx="60">
                  <c:v>#N/A</c:v>
                </c:pt>
                <c:pt idx="61">
                  <c:v>#N/A</c:v>
                </c:pt>
                <c:pt idx="62">
                  <c:v>#N/A</c:v>
                </c:pt>
                <c:pt idx="63">
                  <c:v>#N/A</c:v>
                </c:pt>
                <c:pt idx="64">
                  <c:v>#N/A</c:v>
                </c:pt>
                <c:pt idx="65">
                  <c:v>#N/A</c:v>
                </c:pt>
                <c:pt idx="66">
                  <c:v>#N/A</c:v>
                </c:pt>
                <c:pt idx="67">
                  <c:v>#N/A</c:v>
                </c:pt>
                <c:pt idx="68">
                  <c:v>#N/A</c:v>
                </c:pt>
                <c:pt idx="69">
                  <c:v>#N/A</c:v>
                </c:pt>
                <c:pt idx="70">
                  <c:v>#N/A</c:v>
                </c:pt>
                <c:pt idx="71">
                  <c:v>#N/A</c:v>
                </c:pt>
                <c:pt idx="72">
                  <c:v>#N/A</c:v>
                </c:pt>
                <c:pt idx="73">
                  <c:v>#N/A</c:v>
                </c:pt>
                <c:pt idx="74">
                  <c:v>#N/A</c:v>
                </c:pt>
                <c:pt idx="75">
                  <c:v>#N/A</c:v>
                </c:pt>
                <c:pt idx="76">
                  <c:v>#N/A</c:v>
                </c:pt>
                <c:pt idx="77">
                  <c:v>#N/A</c:v>
                </c:pt>
                <c:pt idx="78">
                  <c:v>#N/A</c:v>
                </c:pt>
                <c:pt idx="79">
                  <c:v>#N/A</c:v>
                </c:pt>
                <c:pt idx="80">
                  <c:v>#N/A</c:v>
                </c:pt>
                <c:pt idx="81">
                  <c:v>#N/A</c:v>
                </c:pt>
                <c:pt idx="82">
                  <c:v>#N/A</c:v>
                </c:pt>
                <c:pt idx="83">
                  <c:v>#N/A</c:v>
                </c:pt>
                <c:pt idx="84">
                  <c:v>#N/A</c:v>
                </c:pt>
                <c:pt idx="85">
                  <c:v>#N/A</c:v>
                </c:pt>
                <c:pt idx="86">
                  <c:v>#N/A</c:v>
                </c:pt>
                <c:pt idx="87">
                  <c:v>#N/A</c:v>
                </c:pt>
                <c:pt idx="88">
                  <c:v>#N/A</c:v>
                </c:pt>
                <c:pt idx="89">
                  <c:v>#N/A</c:v>
                </c:pt>
                <c:pt idx="90">
                  <c:v>#N/A</c:v>
                </c:pt>
                <c:pt idx="91">
                  <c:v>#N/A</c:v>
                </c:pt>
                <c:pt idx="92">
                  <c:v>#N/A</c:v>
                </c:pt>
                <c:pt idx="93">
                  <c:v>#N/A</c:v>
                </c:pt>
                <c:pt idx="94">
                  <c:v>#N/A</c:v>
                </c:pt>
                <c:pt idx="95">
                  <c:v>#N/A</c:v>
                </c:pt>
                <c:pt idx="96">
                  <c:v>#N/A</c:v>
                </c:pt>
                <c:pt idx="97">
                  <c:v>#N/A</c:v>
                </c:pt>
                <c:pt idx="98">
                  <c:v>#N/A</c:v>
                </c:pt>
                <c:pt idx="99">
                  <c:v>#N/A</c:v>
                </c:pt>
                <c:pt idx="100">
                  <c:v>#N/A</c:v>
                </c:pt>
                <c:pt idx="101">
                  <c:v>#N/A</c:v>
                </c:pt>
                <c:pt idx="102">
                  <c:v>#N/A</c:v>
                </c:pt>
                <c:pt idx="103">
                  <c:v>#N/A</c:v>
                </c:pt>
                <c:pt idx="104">
                  <c:v>#N/A</c:v>
                </c:pt>
                <c:pt idx="105">
                  <c:v>#N/A</c:v>
                </c:pt>
                <c:pt idx="106">
                  <c:v>#N/A</c:v>
                </c:pt>
                <c:pt idx="107">
                  <c:v>#N/A</c:v>
                </c:pt>
                <c:pt idx="108">
                  <c:v>#N/A</c:v>
                </c:pt>
                <c:pt idx="109">
                  <c:v>#N/A</c:v>
                </c:pt>
                <c:pt idx="110">
                  <c:v>#N/A</c:v>
                </c:pt>
                <c:pt idx="111">
                  <c:v>#N/A</c:v>
                </c:pt>
                <c:pt idx="112">
                  <c:v>#N/A</c:v>
                </c:pt>
                <c:pt idx="113">
                  <c:v>#N/A</c:v>
                </c:pt>
                <c:pt idx="114">
                  <c:v>#N/A</c:v>
                </c:pt>
                <c:pt idx="115">
                  <c:v>#N/A</c:v>
                </c:pt>
                <c:pt idx="116">
                  <c:v>#N/A</c:v>
                </c:pt>
                <c:pt idx="117">
                  <c:v>#N/A</c:v>
                </c:pt>
                <c:pt idx="118">
                  <c:v>#N/A</c:v>
                </c:pt>
                <c:pt idx="119">
                  <c:v>#N/A</c:v>
                </c:pt>
                <c:pt idx="120">
                  <c:v>#N/A</c:v>
                </c:pt>
                <c:pt idx="121">
                  <c:v>#N/A</c:v>
                </c:pt>
                <c:pt idx="122">
                  <c:v>#N/A</c:v>
                </c:pt>
                <c:pt idx="123">
                  <c:v>#N/A</c:v>
                </c:pt>
                <c:pt idx="124">
                  <c:v>#N/A</c:v>
                </c:pt>
                <c:pt idx="125">
                  <c:v>#N/A</c:v>
                </c:pt>
                <c:pt idx="126">
                  <c:v>#N/A</c:v>
                </c:pt>
                <c:pt idx="127">
                  <c:v>#N/A</c:v>
                </c:pt>
                <c:pt idx="128">
                  <c:v>#N/A</c:v>
                </c:pt>
                <c:pt idx="129">
                  <c:v>#N/A</c:v>
                </c:pt>
                <c:pt idx="130">
                  <c:v>#N/A</c:v>
                </c:pt>
                <c:pt idx="131">
                  <c:v>#N/A</c:v>
                </c:pt>
                <c:pt idx="132">
                  <c:v>#N/A</c:v>
                </c:pt>
                <c:pt idx="133">
                  <c:v>#N/A</c:v>
                </c:pt>
                <c:pt idx="134">
                  <c:v>#N/A</c:v>
                </c:pt>
                <c:pt idx="135">
                  <c:v>#N/A</c:v>
                </c:pt>
                <c:pt idx="136">
                  <c:v>#N/A</c:v>
                </c:pt>
                <c:pt idx="137">
                  <c:v>#N/A</c:v>
                </c:pt>
                <c:pt idx="138">
                  <c:v>#N/A</c:v>
                </c:pt>
                <c:pt idx="139">
                  <c:v>#N/A</c:v>
                </c:pt>
                <c:pt idx="140">
                  <c:v>#N/A</c:v>
                </c:pt>
                <c:pt idx="141">
                  <c:v>#N/A</c:v>
                </c:pt>
                <c:pt idx="142">
                  <c:v>#N/A</c:v>
                </c:pt>
                <c:pt idx="143">
                  <c:v>#N/A</c:v>
                </c:pt>
                <c:pt idx="144">
                  <c:v>#N/A</c:v>
                </c:pt>
                <c:pt idx="145">
                  <c:v>#N/A</c:v>
                </c:pt>
                <c:pt idx="146">
                  <c:v>#N/A</c:v>
                </c:pt>
                <c:pt idx="147">
                  <c:v>#N/A</c:v>
                </c:pt>
                <c:pt idx="148">
                  <c:v>#N/A</c:v>
                </c:pt>
                <c:pt idx="149">
                  <c:v>#N/A</c:v>
                </c:pt>
                <c:pt idx="150">
                  <c:v>#N/A</c:v>
                </c:pt>
                <c:pt idx="151">
                  <c:v>#N/A</c:v>
                </c:pt>
                <c:pt idx="152">
                  <c:v>#N/A</c:v>
                </c:pt>
                <c:pt idx="153">
                  <c:v>#N/A</c:v>
                </c:pt>
                <c:pt idx="154">
                  <c:v>#N/A</c:v>
                </c:pt>
                <c:pt idx="155">
                  <c:v>#N/A</c:v>
                </c:pt>
                <c:pt idx="156">
                  <c:v>#N/A</c:v>
                </c:pt>
                <c:pt idx="157">
                  <c:v>#N/A</c:v>
                </c:pt>
                <c:pt idx="158">
                  <c:v>#N/A</c:v>
                </c:pt>
                <c:pt idx="159">
                  <c:v>#N/A</c:v>
                </c:pt>
                <c:pt idx="160">
                  <c:v>#N/A</c:v>
                </c:pt>
                <c:pt idx="161">
                  <c:v>#N/A</c:v>
                </c:pt>
                <c:pt idx="162">
                  <c:v>#N/A</c:v>
                </c:pt>
                <c:pt idx="163">
                  <c:v>#N/A</c:v>
                </c:pt>
                <c:pt idx="164">
                  <c:v>#N/A</c:v>
                </c:pt>
                <c:pt idx="165">
                  <c:v>#N/A</c:v>
                </c:pt>
                <c:pt idx="166">
                  <c:v>#N/A</c:v>
                </c:pt>
                <c:pt idx="167">
                  <c:v>#N/A</c:v>
                </c:pt>
                <c:pt idx="168">
                  <c:v>#N/A</c:v>
                </c:pt>
                <c:pt idx="169">
                  <c:v>#N/A</c:v>
                </c:pt>
                <c:pt idx="170">
                  <c:v>#N/A</c:v>
                </c:pt>
                <c:pt idx="171">
                  <c:v>#N/A</c:v>
                </c:pt>
                <c:pt idx="172">
                  <c:v>#N/A</c:v>
                </c:pt>
                <c:pt idx="173">
                  <c:v>#N/A</c:v>
                </c:pt>
                <c:pt idx="174">
                  <c:v>#N/A</c:v>
                </c:pt>
                <c:pt idx="175">
                  <c:v>#N/A</c:v>
                </c:pt>
                <c:pt idx="176">
                  <c:v>#N/A</c:v>
                </c:pt>
                <c:pt idx="177">
                  <c:v>#N/A</c:v>
                </c:pt>
                <c:pt idx="178">
                  <c:v>#N/A</c:v>
                </c:pt>
                <c:pt idx="179">
                  <c:v>#N/A</c:v>
                </c:pt>
                <c:pt idx="180">
                  <c:v>#N/A</c:v>
                </c:pt>
                <c:pt idx="181">
                  <c:v>#N/A</c:v>
                </c:pt>
                <c:pt idx="182">
                  <c:v>#N/A</c:v>
                </c:pt>
                <c:pt idx="183">
                  <c:v>#N/A</c:v>
                </c:pt>
                <c:pt idx="184">
                  <c:v>#N/A</c:v>
                </c:pt>
                <c:pt idx="185">
                  <c:v>#N/A</c:v>
                </c:pt>
                <c:pt idx="186">
                  <c:v>#N/A</c:v>
                </c:pt>
                <c:pt idx="187">
                  <c:v>#N/A</c:v>
                </c:pt>
                <c:pt idx="188">
                  <c:v>#N/A</c:v>
                </c:pt>
                <c:pt idx="189">
                  <c:v>#N/A</c:v>
                </c:pt>
                <c:pt idx="190">
                  <c:v>#N/A</c:v>
                </c:pt>
                <c:pt idx="191">
                  <c:v>#N/A</c:v>
                </c:pt>
                <c:pt idx="192">
                  <c:v>#N/A</c:v>
                </c:pt>
                <c:pt idx="193">
                  <c:v>#N/A</c:v>
                </c:pt>
                <c:pt idx="194">
                  <c:v>#N/A</c:v>
                </c:pt>
                <c:pt idx="195">
                  <c:v>#N/A</c:v>
                </c:pt>
                <c:pt idx="196">
                  <c:v>#N/A</c:v>
                </c:pt>
                <c:pt idx="197">
                  <c:v>#N/A</c:v>
                </c:pt>
                <c:pt idx="198">
                  <c:v>#N/A</c:v>
                </c:pt>
                <c:pt idx="199">
                  <c:v>#N/A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D484-4AB2-893E-821CEF93DF4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50030001"/>
        <c:axId val="50030002"/>
      </c:lineChart>
      <c:catAx>
        <c:axId val="50030001"/>
        <c:scaling>
          <c:orientation val="minMax"/>
        </c:scaling>
        <c:delete val="0"/>
        <c:axPos val="b"/>
        <c:numFmt formatCode="yyyy" sourceLinked="0"/>
        <c:majorTickMark val="out"/>
        <c:minorTickMark val="none"/>
        <c:tickLblPos val="nextTo"/>
        <c:crossAx val="50030002"/>
        <c:crosses val="autoZero"/>
        <c:auto val="1"/>
        <c:lblAlgn val="ctr"/>
        <c:lblOffset val="100"/>
        <c:noMultiLvlLbl val="0"/>
      </c:catAx>
      <c:valAx>
        <c:axId val="50030002"/>
        <c:scaling>
          <c:orientation val="minMax"/>
        </c:scaling>
        <c:delete val="0"/>
        <c:axPos val="l"/>
        <c:numFmt formatCode="General" sourceLinked="1"/>
        <c:majorTickMark val="out"/>
        <c:minorTickMark val="none"/>
        <c:tickLblPos val="nextTo"/>
        <c:crossAx val="50030001"/>
        <c:crosses val="autoZero"/>
        <c:crossBetween val="between"/>
      </c:valAx>
    </c:plotArea>
    <c:legend>
      <c:legendPos val="b"/>
      <c:overlay val="0"/>
    </c:legend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Consumer price inflation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Annual CPI inflation - Actual</c:v>
          </c:tx>
          <c:spPr>
            <a:ln w="25400">
              <a:solidFill>
                <a:srgbClr val="86BC25"/>
              </a:solidFill>
              <a:prstDash val="solid"/>
            </a:ln>
          </c:spPr>
          <c:marker>
            <c:symbol val="none"/>
          </c:marker>
          <c:cat>
            <c:numRef>
              <c:f>Comparison!$A$2:$A$201</c:f>
              <c:numCache>
                <c:formatCode>m/d/yyyy</c:formatCode>
                <c:ptCount val="200"/>
              </c:numCache>
            </c:numRef>
          </c:cat>
          <c:val>
            <c:numRef>
              <c:f>Comparison!$AI$2:$AI$201</c:f>
              <c:numCache>
                <c:formatCode>General</c:formatCode>
                <c:ptCount val="200"/>
                <c:pt idx="0">
                  <c:v>#N/A</c:v>
                </c:pt>
                <c:pt idx="1">
                  <c:v>#N/A</c:v>
                </c:pt>
                <c:pt idx="2">
                  <c:v>#N/A</c:v>
                </c:pt>
                <c:pt idx="3">
                  <c:v>#N/A</c:v>
                </c:pt>
                <c:pt idx="4">
                  <c:v>#N/A</c:v>
                </c:pt>
                <c:pt idx="5">
                  <c:v>#N/A</c:v>
                </c:pt>
                <c:pt idx="6">
                  <c:v>#N/A</c:v>
                </c:pt>
                <c:pt idx="7">
                  <c:v>#N/A</c:v>
                </c:pt>
                <c:pt idx="8">
                  <c:v>#N/A</c:v>
                </c:pt>
                <c:pt idx="9">
                  <c:v>#N/A</c:v>
                </c:pt>
                <c:pt idx="10">
                  <c:v>#N/A</c:v>
                </c:pt>
                <c:pt idx="11">
                  <c:v>#N/A</c:v>
                </c:pt>
                <c:pt idx="12">
                  <c:v>#N/A</c:v>
                </c:pt>
                <c:pt idx="13">
                  <c:v>#N/A</c:v>
                </c:pt>
                <c:pt idx="14">
                  <c:v>#N/A</c:v>
                </c:pt>
                <c:pt idx="15">
                  <c:v>#N/A</c:v>
                </c:pt>
                <c:pt idx="16">
                  <c:v>#N/A</c:v>
                </c:pt>
                <c:pt idx="17">
                  <c:v>#N/A</c:v>
                </c:pt>
                <c:pt idx="18">
                  <c:v>#N/A</c:v>
                </c:pt>
                <c:pt idx="19">
                  <c:v>#N/A</c:v>
                </c:pt>
                <c:pt idx="20">
                  <c:v>#N/A</c:v>
                </c:pt>
                <c:pt idx="21">
                  <c:v>#N/A</c:v>
                </c:pt>
                <c:pt idx="22">
                  <c:v>#N/A</c:v>
                </c:pt>
                <c:pt idx="23">
                  <c:v>#N/A</c:v>
                </c:pt>
                <c:pt idx="24">
                  <c:v>#N/A</c:v>
                </c:pt>
                <c:pt idx="25">
                  <c:v>#N/A</c:v>
                </c:pt>
                <c:pt idx="26">
                  <c:v>#N/A</c:v>
                </c:pt>
                <c:pt idx="27">
                  <c:v>#N/A</c:v>
                </c:pt>
                <c:pt idx="28">
                  <c:v>#N/A</c:v>
                </c:pt>
                <c:pt idx="29">
                  <c:v>#N/A</c:v>
                </c:pt>
                <c:pt idx="30">
                  <c:v>#N/A</c:v>
                </c:pt>
                <c:pt idx="31">
                  <c:v>#N/A</c:v>
                </c:pt>
                <c:pt idx="32">
                  <c:v>#N/A</c:v>
                </c:pt>
                <c:pt idx="33">
                  <c:v>#N/A</c:v>
                </c:pt>
                <c:pt idx="34">
                  <c:v>#N/A</c:v>
                </c:pt>
                <c:pt idx="35">
                  <c:v>#N/A</c:v>
                </c:pt>
                <c:pt idx="36">
                  <c:v>#N/A</c:v>
                </c:pt>
                <c:pt idx="37">
                  <c:v>#N/A</c:v>
                </c:pt>
                <c:pt idx="38">
                  <c:v>#N/A</c:v>
                </c:pt>
                <c:pt idx="39">
                  <c:v>#N/A</c:v>
                </c:pt>
                <c:pt idx="40">
                  <c:v>#N/A</c:v>
                </c:pt>
                <c:pt idx="41">
                  <c:v>#N/A</c:v>
                </c:pt>
                <c:pt idx="42">
                  <c:v>#N/A</c:v>
                </c:pt>
                <c:pt idx="43">
                  <c:v>#N/A</c:v>
                </c:pt>
                <c:pt idx="44">
                  <c:v>#N/A</c:v>
                </c:pt>
                <c:pt idx="45">
                  <c:v>#N/A</c:v>
                </c:pt>
                <c:pt idx="46">
                  <c:v>#N/A</c:v>
                </c:pt>
                <c:pt idx="47">
                  <c:v>#N/A</c:v>
                </c:pt>
                <c:pt idx="48">
                  <c:v>#N/A</c:v>
                </c:pt>
                <c:pt idx="49">
                  <c:v>#N/A</c:v>
                </c:pt>
                <c:pt idx="50">
                  <c:v>#N/A</c:v>
                </c:pt>
                <c:pt idx="51">
                  <c:v>#N/A</c:v>
                </c:pt>
                <c:pt idx="52">
                  <c:v>#N/A</c:v>
                </c:pt>
                <c:pt idx="53">
                  <c:v>#N/A</c:v>
                </c:pt>
                <c:pt idx="54">
                  <c:v>#N/A</c:v>
                </c:pt>
                <c:pt idx="55">
                  <c:v>#N/A</c:v>
                </c:pt>
                <c:pt idx="56">
                  <c:v>#N/A</c:v>
                </c:pt>
                <c:pt idx="57">
                  <c:v>#N/A</c:v>
                </c:pt>
                <c:pt idx="58">
                  <c:v>#N/A</c:v>
                </c:pt>
                <c:pt idx="59">
                  <c:v>#N/A</c:v>
                </c:pt>
                <c:pt idx="60">
                  <c:v>#N/A</c:v>
                </c:pt>
                <c:pt idx="61">
                  <c:v>#N/A</c:v>
                </c:pt>
                <c:pt idx="62">
                  <c:v>#N/A</c:v>
                </c:pt>
                <c:pt idx="63">
                  <c:v>#N/A</c:v>
                </c:pt>
                <c:pt idx="64">
                  <c:v>#N/A</c:v>
                </c:pt>
                <c:pt idx="65">
                  <c:v>#N/A</c:v>
                </c:pt>
                <c:pt idx="66">
                  <c:v>#N/A</c:v>
                </c:pt>
                <c:pt idx="67">
                  <c:v>#N/A</c:v>
                </c:pt>
                <c:pt idx="68">
                  <c:v>#N/A</c:v>
                </c:pt>
                <c:pt idx="69">
                  <c:v>#N/A</c:v>
                </c:pt>
                <c:pt idx="70">
                  <c:v>#N/A</c:v>
                </c:pt>
                <c:pt idx="71">
                  <c:v>#N/A</c:v>
                </c:pt>
                <c:pt idx="72">
                  <c:v>#N/A</c:v>
                </c:pt>
                <c:pt idx="73">
                  <c:v>#N/A</c:v>
                </c:pt>
                <c:pt idx="74">
                  <c:v>#N/A</c:v>
                </c:pt>
                <c:pt idx="75">
                  <c:v>#N/A</c:v>
                </c:pt>
                <c:pt idx="76">
                  <c:v>#N/A</c:v>
                </c:pt>
                <c:pt idx="77">
                  <c:v>#N/A</c:v>
                </c:pt>
                <c:pt idx="78">
                  <c:v>#N/A</c:v>
                </c:pt>
                <c:pt idx="79">
                  <c:v>#N/A</c:v>
                </c:pt>
                <c:pt idx="80">
                  <c:v>#N/A</c:v>
                </c:pt>
                <c:pt idx="81">
                  <c:v>#N/A</c:v>
                </c:pt>
                <c:pt idx="82">
                  <c:v>#N/A</c:v>
                </c:pt>
                <c:pt idx="83">
                  <c:v>#N/A</c:v>
                </c:pt>
                <c:pt idx="84">
                  <c:v>#N/A</c:v>
                </c:pt>
                <c:pt idx="85">
                  <c:v>#N/A</c:v>
                </c:pt>
                <c:pt idx="86">
                  <c:v>#N/A</c:v>
                </c:pt>
                <c:pt idx="87">
                  <c:v>#N/A</c:v>
                </c:pt>
                <c:pt idx="88">
                  <c:v>#N/A</c:v>
                </c:pt>
                <c:pt idx="89">
                  <c:v>#N/A</c:v>
                </c:pt>
                <c:pt idx="90">
                  <c:v>#N/A</c:v>
                </c:pt>
                <c:pt idx="91">
                  <c:v>#N/A</c:v>
                </c:pt>
                <c:pt idx="92">
                  <c:v>#N/A</c:v>
                </c:pt>
                <c:pt idx="93">
                  <c:v>#N/A</c:v>
                </c:pt>
                <c:pt idx="94">
                  <c:v>#N/A</c:v>
                </c:pt>
                <c:pt idx="95">
                  <c:v>#N/A</c:v>
                </c:pt>
                <c:pt idx="96">
                  <c:v>#N/A</c:v>
                </c:pt>
                <c:pt idx="97">
                  <c:v>#N/A</c:v>
                </c:pt>
                <c:pt idx="98">
                  <c:v>#N/A</c:v>
                </c:pt>
                <c:pt idx="99">
                  <c:v>#N/A</c:v>
                </c:pt>
                <c:pt idx="100">
                  <c:v>#N/A</c:v>
                </c:pt>
                <c:pt idx="101">
                  <c:v>#N/A</c:v>
                </c:pt>
                <c:pt idx="102">
                  <c:v>#N/A</c:v>
                </c:pt>
                <c:pt idx="103">
                  <c:v>#N/A</c:v>
                </c:pt>
                <c:pt idx="104">
                  <c:v>#N/A</c:v>
                </c:pt>
                <c:pt idx="105">
                  <c:v>#N/A</c:v>
                </c:pt>
                <c:pt idx="106">
                  <c:v>#N/A</c:v>
                </c:pt>
                <c:pt idx="107">
                  <c:v>#N/A</c:v>
                </c:pt>
                <c:pt idx="108">
                  <c:v>#N/A</c:v>
                </c:pt>
                <c:pt idx="109">
                  <c:v>#N/A</c:v>
                </c:pt>
                <c:pt idx="110">
                  <c:v>#N/A</c:v>
                </c:pt>
                <c:pt idx="111">
                  <c:v>#N/A</c:v>
                </c:pt>
                <c:pt idx="112">
                  <c:v>#N/A</c:v>
                </c:pt>
                <c:pt idx="113">
                  <c:v>#N/A</c:v>
                </c:pt>
                <c:pt idx="114">
                  <c:v>#N/A</c:v>
                </c:pt>
                <c:pt idx="115">
                  <c:v>#N/A</c:v>
                </c:pt>
                <c:pt idx="116">
                  <c:v>#N/A</c:v>
                </c:pt>
                <c:pt idx="117">
                  <c:v>#N/A</c:v>
                </c:pt>
                <c:pt idx="118">
                  <c:v>#N/A</c:v>
                </c:pt>
                <c:pt idx="119">
                  <c:v>#N/A</c:v>
                </c:pt>
                <c:pt idx="120">
                  <c:v>#N/A</c:v>
                </c:pt>
                <c:pt idx="121">
                  <c:v>#N/A</c:v>
                </c:pt>
                <c:pt idx="122">
                  <c:v>#N/A</c:v>
                </c:pt>
                <c:pt idx="123">
                  <c:v>#N/A</c:v>
                </c:pt>
                <c:pt idx="124">
                  <c:v>#N/A</c:v>
                </c:pt>
                <c:pt idx="125">
                  <c:v>#N/A</c:v>
                </c:pt>
                <c:pt idx="126">
                  <c:v>#N/A</c:v>
                </c:pt>
                <c:pt idx="127">
                  <c:v>#N/A</c:v>
                </c:pt>
                <c:pt idx="128">
                  <c:v>#N/A</c:v>
                </c:pt>
                <c:pt idx="129">
                  <c:v>#N/A</c:v>
                </c:pt>
                <c:pt idx="130">
                  <c:v>#N/A</c:v>
                </c:pt>
                <c:pt idx="131">
                  <c:v>#N/A</c:v>
                </c:pt>
                <c:pt idx="132">
                  <c:v>#N/A</c:v>
                </c:pt>
                <c:pt idx="133">
                  <c:v>#N/A</c:v>
                </c:pt>
                <c:pt idx="134">
                  <c:v>#N/A</c:v>
                </c:pt>
                <c:pt idx="135">
                  <c:v>#N/A</c:v>
                </c:pt>
                <c:pt idx="136">
                  <c:v>#N/A</c:v>
                </c:pt>
                <c:pt idx="137">
                  <c:v>#N/A</c:v>
                </c:pt>
                <c:pt idx="138">
                  <c:v>#N/A</c:v>
                </c:pt>
                <c:pt idx="139">
                  <c:v>#N/A</c:v>
                </c:pt>
                <c:pt idx="140">
                  <c:v>#N/A</c:v>
                </c:pt>
                <c:pt idx="141">
                  <c:v>#N/A</c:v>
                </c:pt>
                <c:pt idx="142">
                  <c:v>#N/A</c:v>
                </c:pt>
                <c:pt idx="143">
                  <c:v>#N/A</c:v>
                </c:pt>
                <c:pt idx="144">
                  <c:v>#N/A</c:v>
                </c:pt>
                <c:pt idx="145">
                  <c:v>#N/A</c:v>
                </c:pt>
                <c:pt idx="146">
                  <c:v>#N/A</c:v>
                </c:pt>
                <c:pt idx="147">
                  <c:v>#N/A</c:v>
                </c:pt>
                <c:pt idx="148">
                  <c:v>#N/A</c:v>
                </c:pt>
                <c:pt idx="149">
                  <c:v>#N/A</c:v>
                </c:pt>
                <c:pt idx="150">
                  <c:v>#N/A</c:v>
                </c:pt>
                <c:pt idx="151">
                  <c:v>#N/A</c:v>
                </c:pt>
                <c:pt idx="152">
                  <c:v>#N/A</c:v>
                </c:pt>
                <c:pt idx="153">
                  <c:v>#N/A</c:v>
                </c:pt>
                <c:pt idx="154">
                  <c:v>#N/A</c:v>
                </c:pt>
                <c:pt idx="155">
                  <c:v>#N/A</c:v>
                </c:pt>
                <c:pt idx="156">
                  <c:v>#N/A</c:v>
                </c:pt>
                <c:pt idx="157">
                  <c:v>#N/A</c:v>
                </c:pt>
                <c:pt idx="158">
                  <c:v>#N/A</c:v>
                </c:pt>
                <c:pt idx="159">
                  <c:v>#N/A</c:v>
                </c:pt>
                <c:pt idx="160">
                  <c:v>#N/A</c:v>
                </c:pt>
                <c:pt idx="161">
                  <c:v>#N/A</c:v>
                </c:pt>
                <c:pt idx="162">
                  <c:v>#N/A</c:v>
                </c:pt>
                <c:pt idx="163">
                  <c:v>#N/A</c:v>
                </c:pt>
                <c:pt idx="164">
                  <c:v>#N/A</c:v>
                </c:pt>
                <c:pt idx="165">
                  <c:v>#N/A</c:v>
                </c:pt>
                <c:pt idx="166">
                  <c:v>#N/A</c:v>
                </c:pt>
                <c:pt idx="167">
                  <c:v>#N/A</c:v>
                </c:pt>
                <c:pt idx="168">
                  <c:v>#N/A</c:v>
                </c:pt>
                <c:pt idx="169">
                  <c:v>#N/A</c:v>
                </c:pt>
                <c:pt idx="170">
                  <c:v>#N/A</c:v>
                </c:pt>
                <c:pt idx="171">
                  <c:v>#N/A</c:v>
                </c:pt>
                <c:pt idx="172">
                  <c:v>#N/A</c:v>
                </c:pt>
                <c:pt idx="173">
                  <c:v>#N/A</c:v>
                </c:pt>
                <c:pt idx="174">
                  <c:v>#N/A</c:v>
                </c:pt>
                <c:pt idx="175">
                  <c:v>#N/A</c:v>
                </c:pt>
                <c:pt idx="176">
                  <c:v>#N/A</c:v>
                </c:pt>
                <c:pt idx="177">
                  <c:v>#N/A</c:v>
                </c:pt>
                <c:pt idx="178">
                  <c:v>#N/A</c:v>
                </c:pt>
                <c:pt idx="179">
                  <c:v>#N/A</c:v>
                </c:pt>
                <c:pt idx="180">
                  <c:v>#N/A</c:v>
                </c:pt>
                <c:pt idx="181">
                  <c:v>#N/A</c:v>
                </c:pt>
                <c:pt idx="182">
                  <c:v>#N/A</c:v>
                </c:pt>
                <c:pt idx="183">
                  <c:v>#N/A</c:v>
                </c:pt>
                <c:pt idx="184">
                  <c:v>#N/A</c:v>
                </c:pt>
                <c:pt idx="185">
                  <c:v>#N/A</c:v>
                </c:pt>
                <c:pt idx="186">
                  <c:v>#N/A</c:v>
                </c:pt>
                <c:pt idx="187">
                  <c:v>#N/A</c:v>
                </c:pt>
                <c:pt idx="188">
                  <c:v>#N/A</c:v>
                </c:pt>
                <c:pt idx="189">
                  <c:v>#N/A</c:v>
                </c:pt>
                <c:pt idx="190">
                  <c:v>#N/A</c:v>
                </c:pt>
                <c:pt idx="191">
                  <c:v>#N/A</c:v>
                </c:pt>
                <c:pt idx="192">
                  <c:v>#N/A</c:v>
                </c:pt>
                <c:pt idx="193">
                  <c:v>#N/A</c:v>
                </c:pt>
                <c:pt idx="194">
                  <c:v>#N/A</c:v>
                </c:pt>
                <c:pt idx="195">
                  <c:v>#N/A</c:v>
                </c:pt>
                <c:pt idx="196">
                  <c:v>#N/A</c:v>
                </c:pt>
                <c:pt idx="197">
                  <c:v>#N/A</c:v>
                </c:pt>
                <c:pt idx="198">
                  <c:v>#N/A</c:v>
                </c:pt>
                <c:pt idx="199">
                  <c:v>#N/A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F9CC-46AB-8E10-1B2A3540EA4A}"/>
            </c:ext>
          </c:extLst>
        </c:ser>
        <c:ser>
          <c:idx val="1"/>
          <c:order val="1"/>
          <c:tx>
            <c:v>Annual CPI inflation - Forecast</c:v>
          </c:tx>
          <c:spPr>
            <a:ln w="25400">
              <a:solidFill>
                <a:srgbClr val="86BC25"/>
              </a:solidFill>
              <a:prstDash val="dash"/>
            </a:ln>
          </c:spPr>
          <c:marker>
            <c:symbol val="none"/>
          </c:marker>
          <c:cat>
            <c:numRef>
              <c:f>Comparison!$A$2:$A$201</c:f>
              <c:numCache>
                <c:formatCode>m/d/yyyy</c:formatCode>
                <c:ptCount val="200"/>
              </c:numCache>
            </c:numRef>
          </c:cat>
          <c:val>
            <c:numRef>
              <c:f>Comparison!$AJ$2:$AJ$201</c:f>
              <c:numCache>
                <c:formatCode>General</c:formatCode>
                <c:ptCount val="200"/>
                <c:pt idx="0">
                  <c:v>#N/A</c:v>
                </c:pt>
                <c:pt idx="1">
                  <c:v>#N/A</c:v>
                </c:pt>
                <c:pt idx="2">
                  <c:v>#N/A</c:v>
                </c:pt>
                <c:pt idx="3">
                  <c:v>#N/A</c:v>
                </c:pt>
                <c:pt idx="4">
                  <c:v>#N/A</c:v>
                </c:pt>
                <c:pt idx="5">
                  <c:v>#N/A</c:v>
                </c:pt>
                <c:pt idx="6">
                  <c:v>#N/A</c:v>
                </c:pt>
                <c:pt idx="7">
                  <c:v>#N/A</c:v>
                </c:pt>
                <c:pt idx="8">
                  <c:v>#N/A</c:v>
                </c:pt>
                <c:pt idx="9">
                  <c:v>#N/A</c:v>
                </c:pt>
                <c:pt idx="10">
                  <c:v>#N/A</c:v>
                </c:pt>
                <c:pt idx="11">
                  <c:v>#N/A</c:v>
                </c:pt>
                <c:pt idx="12">
                  <c:v>#N/A</c:v>
                </c:pt>
                <c:pt idx="13">
                  <c:v>#N/A</c:v>
                </c:pt>
                <c:pt idx="14">
                  <c:v>#N/A</c:v>
                </c:pt>
                <c:pt idx="15">
                  <c:v>#N/A</c:v>
                </c:pt>
                <c:pt idx="16">
                  <c:v>#N/A</c:v>
                </c:pt>
                <c:pt idx="17">
                  <c:v>#N/A</c:v>
                </c:pt>
                <c:pt idx="18">
                  <c:v>#N/A</c:v>
                </c:pt>
                <c:pt idx="19">
                  <c:v>#N/A</c:v>
                </c:pt>
                <c:pt idx="20">
                  <c:v>#N/A</c:v>
                </c:pt>
                <c:pt idx="21">
                  <c:v>#N/A</c:v>
                </c:pt>
                <c:pt idx="22">
                  <c:v>#N/A</c:v>
                </c:pt>
                <c:pt idx="23">
                  <c:v>#N/A</c:v>
                </c:pt>
                <c:pt idx="24">
                  <c:v>#N/A</c:v>
                </c:pt>
                <c:pt idx="25">
                  <c:v>#N/A</c:v>
                </c:pt>
                <c:pt idx="26">
                  <c:v>#N/A</c:v>
                </c:pt>
                <c:pt idx="27">
                  <c:v>#N/A</c:v>
                </c:pt>
                <c:pt idx="28">
                  <c:v>#N/A</c:v>
                </c:pt>
                <c:pt idx="29">
                  <c:v>#N/A</c:v>
                </c:pt>
                <c:pt idx="30">
                  <c:v>#N/A</c:v>
                </c:pt>
                <c:pt idx="31">
                  <c:v>#N/A</c:v>
                </c:pt>
                <c:pt idx="32">
                  <c:v>#N/A</c:v>
                </c:pt>
                <c:pt idx="33">
                  <c:v>#N/A</c:v>
                </c:pt>
                <c:pt idx="34">
                  <c:v>#N/A</c:v>
                </c:pt>
                <c:pt idx="35">
                  <c:v>#N/A</c:v>
                </c:pt>
                <c:pt idx="36">
                  <c:v>#N/A</c:v>
                </c:pt>
                <c:pt idx="37">
                  <c:v>#N/A</c:v>
                </c:pt>
                <c:pt idx="38">
                  <c:v>#N/A</c:v>
                </c:pt>
                <c:pt idx="39">
                  <c:v>#N/A</c:v>
                </c:pt>
                <c:pt idx="40">
                  <c:v>#N/A</c:v>
                </c:pt>
                <c:pt idx="41">
                  <c:v>#N/A</c:v>
                </c:pt>
                <c:pt idx="42">
                  <c:v>#N/A</c:v>
                </c:pt>
                <c:pt idx="43">
                  <c:v>#N/A</c:v>
                </c:pt>
                <c:pt idx="44">
                  <c:v>#N/A</c:v>
                </c:pt>
                <c:pt idx="45">
                  <c:v>#N/A</c:v>
                </c:pt>
                <c:pt idx="46">
                  <c:v>#N/A</c:v>
                </c:pt>
                <c:pt idx="47">
                  <c:v>#N/A</c:v>
                </c:pt>
                <c:pt idx="48">
                  <c:v>#N/A</c:v>
                </c:pt>
                <c:pt idx="49">
                  <c:v>#N/A</c:v>
                </c:pt>
                <c:pt idx="50">
                  <c:v>#N/A</c:v>
                </c:pt>
                <c:pt idx="51">
                  <c:v>#N/A</c:v>
                </c:pt>
                <c:pt idx="52">
                  <c:v>#N/A</c:v>
                </c:pt>
                <c:pt idx="53">
                  <c:v>#N/A</c:v>
                </c:pt>
                <c:pt idx="54">
                  <c:v>#N/A</c:v>
                </c:pt>
                <c:pt idx="55">
                  <c:v>#N/A</c:v>
                </c:pt>
                <c:pt idx="56">
                  <c:v>#N/A</c:v>
                </c:pt>
                <c:pt idx="57">
                  <c:v>#N/A</c:v>
                </c:pt>
                <c:pt idx="58">
                  <c:v>#N/A</c:v>
                </c:pt>
                <c:pt idx="59">
                  <c:v>#N/A</c:v>
                </c:pt>
                <c:pt idx="60">
                  <c:v>#N/A</c:v>
                </c:pt>
                <c:pt idx="61">
                  <c:v>#N/A</c:v>
                </c:pt>
                <c:pt idx="62">
                  <c:v>#N/A</c:v>
                </c:pt>
                <c:pt idx="63">
                  <c:v>#N/A</c:v>
                </c:pt>
                <c:pt idx="64">
                  <c:v>#N/A</c:v>
                </c:pt>
                <c:pt idx="65">
                  <c:v>#N/A</c:v>
                </c:pt>
                <c:pt idx="66">
                  <c:v>#N/A</c:v>
                </c:pt>
                <c:pt idx="67">
                  <c:v>#N/A</c:v>
                </c:pt>
                <c:pt idx="68">
                  <c:v>#N/A</c:v>
                </c:pt>
                <c:pt idx="69">
                  <c:v>#N/A</c:v>
                </c:pt>
                <c:pt idx="70">
                  <c:v>#N/A</c:v>
                </c:pt>
                <c:pt idx="71">
                  <c:v>#N/A</c:v>
                </c:pt>
                <c:pt idx="72">
                  <c:v>#N/A</c:v>
                </c:pt>
                <c:pt idx="73">
                  <c:v>#N/A</c:v>
                </c:pt>
                <c:pt idx="74">
                  <c:v>#N/A</c:v>
                </c:pt>
                <c:pt idx="75">
                  <c:v>#N/A</c:v>
                </c:pt>
                <c:pt idx="76">
                  <c:v>#N/A</c:v>
                </c:pt>
                <c:pt idx="77">
                  <c:v>#N/A</c:v>
                </c:pt>
                <c:pt idx="78">
                  <c:v>#N/A</c:v>
                </c:pt>
                <c:pt idx="79">
                  <c:v>#N/A</c:v>
                </c:pt>
                <c:pt idx="80">
                  <c:v>#N/A</c:v>
                </c:pt>
                <c:pt idx="81">
                  <c:v>#N/A</c:v>
                </c:pt>
                <c:pt idx="82">
                  <c:v>#N/A</c:v>
                </c:pt>
                <c:pt idx="83">
                  <c:v>#N/A</c:v>
                </c:pt>
                <c:pt idx="84">
                  <c:v>#N/A</c:v>
                </c:pt>
                <c:pt idx="85">
                  <c:v>#N/A</c:v>
                </c:pt>
                <c:pt idx="86">
                  <c:v>#N/A</c:v>
                </c:pt>
                <c:pt idx="87">
                  <c:v>#N/A</c:v>
                </c:pt>
                <c:pt idx="88">
                  <c:v>#N/A</c:v>
                </c:pt>
                <c:pt idx="89">
                  <c:v>#N/A</c:v>
                </c:pt>
                <c:pt idx="90">
                  <c:v>#N/A</c:v>
                </c:pt>
                <c:pt idx="91">
                  <c:v>#N/A</c:v>
                </c:pt>
                <c:pt idx="92">
                  <c:v>#N/A</c:v>
                </c:pt>
                <c:pt idx="93">
                  <c:v>#N/A</c:v>
                </c:pt>
                <c:pt idx="94">
                  <c:v>#N/A</c:v>
                </c:pt>
                <c:pt idx="95">
                  <c:v>#N/A</c:v>
                </c:pt>
                <c:pt idx="96">
                  <c:v>#N/A</c:v>
                </c:pt>
                <c:pt idx="97">
                  <c:v>#N/A</c:v>
                </c:pt>
                <c:pt idx="98">
                  <c:v>#N/A</c:v>
                </c:pt>
                <c:pt idx="99">
                  <c:v>#N/A</c:v>
                </c:pt>
                <c:pt idx="100">
                  <c:v>#N/A</c:v>
                </c:pt>
                <c:pt idx="101">
                  <c:v>#N/A</c:v>
                </c:pt>
                <c:pt idx="102">
                  <c:v>#N/A</c:v>
                </c:pt>
                <c:pt idx="103">
                  <c:v>#N/A</c:v>
                </c:pt>
                <c:pt idx="104">
                  <c:v>#N/A</c:v>
                </c:pt>
                <c:pt idx="105">
                  <c:v>#N/A</c:v>
                </c:pt>
                <c:pt idx="106">
                  <c:v>#N/A</c:v>
                </c:pt>
                <c:pt idx="107">
                  <c:v>#N/A</c:v>
                </c:pt>
                <c:pt idx="108">
                  <c:v>#N/A</c:v>
                </c:pt>
                <c:pt idx="109">
                  <c:v>#N/A</c:v>
                </c:pt>
                <c:pt idx="110">
                  <c:v>#N/A</c:v>
                </c:pt>
                <c:pt idx="111">
                  <c:v>#N/A</c:v>
                </c:pt>
                <c:pt idx="112">
                  <c:v>#N/A</c:v>
                </c:pt>
                <c:pt idx="113">
                  <c:v>#N/A</c:v>
                </c:pt>
                <c:pt idx="114">
                  <c:v>#N/A</c:v>
                </c:pt>
                <c:pt idx="115">
                  <c:v>#N/A</c:v>
                </c:pt>
                <c:pt idx="116">
                  <c:v>#N/A</c:v>
                </c:pt>
                <c:pt idx="117">
                  <c:v>#N/A</c:v>
                </c:pt>
                <c:pt idx="118">
                  <c:v>#N/A</c:v>
                </c:pt>
                <c:pt idx="119">
                  <c:v>#N/A</c:v>
                </c:pt>
                <c:pt idx="120">
                  <c:v>#N/A</c:v>
                </c:pt>
                <c:pt idx="121">
                  <c:v>#N/A</c:v>
                </c:pt>
                <c:pt idx="122">
                  <c:v>#N/A</c:v>
                </c:pt>
                <c:pt idx="123">
                  <c:v>#N/A</c:v>
                </c:pt>
                <c:pt idx="124">
                  <c:v>#N/A</c:v>
                </c:pt>
                <c:pt idx="125">
                  <c:v>#N/A</c:v>
                </c:pt>
                <c:pt idx="126">
                  <c:v>#N/A</c:v>
                </c:pt>
                <c:pt idx="127">
                  <c:v>#N/A</c:v>
                </c:pt>
                <c:pt idx="128">
                  <c:v>#N/A</c:v>
                </c:pt>
                <c:pt idx="129">
                  <c:v>#N/A</c:v>
                </c:pt>
                <c:pt idx="130">
                  <c:v>#N/A</c:v>
                </c:pt>
                <c:pt idx="131">
                  <c:v>#N/A</c:v>
                </c:pt>
                <c:pt idx="132">
                  <c:v>#N/A</c:v>
                </c:pt>
                <c:pt idx="133">
                  <c:v>#N/A</c:v>
                </c:pt>
                <c:pt idx="134">
                  <c:v>#N/A</c:v>
                </c:pt>
                <c:pt idx="135">
                  <c:v>#N/A</c:v>
                </c:pt>
                <c:pt idx="136">
                  <c:v>#N/A</c:v>
                </c:pt>
                <c:pt idx="137">
                  <c:v>#N/A</c:v>
                </c:pt>
                <c:pt idx="138">
                  <c:v>#N/A</c:v>
                </c:pt>
                <c:pt idx="139">
                  <c:v>#N/A</c:v>
                </c:pt>
                <c:pt idx="140">
                  <c:v>#N/A</c:v>
                </c:pt>
                <c:pt idx="141">
                  <c:v>#N/A</c:v>
                </c:pt>
                <c:pt idx="142">
                  <c:v>#N/A</c:v>
                </c:pt>
                <c:pt idx="143">
                  <c:v>#N/A</c:v>
                </c:pt>
                <c:pt idx="144">
                  <c:v>#N/A</c:v>
                </c:pt>
                <c:pt idx="145">
                  <c:v>#N/A</c:v>
                </c:pt>
                <c:pt idx="146">
                  <c:v>#N/A</c:v>
                </c:pt>
                <c:pt idx="147">
                  <c:v>#N/A</c:v>
                </c:pt>
                <c:pt idx="148">
                  <c:v>#N/A</c:v>
                </c:pt>
                <c:pt idx="149">
                  <c:v>#N/A</c:v>
                </c:pt>
                <c:pt idx="150">
                  <c:v>#N/A</c:v>
                </c:pt>
                <c:pt idx="151">
                  <c:v>#N/A</c:v>
                </c:pt>
                <c:pt idx="152">
                  <c:v>#N/A</c:v>
                </c:pt>
                <c:pt idx="153">
                  <c:v>#N/A</c:v>
                </c:pt>
                <c:pt idx="154">
                  <c:v>#N/A</c:v>
                </c:pt>
                <c:pt idx="155">
                  <c:v>#N/A</c:v>
                </c:pt>
                <c:pt idx="156">
                  <c:v>#N/A</c:v>
                </c:pt>
                <c:pt idx="157">
                  <c:v>#N/A</c:v>
                </c:pt>
                <c:pt idx="158">
                  <c:v>#N/A</c:v>
                </c:pt>
                <c:pt idx="159">
                  <c:v>#N/A</c:v>
                </c:pt>
                <c:pt idx="160">
                  <c:v>#N/A</c:v>
                </c:pt>
                <c:pt idx="161">
                  <c:v>#N/A</c:v>
                </c:pt>
                <c:pt idx="162">
                  <c:v>#N/A</c:v>
                </c:pt>
                <c:pt idx="163">
                  <c:v>#N/A</c:v>
                </c:pt>
                <c:pt idx="164">
                  <c:v>#N/A</c:v>
                </c:pt>
                <c:pt idx="165">
                  <c:v>#N/A</c:v>
                </c:pt>
                <c:pt idx="166">
                  <c:v>#N/A</c:v>
                </c:pt>
                <c:pt idx="167">
                  <c:v>#N/A</c:v>
                </c:pt>
                <c:pt idx="168">
                  <c:v>#N/A</c:v>
                </c:pt>
                <c:pt idx="169">
                  <c:v>#N/A</c:v>
                </c:pt>
                <c:pt idx="170">
                  <c:v>#N/A</c:v>
                </c:pt>
                <c:pt idx="171">
                  <c:v>#N/A</c:v>
                </c:pt>
                <c:pt idx="172">
                  <c:v>#N/A</c:v>
                </c:pt>
                <c:pt idx="173">
                  <c:v>#N/A</c:v>
                </c:pt>
                <c:pt idx="174">
                  <c:v>#N/A</c:v>
                </c:pt>
                <c:pt idx="175">
                  <c:v>#N/A</c:v>
                </c:pt>
                <c:pt idx="176">
                  <c:v>#N/A</c:v>
                </c:pt>
                <c:pt idx="177">
                  <c:v>#N/A</c:v>
                </c:pt>
                <c:pt idx="178">
                  <c:v>#N/A</c:v>
                </c:pt>
                <c:pt idx="179">
                  <c:v>#N/A</c:v>
                </c:pt>
                <c:pt idx="180">
                  <c:v>#N/A</c:v>
                </c:pt>
                <c:pt idx="181">
                  <c:v>#N/A</c:v>
                </c:pt>
                <c:pt idx="182">
                  <c:v>#N/A</c:v>
                </c:pt>
                <c:pt idx="183">
                  <c:v>#N/A</c:v>
                </c:pt>
                <c:pt idx="184">
                  <c:v>#N/A</c:v>
                </c:pt>
                <c:pt idx="185">
                  <c:v>#N/A</c:v>
                </c:pt>
                <c:pt idx="186">
                  <c:v>#N/A</c:v>
                </c:pt>
                <c:pt idx="187">
                  <c:v>#N/A</c:v>
                </c:pt>
                <c:pt idx="188">
                  <c:v>#N/A</c:v>
                </c:pt>
                <c:pt idx="189">
                  <c:v>#N/A</c:v>
                </c:pt>
                <c:pt idx="190">
                  <c:v>#N/A</c:v>
                </c:pt>
                <c:pt idx="191">
                  <c:v>#N/A</c:v>
                </c:pt>
                <c:pt idx="192">
                  <c:v>#N/A</c:v>
                </c:pt>
                <c:pt idx="193">
                  <c:v>#N/A</c:v>
                </c:pt>
                <c:pt idx="194">
                  <c:v>#N/A</c:v>
                </c:pt>
                <c:pt idx="195">
                  <c:v>#N/A</c:v>
                </c:pt>
                <c:pt idx="196">
                  <c:v>#N/A</c:v>
                </c:pt>
                <c:pt idx="197">
                  <c:v>#N/A</c:v>
                </c:pt>
                <c:pt idx="198">
                  <c:v>#N/A</c:v>
                </c:pt>
                <c:pt idx="199">
                  <c:v>#N/A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F9CC-46AB-8E10-1B2A3540EA4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50040001"/>
        <c:axId val="50040002"/>
      </c:lineChart>
      <c:catAx>
        <c:axId val="50040001"/>
        <c:scaling>
          <c:orientation val="minMax"/>
        </c:scaling>
        <c:delete val="0"/>
        <c:axPos val="b"/>
        <c:numFmt formatCode="yyyy" sourceLinked="0"/>
        <c:majorTickMark val="out"/>
        <c:minorTickMark val="none"/>
        <c:tickLblPos val="nextTo"/>
        <c:crossAx val="50040002"/>
        <c:crosses val="autoZero"/>
        <c:auto val="1"/>
        <c:lblAlgn val="ctr"/>
        <c:lblOffset val="100"/>
        <c:noMultiLvlLbl val="0"/>
      </c:catAx>
      <c:valAx>
        <c:axId val="50040002"/>
        <c:scaling>
          <c:orientation val="minMax"/>
        </c:scaling>
        <c:delete val="0"/>
        <c:axPos val="l"/>
        <c:numFmt formatCode="General" sourceLinked="1"/>
        <c:majorTickMark val="out"/>
        <c:minorTickMark val="none"/>
        <c:tickLblPos val="nextTo"/>
        <c:crossAx val="50040001"/>
        <c:crosses val="autoZero"/>
        <c:crossBetween val="between"/>
      </c:valAx>
    </c:plotArea>
    <c:legend>
      <c:legendPos val="b"/>
      <c:overlay val="0"/>
    </c:legend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drawings/_rels/drawing4.xml.rels><?xml version="1.0" encoding="UTF-8" standalone="yes"?>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4" Type="http://schemas.openxmlformats.org/officeDocument/2006/relationships/chart" Target="../charts/chart4.xml"/></Relationships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>
    <xdr:from>
      <xdr:col>3</xdr:col>
      <xdr:colOff>0</xdr:colOff>
      <xdr:row>3</xdr:row>
      <xdr:rowOff>0</xdr:rowOff>
    </xdr:from>
    <xdr:to>
      <xdr:col>11</xdr:col>
      <xdr:colOff>381000</xdr:colOff>
      <xdr:row>19</xdr:row>
      <xdr:rowOff>28575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3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13</xdr:col>
      <xdr:colOff>0</xdr:colOff>
      <xdr:row>3</xdr:row>
      <xdr:rowOff>0</xdr:rowOff>
    </xdr:from>
    <xdr:to>
      <xdr:col>21</xdr:col>
      <xdr:colOff>381000</xdr:colOff>
      <xdr:row>19</xdr:row>
      <xdr:rowOff>28575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3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3</xdr:col>
      <xdr:colOff>0</xdr:colOff>
      <xdr:row>21</xdr:row>
      <xdr:rowOff>0</xdr:rowOff>
    </xdr:from>
    <xdr:to>
      <xdr:col>11</xdr:col>
      <xdr:colOff>381000</xdr:colOff>
      <xdr:row>37</xdr:row>
      <xdr:rowOff>28575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00000000-0008-0000-0300-000004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13</xdr:col>
      <xdr:colOff>0</xdr:colOff>
      <xdr:row>21</xdr:row>
      <xdr:rowOff>0</xdr:rowOff>
    </xdr:from>
    <xdr:to>
      <xdr:col>21</xdr:col>
      <xdr:colOff>381000</xdr:colOff>
      <xdr:row>37</xdr:row>
      <xdr:rowOff>28575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00000000-0008-0000-0300-000005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0000000}" name="ComparisonTable" displayName="ComparisonTable" ref="A1:AJ201" totalsRowShown="0">
  <autoFilter ref="A1:AJ201" xr:uid="{00000000-0009-0000-0100-000001000000}"/>
  <tableColumns count="36">
    <tableColumn id="1" xr3:uid="{00000000-0010-0000-0000-000001000000}" name="date" dataDxfId="0"/>
    <tableColumn id="2" xr3:uid="{00000000-0010-0000-0000-000002000000}" name="Ygdp"/>
    <tableColumn id="3" xr3:uid="{00000000-0010-0000-0000-000003000000}" name="Cpr"/>
    <tableColumn id="4" xr3:uid="{00000000-0010-0000-0000-000004000000}" name="Pcpi"/>
    <tableColumn id="5" xr3:uid="{00000000-0010-0000-0000-000005000000}" name="Lemp"/>
    <tableColumn id="6" xr3:uid="{00000000-0010-0000-0000-000006000000}" name="Lhrs"/>
    <tableColumn id="7" xr3:uid="{00000000-0010-0000-0000-000007000000}" name="Lur"/>
    <tableColumn id="8" xr3:uid="{00000000-0010-0000-0000-000008000000}" name="Lpar"/>
    <tableColumn id="9" xr3:uid="{00000000-0010-0000-0000-000009000000}" name="R90d"/>
    <tableColumn id="10" xr3:uid="{00000000-0010-0000-0000-00000A000000}" name="R10y"/>
    <tableColumn id="11" xr3:uid="{00000000-0010-0000-0000-00000B000000}" name="period"/>
    <tableColumn id="12" xr3:uid="{00000000-0010-0000-0000-00000C000000}" name="GDP_annual_growth"/>
    <tableColumn id="13" xr3:uid="{00000000-0010-0000-0000-00000D000000}" name="Consumption_annual_growth"/>
    <tableColumn id="14" xr3:uid="{00000000-0010-0000-0000-00000E000000}" name="CPI_inflation"/>
    <tableColumn id="15" xr3:uid="{00000000-0010-0000-0000-00000F000000}" name="Unemployment_rate"/>
    <tableColumn id="16" xr3:uid="{00000000-0010-0000-0000-000010000000}" name="Participation_rate"/>
    <tableColumn id="17" xr3:uid="{00000000-0010-0000-0000-000011000000}" name="Cash_rate"/>
    <tableColumn id="18" xr3:uid="{00000000-0010-0000-0000-000012000000}" name="Ten_year_rate"/>
    <tableColumn id="19" xr3:uid="{00000000-0010-0000-0000-000013000000}" name="Employment_index"/>
    <tableColumn id="20" xr3:uid="{00000000-0010-0000-0000-000014000000}" name="Hours_index"/>
    <tableColumn id="21" xr3:uid="{00000000-0010-0000-0000-000015000000}" name="GDP_annual_growth_actual"/>
    <tableColumn id="22" xr3:uid="{00000000-0010-0000-0000-000016000000}" name="GDP_annual_growth_forecast"/>
    <tableColumn id="23" xr3:uid="{00000000-0010-0000-0000-000017000000}" name="Consumption_annual_growth_actual"/>
    <tableColumn id="24" xr3:uid="{00000000-0010-0000-0000-000018000000}" name="Consumption_annual_growth_forecast"/>
    <tableColumn id="25" xr3:uid="{00000000-0010-0000-0000-000019000000}" name="Employment_index_actual"/>
    <tableColumn id="26" xr3:uid="{00000000-0010-0000-0000-00001A000000}" name="Employment_index_forecast"/>
    <tableColumn id="27" xr3:uid="{00000000-0010-0000-0000-00001B000000}" name="Hours_index_actual"/>
    <tableColumn id="28" xr3:uid="{00000000-0010-0000-0000-00001C000000}" name="Hours_index_forecast"/>
    <tableColumn id="29" xr3:uid="{00000000-0010-0000-0000-00001D000000}" name="Unemployment_rate_actual"/>
    <tableColumn id="30" xr3:uid="{00000000-0010-0000-0000-00001E000000}" name="Unemployment_rate_forecast"/>
    <tableColumn id="31" xr3:uid="{00000000-0010-0000-0000-00001F000000}" name="Cash_rate_actual"/>
    <tableColumn id="32" xr3:uid="{00000000-0010-0000-0000-000020000000}" name="Cash_rate_forecast"/>
    <tableColumn id="33" xr3:uid="{00000000-0010-0000-0000-000021000000}" name="Ten_year_rate_actual"/>
    <tableColumn id="34" xr3:uid="{00000000-0010-0000-0000-000022000000}" name="Ten_year_rate_forecast"/>
    <tableColumn id="35" xr3:uid="{00000000-0010-0000-0000-000023000000}" name="CPI_inflation_actual"/>
    <tableColumn id="36" xr3:uid="{00000000-0010-0000-0000-000024000000}" name="CPI_inflation_forecast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1000000}" name="ForecastTable" displayName="ForecastTable" ref="A1:EI51" totalsRowShown="0">
  <autoFilter ref="A1:EI51" xr:uid="{00000000-0009-0000-0100-000002000000}"/>
  <tableColumns count="139">
    <tableColumn id="1" xr3:uid="{00000000-0010-0000-0100-000001000000}" name="date"/>
    <tableColumn id="2" xr3:uid="{00000000-0010-0000-0100-000002000000}" name="Cpr"/>
    <tableColumn id="3" xr3:uid="{00000000-0010-0000-0100-000003000000}" name="Idwell"/>
    <tableColumn id="4" xr3:uid="{00000000-0010-0000-0100-000004000000}" name="Imin"/>
    <tableColumn id="5" xr3:uid="{00000000-0010-0000-0100-000005000000}" name="IvtNonfarm"/>
    <tableColumn id="6" xr3:uid="{00000000-0010-0000-0100-000006000000}" name="Tcit"/>
    <tableColumn id="7" xr3:uid="{00000000-0010-0000-0100-000007000000}" name="Tprl"/>
    <tableColumn id="8" xr3:uid="{00000000-0010-0000-0100-000008000000}" name="Toth"/>
    <tableColumn id="9" xr3:uid="{00000000-0010-0000-0100-000009000000}" name="Ytsf"/>
    <tableColumn id="10" xr3:uid="{00000000-0010-0000-0100-00000A000000}" name="Xmin"/>
    <tableColumn id="11" xr3:uid="{00000000-0010-0000-0100-00000B000000}" name="LavhMkt"/>
    <tableColumn id="12" xr3:uid="{00000000-0010-0000-0100-00000C000000}" name="LempNonmkt"/>
    <tableColumn id="13" xr3:uid="{00000000-0010-0000-0100-00000D000000}" name="Lpar"/>
    <tableColumn id="14" xr3:uid="{00000000-0010-0000-0100-00000E000000}" name="Lwge"/>
    <tableColumn id="15" xr3:uid="{00000000-0010-0000-0100-00000F000000}" name="Pcpi"/>
    <tableColumn id="16" xr3:uid="{00000000-0010-0000-0100-000010000000}" name="Piret"/>
    <tableColumn id="17" xr3:uid="{00000000-0010-0000-0100-000011000000}" name="Pxagr"/>
    <tableColumn id="18" xr3:uid="{00000000-0010-0000-0100-000012000000}" name="Pmgs"/>
    <tableColumn id="19" xr3:uid="{00000000-0010-0000-0100-000013000000}" name="Rmort"/>
    <tableColumn id="20" xr3:uid="{00000000-0010-0000-0100-000014000000}" name="Peq"/>
    <tableColumn id="21" xr3:uid="{00000000-0010-0000-0100-000015000000}" name="Rtwi"/>
    <tableColumn id="22" xr3:uid="{00000000-0010-0000-0100-000016000000}" name="Rusd"/>
    <tableColumn id="23" xr3:uid="{00000000-0010-0000-0100-000017000000}" name="Whh"/>
    <tableColumn id="24" xr3:uid="{00000000-0010-0000-0100-000018000000}" name="Ygdw"/>
    <tableColumn id="25" xr3:uid="{00000000-0010-0000-0100-000019000000}" name="Lhrs"/>
    <tableColumn id="26" xr3:uid="{00000000-0010-0000-0100-00001A000000}" name="PhouseSa"/>
    <tableColumn id="27" xr3:uid="{00000000-0010-0000-0100-00001B000000}" name="Pimin"/>
    <tableColumn id="28" xr3:uid="{00000000-0010-0000-0100-00001C000000}" name="Pinonmin"/>
    <tableColumn id="29" xr3:uid="{00000000-0010-0000-0100-00001D000000}" name="Pgov"/>
    <tableColumn id="30" xr3:uid="{00000000-0010-0000-0100-00001E000000}" name="Pidwell"/>
    <tableColumn id="31" xr3:uid="{00000000-0010-0000-0100-00001F000000}" name="Pxsvc"/>
    <tableColumn id="32" xr3:uid="{00000000-0010-0000-0100-000020000000}" name="Tpit"/>
    <tableColumn id="33" xr3:uid="{00000000-0010-0000-0100-000021000000}" name="GovDebt"/>
    <tableColumn id="34" xr3:uid="{00000000-0010-0000-0100-000022000000}" name="PcpiRent"/>
    <tableColumn id="35" xr3:uid="{00000000-0010-0000-0100-000023000000}" name="Inonmin"/>
    <tableColumn id="36" xr3:uid="{00000000-0010-0000-0100-000024000000}" name="Ynli"/>
    <tableColumn id="37" xr3:uid="{00000000-0010-0000-0100-000025000000}" name="EqEarn"/>
    <tableColumn id="38" xr3:uid="{00000000-0010-0000-0100-000026000000}" name="Tgst"/>
    <tableColumn id="39" xr3:uid="{00000000-0010-0000-0100-000027000000}" name="Xoth"/>
    <tableColumn id="40" xr3:uid="{00000000-0010-0000-0100-000028000000}" name="Pxmin"/>
    <tableColumn id="41" xr3:uid="{00000000-0010-0000-0100-000029000000}" name="Pxoth"/>
    <tableColumn id="42" xr3:uid="{00000000-0010-0000-0100-00002A000000}" name="PconsExrent"/>
    <tableColumn id="43" xr3:uid="{00000000-0010-0000-0100-00002B000000}" name="Ppcd"/>
    <tableColumn id="44" xr3:uid="{00000000-0010-0000-0100-00002C000000}" name="Xsvc"/>
    <tableColumn id="45" xr3:uid="{00000000-0010-0000-0100-00002D000000}" name="Mtot"/>
    <tableColumn id="46" xr3:uid="{00000000-0010-0000-0100-00002E000000}" name="R90d"/>
    <tableColumn id="47" xr3:uid="{00000000-0010-0000-0100-00002F000000}" name="R10y"/>
    <tableColumn id="48" xr3:uid="{00000000-0010-0000-0100-000030000000}" name="GapAvh"/>
    <tableColumn id="49" xr3:uid="{00000000-0010-0000-0100-000031000000}" name="Ivt"/>
    <tableColumn id="50" xr3:uid="{00000000-0010-0000-0100-000032000000}" name="Iotc"/>
    <tableColumn id="51" xr3:uid="{00000000-0010-0000-0100-000033000000}" name="Xagr"/>
    <tableColumn id="52" xr3:uid="{00000000-0010-0000-0100-000034000000}" name="Xtot"/>
    <tableColumn id="53" xr3:uid="{00000000-0010-0000-0100-000035000000}" name="CprNom"/>
    <tableColumn id="54" xr3:uid="{00000000-0010-0000-0100-000036000000}" name="CgovNom"/>
    <tableColumn id="55" xr3:uid="{00000000-0010-0000-0100-000037000000}" name="IdwellNom"/>
    <tableColumn id="56" xr3:uid="{00000000-0010-0000-0100-000038000000}" name="IotcNom"/>
    <tableColumn id="57" xr3:uid="{00000000-0010-0000-0100-000039000000}" name="IminNom"/>
    <tableColumn id="58" xr3:uid="{00000000-0010-0000-0100-00003A000000}" name="InonminNom"/>
    <tableColumn id="59" xr3:uid="{00000000-0010-0000-0100-00003B000000}" name="YgovIvtNom"/>
    <tableColumn id="60" xr3:uid="{00000000-0010-0000-0100-00003C000000}" name="XminNom"/>
    <tableColumn id="61" xr3:uid="{00000000-0010-0000-0100-00003D000000}" name="XagrNom"/>
    <tableColumn id="62" xr3:uid="{00000000-0010-0000-0100-00003E000000}" name="XothNom"/>
    <tableColumn id="63" xr3:uid="{00000000-0010-0000-0100-00003F000000}" name="XsvcNom"/>
    <tableColumn id="64" xr3:uid="{00000000-0010-0000-0100-000040000000}" name="XtotNom"/>
    <tableColumn id="65" xr3:uid="{00000000-0010-0000-0100-000041000000}" name="MtotNom"/>
    <tableColumn id="66" xr3:uid="{00000000-0010-0000-0100-000042000000}" name="YgdpNom"/>
    <tableColumn id="67" xr3:uid="{00000000-0010-0000-0100-000043000000}" name="Ygdp"/>
    <tableColumn id="68" xr3:uid="{00000000-0010-0000-0100-000044000000}" name="Ygne"/>
    <tableColumn id="69" xr3:uid="{00000000-0010-0000-0100-000045000000}" name="Pgne"/>
    <tableColumn id="70" xr3:uid="{00000000-0010-0000-0100-000046000000}" name="Pgdp"/>
    <tableColumn id="71" xr3:uid="{00000000-0010-0000-0100-000047000000}" name="Pxtot"/>
    <tableColumn id="72" xr3:uid="{00000000-0010-0000-0100-000048000000}" name="Ptot"/>
    <tableColumn id="73" xr3:uid="{00000000-0010-0000-0100-000049000000}" name="CconsRent"/>
    <tableColumn id="74" xr3:uid="{00000000-0010-0000-0100-00004A000000}" name="PconsRent"/>
    <tableColumn id="75" xr3:uid="{00000000-0010-0000-0100-00004B000000}" name="CconsRentNom"/>
    <tableColumn id="76" xr3:uid="{00000000-0010-0000-0100-00004C000000}" name="LempMkt"/>
    <tableColumn id="77" xr3:uid="{00000000-0010-0000-0100-00004D000000}" name="Lemp"/>
    <tableColumn id="78" xr3:uid="{00000000-0010-0000-0100-00004E000000}" name="Lsup"/>
    <tableColumn id="79" xr3:uid="{00000000-0010-0000-0100-00004F000000}" name="Lune"/>
    <tableColumn id="80" xr3:uid="{00000000-0010-0000-0100-000050000000}" name="Lur"/>
    <tableColumn id="81" xr3:uid="{00000000-0010-0000-0100-000051000000}" name="Lhh"/>
    <tableColumn id="82" xr3:uid="{00000000-0010-0000-0100-000052000000}" name="Ywss"/>
    <tableColumn id="83" xr3:uid="{00000000-0010-0000-0100-000053000000}" name="Yhdi"/>
    <tableColumn id="84" xr3:uid="{00000000-0010-0000-0100-000054000000}" name="Ygoa"/>
    <tableColumn id="85" xr3:uid="{00000000-0010-0000-0100-000055000000}" name="SavHh"/>
    <tableColumn id="86" xr3:uid="{00000000-0010-0000-0100-000056000000}" name="Wfor"/>
    <tableColumn id="87" xr3:uid="{00000000-0010-0000-0100-000057000000}" name="EqYield"/>
    <tableColumn id="88" xr3:uid="{00000000-0010-0000-0100-000058000000}" name="PeRatio"/>
    <tableColumn id="89" xr3:uid="{00000000-0010-0000-0100-000059000000}" name="KMin"/>
    <tableColumn id="90" xr3:uid="{00000000-0010-0000-0100-00005A000000}" name="KNbiz"/>
    <tableColumn id="91" xr3:uid="{00000000-0010-0000-0100-00005B000000}" name="KDwell"/>
    <tableColumn id="92" xr3:uid="{00000000-0010-0000-0100-00005C000000}" name="KBiz"/>
    <tableColumn id="93" xr3:uid="{00000000-0010-0000-0100-00005D000000}" name="KTotal"/>
    <tableColumn id="94" xr3:uid="{00000000-0010-0000-0100-00005E000000}" name="R90dReal"/>
    <tableColumn id="95" xr3:uid="{00000000-0010-0000-0100-00005F000000}" name="R10yReal"/>
    <tableColumn id="96" xr3:uid="{00000000-0010-0000-0100-000060000000}" name="RmortReal"/>
    <tableColumn id="97" xr3:uid="{00000000-0010-0000-0100-000061000000}" name="PcpiExGst"/>
    <tableColumn id="98" xr3:uid="{00000000-0010-0000-0100-000062000000}" name="RmortRealExgst"/>
    <tableColumn id="99" xr3:uid="{00000000-0010-0000-0100-000063000000}" name="Fr10y"/>
    <tableColumn id="100" xr3:uid="{00000000-0010-0000-0100-000064000000}" name="Fr10yReal"/>
    <tableColumn id="101" xr3:uid="{00000000-0010-0000-0100-000065000000}" name="Rdif10y"/>
    <tableColumn id="102" xr3:uid="{00000000-0010-0000-0100-000066000000}" name="RtwiNom"/>
    <tableColumn id="103" xr3:uid="{00000000-0010-0000-0100-000067000000}" name="PhouseReal"/>
    <tableColumn id="104" xr3:uid="{00000000-0010-0000-0100-000068000000}" name="Rbiz"/>
    <tableColumn id="105" xr3:uid="{00000000-0010-0000-0100-000069000000}" name="RbizReal"/>
    <tableColumn id="106" xr3:uid="{00000000-0010-0000-0100-00006A000000}" name="KdepAllow"/>
    <tableColumn id="107" xr3:uid="{00000000-0010-0000-0100-00006B000000}" name="CostCap"/>
    <tableColumn id="108" xr3:uid="{00000000-0010-0000-0100-00006C000000}" name="GovDem"/>
    <tableColumn id="109" xr3:uid="{00000000-0010-0000-0100-00006D000000}" name="Pulc"/>
    <tableColumn id="110" xr3:uid="{00000000-0010-0000-0100-00006E000000}" name="UlcDom"/>
    <tableColumn id="111" xr3:uid="{00000000-0010-0000-0100-00006F000000}" name="UlcExp"/>
    <tableColumn id="112" xr3:uid="{00000000-0010-0000-0100-000070000000}" name="YgdpHpf"/>
    <tableColumn id="113" xr3:uid="{00000000-0010-0000-0100-000071000000}" name="CprHpf"/>
    <tableColumn id="114" xr3:uid="{00000000-0010-0000-0100-000072000000}" name="PhouseHpf"/>
    <tableColumn id="115" xr3:uid="{00000000-0010-0000-0100-000073000000}" name="RmortRealHpf"/>
    <tableColumn id="116" xr3:uid="{00000000-0010-0000-0100-000074000000}" name="LparHpf"/>
    <tableColumn id="117" xr3:uid="{00000000-0010-0000-0100-000075000000}" name="PpcdHpf"/>
    <tableColumn id="118" xr3:uid="{00000000-0010-0000-0100-000076000000}" name="LurHpf"/>
    <tableColumn id="119" xr3:uid="{00000000-0010-0000-0100-000077000000}" name="InflExp"/>
    <tableColumn id="120" xr3:uid="{00000000-0010-0000-0100-000078000000}" name="Lpop"/>
    <tableColumn id="121" xr3:uid="{00000000-0010-0000-0100-000079000000}" name="Lpop15Plus"/>
    <tableColumn id="122" xr3:uid="{00000000-0010-0000-0100-00007A000000}" name="Ustar"/>
    <tableColumn id="123" xr3:uid="{00000000-0010-0000-0100-00007B000000}" name="Cgov"/>
    <tableColumn id="124" xr3:uid="{00000000-0010-0000-0100-00007C000000}" name="Igov"/>
    <tableColumn id="125" xr3:uid="{00000000-0010-0000-0100-00007D000000}" name="Ipubent"/>
    <tableColumn id="126" xr3:uid="{00000000-0010-0000-0100-00007E000000}" name="GovDef"/>
    <tableColumn id="127" xr3:uid="{00000000-0010-0000-0100-00007F000000}" name="IvtFar"/>
    <tableColumn id="128" xr3:uid="{00000000-0010-0000-0100-000080000000}" name="Lnom"/>
    <tableColumn id="129" xr3:uid="{00000000-0010-0000-0100-000081000000}" name="IntStu"/>
    <tableColumn id="130" xr3:uid="{00000000-0010-0000-0100-000082000000}" name="Fpcpi"/>
    <tableColumn id="131" xr3:uid="{00000000-0010-0000-0100-000083000000}" name="Fpoil"/>
    <tableColumn id="132" xr3:uid="{00000000-0010-0000-0100-000084000000}" name="Fpcom"/>
    <tableColumn id="133" xr3:uid="{00000000-0010-0000-0100-000085000000}" name="Fpagr"/>
    <tableColumn id="134" xr3:uid="{00000000-0010-0000-0100-000086000000}" name="FcGdp"/>
    <tableColumn id="135" xr3:uid="{00000000-0010-0000-0100-000087000000}" name="FcPpp"/>
    <tableColumn id="136" xr3:uid="{00000000-0010-0000-0100-000088000000}" name="Fr10yUs"/>
    <tableColumn id="137" xr3:uid="{00000000-0010-0000-0100-000089000000}" name="Fr10yJp"/>
    <tableColumn id="138" xr3:uid="{00000000-0010-0000-0100-00008A000000}" name="Fr10yDe"/>
    <tableColumn id="139" xr3:uid="{00000000-0010-0000-0100-00008B000000}" name="Fr10yUk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0000000-000C-0000-FFFF-FFFF02000000}" name="CoefficientsTable" displayName="CoefficientsTable" ref="A1:D301" totalsRowShown="0">
  <autoFilter ref="A1:D301" xr:uid="{00000000-0009-0000-0100-000003000000}"/>
  <tableColumns count="4">
    <tableColumn id="1" xr3:uid="{00000000-0010-0000-0200-000001000000}" name="equation"/>
    <tableColumn id="2" xr3:uid="{00000000-0010-0000-0200-000002000000}" name="term"/>
    <tableColumn id="3" xr3:uid="{00000000-0010-0000-0200-000003000000}" name="estimate"/>
    <tableColumn id="4" xr3:uid="{00000000-0010-0000-0200-000004000000}" name="std_error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1.xml"/><Relationship Id="rId2" Type="http://schemas.openxmlformats.org/officeDocument/2006/relationships/printerSettings" Target="../printerSettings/printerSettings1.bin"/><Relationship Id="rIdvml" Type="http://schemas.openxmlformats.org/officeDocument/2006/relationships/vmlDrawing" Target="../drawings/vmlDrawing1.vml"/><Relationship Id="rId3" Type="http://schemas.openxmlformats.org/officeDocument/2006/relationships/table" Target="../tables/table3.xml"/></Relationships>
</file>

<file path=xl/worksheets/_rels/sheet2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2.xml"/><Relationship Id="rId2" Type="http://schemas.openxmlformats.org/officeDocument/2006/relationships/printerSettings" Target="../printerSettings/printerSettings2.bin"/><Relationship Id="rIdvml" Type="http://schemas.openxmlformats.org/officeDocument/2006/relationships/vmlDrawing" Target="../drawings/vmlDrawing2.vml"/><Relationship Id="rId4" Type="http://schemas.openxmlformats.org/officeDocument/2006/relationships/table" Target="../tables/table4.xml"/></Relationships>
</file>

<file path=xl/worksheets/_rels/sheet3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3.xml"/><Relationship Id="rId2" Type="http://schemas.openxmlformats.org/officeDocument/2006/relationships/printerSettings" Target="../printerSettings/printerSettings3.bin"/><Relationship Id="rIdvml" Type="http://schemas.openxmlformats.org/officeDocument/2006/relationships/vmlDrawing" Target="../drawings/vmlDrawing3.vml"/><Relationship Id="rId5" Type="http://schemas.openxmlformats.org/officeDocument/2006/relationships/table" Target="../tables/table5.xml"/></Relationships>
</file>

<file path=xl/worksheets/_rels/sheet4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4.xml"/><Relationship Id="rId2" Type="http://schemas.openxmlformats.org/officeDocument/2006/relationships/printerSettings" Target="../printerSettings/printerSettings4.bin"/><Relationship Id="rIdvml" Type="http://schemas.openxmlformats.org/officeDocument/2006/relationships/vmlDrawing" Target="../drawings/vmlDrawing4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showGridLines="0" tabSelected="true"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H17" sqref="H17"/>
    </sheetView>
  </sheetViews>
  <sheetFormatPr defaultRowHeight="15.0" baseColWidth="10"/>
  <cols>
    <col min="1" max="1" width="13.7109375" hidden="0" customWidth="1"/>
    <col min="2" max="2" width="15.7109375" hidden="0" customWidth="1"/>
    <col min="3" max="3" width="15.7109375" hidden="0" customWidth="1"/>
    <col min="4" max="4" width="15.7109375" hidden="0" customWidth="1"/>
    <col min="5" max="5" width="15.7109375" hidden="0" customWidth="1"/>
    <col min="6" max="6" width="15.7109375" hidden="0" customWidth="1"/>
    <col min="7" max="7" width="15.7109375" hidden="0" customWidth="1"/>
    <col min="8" max="8" width="15.7109375" hidden="0" customWidth="1"/>
    <col min="9" max="9" width="15.7109375" hidden="0" customWidth="1"/>
    <col min="10" max="10" width="15.7109375" hidden="0" customWidth="1"/>
    <col min="11" max="11" width="15.7109375" hidden="0" customWidth="1"/>
    <col min="12" max="12" width="15.7109375" hidden="0" customWidth="1"/>
    <col min="13" max="13" width="15.7109375" hidden="0" customWidth="1"/>
    <col min="14" max="14" width="15.7109375" hidden="0" customWidth="1"/>
    <col min="15" max="15" width="15.7109375" hidden="0" customWidth="1"/>
    <col min="16" max="16" width="15.7109375" hidden="0" customWidth="1"/>
    <col min="17" max="17" width="15.7109375" hidden="0" customWidth="1"/>
    <col min="18" max="18" width="15.7109375" hidden="0" customWidth="1"/>
    <col min="19" max="19" width="15.7109375" hidden="0" customWidth="1"/>
    <col min="20" max="20" width="15.7109375" hidden="0" customWidth="1"/>
    <col min="21" max="21" width="15.7109375" hidden="0" customWidth="1"/>
    <col min="22" max="22" width="15.7109375" hidden="0" customWidth="1"/>
    <col min="23" max="23" width="15.7109375" hidden="0" customWidth="1"/>
    <col min="24" max="24" width="15.7109375" hidden="0" customWidth="1"/>
    <col min="25" max="25" width="15.7109375" hidden="0" customWidth="1"/>
    <col min="26" max="26" width="15.7109375" hidden="0" customWidth="1"/>
    <col min="27" max="27" width="15.7109375" hidden="0" customWidth="1"/>
    <col min="28" max="28" width="15.7109375" hidden="0" customWidth="1"/>
    <col min="29" max="29" width="15.7109375" hidden="0" customWidth="1"/>
    <col min="30" max="30" width="15.7109375" hidden="0" customWidth="1"/>
    <col min="31" max="31" width="15.7109375" hidden="0" customWidth="1"/>
    <col min="32" max="32" width="15.7109375" hidden="0" customWidth="1"/>
    <col min="33" max="33" width="15.7109375" hidden="0" customWidth="1"/>
    <col min="34" max="34" width="15.7109375" hidden="0" customWidth="1"/>
    <col min="35" max="35" width="15.7109375" hidden="0" customWidth="1"/>
    <col min="36" max="36" width="15.7109375" hidden="0" customWidth="1"/>
  </cols>
  <sheetData>
    <row r="1">
      <c r="A1" s="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  <c r="T1" t="s">
        <v>19</v>
      </c>
      <c r="U1" t="s">
        <v>20</v>
      </c>
      <c r="V1" t="s">
        <v>21</v>
      </c>
      <c r="W1" t="s">
        <v>22</v>
      </c>
      <c r="X1" t="s">
        <v>23</v>
      </c>
      <c r="Y1" t="s">
        <v>24</v>
      </c>
      <c r="Z1" t="s">
        <v>25</v>
      </c>
      <c r="AA1" t="s">
        <v>26</v>
      </c>
      <c r="AB1" t="s">
        <v>27</v>
      </c>
      <c r="AC1" t="s">
        <v>28</v>
      </c>
      <c r="AD1" t="s">
        <v>29</v>
      </c>
      <c r="AE1" t="s">
        <v>30</v>
      </c>
      <c r="AF1" t="s">
        <v>31</v>
      </c>
      <c r="AG1" t="s">
        <v>32</v>
      </c>
      <c r="AH1" t="s">
        <v>33</v>
      </c>
      <c r="AI1" t="s">
        <v>34</v>
      </c>
      <c r="AJ1" t="s">
        <v>35</v>
      </c>
    </row>
    <row r="2">
      <c r="A2" s="2" t="n">
        <v>42064</v>
      </c>
      <c r="B2" t="n">
        <v>546635</v>
      </c>
      <c r="C2" t="n">
        <v>286815</v>
      </c>
      <c r="D2" t="n">
        <v>106.8</v>
      </c>
      <c r="E2" t="n">
        <v>11658.623867</v>
      </c>
      <c r="F2" t="n">
        <v>3769446.35337672</v>
      </c>
      <c r="G2" t="n">
        <v>0.0620243173677172</v>
      </c>
      <c r="H2" t="n">
        <v>0.648434</v>
      </c>
      <c r="I2" t="n">
        <v>0.024533</v>
      </c>
      <c r="J2" t="n">
        <v>0.02529</v>
      </c>
      <c r="K2" t="s">
        <v>178</v>
      </c>
      <c r="L2" t="e">
        <f t="shared" ref="L2:L33" si="0">IF(ROW()&lt;=5,NA(),IFERROR(100*(B2/INDEX(B:B,ROW()-4)-1),NA()))</f>
        <v>#N/A</v>
      </c>
      <c r="M2" t="e">
        <f t="shared" ref="M2:M33" si="1">IF(ROW()&lt;=5,NA(),IFERROR(100*(C2/INDEX(C:C,ROW()-4)-1),NA()))</f>
        <v>#N/A</v>
      </c>
      <c r="N2" t="e">
        <f t="shared" ref="N2:N33" si="2">IF(ROW()&lt;=5,NA(),IFERROR(100*(D2/INDEX(D:D,ROW()-4)-1),NA()))</f>
        <v>#N/A</v>
      </c>
      <c r="O2" t="n">
        <f t="shared" ref="O2:O33" si="3">100*G2</f>
        <v>0</v>
      </c>
      <c r="P2" t="n">
        <f t="shared" ref="P2:P33" si="4">100*H2</f>
        <v>0</v>
      </c>
      <c r="Q2" t="n">
        <f t="shared" ref="Q2:Q33" si="5">100*I2</f>
        <v>0</v>
      </c>
      <c r="R2" t="n">
        <f t="shared" ref="R2:R33" si="6">100*J2</f>
        <v>0</v>
      </c>
      <c r="S2" t="e">
        <f t="shared" ref="S2:S33" si="7">IFERROR(100*E2/INDEX(E:E,MATCH(DATE(2024,12,1),A:A,0)),NA())</f>
        <v>#N/A</v>
      </c>
      <c r="T2" t="e">
        <f t="shared" ref="T2:T33" si="8">IFERROR(100*F2/INDEX(F:F,MATCH(DATE(2024,12,1),A:A,0)),NA())</f>
        <v>#N/A</v>
      </c>
      <c r="U2" t="e">
        <f t="shared" ref="U2:U33" si="9">IF($K2="Actual",L2,NA())</f>
        <v>#N/A</v>
      </c>
      <c r="V2" t="e">
        <f t="shared" ref="V2:V33" si="10">IF($A2&gt;=DATE(2024,12,1),L2,NA())</f>
        <v>#N/A</v>
      </c>
      <c r="W2" t="e">
        <f t="shared" ref="W2:W33" si="11">IF($K2="Actual",M2,NA())</f>
        <v>#N/A</v>
      </c>
      <c r="X2" t="e">
        <f t="shared" ref="X2:X33" si="12">IF($A2&gt;=DATE(2024,12,1),M2,NA())</f>
        <v>#N/A</v>
      </c>
      <c r="Y2" t="e">
        <f t="shared" ref="Y2:Y33" si="13">IF($K2="Actual",S2,NA())</f>
        <v>#N/A</v>
      </c>
      <c r="Z2" t="e">
        <f t="shared" ref="Z2:Z33" si="14">IF($A2&gt;=DATE(2024,12,1),S2,NA())</f>
        <v>#N/A</v>
      </c>
      <c r="AA2" t="e">
        <f t="shared" ref="AA2:AA33" si="15">IF($K2="Actual",T2,NA())</f>
        <v>#N/A</v>
      </c>
      <c r="AB2" t="e">
        <f t="shared" ref="AB2:AB33" si="16">IF($A2&gt;=DATE(2024,12,1),T2,NA())</f>
        <v>#N/A</v>
      </c>
      <c r="AC2" t="e">
        <f t="shared" ref="AC2:AC33" si="17">IF($K2="Actual",O2,NA())</f>
        <v>#N/A</v>
      </c>
      <c r="AD2" t="e">
        <f t="shared" ref="AD2:AD33" si="18">IF($A2&gt;=DATE(2024,12,1),O2,NA())</f>
        <v>#N/A</v>
      </c>
      <c r="AE2" t="e">
        <f t="shared" ref="AE2:AE33" si="19">IF($K2="Actual",Q2,NA())</f>
        <v>#N/A</v>
      </c>
      <c r="AF2" t="e">
        <f t="shared" ref="AF2:AF33" si="20">IF($A2&gt;=DATE(2024,12,1),Q2,NA())</f>
        <v>#N/A</v>
      </c>
      <c r="AG2" t="e">
        <f t="shared" ref="AG2:AG33" si="21">IF($K2="Actual",R2,NA())</f>
        <v>#N/A</v>
      </c>
      <c r="AH2" t="e">
        <f t="shared" ref="AH2:AH33" si="22">IF($A2&gt;=DATE(2024,12,1),R2,NA())</f>
        <v>#N/A</v>
      </c>
      <c r="AI2" t="e">
        <f t="shared" ref="AI2:AI33" si="23">IF($K2="Actual",N2,NA())</f>
        <v>#N/A</v>
      </c>
      <c r="AJ2" t="e">
        <f t="shared" ref="AJ2:AJ33" si="24">IF($A2&gt;=DATE(2024,12,1),N2,NA())</f>
        <v>#N/A</v>
      </c>
    </row>
    <row r="3">
      <c r="A3" s="2" t="n">
        <v>42156</v>
      </c>
      <c r="B3" t="n">
        <v>547281</v>
      </c>
      <c r="C3" t="n">
        <v>288596</v>
      </c>
      <c r="D3" t="n">
        <v>107.7</v>
      </c>
      <c r="E3" t="n">
        <v>11717.694807</v>
      </c>
      <c r="F3" t="n">
        <v>3776457.05720309</v>
      </c>
      <c r="G3" t="n">
        <v>0.0601679800547526</v>
      </c>
      <c r="H3" t="n">
        <v>0.648126</v>
      </c>
      <c r="I3" t="n">
        <v>0.021833</v>
      </c>
      <c r="J3" t="n">
        <v>0.02759</v>
      </c>
      <c r="K3" t="s">
        <v>178</v>
      </c>
      <c r="L3" t="e">
        <f t="shared" si="0"/>
        <v>#N/A</v>
      </c>
      <c r="M3" t="e">
        <f t="shared" si="1"/>
        <v>#N/A</v>
      </c>
      <c r="N3" t="e">
        <f t="shared" si="2"/>
        <v>#N/A</v>
      </c>
      <c r="O3" t="n">
        <f t="shared" si="3"/>
        <v>0</v>
      </c>
      <c r="P3" t="n">
        <f t="shared" si="4"/>
        <v>0</v>
      </c>
      <c r="Q3" t="n">
        <f t="shared" si="5"/>
        <v>0</v>
      </c>
      <c r="R3" t="n">
        <f t="shared" si="6"/>
        <v>0</v>
      </c>
      <c r="S3" t="e">
        <f t="shared" si="7"/>
        <v>#N/A</v>
      </c>
      <c r="T3" t="e">
        <f t="shared" si="8"/>
        <v>#N/A</v>
      </c>
      <c r="U3" t="e">
        <f t="shared" si="9"/>
        <v>#N/A</v>
      </c>
      <c r="V3" t="e">
        <f t="shared" si="10"/>
        <v>#N/A</v>
      </c>
      <c r="W3" t="e">
        <f t="shared" si="11"/>
        <v>#N/A</v>
      </c>
      <c r="X3" t="e">
        <f t="shared" si="12"/>
        <v>#N/A</v>
      </c>
      <c r="Y3" t="e">
        <f t="shared" si="13"/>
        <v>#N/A</v>
      </c>
      <c r="Z3" t="e">
        <f t="shared" si="14"/>
        <v>#N/A</v>
      </c>
      <c r="AA3" t="e">
        <f t="shared" si="15"/>
        <v>#N/A</v>
      </c>
      <c r="AB3" t="e">
        <f t="shared" si="16"/>
        <v>#N/A</v>
      </c>
      <c r="AC3" t="e">
        <f t="shared" si="17"/>
        <v>#N/A</v>
      </c>
      <c r="AD3" t="e">
        <f t="shared" si="18"/>
        <v>#N/A</v>
      </c>
      <c r="AE3" t="e">
        <f t="shared" si="19"/>
        <v>#N/A</v>
      </c>
      <c r="AF3" t="e">
        <f t="shared" si="20"/>
        <v>#N/A</v>
      </c>
      <c r="AG3" t="e">
        <f t="shared" si="21"/>
        <v>#N/A</v>
      </c>
      <c r="AH3" t="e">
        <f t="shared" si="22"/>
        <v>#N/A</v>
      </c>
      <c r="AI3" t="e">
        <f t="shared" si="23"/>
        <v>#N/A</v>
      </c>
      <c r="AJ3" t="e">
        <f t="shared" si="24"/>
        <v>#N/A</v>
      </c>
    </row>
    <row r="4">
      <c r="A4" s="2" t="n">
        <v>42248</v>
      </c>
      <c r="B4" t="n">
        <v>552613</v>
      </c>
      <c r="C4" t="n">
        <v>291248</v>
      </c>
      <c r="D4" t="n">
        <v>107.8</v>
      </c>
      <c r="E4" t="n">
        <v>11769.74154</v>
      </c>
      <c r="F4" t="n">
        <v>3792322.06602759</v>
      </c>
      <c r="G4" t="n">
        <v>0.0617866365869272</v>
      </c>
      <c r="H4" t="n">
        <v>0.649889</v>
      </c>
      <c r="I4" t="n">
        <v>0.0215</v>
      </c>
      <c r="J4" t="n">
        <v>0.0279466666666667</v>
      </c>
      <c r="K4" t="s">
        <v>178</v>
      </c>
      <c r="L4" t="e">
        <f t="shared" si="0"/>
        <v>#N/A</v>
      </c>
      <c r="M4" t="e">
        <f t="shared" si="1"/>
        <v>#N/A</v>
      </c>
      <c r="N4" t="e">
        <f t="shared" si="2"/>
        <v>#N/A</v>
      </c>
      <c r="O4" t="n">
        <f t="shared" si="3"/>
        <v>0</v>
      </c>
      <c r="P4" t="n">
        <f t="shared" si="4"/>
        <v>0</v>
      </c>
      <c r="Q4" t="n">
        <f t="shared" si="5"/>
        <v>0</v>
      </c>
      <c r="R4" t="n">
        <f t="shared" si="6"/>
        <v>0</v>
      </c>
      <c r="S4" t="e">
        <f t="shared" si="7"/>
        <v>#N/A</v>
      </c>
      <c r="T4" t="e">
        <f t="shared" si="8"/>
        <v>#N/A</v>
      </c>
      <c r="U4" t="e">
        <f t="shared" si="9"/>
        <v>#N/A</v>
      </c>
      <c r="V4" t="e">
        <f t="shared" si="10"/>
        <v>#N/A</v>
      </c>
      <c r="W4" t="e">
        <f t="shared" si="11"/>
        <v>#N/A</v>
      </c>
      <c r="X4" t="e">
        <f t="shared" si="12"/>
        <v>#N/A</v>
      </c>
      <c r="Y4" t="e">
        <f t="shared" si="13"/>
        <v>#N/A</v>
      </c>
      <c r="Z4" t="e">
        <f t="shared" si="14"/>
        <v>#N/A</v>
      </c>
      <c r="AA4" t="e">
        <f t="shared" si="15"/>
        <v>#N/A</v>
      </c>
      <c r="AB4" t="e">
        <f t="shared" si="16"/>
        <v>#N/A</v>
      </c>
      <c r="AC4" t="e">
        <f t="shared" si="17"/>
        <v>#N/A</v>
      </c>
      <c r="AD4" t="e">
        <f t="shared" si="18"/>
        <v>#N/A</v>
      </c>
      <c r="AE4" t="e">
        <f t="shared" si="19"/>
        <v>#N/A</v>
      </c>
      <c r="AF4" t="e">
        <f t="shared" si="20"/>
        <v>#N/A</v>
      </c>
      <c r="AG4" t="e">
        <f t="shared" si="21"/>
        <v>#N/A</v>
      </c>
      <c r="AH4" t="e">
        <f t="shared" si="22"/>
        <v>#N/A</v>
      </c>
      <c r="AI4" t="e">
        <f t="shared" si="23"/>
        <v>#N/A</v>
      </c>
      <c r="AJ4" t="e">
        <f t="shared" si="24"/>
        <v>#N/A</v>
      </c>
    </row>
    <row r="5">
      <c r="A5" s="2" t="n">
        <v>42339</v>
      </c>
      <c r="B5" t="n">
        <v>556043</v>
      </c>
      <c r="C5" t="n">
        <v>292696</v>
      </c>
      <c r="D5" t="n">
        <v>108.3</v>
      </c>
      <c r="E5" t="n">
        <v>11887.446556</v>
      </c>
      <c r="F5" t="n">
        <v>3811970.88689508</v>
      </c>
      <c r="G5" t="n">
        <v>0.0583482820901764</v>
      </c>
      <c r="H5" t="n">
        <v>0.651735</v>
      </c>
      <c r="I5" t="n">
        <v>0.022367</v>
      </c>
      <c r="J5" t="n">
        <v>0.0279933333333333</v>
      </c>
      <c r="K5" t="s">
        <v>178</v>
      </c>
      <c r="L5" t="e">
        <f t="shared" si="0"/>
        <v>#N/A</v>
      </c>
      <c r="M5" t="e">
        <f t="shared" si="1"/>
        <v>#N/A</v>
      </c>
      <c r="N5" t="e">
        <f t="shared" si="2"/>
        <v>#N/A</v>
      </c>
      <c r="O5" t="n">
        <f t="shared" si="3"/>
        <v>0</v>
      </c>
      <c r="P5" t="n">
        <f t="shared" si="4"/>
        <v>0</v>
      </c>
      <c r="Q5" t="n">
        <f t="shared" si="5"/>
        <v>0</v>
      </c>
      <c r="R5" t="n">
        <f t="shared" si="6"/>
        <v>0</v>
      </c>
      <c r="S5" t="e">
        <f t="shared" si="7"/>
        <v>#N/A</v>
      </c>
      <c r="T5" t="e">
        <f t="shared" si="8"/>
        <v>#N/A</v>
      </c>
      <c r="U5" t="e">
        <f t="shared" si="9"/>
        <v>#N/A</v>
      </c>
      <c r="V5" t="e">
        <f t="shared" si="10"/>
        <v>#N/A</v>
      </c>
      <c r="W5" t="e">
        <f t="shared" si="11"/>
        <v>#N/A</v>
      </c>
      <c r="X5" t="e">
        <f t="shared" si="12"/>
        <v>#N/A</v>
      </c>
      <c r="Y5" t="e">
        <f t="shared" si="13"/>
        <v>#N/A</v>
      </c>
      <c r="Z5" t="e">
        <f t="shared" si="14"/>
        <v>#N/A</v>
      </c>
      <c r="AA5" t="e">
        <f t="shared" si="15"/>
        <v>#N/A</v>
      </c>
      <c r="AB5" t="e">
        <f t="shared" si="16"/>
        <v>#N/A</v>
      </c>
      <c r="AC5" t="e">
        <f t="shared" si="17"/>
        <v>#N/A</v>
      </c>
      <c r="AD5" t="e">
        <f t="shared" si="18"/>
        <v>#N/A</v>
      </c>
      <c r="AE5" t="e">
        <f t="shared" si="19"/>
        <v>#N/A</v>
      </c>
      <c r="AF5" t="e">
        <f t="shared" si="20"/>
        <v>#N/A</v>
      </c>
      <c r="AG5" t="e">
        <f t="shared" si="21"/>
        <v>#N/A</v>
      </c>
      <c r="AH5" t="e">
        <f t="shared" si="22"/>
        <v>#N/A</v>
      </c>
      <c r="AI5" t="e">
        <f t="shared" si="23"/>
        <v>#N/A</v>
      </c>
      <c r="AJ5" t="e">
        <f t="shared" si="24"/>
        <v>#N/A</v>
      </c>
    </row>
    <row r="6">
      <c r="A6" s="2" t="n">
        <v>42430</v>
      </c>
      <c r="B6" t="n">
        <v>561139</v>
      </c>
      <c r="C6" t="n">
        <v>295146</v>
      </c>
      <c r="D6" t="n">
        <v>108.2</v>
      </c>
      <c r="E6" t="n">
        <v>11926.963195</v>
      </c>
      <c r="F6" t="n">
        <v>3818430.38167379</v>
      </c>
      <c r="G6" t="n">
        <v>0.0579634872433593</v>
      </c>
      <c r="H6" t="n">
        <v>0.650715</v>
      </c>
      <c r="I6" t="n">
        <v>0.022967</v>
      </c>
      <c r="J6" t="n">
        <v>0.02578</v>
      </c>
      <c r="K6" t="s">
        <v>178</v>
      </c>
      <c r="L6" t="e">
        <f t="shared" si="0"/>
        <v>#N/A</v>
      </c>
      <c r="M6" t="e">
        <f t="shared" si="1"/>
        <v>#N/A</v>
      </c>
      <c r="N6" t="e">
        <f t="shared" si="2"/>
        <v>#N/A</v>
      </c>
      <c r="O6" t="n">
        <f t="shared" si="3"/>
        <v>0</v>
      </c>
      <c r="P6" t="n">
        <f t="shared" si="4"/>
        <v>0</v>
      </c>
      <c r="Q6" t="n">
        <f t="shared" si="5"/>
        <v>0</v>
      </c>
      <c r="R6" t="n">
        <f t="shared" si="6"/>
        <v>0</v>
      </c>
      <c r="S6" t="e">
        <f t="shared" si="7"/>
        <v>#N/A</v>
      </c>
      <c r="T6" t="e">
        <f t="shared" si="8"/>
        <v>#N/A</v>
      </c>
      <c r="U6" t="e">
        <f t="shared" si="9"/>
        <v>#N/A</v>
      </c>
      <c r="V6" t="e">
        <f t="shared" si="10"/>
        <v>#N/A</v>
      </c>
      <c r="W6" t="e">
        <f t="shared" si="11"/>
        <v>#N/A</v>
      </c>
      <c r="X6" t="e">
        <f t="shared" si="12"/>
        <v>#N/A</v>
      </c>
      <c r="Y6" t="e">
        <f t="shared" si="13"/>
        <v>#N/A</v>
      </c>
      <c r="Z6" t="e">
        <f t="shared" si="14"/>
        <v>#N/A</v>
      </c>
      <c r="AA6" t="e">
        <f t="shared" si="15"/>
        <v>#N/A</v>
      </c>
      <c r="AB6" t="e">
        <f t="shared" si="16"/>
        <v>#N/A</v>
      </c>
      <c r="AC6" t="e">
        <f t="shared" si="17"/>
        <v>#N/A</v>
      </c>
      <c r="AD6" t="e">
        <f t="shared" si="18"/>
        <v>#N/A</v>
      </c>
      <c r="AE6" t="e">
        <f t="shared" si="19"/>
        <v>#N/A</v>
      </c>
      <c r="AF6" t="e">
        <f t="shared" si="20"/>
        <v>#N/A</v>
      </c>
      <c r="AG6" t="e">
        <f t="shared" si="21"/>
        <v>#N/A</v>
      </c>
      <c r="AH6" t="e">
        <f t="shared" si="22"/>
        <v>#N/A</v>
      </c>
      <c r="AI6" t="e">
        <f t="shared" si="23"/>
        <v>#N/A</v>
      </c>
      <c r="AJ6" t="e">
        <f t="shared" si="24"/>
        <v>#N/A</v>
      </c>
    </row>
    <row r="7">
      <c r="A7" s="2" t="n">
        <v>42522</v>
      </c>
      <c r="B7" t="n">
        <v>564835</v>
      </c>
      <c r="C7" t="n">
        <v>296578</v>
      </c>
      <c r="D7" t="n">
        <v>108.8</v>
      </c>
      <c r="E7" t="n">
        <v>11950.907038</v>
      </c>
      <c r="F7" t="n">
        <v>3797465.66136787</v>
      </c>
      <c r="G7" t="n">
        <v>0.0568709502282777</v>
      </c>
      <c r="H7" t="n">
        <v>0.648702</v>
      </c>
      <c r="I7" t="n">
        <v>0.020833</v>
      </c>
      <c r="J7" t="n">
        <v>0.0231966666666667</v>
      </c>
      <c r="K7" t="s">
        <v>178</v>
      </c>
      <c r="L7" t="e">
        <f t="shared" si="0"/>
        <v>#N/A</v>
      </c>
      <c r="M7" t="e">
        <f t="shared" si="1"/>
        <v>#N/A</v>
      </c>
      <c r="N7" t="e">
        <f t="shared" si="2"/>
        <v>#N/A</v>
      </c>
      <c r="O7" t="n">
        <f t="shared" si="3"/>
        <v>0</v>
      </c>
      <c r="P7" t="n">
        <f t="shared" si="4"/>
        <v>0</v>
      </c>
      <c r="Q7" t="n">
        <f t="shared" si="5"/>
        <v>0</v>
      </c>
      <c r="R7" t="n">
        <f t="shared" si="6"/>
        <v>0</v>
      </c>
      <c r="S7" t="e">
        <f t="shared" si="7"/>
        <v>#N/A</v>
      </c>
      <c r="T7" t="e">
        <f t="shared" si="8"/>
        <v>#N/A</v>
      </c>
      <c r="U7" t="e">
        <f t="shared" si="9"/>
        <v>#N/A</v>
      </c>
      <c r="V7" t="e">
        <f t="shared" si="10"/>
        <v>#N/A</v>
      </c>
      <c r="W7" t="e">
        <f t="shared" si="11"/>
        <v>#N/A</v>
      </c>
      <c r="X7" t="e">
        <f t="shared" si="12"/>
        <v>#N/A</v>
      </c>
      <c r="Y7" t="e">
        <f t="shared" si="13"/>
        <v>#N/A</v>
      </c>
      <c r="Z7" t="e">
        <f t="shared" si="14"/>
        <v>#N/A</v>
      </c>
      <c r="AA7" t="e">
        <f t="shared" si="15"/>
        <v>#N/A</v>
      </c>
      <c r="AB7" t="e">
        <f t="shared" si="16"/>
        <v>#N/A</v>
      </c>
      <c r="AC7" t="e">
        <f t="shared" si="17"/>
        <v>#N/A</v>
      </c>
      <c r="AD7" t="e">
        <f t="shared" si="18"/>
        <v>#N/A</v>
      </c>
      <c r="AE7" t="e">
        <f t="shared" si="19"/>
        <v>#N/A</v>
      </c>
      <c r="AF7" t="e">
        <f t="shared" si="20"/>
        <v>#N/A</v>
      </c>
      <c r="AG7" t="e">
        <f t="shared" si="21"/>
        <v>#N/A</v>
      </c>
      <c r="AH7" t="e">
        <f t="shared" si="22"/>
        <v>#N/A</v>
      </c>
      <c r="AI7" t="e">
        <f t="shared" si="23"/>
        <v>#N/A</v>
      </c>
      <c r="AJ7" t="e">
        <f t="shared" si="24"/>
        <v>#N/A</v>
      </c>
    </row>
    <row r="8">
      <c r="A8" s="2" t="n">
        <v>42614</v>
      </c>
      <c r="B8" t="n">
        <v>564782</v>
      </c>
      <c r="C8" t="n">
        <v>298417</v>
      </c>
      <c r="D8" t="n">
        <v>109.3</v>
      </c>
      <c r="E8" t="n">
        <v>11964.826742</v>
      </c>
      <c r="F8" t="n">
        <v>3802039.48557808</v>
      </c>
      <c r="G8" t="n">
        <v>0.0565779985288589</v>
      </c>
      <c r="H8" t="n">
        <v>0.646575</v>
      </c>
      <c r="I8" t="n">
        <v>0.018067</v>
      </c>
      <c r="J8" t="n">
        <v>0.01944</v>
      </c>
      <c r="K8" t="s">
        <v>178</v>
      </c>
      <c r="L8" t="e">
        <f t="shared" si="0"/>
        <v>#N/A</v>
      </c>
      <c r="M8" t="e">
        <f t="shared" si="1"/>
        <v>#N/A</v>
      </c>
      <c r="N8" t="e">
        <f t="shared" si="2"/>
        <v>#N/A</v>
      </c>
      <c r="O8" t="n">
        <f t="shared" si="3"/>
        <v>0</v>
      </c>
      <c r="P8" t="n">
        <f t="shared" si="4"/>
        <v>0</v>
      </c>
      <c r="Q8" t="n">
        <f t="shared" si="5"/>
        <v>0</v>
      </c>
      <c r="R8" t="n">
        <f t="shared" si="6"/>
        <v>0</v>
      </c>
      <c r="S8" t="e">
        <f t="shared" si="7"/>
        <v>#N/A</v>
      </c>
      <c r="T8" t="e">
        <f t="shared" si="8"/>
        <v>#N/A</v>
      </c>
      <c r="U8" t="e">
        <f t="shared" si="9"/>
        <v>#N/A</v>
      </c>
      <c r="V8" t="e">
        <f t="shared" si="10"/>
        <v>#N/A</v>
      </c>
      <c r="W8" t="e">
        <f t="shared" si="11"/>
        <v>#N/A</v>
      </c>
      <c r="X8" t="e">
        <f t="shared" si="12"/>
        <v>#N/A</v>
      </c>
      <c r="Y8" t="e">
        <f t="shared" si="13"/>
        <v>#N/A</v>
      </c>
      <c r="Z8" t="e">
        <f t="shared" si="14"/>
        <v>#N/A</v>
      </c>
      <c r="AA8" t="e">
        <f t="shared" si="15"/>
        <v>#N/A</v>
      </c>
      <c r="AB8" t="e">
        <f t="shared" si="16"/>
        <v>#N/A</v>
      </c>
      <c r="AC8" t="e">
        <f t="shared" si="17"/>
        <v>#N/A</v>
      </c>
      <c r="AD8" t="e">
        <f t="shared" si="18"/>
        <v>#N/A</v>
      </c>
      <c r="AE8" t="e">
        <f t="shared" si="19"/>
        <v>#N/A</v>
      </c>
      <c r="AF8" t="e">
        <f t="shared" si="20"/>
        <v>#N/A</v>
      </c>
      <c r="AG8" t="e">
        <f t="shared" si="21"/>
        <v>#N/A</v>
      </c>
      <c r="AH8" t="e">
        <f t="shared" si="22"/>
        <v>#N/A</v>
      </c>
      <c r="AI8" t="e">
        <f t="shared" si="23"/>
        <v>#N/A</v>
      </c>
      <c r="AJ8" t="e">
        <f t="shared" si="24"/>
        <v>#N/A</v>
      </c>
    </row>
    <row r="9">
      <c r="A9" s="2" t="n">
        <v>42705</v>
      </c>
      <c r="B9" t="n">
        <v>571367</v>
      </c>
      <c r="C9" t="n">
        <v>300485</v>
      </c>
      <c r="D9" t="n">
        <v>109.8</v>
      </c>
      <c r="E9" t="n">
        <v>11988.801731</v>
      </c>
      <c r="F9" t="n">
        <v>3808368.25855266</v>
      </c>
      <c r="G9" t="n">
        <v>0.057342796322902</v>
      </c>
      <c r="H9" t="n">
        <v>0.645826</v>
      </c>
      <c r="I9" t="n">
        <v>0.0176</v>
      </c>
      <c r="J9" t="n">
        <v>0.0252166666666667</v>
      </c>
      <c r="K9" t="s">
        <v>178</v>
      </c>
      <c r="L9" t="e">
        <f t="shared" si="0"/>
        <v>#N/A</v>
      </c>
      <c r="M9" t="e">
        <f t="shared" si="1"/>
        <v>#N/A</v>
      </c>
      <c r="N9" t="e">
        <f t="shared" si="2"/>
        <v>#N/A</v>
      </c>
      <c r="O9" t="n">
        <f t="shared" si="3"/>
        <v>0</v>
      </c>
      <c r="P9" t="n">
        <f t="shared" si="4"/>
        <v>0</v>
      </c>
      <c r="Q9" t="n">
        <f t="shared" si="5"/>
        <v>0</v>
      </c>
      <c r="R9" t="n">
        <f t="shared" si="6"/>
        <v>0</v>
      </c>
      <c r="S9" t="e">
        <f t="shared" si="7"/>
        <v>#N/A</v>
      </c>
      <c r="T9" t="e">
        <f t="shared" si="8"/>
        <v>#N/A</v>
      </c>
      <c r="U9" t="e">
        <f t="shared" si="9"/>
        <v>#N/A</v>
      </c>
      <c r="V9" t="e">
        <f t="shared" si="10"/>
        <v>#N/A</v>
      </c>
      <c r="W9" t="e">
        <f t="shared" si="11"/>
        <v>#N/A</v>
      </c>
      <c r="X9" t="e">
        <f t="shared" si="12"/>
        <v>#N/A</v>
      </c>
      <c r="Y9" t="e">
        <f t="shared" si="13"/>
        <v>#N/A</v>
      </c>
      <c r="Z9" t="e">
        <f t="shared" si="14"/>
        <v>#N/A</v>
      </c>
      <c r="AA9" t="e">
        <f t="shared" si="15"/>
        <v>#N/A</v>
      </c>
      <c r="AB9" t="e">
        <f t="shared" si="16"/>
        <v>#N/A</v>
      </c>
      <c r="AC9" t="e">
        <f t="shared" si="17"/>
        <v>#N/A</v>
      </c>
      <c r="AD9" t="e">
        <f t="shared" si="18"/>
        <v>#N/A</v>
      </c>
      <c r="AE9" t="e">
        <f t="shared" si="19"/>
        <v>#N/A</v>
      </c>
      <c r="AF9" t="e">
        <f t="shared" si="20"/>
        <v>#N/A</v>
      </c>
      <c r="AG9" t="e">
        <f t="shared" si="21"/>
        <v>#N/A</v>
      </c>
      <c r="AH9" t="e">
        <f t="shared" si="22"/>
        <v>#N/A</v>
      </c>
      <c r="AI9" t="e">
        <f t="shared" si="23"/>
        <v>#N/A</v>
      </c>
      <c r="AJ9" t="e">
        <f t="shared" si="24"/>
        <v>#N/A</v>
      </c>
    </row>
    <row r="10">
      <c r="A10" s="2" t="n">
        <v>42795</v>
      </c>
      <c r="B10" t="n">
        <v>573149</v>
      </c>
      <c r="C10" t="n">
        <v>302058</v>
      </c>
      <c r="D10" t="n">
        <v>110.5</v>
      </c>
      <c r="E10" t="n">
        <v>12043.410558</v>
      </c>
      <c r="F10" t="n">
        <v>3859223.7415055</v>
      </c>
      <c r="G10" t="n">
        <v>0.0580743791081485</v>
      </c>
      <c r="H10" t="n">
        <v>0.646085</v>
      </c>
      <c r="I10" t="n">
        <v>0.017833</v>
      </c>
      <c r="J10" t="n">
        <v>0.02751</v>
      </c>
      <c r="K10" t="s">
        <v>178</v>
      </c>
      <c r="L10" t="e">
        <f t="shared" si="0"/>
        <v>#N/A</v>
      </c>
      <c r="M10" t="e">
        <f t="shared" si="1"/>
        <v>#N/A</v>
      </c>
      <c r="N10" t="e">
        <f t="shared" si="2"/>
        <v>#N/A</v>
      </c>
      <c r="O10" t="n">
        <f t="shared" si="3"/>
        <v>0</v>
      </c>
      <c r="P10" t="n">
        <f t="shared" si="4"/>
        <v>0</v>
      </c>
      <c r="Q10" t="n">
        <f t="shared" si="5"/>
        <v>0</v>
      </c>
      <c r="R10" t="n">
        <f t="shared" si="6"/>
        <v>0</v>
      </c>
      <c r="S10" t="e">
        <f t="shared" si="7"/>
        <v>#N/A</v>
      </c>
      <c r="T10" t="e">
        <f t="shared" si="8"/>
        <v>#N/A</v>
      </c>
      <c r="U10" t="e">
        <f t="shared" si="9"/>
        <v>#N/A</v>
      </c>
      <c r="V10" t="e">
        <f t="shared" si="10"/>
        <v>#N/A</v>
      </c>
      <c r="W10" t="e">
        <f t="shared" si="11"/>
        <v>#N/A</v>
      </c>
      <c r="X10" t="e">
        <f t="shared" si="12"/>
        <v>#N/A</v>
      </c>
      <c r="Y10" t="e">
        <f t="shared" si="13"/>
        <v>#N/A</v>
      </c>
      <c r="Z10" t="e">
        <f t="shared" si="14"/>
        <v>#N/A</v>
      </c>
      <c r="AA10" t="e">
        <f t="shared" si="15"/>
        <v>#N/A</v>
      </c>
      <c r="AB10" t="e">
        <f t="shared" si="16"/>
        <v>#N/A</v>
      </c>
      <c r="AC10" t="e">
        <f t="shared" si="17"/>
        <v>#N/A</v>
      </c>
      <c r="AD10" t="e">
        <f t="shared" si="18"/>
        <v>#N/A</v>
      </c>
      <c r="AE10" t="e">
        <f t="shared" si="19"/>
        <v>#N/A</v>
      </c>
      <c r="AF10" t="e">
        <f t="shared" si="20"/>
        <v>#N/A</v>
      </c>
      <c r="AG10" t="e">
        <f t="shared" si="21"/>
        <v>#N/A</v>
      </c>
      <c r="AH10" t="e">
        <f t="shared" si="22"/>
        <v>#N/A</v>
      </c>
      <c r="AI10" t="e">
        <f t="shared" si="23"/>
        <v>#N/A</v>
      </c>
      <c r="AJ10" t="e">
        <f t="shared" si="24"/>
        <v>#N/A</v>
      </c>
    </row>
    <row r="11">
      <c r="A11" s="2" t="n">
        <v>42887</v>
      </c>
      <c r="B11" t="n">
        <v>576579</v>
      </c>
      <c r="C11" t="n">
        <v>303774</v>
      </c>
      <c r="D11" t="n">
        <v>110.9</v>
      </c>
      <c r="E11" t="n">
        <v>12164.858767</v>
      </c>
      <c r="F11" t="n">
        <v>3892724.24700024</v>
      </c>
      <c r="G11" t="n">
        <v>0.0559253059887055</v>
      </c>
      <c r="H11" t="n">
        <v>0.648426</v>
      </c>
      <c r="I11" t="n">
        <v>0.0174</v>
      </c>
      <c r="J11" t="n">
        <v>0.0250866666666667</v>
      </c>
      <c r="K11" t="s">
        <v>178</v>
      </c>
      <c r="L11" t="e">
        <f t="shared" si="0"/>
        <v>#N/A</v>
      </c>
      <c r="M11" t="e">
        <f t="shared" si="1"/>
        <v>#N/A</v>
      </c>
      <c r="N11" t="e">
        <f t="shared" si="2"/>
        <v>#N/A</v>
      </c>
      <c r="O11" t="n">
        <f t="shared" si="3"/>
        <v>0</v>
      </c>
      <c r="P11" t="n">
        <f t="shared" si="4"/>
        <v>0</v>
      </c>
      <c r="Q11" t="n">
        <f t="shared" si="5"/>
        <v>0</v>
      </c>
      <c r="R11" t="n">
        <f t="shared" si="6"/>
        <v>0</v>
      </c>
      <c r="S11" t="e">
        <f t="shared" si="7"/>
        <v>#N/A</v>
      </c>
      <c r="T11" t="e">
        <f t="shared" si="8"/>
        <v>#N/A</v>
      </c>
      <c r="U11" t="e">
        <f t="shared" si="9"/>
        <v>#N/A</v>
      </c>
      <c r="V11" t="e">
        <f t="shared" si="10"/>
        <v>#N/A</v>
      </c>
      <c r="W11" t="e">
        <f t="shared" si="11"/>
        <v>#N/A</v>
      </c>
      <c r="X11" t="e">
        <f t="shared" si="12"/>
        <v>#N/A</v>
      </c>
      <c r="Y11" t="e">
        <f t="shared" si="13"/>
        <v>#N/A</v>
      </c>
      <c r="Z11" t="e">
        <f t="shared" si="14"/>
        <v>#N/A</v>
      </c>
      <c r="AA11" t="e">
        <f t="shared" si="15"/>
        <v>#N/A</v>
      </c>
      <c r="AB11" t="e">
        <f t="shared" si="16"/>
        <v>#N/A</v>
      </c>
      <c r="AC11" t="e">
        <f t="shared" si="17"/>
        <v>#N/A</v>
      </c>
      <c r="AD11" t="e">
        <f t="shared" si="18"/>
        <v>#N/A</v>
      </c>
      <c r="AE11" t="e">
        <f t="shared" si="19"/>
        <v>#N/A</v>
      </c>
      <c r="AF11" t="e">
        <f t="shared" si="20"/>
        <v>#N/A</v>
      </c>
      <c r="AG11" t="e">
        <f t="shared" si="21"/>
        <v>#N/A</v>
      </c>
      <c r="AH11" t="e">
        <f t="shared" si="22"/>
        <v>#N/A</v>
      </c>
      <c r="AI11" t="e">
        <f t="shared" si="23"/>
        <v>#N/A</v>
      </c>
      <c r="AJ11" t="e">
        <f t="shared" si="24"/>
        <v>#N/A</v>
      </c>
    </row>
    <row r="12">
      <c r="A12" s="2" t="n">
        <v>42979</v>
      </c>
      <c r="B12" t="n">
        <v>582043</v>
      </c>
      <c r="C12" t="n">
        <v>305893</v>
      </c>
      <c r="D12" t="n">
        <v>111.3</v>
      </c>
      <c r="E12" t="n">
        <v>12278.939818</v>
      </c>
      <c r="F12" t="n">
        <v>3916980.42735031</v>
      </c>
      <c r="G12" t="n">
        <v>0.05532785461866</v>
      </c>
      <c r="H12" t="n">
        <v>0.651535</v>
      </c>
      <c r="I12" t="n">
        <v>0.017067</v>
      </c>
      <c r="J12" t="n">
        <v>0.0266666666666667</v>
      </c>
      <c r="K12" t="s">
        <v>178</v>
      </c>
      <c r="L12" t="e">
        <f t="shared" si="0"/>
        <v>#N/A</v>
      </c>
      <c r="M12" t="e">
        <f t="shared" si="1"/>
        <v>#N/A</v>
      </c>
      <c r="N12" t="e">
        <f t="shared" si="2"/>
        <v>#N/A</v>
      </c>
      <c r="O12" t="n">
        <f t="shared" si="3"/>
        <v>0</v>
      </c>
      <c r="P12" t="n">
        <f t="shared" si="4"/>
        <v>0</v>
      </c>
      <c r="Q12" t="n">
        <f t="shared" si="5"/>
        <v>0</v>
      </c>
      <c r="R12" t="n">
        <f t="shared" si="6"/>
        <v>0</v>
      </c>
      <c r="S12" t="e">
        <f t="shared" si="7"/>
        <v>#N/A</v>
      </c>
      <c r="T12" t="e">
        <f t="shared" si="8"/>
        <v>#N/A</v>
      </c>
      <c r="U12" t="e">
        <f t="shared" si="9"/>
        <v>#N/A</v>
      </c>
      <c r="V12" t="e">
        <f t="shared" si="10"/>
        <v>#N/A</v>
      </c>
      <c r="W12" t="e">
        <f t="shared" si="11"/>
        <v>#N/A</v>
      </c>
      <c r="X12" t="e">
        <f t="shared" si="12"/>
        <v>#N/A</v>
      </c>
      <c r="Y12" t="e">
        <f t="shared" si="13"/>
        <v>#N/A</v>
      </c>
      <c r="Z12" t="e">
        <f t="shared" si="14"/>
        <v>#N/A</v>
      </c>
      <c r="AA12" t="e">
        <f t="shared" si="15"/>
        <v>#N/A</v>
      </c>
      <c r="AB12" t="e">
        <f t="shared" si="16"/>
        <v>#N/A</v>
      </c>
      <c r="AC12" t="e">
        <f t="shared" si="17"/>
        <v>#N/A</v>
      </c>
      <c r="AD12" t="e">
        <f t="shared" si="18"/>
        <v>#N/A</v>
      </c>
      <c r="AE12" t="e">
        <f t="shared" si="19"/>
        <v>#N/A</v>
      </c>
      <c r="AF12" t="e">
        <f t="shared" si="20"/>
        <v>#N/A</v>
      </c>
      <c r="AG12" t="e">
        <f t="shared" si="21"/>
        <v>#N/A</v>
      </c>
      <c r="AH12" t="e">
        <f t="shared" si="22"/>
        <v>#N/A</v>
      </c>
      <c r="AI12" t="e">
        <f t="shared" si="23"/>
        <v>#N/A</v>
      </c>
      <c r="AJ12" t="e">
        <f t="shared" si="24"/>
        <v>#N/A</v>
      </c>
    </row>
    <row r="13">
      <c r="A13" s="2" t="n">
        <v>43070</v>
      </c>
      <c r="B13" t="n">
        <v>584367</v>
      </c>
      <c r="C13" t="n">
        <v>308870</v>
      </c>
      <c r="D13" t="n">
        <v>112.1</v>
      </c>
      <c r="E13" t="n">
        <v>12364.052443</v>
      </c>
      <c r="F13" t="n">
        <v>3942553.45980164</v>
      </c>
      <c r="G13" t="n">
        <v>0.054926167739918</v>
      </c>
      <c r="H13" t="n">
        <v>0.65356</v>
      </c>
      <c r="I13" t="n">
        <v>0.0173</v>
      </c>
      <c r="J13" t="n">
        <v>0.0263866666666667</v>
      </c>
      <c r="K13" t="s">
        <v>178</v>
      </c>
      <c r="L13" t="e">
        <f t="shared" si="0"/>
        <v>#N/A</v>
      </c>
      <c r="M13" t="e">
        <f t="shared" si="1"/>
        <v>#N/A</v>
      </c>
      <c r="N13" t="e">
        <f t="shared" si="2"/>
        <v>#N/A</v>
      </c>
      <c r="O13" t="n">
        <f t="shared" si="3"/>
        <v>0</v>
      </c>
      <c r="P13" t="n">
        <f t="shared" si="4"/>
        <v>0</v>
      </c>
      <c r="Q13" t="n">
        <f t="shared" si="5"/>
        <v>0</v>
      </c>
      <c r="R13" t="n">
        <f t="shared" si="6"/>
        <v>0</v>
      </c>
      <c r="S13" t="e">
        <f t="shared" si="7"/>
        <v>#N/A</v>
      </c>
      <c r="T13" t="e">
        <f t="shared" si="8"/>
        <v>#N/A</v>
      </c>
      <c r="U13" t="e">
        <f t="shared" si="9"/>
        <v>#N/A</v>
      </c>
      <c r="V13" t="e">
        <f t="shared" si="10"/>
        <v>#N/A</v>
      </c>
      <c r="W13" t="e">
        <f t="shared" si="11"/>
        <v>#N/A</v>
      </c>
      <c r="X13" t="e">
        <f t="shared" si="12"/>
        <v>#N/A</v>
      </c>
      <c r="Y13" t="e">
        <f t="shared" si="13"/>
        <v>#N/A</v>
      </c>
      <c r="Z13" t="e">
        <f t="shared" si="14"/>
        <v>#N/A</v>
      </c>
      <c r="AA13" t="e">
        <f t="shared" si="15"/>
        <v>#N/A</v>
      </c>
      <c r="AB13" t="e">
        <f t="shared" si="16"/>
        <v>#N/A</v>
      </c>
      <c r="AC13" t="e">
        <f t="shared" si="17"/>
        <v>#N/A</v>
      </c>
      <c r="AD13" t="e">
        <f t="shared" si="18"/>
        <v>#N/A</v>
      </c>
      <c r="AE13" t="e">
        <f t="shared" si="19"/>
        <v>#N/A</v>
      </c>
      <c r="AF13" t="e">
        <f t="shared" si="20"/>
        <v>#N/A</v>
      </c>
      <c r="AG13" t="e">
        <f t="shared" si="21"/>
        <v>#N/A</v>
      </c>
      <c r="AH13" t="e">
        <f t="shared" si="22"/>
        <v>#N/A</v>
      </c>
      <c r="AI13" t="e">
        <f t="shared" si="23"/>
        <v>#N/A</v>
      </c>
      <c r="AJ13" t="e">
        <f t="shared" si="24"/>
        <v>#N/A</v>
      </c>
    </row>
    <row r="14">
      <c r="A14" s="2" t="n">
        <v>43160</v>
      </c>
      <c r="B14" t="n">
        <v>590393</v>
      </c>
      <c r="C14" t="n">
        <v>310941</v>
      </c>
      <c r="D14" t="n">
        <v>112.7</v>
      </c>
      <c r="E14" t="n">
        <v>12433.919949</v>
      </c>
      <c r="F14" t="n">
        <v>3933747.46438219</v>
      </c>
      <c r="G14" t="n">
        <v>0.0554492248274031</v>
      </c>
      <c r="H14" t="n">
        <v>0.654609</v>
      </c>
      <c r="I14" t="n">
        <v>0.0183</v>
      </c>
      <c r="J14" t="n">
        <v>0.0276833333333333</v>
      </c>
      <c r="K14" t="s">
        <v>178</v>
      </c>
      <c r="L14" t="e">
        <f t="shared" si="0"/>
        <v>#N/A</v>
      </c>
      <c r="M14" t="e">
        <f t="shared" si="1"/>
        <v>#N/A</v>
      </c>
      <c r="N14" t="e">
        <f t="shared" si="2"/>
        <v>#N/A</v>
      </c>
      <c r="O14" t="n">
        <f t="shared" si="3"/>
        <v>0</v>
      </c>
      <c r="P14" t="n">
        <f t="shared" si="4"/>
        <v>0</v>
      </c>
      <c r="Q14" t="n">
        <f t="shared" si="5"/>
        <v>0</v>
      </c>
      <c r="R14" t="n">
        <f t="shared" si="6"/>
        <v>0</v>
      </c>
      <c r="S14" t="e">
        <f t="shared" si="7"/>
        <v>#N/A</v>
      </c>
      <c r="T14" t="e">
        <f t="shared" si="8"/>
        <v>#N/A</v>
      </c>
      <c r="U14" t="e">
        <f t="shared" si="9"/>
        <v>#N/A</v>
      </c>
      <c r="V14" t="e">
        <f t="shared" si="10"/>
        <v>#N/A</v>
      </c>
      <c r="W14" t="e">
        <f t="shared" si="11"/>
        <v>#N/A</v>
      </c>
      <c r="X14" t="e">
        <f t="shared" si="12"/>
        <v>#N/A</v>
      </c>
      <c r="Y14" t="e">
        <f t="shared" si="13"/>
        <v>#N/A</v>
      </c>
      <c r="Z14" t="e">
        <f t="shared" si="14"/>
        <v>#N/A</v>
      </c>
      <c r="AA14" t="e">
        <f t="shared" si="15"/>
        <v>#N/A</v>
      </c>
      <c r="AB14" t="e">
        <f t="shared" si="16"/>
        <v>#N/A</v>
      </c>
      <c r="AC14" t="e">
        <f t="shared" si="17"/>
        <v>#N/A</v>
      </c>
      <c r="AD14" t="e">
        <f t="shared" si="18"/>
        <v>#N/A</v>
      </c>
      <c r="AE14" t="e">
        <f t="shared" si="19"/>
        <v>#N/A</v>
      </c>
      <c r="AF14" t="e">
        <f t="shared" si="20"/>
        <v>#N/A</v>
      </c>
      <c r="AG14" t="e">
        <f t="shared" si="21"/>
        <v>#N/A</v>
      </c>
      <c r="AH14" t="e">
        <f t="shared" si="22"/>
        <v>#N/A</v>
      </c>
      <c r="AI14" t="e">
        <f t="shared" si="23"/>
        <v>#N/A</v>
      </c>
      <c r="AJ14" t="e">
        <f t="shared" si="24"/>
        <v>#N/A</v>
      </c>
    </row>
    <row r="15">
      <c r="A15" s="2" t="n">
        <v>43252</v>
      </c>
      <c r="B15" t="n">
        <v>594775</v>
      </c>
      <c r="C15" t="n">
        <v>313022</v>
      </c>
      <c r="D15" t="n">
        <v>113.2</v>
      </c>
      <c r="E15" t="n">
        <v>12478.009327</v>
      </c>
      <c r="F15" t="n">
        <v>3959064.51928848</v>
      </c>
      <c r="G15" t="n">
        <v>0.0543996186481243</v>
      </c>
      <c r="H15" t="n">
        <v>0.653505</v>
      </c>
      <c r="I15" t="n">
        <v>0.0203</v>
      </c>
      <c r="J15" t="n">
        <v>0.0274033333333333</v>
      </c>
      <c r="K15" t="s">
        <v>178</v>
      </c>
      <c r="L15" t="e">
        <f t="shared" si="0"/>
        <v>#N/A</v>
      </c>
      <c r="M15" t="e">
        <f t="shared" si="1"/>
        <v>#N/A</v>
      </c>
      <c r="N15" t="e">
        <f t="shared" si="2"/>
        <v>#N/A</v>
      </c>
      <c r="O15" t="n">
        <f t="shared" si="3"/>
        <v>0</v>
      </c>
      <c r="P15" t="n">
        <f t="shared" si="4"/>
        <v>0</v>
      </c>
      <c r="Q15" t="n">
        <f t="shared" si="5"/>
        <v>0</v>
      </c>
      <c r="R15" t="n">
        <f t="shared" si="6"/>
        <v>0</v>
      </c>
      <c r="S15" t="e">
        <f t="shared" si="7"/>
        <v>#N/A</v>
      </c>
      <c r="T15" t="e">
        <f t="shared" si="8"/>
        <v>#N/A</v>
      </c>
      <c r="U15" t="e">
        <f t="shared" si="9"/>
        <v>#N/A</v>
      </c>
      <c r="V15" t="e">
        <f t="shared" si="10"/>
        <v>#N/A</v>
      </c>
      <c r="W15" t="e">
        <f t="shared" si="11"/>
        <v>#N/A</v>
      </c>
      <c r="X15" t="e">
        <f t="shared" si="12"/>
        <v>#N/A</v>
      </c>
      <c r="Y15" t="e">
        <f t="shared" si="13"/>
        <v>#N/A</v>
      </c>
      <c r="Z15" t="e">
        <f t="shared" si="14"/>
        <v>#N/A</v>
      </c>
      <c r="AA15" t="e">
        <f t="shared" si="15"/>
        <v>#N/A</v>
      </c>
      <c r="AB15" t="e">
        <f t="shared" si="16"/>
        <v>#N/A</v>
      </c>
      <c r="AC15" t="e">
        <f t="shared" si="17"/>
        <v>#N/A</v>
      </c>
      <c r="AD15" t="e">
        <f t="shared" si="18"/>
        <v>#N/A</v>
      </c>
      <c r="AE15" t="e">
        <f t="shared" si="19"/>
        <v>#N/A</v>
      </c>
      <c r="AF15" t="e">
        <f t="shared" si="20"/>
        <v>#N/A</v>
      </c>
      <c r="AG15" t="e">
        <f t="shared" si="21"/>
        <v>#N/A</v>
      </c>
      <c r="AH15" t="e">
        <f t="shared" si="22"/>
        <v>#N/A</v>
      </c>
      <c r="AI15" t="e">
        <f t="shared" si="23"/>
        <v>#N/A</v>
      </c>
      <c r="AJ15" t="e">
        <f t="shared" si="24"/>
        <v>#N/A</v>
      </c>
    </row>
    <row r="16">
      <c r="A16" s="2" t="n">
        <v>43344</v>
      </c>
      <c r="B16" t="n">
        <v>597020</v>
      </c>
      <c r="C16" t="n">
        <v>313517</v>
      </c>
      <c r="D16" t="n">
        <v>113.5</v>
      </c>
      <c r="E16" t="n">
        <v>12570.276526</v>
      </c>
      <c r="F16" t="n">
        <v>3975923.37448344</v>
      </c>
      <c r="G16" t="n">
        <v>0.0518595543565067</v>
      </c>
      <c r="H16" t="n">
        <v>0.65384</v>
      </c>
      <c r="I16" t="n">
        <v>0.0197</v>
      </c>
      <c r="J16" t="n">
        <v>0.0261933333333333</v>
      </c>
      <c r="K16" t="s">
        <v>178</v>
      </c>
      <c r="L16" t="e">
        <f t="shared" si="0"/>
        <v>#N/A</v>
      </c>
      <c r="M16" t="e">
        <f t="shared" si="1"/>
        <v>#N/A</v>
      </c>
      <c r="N16" t="e">
        <f t="shared" si="2"/>
        <v>#N/A</v>
      </c>
      <c r="O16" t="n">
        <f t="shared" si="3"/>
        <v>0</v>
      </c>
      <c r="P16" t="n">
        <f t="shared" si="4"/>
        <v>0</v>
      </c>
      <c r="Q16" t="n">
        <f t="shared" si="5"/>
        <v>0</v>
      </c>
      <c r="R16" t="n">
        <f t="shared" si="6"/>
        <v>0</v>
      </c>
      <c r="S16" t="e">
        <f t="shared" si="7"/>
        <v>#N/A</v>
      </c>
      <c r="T16" t="e">
        <f t="shared" si="8"/>
        <v>#N/A</v>
      </c>
      <c r="U16" t="e">
        <f t="shared" si="9"/>
        <v>#N/A</v>
      </c>
      <c r="V16" t="e">
        <f t="shared" si="10"/>
        <v>#N/A</v>
      </c>
      <c r="W16" t="e">
        <f t="shared" si="11"/>
        <v>#N/A</v>
      </c>
      <c r="X16" t="e">
        <f t="shared" si="12"/>
        <v>#N/A</v>
      </c>
      <c r="Y16" t="e">
        <f t="shared" si="13"/>
        <v>#N/A</v>
      </c>
      <c r="Z16" t="e">
        <f t="shared" si="14"/>
        <v>#N/A</v>
      </c>
      <c r="AA16" t="e">
        <f t="shared" si="15"/>
        <v>#N/A</v>
      </c>
      <c r="AB16" t="e">
        <f t="shared" si="16"/>
        <v>#N/A</v>
      </c>
      <c r="AC16" t="e">
        <f t="shared" si="17"/>
        <v>#N/A</v>
      </c>
      <c r="AD16" t="e">
        <f t="shared" si="18"/>
        <v>#N/A</v>
      </c>
      <c r="AE16" t="e">
        <f t="shared" si="19"/>
        <v>#N/A</v>
      </c>
      <c r="AF16" t="e">
        <f t="shared" si="20"/>
        <v>#N/A</v>
      </c>
      <c r="AG16" t="e">
        <f t="shared" si="21"/>
        <v>#N/A</v>
      </c>
      <c r="AH16" t="e">
        <f t="shared" si="22"/>
        <v>#N/A</v>
      </c>
      <c r="AI16" t="e">
        <f t="shared" si="23"/>
        <v>#N/A</v>
      </c>
      <c r="AJ16" t="e">
        <f t="shared" si="24"/>
        <v>#N/A</v>
      </c>
    </row>
    <row r="17">
      <c r="A17" s="2" t="n">
        <v>43435</v>
      </c>
      <c r="B17" t="n">
        <v>598542</v>
      </c>
      <c r="C17" t="n">
        <v>314333</v>
      </c>
      <c r="D17" t="n">
        <v>114</v>
      </c>
      <c r="E17" t="n">
        <v>12646.703814</v>
      </c>
      <c r="F17" t="n">
        <v>3977120.95194437</v>
      </c>
      <c r="G17" t="n">
        <v>0.0504399106899071</v>
      </c>
      <c r="H17" t="n">
        <v>0.654362</v>
      </c>
      <c r="I17" t="n">
        <v>0.019633</v>
      </c>
      <c r="J17" t="n">
        <v>0.0259866666666667</v>
      </c>
      <c r="K17" t="s">
        <v>178</v>
      </c>
      <c r="L17" t="e">
        <f t="shared" si="0"/>
        <v>#N/A</v>
      </c>
      <c r="M17" t="e">
        <f t="shared" si="1"/>
        <v>#N/A</v>
      </c>
      <c r="N17" t="e">
        <f t="shared" si="2"/>
        <v>#N/A</v>
      </c>
      <c r="O17" t="n">
        <f t="shared" si="3"/>
        <v>0</v>
      </c>
      <c r="P17" t="n">
        <f t="shared" si="4"/>
        <v>0</v>
      </c>
      <c r="Q17" t="n">
        <f t="shared" si="5"/>
        <v>0</v>
      </c>
      <c r="R17" t="n">
        <f t="shared" si="6"/>
        <v>0</v>
      </c>
      <c r="S17" t="e">
        <f t="shared" si="7"/>
        <v>#N/A</v>
      </c>
      <c r="T17" t="e">
        <f t="shared" si="8"/>
        <v>#N/A</v>
      </c>
      <c r="U17" t="e">
        <f t="shared" si="9"/>
        <v>#N/A</v>
      </c>
      <c r="V17" t="e">
        <f t="shared" si="10"/>
        <v>#N/A</v>
      </c>
      <c r="W17" t="e">
        <f t="shared" si="11"/>
        <v>#N/A</v>
      </c>
      <c r="X17" t="e">
        <f t="shared" si="12"/>
        <v>#N/A</v>
      </c>
      <c r="Y17" t="e">
        <f t="shared" si="13"/>
        <v>#N/A</v>
      </c>
      <c r="Z17" t="e">
        <f t="shared" si="14"/>
        <v>#N/A</v>
      </c>
      <c r="AA17" t="e">
        <f t="shared" si="15"/>
        <v>#N/A</v>
      </c>
      <c r="AB17" t="e">
        <f t="shared" si="16"/>
        <v>#N/A</v>
      </c>
      <c r="AC17" t="e">
        <f t="shared" si="17"/>
        <v>#N/A</v>
      </c>
      <c r="AD17" t="e">
        <f t="shared" si="18"/>
        <v>#N/A</v>
      </c>
      <c r="AE17" t="e">
        <f t="shared" si="19"/>
        <v>#N/A</v>
      </c>
      <c r="AF17" t="e">
        <f t="shared" si="20"/>
        <v>#N/A</v>
      </c>
      <c r="AG17" t="e">
        <f t="shared" si="21"/>
        <v>#N/A</v>
      </c>
      <c r="AH17" t="e">
        <f t="shared" si="22"/>
        <v>#N/A</v>
      </c>
      <c r="AI17" t="e">
        <f t="shared" si="23"/>
        <v>#N/A</v>
      </c>
      <c r="AJ17" t="e">
        <f t="shared" si="24"/>
        <v>#N/A</v>
      </c>
    </row>
    <row r="18">
      <c r="A18" s="2" t="n">
        <v>43525</v>
      </c>
      <c r="B18" t="n">
        <v>602883</v>
      </c>
      <c r="C18" t="n">
        <v>315449</v>
      </c>
      <c r="D18" t="n">
        <v>114.1</v>
      </c>
      <c r="E18" t="n">
        <v>12729.579042</v>
      </c>
      <c r="F18" t="n">
        <v>4027958.72715031</v>
      </c>
      <c r="G18" t="n">
        <v>0.0504307754410345</v>
      </c>
      <c r="H18" t="n">
        <v>0.655638</v>
      </c>
      <c r="I18" t="n">
        <v>0.019533</v>
      </c>
      <c r="J18" t="n">
        <v>0.02118</v>
      </c>
      <c r="K18" t="s">
        <v>178</v>
      </c>
      <c r="L18" t="e">
        <f t="shared" si="0"/>
        <v>#N/A</v>
      </c>
      <c r="M18" t="e">
        <f t="shared" si="1"/>
        <v>#N/A</v>
      </c>
      <c r="N18" t="e">
        <f t="shared" si="2"/>
        <v>#N/A</v>
      </c>
      <c r="O18" t="n">
        <f t="shared" si="3"/>
        <v>0</v>
      </c>
      <c r="P18" t="n">
        <f t="shared" si="4"/>
        <v>0</v>
      </c>
      <c r="Q18" t="n">
        <f t="shared" si="5"/>
        <v>0</v>
      </c>
      <c r="R18" t="n">
        <f t="shared" si="6"/>
        <v>0</v>
      </c>
      <c r="S18" t="e">
        <f t="shared" si="7"/>
        <v>#N/A</v>
      </c>
      <c r="T18" t="e">
        <f t="shared" si="8"/>
        <v>#N/A</v>
      </c>
      <c r="U18" t="e">
        <f t="shared" si="9"/>
        <v>#N/A</v>
      </c>
      <c r="V18" t="e">
        <f t="shared" si="10"/>
        <v>#N/A</v>
      </c>
      <c r="W18" t="e">
        <f t="shared" si="11"/>
        <v>#N/A</v>
      </c>
      <c r="X18" t="e">
        <f t="shared" si="12"/>
        <v>#N/A</v>
      </c>
      <c r="Y18" t="e">
        <f t="shared" si="13"/>
        <v>#N/A</v>
      </c>
      <c r="Z18" t="e">
        <f t="shared" si="14"/>
        <v>#N/A</v>
      </c>
      <c r="AA18" t="e">
        <f t="shared" si="15"/>
        <v>#N/A</v>
      </c>
      <c r="AB18" t="e">
        <f t="shared" si="16"/>
        <v>#N/A</v>
      </c>
      <c r="AC18" t="e">
        <f t="shared" si="17"/>
        <v>#N/A</v>
      </c>
      <c r="AD18" t="e">
        <f t="shared" si="18"/>
        <v>#N/A</v>
      </c>
      <c r="AE18" t="e">
        <f t="shared" si="19"/>
        <v>#N/A</v>
      </c>
      <c r="AF18" t="e">
        <f t="shared" si="20"/>
        <v>#N/A</v>
      </c>
      <c r="AG18" t="e">
        <f t="shared" si="21"/>
        <v>#N/A</v>
      </c>
      <c r="AH18" t="e">
        <f t="shared" si="22"/>
        <v>#N/A</v>
      </c>
      <c r="AI18" t="e">
        <f t="shared" si="23"/>
        <v>#N/A</v>
      </c>
      <c r="AJ18" t="e">
        <f t="shared" si="24"/>
        <v>#N/A</v>
      </c>
    </row>
    <row r="19">
      <c r="A19" s="2" t="n">
        <v>43617</v>
      </c>
      <c r="B19" t="n">
        <v>604726</v>
      </c>
      <c r="C19" t="n">
        <v>316413</v>
      </c>
      <c r="D19" t="n">
        <v>114.9</v>
      </c>
      <c r="E19" t="n">
        <v>12793.659652</v>
      </c>
      <c r="F19" t="n">
        <v>4003510.6395793</v>
      </c>
      <c r="G19" t="n">
        <v>0.0522382976142941</v>
      </c>
      <c r="H19" t="n">
        <v>0.657779</v>
      </c>
      <c r="I19" t="n">
        <v>0.015033</v>
      </c>
      <c r="J19" t="n">
        <v>0.0163533333333333</v>
      </c>
      <c r="K19" t="s">
        <v>178</v>
      </c>
      <c r="L19" t="e">
        <f t="shared" si="0"/>
        <v>#N/A</v>
      </c>
      <c r="M19" t="e">
        <f t="shared" si="1"/>
        <v>#N/A</v>
      </c>
      <c r="N19" t="e">
        <f t="shared" si="2"/>
        <v>#N/A</v>
      </c>
      <c r="O19" t="n">
        <f t="shared" si="3"/>
        <v>0</v>
      </c>
      <c r="P19" t="n">
        <f t="shared" si="4"/>
        <v>0</v>
      </c>
      <c r="Q19" t="n">
        <f t="shared" si="5"/>
        <v>0</v>
      </c>
      <c r="R19" t="n">
        <f t="shared" si="6"/>
        <v>0</v>
      </c>
      <c r="S19" t="e">
        <f t="shared" si="7"/>
        <v>#N/A</v>
      </c>
      <c r="T19" t="e">
        <f t="shared" si="8"/>
        <v>#N/A</v>
      </c>
      <c r="U19" t="e">
        <f t="shared" si="9"/>
        <v>#N/A</v>
      </c>
      <c r="V19" t="e">
        <f t="shared" si="10"/>
        <v>#N/A</v>
      </c>
      <c r="W19" t="e">
        <f t="shared" si="11"/>
        <v>#N/A</v>
      </c>
      <c r="X19" t="e">
        <f t="shared" si="12"/>
        <v>#N/A</v>
      </c>
      <c r="Y19" t="e">
        <f t="shared" si="13"/>
        <v>#N/A</v>
      </c>
      <c r="Z19" t="e">
        <f t="shared" si="14"/>
        <v>#N/A</v>
      </c>
      <c r="AA19" t="e">
        <f t="shared" si="15"/>
        <v>#N/A</v>
      </c>
      <c r="AB19" t="e">
        <f t="shared" si="16"/>
        <v>#N/A</v>
      </c>
      <c r="AC19" t="e">
        <f t="shared" si="17"/>
        <v>#N/A</v>
      </c>
      <c r="AD19" t="e">
        <f t="shared" si="18"/>
        <v>#N/A</v>
      </c>
      <c r="AE19" t="e">
        <f t="shared" si="19"/>
        <v>#N/A</v>
      </c>
      <c r="AF19" t="e">
        <f t="shared" si="20"/>
        <v>#N/A</v>
      </c>
      <c r="AG19" t="e">
        <f t="shared" si="21"/>
        <v>#N/A</v>
      </c>
      <c r="AH19" t="e">
        <f t="shared" si="22"/>
        <v>#N/A</v>
      </c>
      <c r="AI19" t="e">
        <f t="shared" si="23"/>
        <v>#N/A</v>
      </c>
      <c r="AJ19" t="e">
        <f t="shared" si="24"/>
        <v>#N/A</v>
      </c>
    </row>
    <row r="20">
      <c r="A20" s="2" t="n">
        <v>43709</v>
      </c>
      <c r="B20" t="n">
        <v>608257</v>
      </c>
      <c r="C20" t="n">
        <v>315922</v>
      </c>
      <c r="D20" t="n">
        <v>115.4</v>
      </c>
      <c r="E20" t="n">
        <v>12874.640957</v>
      </c>
      <c r="F20" t="n">
        <v>4025581.10808277</v>
      </c>
      <c r="G20" t="n">
        <v>0.0525426238659941</v>
      </c>
      <c r="H20" t="n">
        <v>0.659533</v>
      </c>
      <c r="I20" t="n">
        <v>0.010233</v>
      </c>
      <c r="J20" t="n">
        <v>0.0110466666666667</v>
      </c>
      <c r="K20" t="s">
        <v>178</v>
      </c>
      <c r="L20" t="e">
        <f t="shared" si="0"/>
        <v>#N/A</v>
      </c>
      <c r="M20" t="e">
        <f t="shared" si="1"/>
        <v>#N/A</v>
      </c>
      <c r="N20" t="e">
        <f t="shared" si="2"/>
        <v>#N/A</v>
      </c>
      <c r="O20" t="n">
        <f t="shared" si="3"/>
        <v>0</v>
      </c>
      <c r="P20" t="n">
        <f t="shared" si="4"/>
        <v>0</v>
      </c>
      <c r="Q20" t="n">
        <f t="shared" si="5"/>
        <v>0</v>
      </c>
      <c r="R20" t="n">
        <f t="shared" si="6"/>
        <v>0</v>
      </c>
      <c r="S20" t="e">
        <f t="shared" si="7"/>
        <v>#N/A</v>
      </c>
      <c r="T20" t="e">
        <f t="shared" si="8"/>
        <v>#N/A</v>
      </c>
      <c r="U20" t="e">
        <f t="shared" si="9"/>
        <v>#N/A</v>
      </c>
      <c r="V20" t="e">
        <f t="shared" si="10"/>
        <v>#N/A</v>
      </c>
      <c r="W20" t="e">
        <f t="shared" si="11"/>
        <v>#N/A</v>
      </c>
      <c r="X20" t="e">
        <f t="shared" si="12"/>
        <v>#N/A</v>
      </c>
      <c r="Y20" t="e">
        <f t="shared" si="13"/>
        <v>#N/A</v>
      </c>
      <c r="Z20" t="e">
        <f t="shared" si="14"/>
        <v>#N/A</v>
      </c>
      <c r="AA20" t="e">
        <f t="shared" si="15"/>
        <v>#N/A</v>
      </c>
      <c r="AB20" t="e">
        <f t="shared" si="16"/>
        <v>#N/A</v>
      </c>
      <c r="AC20" t="e">
        <f t="shared" si="17"/>
        <v>#N/A</v>
      </c>
      <c r="AD20" t="e">
        <f t="shared" si="18"/>
        <v>#N/A</v>
      </c>
      <c r="AE20" t="e">
        <f t="shared" si="19"/>
        <v>#N/A</v>
      </c>
      <c r="AF20" t="e">
        <f t="shared" si="20"/>
        <v>#N/A</v>
      </c>
      <c r="AG20" t="e">
        <f t="shared" si="21"/>
        <v>#N/A</v>
      </c>
      <c r="AH20" t="e">
        <f t="shared" si="22"/>
        <v>#N/A</v>
      </c>
      <c r="AI20" t="e">
        <f t="shared" si="23"/>
        <v>#N/A</v>
      </c>
      <c r="AJ20" t="e">
        <f t="shared" si="24"/>
        <v>#N/A</v>
      </c>
    </row>
    <row r="21">
      <c r="A21" s="2" t="n">
        <v>43800</v>
      </c>
      <c r="B21" t="n">
        <v>611850</v>
      </c>
      <c r="C21" t="n">
        <v>316940</v>
      </c>
      <c r="D21" t="n">
        <v>116.1</v>
      </c>
      <c r="E21" t="n">
        <v>12884.316473</v>
      </c>
      <c r="F21" t="n">
        <v>4021089.25625408</v>
      </c>
      <c r="G21" t="n">
        <v>0.0517266784772572</v>
      </c>
      <c r="H21" t="n">
        <v>0.656882</v>
      </c>
      <c r="I21" t="n">
        <v>0.008967</v>
      </c>
      <c r="J21" t="n">
        <v>0.0113033333333333</v>
      </c>
      <c r="K21" t="s">
        <v>178</v>
      </c>
      <c r="L21" t="e">
        <f t="shared" si="0"/>
        <v>#N/A</v>
      </c>
      <c r="M21" t="e">
        <f t="shared" si="1"/>
        <v>#N/A</v>
      </c>
      <c r="N21" t="e">
        <f t="shared" si="2"/>
        <v>#N/A</v>
      </c>
      <c r="O21" t="n">
        <f t="shared" si="3"/>
        <v>0</v>
      </c>
      <c r="P21" t="n">
        <f t="shared" si="4"/>
        <v>0</v>
      </c>
      <c r="Q21" t="n">
        <f t="shared" si="5"/>
        <v>0</v>
      </c>
      <c r="R21" t="n">
        <f t="shared" si="6"/>
        <v>0</v>
      </c>
      <c r="S21" t="e">
        <f t="shared" si="7"/>
        <v>#N/A</v>
      </c>
      <c r="T21" t="e">
        <f t="shared" si="8"/>
        <v>#N/A</v>
      </c>
      <c r="U21" t="e">
        <f t="shared" si="9"/>
        <v>#N/A</v>
      </c>
      <c r="V21" t="e">
        <f t="shared" si="10"/>
        <v>#N/A</v>
      </c>
      <c r="W21" t="e">
        <f t="shared" si="11"/>
        <v>#N/A</v>
      </c>
      <c r="X21" t="e">
        <f t="shared" si="12"/>
        <v>#N/A</v>
      </c>
      <c r="Y21" t="e">
        <f t="shared" si="13"/>
        <v>#N/A</v>
      </c>
      <c r="Z21" t="e">
        <f t="shared" si="14"/>
        <v>#N/A</v>
      </c>
      <c r="AA21" t="e">
        <f t="shared" si="15"/>
        <v>#N/A</v>
      </c>
      <c r="AB21" t="e">
        <f t="shared" si="16"/>
        <v>#N/A</v>
      </c>
      <c r="AC21" t="e">
        <f t="shared" si="17"/>
        <v>#N/A</v>
      </c>
      <c r="AD21" t="e">
        <f t="shared" si="18"/>
        <v>#N/A</v>
      </c>
      <c r="AE21" t="e">
        <f t="shared" si="19"/>
        <v>#N/A</v>
      </c>
      <c r="AF21" t="e">
        <f t="shared" si="20"/>
        <v>#N/A</v>
      </c>
      <c r="AG21" t="e">
        <f t="shared" si="21"/>
        <v>#N/A</v>
      </c>
      <c r="AH21" t="e">
        <f t="shared" si="22"/>
        <v>#N/A</v>
      </c>
      <c r="AI21" t="e">
        <f t="shared" si="23"/>
        <v>#N/A</v>
      </c>
      <c r="AJ21" t="e">
        <f t="shared" si="24"/>
        <v>#N/A</v>
      </c>
    </row>
    <row r="22">
      <c r="A22" s="2" t="n">
        <v>43891</v>
      </c>
      <c r="B22" t="n">
        <v>610510</v>
      </c>
      <c r="C22" t="n">
        <v>312729</v>
      </c>
      <c r="D22" t="n">
        <v>116.7</v>
      </c>
      <c r="E22" t="n">
        <v>12929.135971</v>
      </c>
      <c r="F22" t="n">
        <v>3959140.08962837</v>
      </c>
      <c r="G22" t="n">
        <v>0.0518602080022416</v>
      </c>
      <c r="H22" t="n">
        <v>0.656401</v>
      </c>
      <c r="I22" t="n">
        <v>0.0077</v>
      </c>
      <c r="J22" t="n">
        <v>0.01009</v>
      </c>
      <c r="K22" t="s">
        <v>178</v>
      </c>
      <c r="L22" t="e">
        <f t="shared" si="0"/>
        <v>#N/A</v>
      </c>
      <c r="M22" t="e">
        <f t="shared" si="1"/>
        <v>#N/A</v>
      </c>
      <c r="N22" t="e">
        <f t="shared" si="2"/>
        <v>#N/A</v>
      </c>
      <c r="O22" t="n">
        <f t="shared" si="3"/>
        <v>0</v>
      </c>
      <c r="P22" t="n">
        <f t="shared" si="4"/>
        <v>0</v>
      </c>
      <c r="Q22" t="n">
        <f t="shared" si="5"/>
        <v>0</v>
      </c>
      <c r="R22" t="n">
        <f t="shared" si="6"/>
        <v>0</v>
      </c>
      <c r="S22" t="e">
        <f t="shared" si="7"/>
        <v>#N/A</v>
      </c>
      <c r="T22" t="e">
        <f t="shared" si="8"/>
        <v>#N/A</v>
      </c>
      <c r="U22" t="e">
        <f t="shared" si="9"/>
        <v>#N/A</v>
      </c>
      <c r="V22" t="e">
        <f t="shared" si="10"/>
        <v>#N/A</v>
      </c>
      <c r="W22" t="e">
        <f t="shared" si="11"/>
        <v>#N/A</v>
      </c>
      <c r="X22" t="e">
        <f t="shared" si="12"/>
        <v>#N/A</v>
      </c>
      <c r="Y22" t="e">
        <f t="shared" si="13"/>
        <v>#N/A</v>
      </c>
      <c r="Z22" t="e">
        <f t="shared" si="14"/>
        <v>#N/A</v>
      </c>
      <c r="AA22" t="e">
        <f t="shared" si="15"/>
        <v>#N/A</v>
      </c>
      <c r="AB22" t="e">
        <f t="shared" si="16"/>
        <v>#N/A</v>
      </c>
      <c r="AC22" t="e">
        <f t="shared" si="17"/>
        <v>#N/A</v>
      </c>
      <c r="AD22" t="e">
        <f t="shared" si="18"/>
        <v>#N/A</v>
      </c>
      <c r="AE22" t="e">
        <f t="shared" si="19"/>
        <v>#N/A</v>
      </c>
      <c r="AF22" t="e">
        <f t="shared" si="20"/>
        <v>#N/A</v>
      </c>
      <c r="AG22" t="e">
        <f t="shared" si="21"/>
        <v>#N/A</v>
      </c>
      <c r="AH22" t="e">
        <f t="shared" si="22"/>
        <v>#N/A</v>
      </c>
      <c r="AI22" t="e">
        <f t="shared" si="23"/>
        <v>#N/A</v>
      </c>
      <c r="AJ22" t="e">
        <f t="shared" si="24"/>
        <v>#N/A</v>
      </c>
    </row>
    <row r="23">
      <c r="A23" s="2" t="n">
        <v>43983</v>
      </c>
      <c r="B23" t="n">
        <v>569344</v>
      </c>
      <c r="C23" t="n">
        <v>272877</v>
      </c>
      <c r="D23" t="n">
        <v>114.5</v>
      </c>
      <c r="E23" t="n">
        <v>12225.515873</v>
      </c>
      <c r="F23" t="n">
        <v>3534557.67160583</v>
      </c>
      <c r="G23" t="n">
        <v>0.0690281934928773</v>
      </c>
      <c r="H23" t="n">
        <v>0.630689</v>
      </c>
      <c r="I23" t="n">
        <v>0.001233</v>
      </c>
      <c r="J23" t="n">
        <v>0.00895</v>
      </c>
      <c r="K23" t="s">
        <v>178</v>
      </c>
      <c r="L23" t="e">
        <f t="shared" si="0"/>
        <v>#N/A</v>
      </c>
      <c r="M23" t="e">
        <f t="shared" si="1"/>
        <v>#N/A</v>
      </c>
      <c r="N23" t="e">
        <f t="shared" si="2"/>
        <v>#N/A</v>
      </c>
      <c r="O23" t="n">
        <f t="shared" si="3"/>
        <v>0</v>
      </c>
      <c r="P23" t="n">
        <f t="shared" si="4"/>
        <v>0</v>
      </c>
      <c r="Q23" t="n">
        <f t="shared" si="5"/>
        <v>0</v>
      </c>
      <c r="R23" t="n">
        <f t="shared" si="6"/>
        <v>0</v>
      </c>
      <c r="S23" t="e">
        <f t="shared" si="7"/>
        <v>#N/A</v>
      </c>
      <c r="T23" t="e">
        <f t="shared" si="8"/>
        <v>#N/A</v>
      </c>
      <c r="U23" t="e">
        <f t="shared" si="9"/>
        <v>#N/A</v>
      </c>
      <c r="V23" t="e">
        <f t="shared" si="10"/>
        <v>#N/A</v>
      </c>
      <c r="W23" t="e">
        <f t="shared" si="11"/>
        <v>#N/A</v>
      </c>
      <c r="X23" t="e">
        <f t="shared" si="12"/>
        <v>#N/A</v>
      </c>
      <c r="Y23" t="e">
        <f t="shared" si="13"/>
        <v>#N/A</v>
      </c>
      <c r="Z23" t="e">
        <f t="shared" si="14"/>
        <v>#N/A</v>
      </c>
      <c r="AA23" t="e">
        <f t="shared" si="15"/>
        <v>#N/A</v>
      </c>
      <c r="AB23" t="e">
        <f t="shared" si="16"/>
        <v>#N/A</v>
      </c>
      <c r="AC23" t="e">
        <f t="shared" si="17"/>
        <v>#N/A</v>
      </c>
      <c r="AD23" t="e">
        <f t="shared" si="18"/>
        <v>#N/A</v>
      </c>
      <c r="AE23" t="e">
        <f t="shared" si="19"/>
        <v>#N/A</v>
      </c>
      <c r="AF23" t="e">
        <f t="shared" si="20"/>
        <v>#N/A</v>
      </c>
      <c r="AG23" t="e">
        <f t="shared" si="21"/>
        <v>#N/A</v>
      </c>
      <c r="AH23" t="e">
        <f t="shared" si="22"/>
        <v>#N/A</v>
      </c>
      <c r="AI23" t="e">
        <f t="shared" si="23"/>
        <v>#N/A</v>
      </c>
      <c r="AJ23" t="e">
        <f t="shared" si="24"/>
        <v>#N/A</v>
      </c>
    </row>
    <row r="24">
      <c r="A24" s="2" t="n">
        <v>44075</v>
      </c>
      <c r="B24" t="n">
        <v>589128</v>
      </c>
      <c r="C24" t="n">
        <v>293617</v>
      </c>
      <c r="D24" t="n">
        <v>116.2</v>
      </c>
      <c r="E24" t="n">
        <v>12496.494381</v>
      </c>
      <c r="F24" t="n">
        <v>3735643.44120986</v>
      </c>
      <c r="G24" t="n">
        <v>0.0705323842145587</v>
      </c>
      <c r="H24" t="n">
        <v>0.645676</v>
      </c>
      <c r="I24" t="n">
        <v>0.000967</v>
      </c>
      <c r="J24" t="n">
        <v>0.00898666666666667</v>
      </c>
      <c r="K24" t="s">
        <v>178</v>
      </c>
      <c r="L24" t="e">
        <f t="shared" si="0"/>
        <v>#N/A</v>
      </c>
      <c r="M24" t="e">
        <f t="shared" si="1"/>
        <v>#N/A</v>
      </c>
      <c r="N24" t="e">
        <f t="shared" si="2"/>
        <v>#N/A</v>
      </c>
      <c r="O24" t="n">
        <f t="shared" si="3"/>
        <v>0</v>
      </c>
      <c r="P24" t="n">
        <f t="shared" si="4"/>
        <v>0</v>
      </c>
      <c r="Q24" t="n">
        <f t="shared" si="5"/>
        <v>0</v>
      </c>
      <c r="R24" t="n">
        <f t="shared" si="6"/>
        <v>0</v>
      </c>
      <c r="S24" t="e">
        <f t="shared" si="7"/>
        <v>#N/A</v>
      </c>
      <c r="T24" t="e">
        <f t="shared" si="8"/>
        <v>#N/A</v>
      </c>
      <c r="U24" t="e">
        <f t="shared" si="9"/>
        <v>#N/A</v>
      </c>
      <c r="V24" t="e">
        <f t="shared" si="10"/>
        <v>#N/A</v>
      </c>
      <c r="W24" t="e">
        <f t="shared" si="11"/>
        <v>#N/A</v>
      </c>
      <c r="X24" t="e">
        <f t="shared" si="12"/>
        <v>#N/A</v>
      </c>
      <c r="Y24" t="e">
        <f t="shared" si="13"/>
        <v>#N/A</v>
      </c>
      <c r="Z24" t="e">
        <f t="shared" si="14"/>
        <v>#N/A</v>
      </c>
      <c r="AA24" t="e">
        <f t="shared" si="15"/>
        <v>#N/A</v>
      </c>
      <c r="AB24" t="e">
        <f t="shared" si="16"/>
        <v>#N/A</v>
      </c>
      <c r="AC24" t="e">
        <f t="shared" si="17"/>
        <v>#N/A</v>
      </c>
      <c r="AD24" t="e">
        <f t="shared" si="18"/>
        <v>#N/A</v>
      </c>
      <c r="AE24" t="e">
        <f t="shared" si="19"/>
        <v>#N/A</v>
      </c>
      <c r="AF24" t="e">
        <f t="shared" si="20"/>
        <v>#N/A</v>
      </c>
      <c r="AG24" t="e">
        <f t="shared" si="21"/>
        <v>#N/A</v>
      </c>
      <c r="AH24" t="e">
        <f t="shared" si="22"/>
        <v>#N/A</v>
      </c>
      <c r="AI24" t="e">
        <f t="shared" si="23"/>
        <v>#N/A</v>
      </c>
      <c r="AJ24" t="e">
        <f t="shared" si="24"/>
        <v>#N/A</v>
      </c>
    </row>
    <row r="25">
      <c r="A25" s="2" t="n">
        <v>44166</v>
      </c>
      <c r="B25" t="n">
        <v>609184</v>
      </c>
      <c r="C25" t="n">
        <v>307188</v>
      </c>
      <c r="D25" t="n">
        <v>117.2</v>
      </c>
      <c r="E25" t="n">
        <v>12733.051407</v>
      </c>
      <c r="F25" t="n">
        <v>3862619.7083979</v>
      </c>
      <c r="G25" t="n">
        <v>0.0677508883121203</v>
      </c>
      <c r="H25" t="n">
        <v>0.655935</v>
      </c>
      <c r="I25" t="n">
        <v>0.000367</v>
      </c>
      <c r="J25" t="n">
        <v>0.00878</v>
      </c>
      <c r="K25" t="s">
        <v>178</v>
      </c>
      <c r="L25" t="e">
        <f t="shared" si="0"/>
        <v>#N/A</v>
      </c>
      <c r="M25" t="e">
        <f t="shared" si="1"/>
        <v>#N/A</v>
      </c>
      <c r="N25" t="e">
        <f t="shared" si="2"/>
        <v>#N/A</v>
      </c>
      <c r="O25" t="n">
        <f t="shared" si="3"/>
        <v>0</v>
      </c>
      <c r="P25" t="n">
        <f t="shared" si="4"/>
        <v>0</v>
      </c>
      <c r="Q25" t="n">
        <f t="shared" si="5"/>
        <v>0</v>
      </c>
      <c r="R25" t="n">
        <f t="shared" si="6"/>
        <v>0</v>
      </c>
      <c r="S25" t="e">
        <f t="shared" si="7"/>
        <v>#N/A</v>
      </c>
      <c r="T25" t="e">
        <f t="shared" si="8"/>
        <v>#N/A</v>
      </c>
      <c r="U25" t="e">
        <f t="shared" si="9"/>
        <v>#N/A</v>
      </c>
      <c r="V25" t="e">
        <f t="shared" si="10"/>
        <v>#N/A</v>
      </c>
      <c r="W25" t="e">
        <f t="shared" si="11"/>
        <v>#N/A</v>
      </c>
      <c r="X25" t="e">
        <f t="shared" si="12"/>
        <v>#N/A</v>
      </c>
      <c r="Y25" t="e">
        <f t="shared" si="13"/>
        <v>#N/A</v>
      </c>
      <c r="Z25" t="e">
        <f t="shared" si="14"/>
        <v>#N/A</v>
      </c>
      <c r="AA25" t="e">
        <f t="shared" si="15"/>
        <v>#N/A</v>
      </c>
      <c r="AB25" t="e">
        <f t="shared" si="16"/>
        <v>#N/A</v>
      </c>
      <c r="AC25" t="e">
        <f t="shared" si="17"/>
        <v>#N/A</v>
      </c>
      <c r="AD25" t="e">
        <f t="shared" si="18"/>
        <v>#N/A</v>
      </c>
      <c r="AE25" t="e">
        <f t="shared" si="19"/>
        <v>#N/A</v>
      </c>
      <c r="AF25" t="e">
        <f t="shared" si="20"/>
        <v>#N/A</v>
      </c>
      <c r="AG25" t="e">
        <f t="shared" si="21"/>
        <v>#N/A</v>
      </c>
      <c r="AH25" t="e">
        <f t="shared" si="22"/>
        <v>#N/A</v>
      </c>
      <c r="AI25" t="e">
        <f t="shared" si="23"/>
        <v>#N/A</v>
      </c>
      <c r="AJ25" t="e">
        <f t="shared" si="24"/>
        <v>#N/A</v>
      </c>
    </row>
    <row r="26">
      <c r="A26" s="2" t="n">
        <v>44256</v>
      </c>
      <c r="B26" t="n">
        <v>622355</v>
      </c>
      <c r="C26" t="n">
        <v>311619</v>
      </c>
      <c r="D26" t="n">
        <v>117.8</v>
      </c>
      <c r="E26" t="n">
        <v>12895.861091</v>
      </c>
      <c r="F26" t="n">
        <v>3903028.8998349</v>
      </c>
      <c r="G26" t="n">
        <v>0.0593127498965818</v>
      </c>
      <c r="H26" t="n">
        <v>0.657915</v>
      </c>
      <c r="I26" t="n">
        <v>0.000167</v>
      </c>
      <c r="J26" t="n">
        <v>0.0136466666666667</v>
      </c>
      <c r="K26" t="s">
        <v>178</v>
      </c>
      <c r="L26" t="e">
        <f t="shared" si="0"/>
        <v>#N/A</v>
      </c>
      <c r="M26" t="e">
        <f t="shared" si="1"/>
        <v>#N/A</v>
      </c>
      <c r="N26" t="e">
        <f t="shared" si="2"/>
        <v>#N/A</v>
      </c>
      <c r="O26" t="n">
        <f t="shared" si="3"/>
        <v>0</v>
      </c>
      <c r="P26" t="n">
        <f t="shared" si="4"/>
        <v>0</v>
      </c>
      <c r="Q26" t="n">
        <f t="shared" si="5"/>
        <v>0</v>
      </c>
      <c r="R26" t="n">
        <f t="shared" si="6"/>
        <v>0</v>
      </c>
      <c r="S26" t="e">
        <f t="shared" si="7"/>
        <v>#N/A</v>
      </c>
      <c r="T26" t="e">
        <f t="shared" si="8"/>
        <v>#N/A</v>
      </c>
      <c r="U26" t="e">
        <f t="shared" si="9"/>
        <v>#N/A</v>
      </c>
      <c r="V26" t="e">
        <f t="shared" si="10"/>
        <v>#N/A</v>
      </c>
      <c r="W26" t="e">
        <f t="shared" si="11"/>
        <v>#N/A</v>
      </c>
      <c r="X26" t="e">
        <f t="shared" si="12"/>
        <v>#N/A</v>
      </c>
      <c r="Y26" t="e">
        <f t="shared" si="13"/>
        <v>#N/A</v>
      </c>
      <c r="Z26" t="e">
        <f t="shared" si="14"/>
        <v>#N/A</v>
      </c>
      <c r="AA26" t="e">
        <f t="shared" si="15"/>
        <v>#N/A</v>
      </c>
      <c r="AB26" t="e">
        <f t="shared" si="16"/>
        <v>#N/A</v>
      </c>
      <c r="AC26" t="e">
        <f t="shared" si="17"/>
        <v>#N/A</v>
      </c>
      <c r="AD26" t="e">
        <f t="shared" si="18"/>
        <v>#N/A</v>
      </c>
      <c r="AE26" t="e">
        <f t="shared" si="19"/>
        <v>#N/A</v>
      </c>
      <c r="AF26" t="e">
        <f t="shared" si="20"/>
        <v>#N/A</v>
      </c>
      <c r="AG26" t="e">
        <f t="shared" si="21"/>
        <v>#N/A</v>
      </c>
      <c r="AH26" t="e">
        <f t="shared" si="22"/>
        <v>#N/A</v>
      </c>
      <c r="AI26" t="e">
        <f t="shared" si="23"/>
        <v>#N/A</v>
      </c>
      <c r="AJ26" t="e">
        <f t="shared" si="24"/>
        <v>#N/A</v>
      </c>
    </row>
    <row r="27">
      <c r="A27" s="2" t="n">
        <v>44348</v>
      </c>
      <c r="B27" t="n">
        <v>627461</v>
      </c>
      <c r="C27" t="n">
        <v>314822</v>
      </c>
      <c r="D27" t="n">
        <v>118.8</v>
      </c>
      <c r="E27" t="n">
        <v>13014.420581</v>
      </c>
      <c r="F27" t="n">
        <v>3982844.10540793</v>
      </c>
      <c r="G27" t="n">
        <v>0.0519670410869772</v>
      </c>
      <c r="H27" t="n">
        <v>0.657996</v>
      </c>
      <c r="I27" t="n">
        <v>0.000367</v>
      </c>
      <c r="J27" t="n">
        <v>0.0162233333333333</v>
      </c>
      <c r="K27" t="s">
        <v>178</v>
      </c>
      <c r="L27" t="e">
        <f t="shared" si="0"/>
        <v>#N/A</v>
      </c>
      <c r="M27" t="e">
        <f t="shared" si="1"/>
        <v>#N/A</v>
      </c>
      <c r="N27" t="e">
        <f t="shared" si="2"/>
        <v>#N/A</v>
      </c>
      <c r="O27" t="n">
        <f t="shared" si="3"/>
        <v>0</v>
      </c>
      <c r="P27" t="n">
        <f t="shared" si="4"/>
        <v>0</v>
      </c>
      <c r="Q27" t="n">
        <f t="shared" si="5"/>
        <v>0</v>
      </c>
      <c r="R27" t="n">
        <f t="shared" si="6"/>
        <v>0</v>
      </c>
      <c r="S27" t="e">
        <f t="shared" si="7"/>
        <v>#N/A</v>
      </c>
      <c r="T27" t="e">
        <f t="shared" si="8"/>
        <v>#N/A</v>
      </c>
      <c r="U27" t="e">
        <f t="shared" si="9"/>
        <v>#N/A</v>
      </c>
      <c r="V27" t="e">
        <f t="shared" si="10"/>
        <v>#N/A</v>
      </c>
      <c r="W27" t="e">
        <f t="shared" si="11"/>
        <v>#N/A</v>
      </c>
      <c r="X27" t="e">
        <f t="shared" si="12"/>
        <v>#N/A</v>
      </c>
      <c r="Y27" t="e">
        <f t="shared" si="13"/>
        <v>#N/A</v>
      </c>
      <c r="Z27" t="e">
        <f t="shared" si="14"/>
        <v>#N/A</v>
      </c>
      <c r="AA27" t="e">
        <f t="shared" si="15"/>
        <v>#N/A</v>
      </c>
      <c r="AB27" t="e">
        <f t="shared" si="16"/>
        <v>#N/A</v>
      </c>
      <c r="AC27" t="e">
        <f t="shared" si="17"/>
        <v>#N/A</v>
      </c>
      <c r="AD27" t="e">
        <f t="shared" si="18"/>
        <v>#N/A</v>
      </c>
      <c r="AE27" t="e">
        <f t="shared" si="19"/>
        <v>#N/A</v>
      </c>
      <c r="AF27" t="e">
        <f t="shared" si="20"/>
        <v>#N/A</v>
      </c>
      <c r="AG27" t="e">
        <f t="shared" si="21"/>
        <v>#N/A</v>
      </c>
      <c r="AH27" t="e">
        <f t="shared" si="22"/>
        <v>#N/A</v>
      </c>
      <c r="AI27" t="e">
        <f t="shared" si="23"/>
        <v>#N/A</v>
      </c>
      <c r="AJ27" t="e">
        <f t="shared" si="24"/>
        <v>#N/A</v>
      </c>
    </row>
    <row r="28">
      <c r="A28" s="2" t="n">
        <v>44440</v>
      </c>
      <c r="B28" t="n">
        <v>616714</v>
      </c>
      <c r="C28" t="n">
        <v>300006</v>
      </c>
      <c r="D28" t="n">
        <v>119.7</v>
      </c>
      <c r="E28" t="n">
        <v>12955.356707</v>
      </c>
      <c r="F28" t="n">
        <v>3826670.36287593</v>
      </c>
      <c r="G28" t="n">
        <v>0.0466852634326635</v>
      </c>
      <c r="H28" t="n">
        <v>0.650655</v>
      </c>
      <c r="I28" t="n">
        <v>0.000133</v>
      </c>
      <c r="J28" t="n">
        <v>0.0122366666666667</v>
      </c>
      <c r="K28" t="s">
        <v>178</v>
      </c>
      <c r="L28" t="e">
        <f t="shared" si="0"/>
        <v>#N/A</v>
      </c>
      <c r="M28" t="e">
        <f t="shared" si="1"/>
        <v>#N/A</v>
      </c>
      <c r="N28" t="e">
        <f t="shared" si="2"/>
        <v>#N/A</v>
      </c>
      <c r="O28" t="n">
        <f t="shared" si="3"/>
        <v>0</v>
      </c>
      <c r="P28" t="n">
        <f t="shared" si="4"/>
        <v>0</v>
      </c>
      <c r="Q28" t="n">
        <f t="shared" si="5"/>
        <v>0</v>
      </c>
      <c r="R28" t="n">
        <f t="shared" si="6"/>
        <v>0</v>
      </c>
      <c r="S28" t="e">
        <f t="shared" si="7"/>
        <v>#N/A</v>
      </c>
      <c r="T28" t="e">
        <f t="shared" si="8"/>
        <v>#N/A</v>
      </c>
      <c r="U28" t="e">
        <f t="shared" si="9"/>
        <v>#N/A</v>
      </c>
      <c r="V28" t="e">
        <f t="shared" si="10"/>
        <v>#N/A</v>
      </c>
      <c r="W28" t="e">
        <f t="shared" si="11"/>
        <v>#N/A</v>
      </c>
      <c r="X28" t="e">
        <f t="shared" si="12"/>
        <v>#N/A</v>
      </c>
      <c r="Y28" t="e">
        <f t="shared" si="13"/>
        <v>#N/A</v>
      </c>
      <c r="Z28" t="e">
        <f t="shared" si="14"/>
        <v>#N/A</v>
      </c>
      <c r="AA28" t="e">
        <f t="shared" si="15"/>
        <v>#N/A</v>
      </c>
      <c r="AB28" t="e">
        <f t="shared" si="16"/>
        <v>#N/A</v>
      </c>
      <c r="AC28" t="e">
        <f t="shared" si="17"/>
        <v>#N/A</v>
      </c>
      <c r="AD28" t="e">
        <f t="shared" si="18"/>
        <v>#N/A</v>
      </c>
      <c r="AE28" t="e">
        <f t="shared" si="19"/>
        <v>#N/A</v>
      </c>
      <c r="AF28" t="e">
        <f t="shared" si="20"/>
        <v>#N/A</v>
      </c>
      <c r="AG28" t="e">
        <f t="shared" si="21"/>
        <v>#N/A</v>
      </c>
      <c r="AH28" t="e">
        <f t="shared" si="22"/>
        <v>#N/A</v>
      </c>
      <c r="AI28" t="e">
        <f t="shared" si="23"/>
        <v>#N/A</v>
      </c>
      <c r="AJ28" t="e">
        <f t="shared" si="24"/>
        <v>#N/A</v>
      </c>
    </row>
    <row r="29">
      <c r="A29" s="2" t="n">
        <v>44531</v>
      </c>
      <c r="B29" t="n">
        <v>639091</v>
      </c>
      <c r="C29" t="n">
        <v>319366</v>
      </c>
      <c r="D29" t="n">
        <v>121.4</v>
      </c>
      <c r="E29" t="n">
        <v>13050.07785</v>
      </c>
      <c r="F29" t="n">
        <v>3941634.6613706</v>
      </c>
      <c r="G29" t="n">
        <v>0.0469089134968146</v>
      </c>
      <c r="H29" t="n">
        <v>0.653976</v>
      </c>
      <c r="I29" t="n">
        <v>0.000467</v>
      </c>
      <c r="J29" t="n">
        <v>0.0170833333333333</v>
      </c>
      <c r="K29" t="s">
        <v>178</v>
      </c>
      <c r="L29" t="e">
        <f t="shared" si="0"/>
        <v>#N/A</v>
      </c>
      <c r="M29" t="e">
        <f t="shared" si="1"/>
        <v>#N/A</v>
      </c>
      <c r="N29" t="e">
        <f t="shared" si="2"/>
        <v>#N/A</v>
      </c>
      <c r="O29" t="n">
        <f t="shared" si="3"/>
        <v>0</v>
      </c>
      <c r="P29" t="n">
        <f t="shared" si="4"/>
        <v>0</v>
      </c>
      <c r="Q29" t="n">
        <f t="shared" si="5"/>
        <v>0</v>
      </c>
      <c r="R29" t="n">
        <f t="shared" si="6"/>
        <v>0</v>
      </c>
      <c r="S29" t="e">
        <f t="shared" si="7"/>
        <v>#N/A</v>
      </c>
      <c r="T29" t="e">
        <f t="shared" si="8"/>
        <v>#N/A</v>
      </c>
      <c r="U29" t="e">
        <f t="shared" si="9"/>
        <v>#N/A</v>
      </c>
      <c r="V29" t="e">
        <f t="shared" si="10"/>
        <v>#N/A</v>
      </c>
      <c r="W29" t="e">
        <f t="shared" si="11"/>
        <v>#N/A</v>
      </c>
      <c r="X29" t="e">
        <f t="shared" si="12"/>
        <v>#N/A</v>
      </c>
      <c r="Y29" t="e">
        <f t="shared" si="13"/>
        <v>#N/A</v>
      </c>
      <c r="Z29" t="e">
        <f t="shared" si="14"/>
        <v>#N/A</v>
      </c>
      <c r="AA29" t="e">
        <f t="shared" si="15"/>
        <v>#N/A</v>
      </c>
      <c r="AB29" t="e">
        <f t="shared" si="16"/>
        <v>#N/A</v>
      </c>
      <c r="AC29" t="e">
        <f t="shared" si="17"/>
        <v>#N/A</v>
      </c>
      <c r="AD29" t="e">
        <f t="shared" si="18"/>
        <v>#N/A</v>
      </c>
      <c r="AE29" t="e">
        <f t="shared" si="19"/>
        <v>#N/A</v>
      </c>
      <c r="AF29" t="e">
        <f t="shared" si="20"/>
        <v>#N/A</v>
      </c>
      <c r="AG29" t="e">
        <f t="shared" si="21"/>
        <v>#N/A</v>
      </c>
      <c r="AH29" t="e">
        <f t="shared" si="22"/>
        <v>#N/A</v>
      </c>
      <c r="AI29" t="e">
        <f t="shared" si="23"/>
        <v>#N/A</v>
      </c>
      <c r="AJ29" t="e">
        <f t="shared" si="24"/>
        <v>#N/A</v>
      </c>
    </row>
    <row r="30">
      <c r="A30" s="2" t="n">
        <v>44621</v>
      </c>
      <c r="B30" t="n">
        <v>645027</v>
      </c>
      <c r="C30" t="n">
        <v>327173</v>
      </c>
      <c r="D30" t="n">
        <v>123.9</v>
      </c>
      <c r="E30" t="n">
        <v>13349.002641</v>
      </c>
      <c r="F30" t="n">
        <v>3949598.28210217</v>
      </c>
      <c r="G30" t="n">
        <v>0.0405919990569748</v>
      </c>
      <c r="H30" t="n">
        <v>0.661077</v>
      </c>
      <c r="I30" t="n">
        <v>0.001033</v>
      </c>
      <c r="J30" t="n">
        <v>0.0216633333333333</v>
      </c>
      <c r="K30" t="s">
        <v>178</v>
      </c>
      <c r="L30" t="e">
        <f t="shared" si="0"/>
        <v>#N/A</v>
      </c>
      <c r="M30" t="e">
        <f t="shared" si="1"/>
        <v>#N/A</v>
      </c>
      <c r="N30" t="e">
        <f t="shared" si="2"/>
        <v>#N/A</v>
      </c>
      <c r="O30" t="n">
        <f t="shared" si="3"/>
        <v>0</v>
      </c>
      <c r="P30" t="n">
        <f t="shared" si="4"/>
        <v>0</v>
      </c>
      <c r="Q30" t="n">
        <f t="shared" si="5"/>
        <v>0</v>
      </c>
      <c r="R30" t="n">
        <f t="shared" si="6"/>
        <v>0</v>
      </c>
      <c r="S30" t="e">
        <f t="shared" si="7"/>
        <v>#N/A</v>
      </c>
      <c r="T30" t="e">
        <f t="shared" si="8"/>
        <v>#N/A</v>
      </c>
      <c r="U30" t="e">
        <f t="shared" si="9"/>
        <v>#N/A</v>
      </c>
      <c r="V30" t="e">
        <f t="shared" si="10"/>
        <v>#N/A</v>
      </c>
      <c r="W30" t="e">
        <f t="shared" si="11"/>
        <v>#N/A</v>
      </c>
      <c r="X30" t="e">
        <f t="shared" si="12"/>
        <v>#N/A</v>
      </c>
      <c r="Y30" t="e">
        <f t="shared" si="13"/>
        <v>#N/A</v>
      </c>
      <c r="Z30" t="e">
        <f t="shared" si="14"/>
        <v>#N/A</v>
      </c>
      <c r="AA30" t="e">
        <f t="shared" si="15"/>
        <v>#N/A</v>
      </c>
      <c r="AB30" t="e">
        <f t="shared" si="16"/>
        <v>#N/A</v>
      </c>
      <c r="AC30" t="e">
        <f t="shared" si="17"/>
        <v>#N/A</v>
      </c>
      <c r="AD30" t="e">
        <f t="shared" si="18"/>
        <v>#N/A</v>
      </c>
      <c r="AE30" t="e">
        <f t="shared" si="19"/>
        <v>#N/A</v>
      </c>
      <c r="AF30" t="e">
        <f t="shared" si="20"/>
        <v>#N/A</v>
      </c>
      <c r="AG30" t="e">
        <f t="shared" si="21"/>
        <v>#N/A</v>
      </c>
      <c r="AH30" t="e">
        <f t="shared" si="22"/>
        <v>#N/A</v>
      </c>
      <c r="AI30" t="e">
        <f t="shared" si="23"/>
        <v>#N/A</v>
      </c>
      <c r="AJ30" t="e">
        <f t="shared" si="24"/>
        <v>#N/A</v>
      </c>
    </row>
    <row r="31">
      <c r="A31" s="2" t="n">
        <v>44713</v>
      </c>
      <c r="B31" t="n">
        <v>651417</v>
      </c>
      <c r="C31" t="n">
        <v>333484</v>
      </c>
      <c r="D31" t="n">
        <v>126.1</v>
      </c>
      <c r="E31" t="n">
        <v>13506.008714</v>
      </c>
      <c r="F31" t="n">
        <v>4112822.97651498</v>
      </c>
      <c r="G31" t="n">
        <v>0.0379588046758488</v>
      </c>
      <c r="H31" t="n">
        <v>0.663506</v>
      </c>
      <c r="I31" t="n">
        <v>0.010033</v>
      </c>
      <c r="J31" t="n">
        <v>0.0338533333333333</v>
      </c>
      <c r="K31" t="s">
        <v>178</v>
      </c>
      <c r="L31" t="e">
        <f t="shared" si="0"/>
        <v>#N/A</v>
      </c>
      <c r="M31" t="e">
        <f t="shared" si="1"/>
        <v>#N/A</v>
      </c>
      <c r="N31" t="e">
        <f t="shared" si="2"/>
        <v>#N/A</v>
      </c>
      <c r="O31" t="n">
        <f t="shared" si="3"/>
        <v>0</v>
      </c>
      <c r="P31" t="n">
        <f t="shared" si="4"/>
        <v>0</v>
      </c>
      <c r="Q31" t="n">
        <f t="shared" si="5"/>
        <v>0</v>
      </c>
      <c r="R31" t="n">
        <f t="shared" si="6"/>
        <v>0</v>
      </c>
      <c r="S31" t="e">
        <f t="shared" si="7"/>
        <v>#N/A</v>
      </c>
      <c r="T31" t="e">
        <f t="shared" si="8"/>
        <v>#N/A</v>
      </c>
      <c r="U31" t="e">
        <f t="shared" si="9"/>
        <v>#N/A</v>
      </c>
      <c r="V31" t="e">
        <f t="shared" si="10"/>
        <v>#N/A</v>
      </c>
      <c r="W31" t="e">
        <f t="shared" si="11"/>
        <v>#N/A</v>
      </c>
      <c r="X31" t="e">
        <f t="shared" si="12"/>
        <v>#N/A</v>
      </c>
      <c r="Y31" t="e">
        <f t="shared" si="13"/>
        <v>#N/A</v>
      </c>
      <c r="Z31" t="e">
        <f t="shared" si="14"/>
        <v>#N/A</v>
      </c>
      <c r="AA31" t="e">
        <f t="shared" si="15"/>
        <v>#N/A</v>
      </c>
      <c r="AB31" t="e">
        <f t="shared" si="16"/>
        <v>#N/A</v>
      </c>
      <c r="AC31" t="e">
        <f t="shared" si="17"/>
        <v>#N/A</v>
      </c>
      <c r="AD31" t="e">
        <f t="shared" si="18"/>
        <v>#N/A</v>
      </c>
      <c r="AE31" t="e">
        <f t="shared" si="19"/>
        <v>#N/A</v>
      </c>
      <c r="AF31" t="e">
        <f t="shared" si="20"/>
        <v>#N/A</v>
      </c>
      <c r="AG31" t="e">
        <f t="shared" si="21"/>
        <v>#N/A</v>
      </c>
      <c r="AH31" t="e">
        <f t="shared" si="22"/>
        <v>#N/A</v>
      </c>
      <c r="AI31" t="e">
        <f t="shared" si="23"/>
        <v>#N/A</v>
      </c>
      <c r="AJ31" t="e">
        <f t="shared" si="24"/>
        <v>#N/A</v>
      </c>
    </row>
    <row r="32">
      <c r="A32" s="2" t="n">
        <v>44805</v>
      </c>
      <c r="B32" t="n">
        <v>654547</v>
      </c>
      <c r="C32" t="n">
        <v>337055</v>
      </c>
      <c r="D32" t="n">
        <v>128.4</v>
      </c>
      <c r="E32" t="n">
        <v>13644.972892</v>
      </c>
      <c r="F32" t="n">
        <v>4178287.32615383</v>
      </c>
      <c r="G32" t="n">
        <v>0.0352684223454813</v>
      </c>
      <c r="H32" t="n">
        <v>0.664339</v>
      </c>
      <c r="I32" t="n">
        <v>0.0238</v>
      </c>
      <c r="J32" t="n">
        <v>0.0351233333333333</v>
      </c>
      <c r="K32" t="s">
        <v>178</v>
      </c>
      <c r="L32" t="e">
        <f t="shared" si="0"/>
        <v>#N/A</v>
      </c>
      <c r="M32" t="e">
        <f t="shared" si="1"/>
        <v>#N/A</v>
      </c>
      <c r="N32" t="e">
        <f t="shared" si="2"/>
        <v>#N/A</v>
      </c>
      <c r="O32" t="n">
        <f t="shared" si="3"/>
        <v>0</v>
      </c>
      <c r="P32" t="n">
        <f t="shared" si="4"/>
        <v>0</v>
      </c>
      <c r="Q32" t="n">
        <f t="shared" si="5"/>
        <v>0</v>
      </c>
      <c r="R32" t="n">
        <f t="shared" si="6"/>
        <v>0</v>
      </c>
      <c r="S32" t="e">
        <f t="shared" si="7"/>
        <v>#N/A</v>
      </c>
      <c r="T32" t="e">
        <f t="shared" si="8"/>
        <v>#N/A</v>
      </c>
      <c r="U32" t="e">
        <f t="shared" si="9"/>
        <v>#N/A</v>
      </c>
      <c r="V32" t="e">
        <f t="shared" si="10"/>
        <v>#N/A</v>
      </c>
      <c r="W32" t="e">
        <f t="shared" si="11"/>
        <v>#N/A</v>
      </c>
      <c r="X32" t="e">
        <f t="shared" si="12"/>
        <v>#N/A</v>
      </c>
      <c r="Y32" t="e">
        <f t="shared" si="13"/>
        <v>#N/A</v>
      </c>
      <c r="Z32" t="e">
        <f t="shared" si="14"/>
        <v>#N/A</v>
      </c>
      <c r="AA32" t="e">
        <f t="shared" si="15"/>
        <v>#N/A</v>
      </c>
      <c r="AB32" t="e">
        <f t="shared" si="16"/>
        <v>#N/A</v>
      </c>
      <c r="AC32" t="e">
        <f t="shared" si="17"/>
        <v>#N/A</v>
      </c>
      <c r="AD32" t="e">
        <f t="shared" si="18"/>
        <v>#N/A</v>
      </c>
      <c r="AE32" t="e">
        <f t="shared" si="19"/>
        <v>#N/A</v>
      </c>
      <c r="AF32" t="e">
        <f t="shared" si="20"/>
        <v>#N/A</v>
      </c>
      <c r="AG32" t="e">
        <f t="shared" si="21"/>
        <v>#N/A</v>
      </c>
      <c r="AH32" t="e">
        <f t="shared" si="22"/>
        <v>#N/A</v>
      </c>
      <c r="AI32" t="e">
        <f t="shared" si="23"/>
        <v>#N/A</v>
      </c>
      <c r="AJ32" t="e">
        <f t="shared" si="24"/>
        <v>#N/A</v>
      </c>
    </row>
    <row r="33">
      <c r="A33" s="2" t="n">
        <v>44896</v>
      </c>
      <c r="B33" t="n">
        <v>659948</v>
      </c>
      <c r="C33" t="n">
        <v>340288</v>
      </c>
      <c r="D33" t="n">
        <v>131</v>
      </c>
      <c r="E33" t="n">
        <v>13758.089693</v>
      </c>
      <c r="F33" t="n">
        <v>4259335.84565513</v>
      </c>
      <c r="G33" t="n">
        <v>0.0349457150685535</v>
      </c>
      <c r="H33" t="n">
        <v>0.665023</v>
      </c>
      <c r="I33" t="n">
        <v>0.0306</v>
      </c>
      <c r="J33" t="n">
        <v>0.03722</v>
      </c>
      <c r="K33" t="s">
        <v>178</v>
      </c>
      <c r="L33" t="e">
        <f t="shared" si="0"/>
        <v>#N/A</v>
      </c>
      <c r="M33" t="e">
        <f t="shared" si="1"/>
        <v>#N/A</v>
      </c>
      <c r="N33" t="e">
        <f t="shared" si="2"/>
        <v>#N/A</v>
      </c>
      <c r="O33" t="n">
        <f t="shared" si="3"/>
        <v>0</v>
      </c>
      <c r="P33" t="n">
        <f t="shared" si="4"/>
        <v>0</v>
      </c>
      <c r="Q33" t="n">
        <f t="shared" si="5"/>
        <v>0</v>
      </c>
      <c r="R33" t="n">
        <f t="shared" si="6"/>
        <v>0</v>
      </c>
      <c r="S33" t="e">
        <f t="shared" si="7"/>
        <v>#N/A</v>
      </c>
      <c r="T33" t="e">
        <f t="shared" si="8"/>
        <v>#N/A</v>
      </c>
      <c r="U33" t="e">
        <f t="shared" si="9"/>
        <v>#N/A</v>
      </c>
      <c r="V33" t="e">
        <f t="shared" si="10"/>
        <v>#N/A</v>
      </c>
      <c r="W33" t="e">
        <f t="shared" si="11"/>
        <v>#N/A</v>
      </c>
      <c r="X33" t="e">
        <f t="shared" si="12"/>
        <v>#N/A</v>
      </c>
      <c r="Y33" t="e">
        <f t="shared" si="13"/>
        <v>#N/A</v>
      </c>
      <c r="Z33" t="e">
        <f t="shared" si="14"/>
        <v>#N/A</v>
      </c>
      <c r="AA33" t="e">
        <f t="shared" si="15"/>
        <v>#N/A</v>
      </c>
      <c r="AB33" t="e">
        <f t="shared" si="16"/>
        <v>#N/A</v>
      </c>
      <c r="AC33" t="e">
        <f t="shared" si="17"/>
        <v>#N/A</v>
      </c>
      <c r="AD33" t="e">
        <f t="shared" si="18"/>
        <v>#N/A</v>
      </c>
      <c r="AE33" t="e">
        <f t="shared" si="19"/>
        <v>#N/A</v>
      </c>
      <c r="AF33" t="e">
        <f t="shared" si="20"/>
        <v>#N/A</v>
      </c>
      <c r="AG33" t="e">
        <f t="shared" si="21"/>
        <v>#N/A</v>
      </c>
      <c r="AH33" t="e">
        <f t="shared" si="22"/>
        <v>#N/A</v>
      </c>
      <c r="AI33" t="e">
        <f t="shared" si="23"/>
        <v>#N/A</v>
      </c>
      <c r="AJ33" t="e">
        <f t="shared" si="24"/>
        <v>#N/A</v>
      </c>
    </row>
    <row r="34">
      <c r="A34" s="2" t="n">
        <v>44986</v>
      </c>
      <c r="B34" t="n">
        <v>663102</v>
      </c>
      <c r="C34" t="n">
        <v>342730</v>
      </c>
      <c r="D34" t="n">
        <v>132.7</v>
      </c>
      <c r="E34" t="n">
        <v>13856.299855</v>
      </c>
      <c r="F34" t="n">
        <v>4276769.59044419</v>
      </c>
      <c r="G34" t="n">
        <v>0.0362092240928786</v>
      </c>
      <c r="H34" t="n">
        <v>0.665194</v>
      </c>
      <c r="I34" t="n">
        <v>0.034733</v>
      </c>
      <c r="J34" t="n">
        <v>0.0359133333333333</v>
      </c>
      <c r="K34" t="s">
        <v>178</v>
      </c>
      <c r="L34" t="e">
        <f t="shared" ref="L34:L65" si="25">IF(ROW()&lt;=5,NA(),IFERROR(100*(B34/INDEX(B:B,ROW()-4)-1),NA()))</f>
        <v>#N/A</v>
      </c>
      <c r="M34" t="e">
        <f t="shared" ref="M34:M65" si="26">IF(ROW()&lt;=5,NA(),IFERROR(100*(C34/INDEX(C:C,ROW()-4)-1),NA()))</f>
        <v>#N/A</v>
      </c>
      <c r="N34" t="e">
        <f t="shared" ref="N34:N65" si="27">IF(ROW()&lt;=5,NA(),IFERROR(100*(D34/INDEX(D:D,ROW()-4)-1),NA()))</f>
        <v>#N/A</v>
      </c>
      <c r="O34" t="n">
        <f t="shared" ref="O34:O65" si="28">100*G34</f>
        <v>0</v>
      </c>
      <c r="P34" t="n">
        <f t="shared" ref="P34:P65" si="29">100*H34</f>
        <v>0</v>
      </c>
      <c r="Q34" t="n">
        <f t="shared" ref="Q34:Q65" si="30">100*I34</f>
        <v>0</v>
      </c>
      <c r="R34" t="n">
        <f t="shared" ref="R34:R65" si="31">100*J34</f>
        <v>0</v>
      </c>
      <c r="S34" t="e">
        <f t="shared" ref="S34:S65" si="32">IFERROR(100*E34/INDEX(E:E,MATCH(DATE(2024,12,1),A:A,0)),NA())</f>
        <v>#N/A</v>
      </c>
      <c r="T34" t="e">
        <f t="shared" ref="T34:T65" si="33">IFERROR(100*F34/INDEX(F:F,MATCH(DATE(2024,12,1),A:A,0)),NA())</f>
        <v>#N/A</v>
      </c>
      <c r="U34" t="e">
        <f t="shared" ref="U34:U65" si="34">IF($K34="Actual",L34,NA())</f>
        <v>#N/A</v>
      </c>
      <c r="V34" t="e">
        <f t="shared" ref="V34:V65" si="35">IF($A34&gt;=DATE(2024,12,1),L34,NA())</f>
        <v>#N/A</v>
      </c>
      <c r="W34" t="e">
        <f t="shared" ref="W34:W65" si="36">IF($K34="Actual",M34,NA())</f>
        <v>#N/A</v>
      </c>
      <c r="X34" t="e">
        <f t="shared" ref="X34:X65" si="37">IF($A34&gt;=DATE(2024,12,1),M34,NA())</f>
        <v>#N/A</v>
      </c>
      <c r="Y34" t="e">
        <f t="shared" ref="Y34:Y65" si="38">IF($K34="Actual",S34,NA())</f>
        <v>#N/A</v>
      </c>
      <c r="Z34" t="e">
        <f t="shared" ref="Z34:Z65" si="39">IF($A34&gt;=DATE(2024,12,1),S34,NA())</f>
        <v>#N/A</v>
      </c>
      <c r="AA34" t="e">
        <f t="shared" ref="AA34:AA65" si="40">IF($K34="Actual",T34,NA())</f>
        <v>#N/A</v>
      </c>
      <c r="AB34" t="e">
        <f t="shared" ref="AB34:AB65" si="41">IF($A34&gt;=DATE(2024,12,1),T34,NA())</f>
        <v>#N/A</v>
      </c>
      <c r="AC34" t="e">
        <f t="shared" ref="AC34:AC65" si="42">IF($K34="Actual",O34,NA())</f>
        <v>#N/A</v>
      </c>
      <c r="AD34" t="e">
        <f t="shared" ref="AD34:AD65" si="43">IF($A34&gt;=DATE(2024,12,1),O34,NA())</f>
        <v>#N/A</v>
      </c>
      <c r="AE34" t="e">
        <f t="shared" ref="AE34:AE65" si="44">IF($K34="Actual",Q34,NA())</f>
        <v>#N/A</v>
      </c>
      <c r="AF34" t="e">
        <f t="shared" ref="AF34:AF65" si="45">IF($A34&gt;=DATE(2024,12,1),Q34,NA())</f>
        <v>#N/A</v>
      </c>
      <c r="AG34" t="e">
        <f t="shared" ref="AG34:AG65" si="46">IF($K34="Actual",R34,NA())</f>
        <v>#N/A</v>
      </c>
      <c r="AH34" t="e">
        <f t="shared" ref="AH34:AH65" si="47">IF($A34&gt;=DATE(2024,12,1),R34,NA())</f>
        <v>#N/A</v>
      </c>
      <c r="AI34" t="e">
        <f t="shared" ref="AI34:AI65" si="48">IF($K34="Actual",N34,NA())</f>
        <v>#N/A</v>
      </c>
      <c r="AJ34" t="e">
        <f t="shared" ref="AJ34:AJ65" si="49">IF($A34&gt;=DATE(2024,12,1),N34,NA())</f>
        <v>#N/A</v>
      </c>
    </row>
    <row r="35">
      <c r="A35" s="2" t="n">
        <v>45078</v>
      </c>
      <c r="B35" t="n">
        <v>666120</v>
      </c>
      <c r="C35" t="n">
        <v>344199</v>
      </c>
      <c r="D35" t="n">
        <v>133.8</v>
      </c>
      <c r="E35" t="n">
        <v>13991.100267</v>
      </c>
      <c r="F35" t="n">
        <v>4350284.54943123</v>
      </c>
      <c r="G35" t="n">
        <v>0.0359961860534151</v>
      </c>
      <c r="H35" t="n">
        <v>0.666657</v>
      </c>
      <c r="I35" t="n">
        <v>0.039367</v>
      </c>
      <c r="J35" t="n">
        <v>0.0358633333333333</v>
      </c>
      <c r="K35" t="s">
        <v>178</v>
      </c>
      <c r="L35" t="e">
        <f t="shared" si="25"/>
        <v>#N/A</v>
      </c>
      <c r="M35" t="e">
        <f t="shared" si="26"/>
        <v>#N/A</v>
      </c>
      <c r="N35" t="e">
        <f t="shared" si="27"/>
        <v>#N/A</v>
      </c>
      <c r="O35" t="n">
        <f t="shared" si="28"/>
        <v>0</v>
      </c>
      <c r="P35" t="n">
        <f t="shared" si="29"/>
        <v>0</v>
      </c>
      <c r="Q35" t="n">
        <f t="shared" si="30"/>
        <v>0</v>
      </c>
      <c r="R35" t="n">
        <f t="shared" si="31"/>
        <v>0</v>
      </c>
      <c r="S35" t="e">
        <f t="shared" si="32"/>
        <v>#N/A</v>
      </c>
      <c r="T35" t="e">
        <f t="shared" si="33"/>
        <v>#N/A</v>
      </c>
      <c r="U35" t="e">
        <f t="shared" si="34"/>
        <v>#N/A</v>
      </c>
      <c r="V35" t="e">
        <f t="shared" si="35"/>
        <v>#N/A</v>
      </c>
      <c r="W35" t="e">
        <f t="shared" si="36"/>
        <v>#N/A</v>
      </c>
      <c r="X35" t="e">
        <f t="shared" si="37"/>
        <v>#N/A</v>
      </c>
      <c r="Y35" t="e">
        <f t="shared" si="38"/>
        <v>#N/A</v>
      </c>
      <c r="Z35" t="e">
        <f t="shared" si="39"/>
        <v>#N/A</v>
      </c>
      <c r="AA35" t="e">
        <f t="shared" si="40"/>
        <v>#N/A</v>
      </c>
      <c r="AB35" t="e">
        <f t="shared" si="41"/>
        <v>#N/A</v>
      </c>
      <c r="AC35" t="e">
        <f t="shared" si="42"/>
        <v>#N/A</v>
      </c>
      <c r="AD35" t="e">
        <f t="shared" si="43"/>
        <v>#N/A</v>
      </c>
      <c r="AE35" t="e">
        <f t="shared" si="44"/>
        <v>#N/A</v>
      </c>
      <c r="AF35" t="e">
        <f t="shared" si="45"/>
        <v>#N/A</v>
      </c>
      <c r="AG35" t="e">
        <f t="shared" si="46"/>
        <v>#N/A</v>
      </c>
      <c r="AH35" t="e">
        <f t="shared" si="47"/>
        <v>#N/A</v>
      </c>
      <c r="AI35" t="e">
        <f t="shared" si="48"/>
        <v>#N/A</v>
      </c>
      <c r="AJ35" t="e">
        <f t="shared" si="49"/>
        <v>#N/A</v>
      </c>
    </row>
    <row r="36">
      <c r="A36" s="2" t="n">
        <v>45170</v>
      </c>
      <c r="B36" t="n">
        <v>668806</v>
      </c>
      <c r="C36" t="n">
        <v>343778</v>
      </c>
      <c r="D36" t="n">
        <v>135.2</v>
      </c>
      <c r="E36" t="n">
        <v>14075.518732</v>
      </c>
      <c r="F36" t="n">
        <v>4289763.61514883</v>
      </c>
      <c r="G36" t="n">
        <v>0.0365386456051881</v>
      </c>
      <c r="H36" t="n">
        <v>0.666233</v>
      </c>
      <c r="I36" t="n">
        <v>0.041933</v>
      </c>
      <c r="J36" t="n">
        <v>0.04125</v>
      </c>
      <c r="K36" t="s">
        <v>178</v>
      </c>
      <c r="L36" t="e">
        <f t="shared" si="25"/>
        <v>#N/A</v>
      </c>
      <c r="M36" t="e">
        <f t="shared" si="26"/>
        <v>#N/A</v>
      </c>
      <c r="N36" t="e">
        <f t="shared" si="27"/>
        <v>#N/A</v>
      </c>
      <c r="O36" t="n">
        <f t="shared" si="28"/>
        <v>0</v>
      </c>
      <c r="P36" t="n">
        <f t="shared" si="29"/>
        <v>0</v>
      </c>
      <c r="Q36" t="n">
        <f t="shared" si="30"/>
        <v>0</v>
      </c>
      <c r="R36" t="n">
        <f t="shared" si="31"/>
        <v>0</v>
      </c>
      <c r="S36" t="e">
        <f t="shared" si="32"/>
        <v>#N/A</v>
      </c>
      <c r="T36" t="e">
        <f t="shared" si="33"/>
        <v>#N/A</v>
      </c>
      <c r="U36" t="e">
        <f t="shared" si="34"/>
        <v>#N/A</v>
      </c>
      <c r="V36" t="e">
        <f t="shared" si="35"/>
        <v>#N/A</v>
      </c>
      <c r="W36" t="e">
        <f t="shared" si="36"/>
        <v>#N/A</v>
      </c>
      <c r="X36" t="e">
        <f t="shared" si="37"/>
        <v>#N/A</v>
      </c>
      <c r="Y36" t="e">
        <f t="shared" si="38"/>
        <v>#N/A</v>
      </c>
      <c r="Z36" t="e">
        <f t="shared" si="39"/>
        <v>#N/A</v>
      </c>
      <c r="AA36" t="e">
        <f t="shared" si="40"/>
        <v>#N/A</v>
      </c>
      <c r="AB36" t="e">
        <f t="shared" si="41"/>
        <v>#N/A</v>
      </c>
      <c r="AC36" t="e">
        <f t="shared" si="42"/>
        <v>#N/A</v>
      </c>
      <c r="AD36" t="e">
        <f t="shared" si="43"/>
        <v>#N/A</v>
      </c>
      <c r="AE36" t="e">
        <f t="shared" si="44"/>
        <v>#N/A</v>
      </c>
      <c r="AF36" t="e">
        <f t="shared" si="45"/>
        <v>#N/A</v>
      </c>
      <c r="AG36" t="e">
        <f t="shared" si="46"/>
        <v>#N/A</v>
      </c>
      <c r="AH36" t="e">
        <f t="shared" si="47"/>
        <v>#N/A</v>
      </c>
      <c r="AI36" t="e">
        <f t="shared" si="48"/>
        <v>#N/A</v>
      </c>
      <c r="AJ36" t="e">
        <f t="shared" si="49"/>
        <v>#N/A</v>
      </c>
    </row>
    <row r="37">
      <c r="A37" s="2" t="n">
        <v>45261</v>
      </c>
      <c r="B37" t="n">
        <v>668754</v>
      </c>
      <c r="C37" t="n">
        <v>343920</v>
      </c>
      <c r="D37" t="n">
        <v>136.3</v>
      </c>
      <c r="E37" t="n">
        <v>14166.989552</v>
      </c>
      <c r="F37" t="n">
        <v>4254744.49400786</v>
      </c>
      <c r="G37" t="n">
        <v>0.0390093830373431</v>
      </c>
      <c r="H37" t="n">
        <v>0.668105</v>
      </c>
      <c r="I37" t="n">
        <v>0.043133</v>
      </c>
      <c r="J37" t="n">
        <v>0.04466</v>
      </c>
      <c r="K37" t="s">
        <v>178</v>
      </c>
      <c r="L37" t="e">
        <f t="shared" si="25"/>
        <v>#N/A</v>
      </c>
      <c r="M37" t="e">
        <f t="shared" si="26"/>
        <v>#N/A</v>
      </c>
      <c r="N37" t="e">
        <f t="shared" si="27"/>
        <v>#N/A</v>
      </c>
      <c r="O37" t="n">
        <f t="shared" si="28"/>
        <v>0</v>
      </c>
      <c r="P37" t="n">
        <f t="shared" si="29"/>
        <v>0</v>
      </c>
      <c r="Q37" t="n">
        <f t="shared" si="30"/>
        <v>0</v>
      </c>
      <c r="R37" t="n">
        <f t="shared" si="31"/>
        <v>0</v>
      </c>
      <c r="S37" t="e">
        <f t="shared" si="32"/>
        <v>#N/A</v>
      </c>
      <c r="T37" t="e">
        <f t="shared" si="33"/>
        <v>#N/A</v>
      </c>
      <c r="U37" t="e">
        <f t="shared" si="34"/>
        <v>#N/A</v>
      </c>
      <c r="V37" t="e">
        <f t="shared" si="35"/>
        <v>#N/A</v>
      </c>
      <c r="W37" t="e">
        <f t="shared" si="36"/>
        <v>#N/A</v>
      </c>
      <c r="X37" t="e">
        <f t="shared" si="37"/>
        <v>#N/A</v>
      </c>
      <c r="Y37" t="e">
        <f t="shared" si="38"/>
        <v>#N/A</v>
      </c>
      <c r="Z37" t="e">
        <f t="shared" si="39"/>
        <v>#N/A</v>
      </c>
      <c r="AA37" t="e">
        <f t="shared" si="40"/>
        <v>#N/A</v>
      </c>
      <c r="AB37" t="e">
        <f t="shared" si="41"/>
        <v>#N/A</v>
      </c>
      <c r="AC37" t="e">
        <f t="shared" si="42"/>
        <v>#N/A</v>
      </c>
      <c r="AD37" t="e">
        <f t="shared" si="43"/>
        <v>#N/A</v>
      </c>
      <c r="AE37" t="e">
        <f t="shared" si="44"/>
        <v>#N/A</v>
      </c>
      <c r="AF37" t="e">
        <f t="shared" si="45"/>
        <v>#N/A</v>
      </c>
      <c r="AG37" t="e">
        <f t="shared" si="46"/>
        <v>#N/A</v>
      </c>
      <c r="AH37" t="e">
        <f t="shared" si="47"/>
        <v>#N/A</v>
      </c>
      <c r="AI37" t="e">
        <f t="shared" si="48"/>
        <v>#N/A</v>
      </c>
      <c r="AJ37" t="e">
        <f t="shared" si="49"/>
        <v>#N/A</v>
      </c>
    </row>
    <row r="38">
      <c r="A38" s="2" t="n">
        <v>45352</v>
      </c>
      <c r="B38" t="n">
        <v>670388</v>
      </c>
      <c r="C38" t="n">
        <v>345893</v>
      </c>
      <c r="D38" t="n">
        <v>137.5</v>
      </c>
      <c r="E38" t="n">
        <v>14208.53199</v>
      </c>
      <c r="F38" t="n">
        <v>4235443.53587773</v>
      </c>
      <c r="G38" t="n">
        <v>0.0390837834383326</v>
      </c>
      <c r="H38" t="n">
        <v>0.665831</v>
      </c>
      <c r="I38" t="n">
        <v>0.043467</v>
      </c>
      <c r="J38" t="n">
        <v>0.0411133333333333</v>
      </c>
      <c r="K38" t="s">
        <v>178</v>
      </c>
      <c r="L38" t="e">
        <f t="shared" si="25"/>
        <v>#N/A</v>
      </c>
      <c r="M38" t="e">
        <f t="shared" si="26"/>
        <v>#N/A</v>
      </c>
      <c r="N38" t="e">
        <f t="shared" si="27"/>
        <v>#N/A</v>
      </c>
      <c r="O38" t="n">
        <f t="shared" si="28"/>
        <v>0</v>
      </c>
      <c r="P38" t="n">
        <f t="shared" si="29"/>
        <v>0</v>
      </c>
      <c r="Q38" t="n">
        <f t="shared" si="30"/>
        <v>0</v>
      </c>
      <c r="R38" t="n">
        <f t="shared" si="31"/>
        <v>0</v>
      </c>
      <c r="S38" t="e">
        <f t="shared" si="32"/>
        <v>#N/A</v>
      </c>
      <c r="T38" t="e">
        <f t="shared" si="33"/>
        <v>#N/A</v>
      </c>
      <c r="U38" t="e">
        <f t="shared" si="34"/>
        <v>#N/A</v>
      </c>
      <c r="V38" t="e">
        <f t="shared" si="35"/>
        <v>#N/A</v>
      </c>
      <c r="W38" t="e">
        <f t="shared" si="36"/>
        <v>#N/A</v>
      </c>
      <c r="X38" t="e">
        <f t="shared" si="37"/>
        <v>#N/A</v>
      </c>
      <c r="Y38" t="e">
        <f t="shared" si="38"/>
        <v>#N/A</v>
      </c>
      <c r="Z38" t="e">
        <f t="shared" si="39"/>
        <v>#N/A</v>
      </c>
      <c r="AA38" t="e">
        <f t="shared" si="40"/>
        <v>#N/A</v>
      </c>
      <c r="AB38" t="e">
        <f t="shared" si="41"/>
        <v>#N/A</v>
      </c>
      <c r="AC38" t="e">
        <f t="shared" si="42"/>
        <v>#N/A</v>
      </c>
      <c r="AD38" t="e">
        <f t="shared" si="43"/>
        <v>#N/A</v>
      </c>
      <c r="AE38" t="e">
        <f t="shared" si="44"/>
        <v>#N/A</v>
      </c>
      <c r="AF38" t="e">
        <f t="shared" si="45"/>
        <v>#N/A</v>
      </c>
      <c r="AG38" t="e">
        <f t="shared" si="46"/>
        <v>#N/A</v>
      </c>
      <c r="AH38" t="e">
        <f t="shared" si="47"/>
        <v>#N/A</v>
      </c>
      <c r="AI38" t="e">
        <f t="shared" si="48"/>
        <v>#N/A</v>
      </c>
      <c r="AJ38" t="e">
        <f t="shared" si="49"/>
        <v>#N/A</v>
      </c>
    </row>
    <row r="39">
      <c r="A39" s="2" t="n">
        <v>45444</v>
      </c>
      <c r="B39" t="n">
        <v>672076</v>
      </c>
      <c r="C39" t="n">
        <v>344825</v>
      </c>
      <c r="D39" t="n">
        <v>138.9</v>
      </c>
      <c r="E39" t="n">
        <v>14294.694591</v>
      </c>
      <c r="F39" t="n">
        <v>4269391.93882602</v>
      </c>
      <c r="G39" t="n">
        <v>0.0403470551307376</v>
      </c>
      <c r="H39" t="n">
        <v>0.667638</v>
      </c>
      <c r="I39" t="n">
        <v>0.043733</v>
      </c>
      <c r="J39" t="n">
        <v>0.0427833333333333</v>
      </c>
      <c r="K39" t="s">
        <v>178</v>
      </c>
      <c r="L39" t="e">
        <f t="shared" si="25"/>
        <v>#N/A</v>
      </c>
      <c r="M39" t="e">
        <f t="shared" si="26"/>
        <v>#N/A</v>
      </c>
      <c r="N39" t="e">
        <f t="shared" si="27"/>
        <v>#N/A</v>
      </c>
      <c r="O39" t="n">
        <f t="shared" si="28"/>
        <v>0</v>
      </c>
      <c r="P39" t="n">
        <f t="shared" si="29"/>
        <v>0</v>
      </c>
      <c r="Q39" t="n">
        <f t="shared" si="30"/>
        <v>0</v>
      </c>
      <c r="R39" t="n">
        <f t="shared" si="31"/>
        <v>0</v>
      </c>
      <c r="S39" t="e">
        <f t="shared" si="32"/>
        <v>#N/A</v>
      </c>
      <c r="T39" t="e">
        <f t="shared" si="33"/>
        <v>#N/A</v>
      </c>
      <c r="U39" t="e">
        <f t="shared" si="34"/>
        <v>#N/A</v>
      </c>
      <c r="V39" t="e">
        <f t="shared" si="35"/>
        <v>#N/A</v>
      </c>
      <c r="W39" t="e">
        <f t="shared" si="36"/>
        <v>#N/A</v>
      </c>
      <c r="X39" t="e">
        <f t="shared" si="37"/>
        <v>#N/A</v>
      </c>
      <c r="Y39" t="e">
        <f t="shared" si="38"/>
        <v>#N/A</v>
      </c>
      <c r="Z39" t="e">
        <f t="shared" si="39"/>
        <v>#N/A</v>
      </c>
      <c r="AA39" t="e">
        <f t="shared" si="40"/>
        <v>#N/A</v>
      </c>
      <c r="AB39" t="e">
        <f t="shared" si="41"/>
        <v>#N/A</v>
      </c>
      <c r="AC39" t="e">
        <f t="shared" si="42"/>
        <v>#N/A</v>
      </c>
      <c r="AD39" t="e">
        <f t="shared" si="43"/>
        <v>#N/A</v>
      </c>
      <c r="AE39" t="e">
        <f t="shared" si="44"/>
        <v>#N/A</v>
      </c>
      <c r="AF39" t="e">
        <f t="shared" si="45"/>
        <v>#N/A</v>
      </c>
      <c r="AG39" t="e">
        <f t="shared" si="46"/>
        <v>#N/A</v>
      </c>
      <c r="AH39" t="e">
        <f t="shared" si="47"/>
        <v>#N/A</v>
      </c>
      <c r="AI39" t="e">
        <f t="shared" si="48"/>
        <v>#N/A</v>
      </c>
      <c r="AJ39" t="e">
        <f t="shared" si="49"/>
        <v>#N/A</v>
      </c>
    </row>
    <row r="40">
      <c r="A40" s="2" t="n">
        <v>45536</v>
      </c>
      <c r="B40" t="n">
        <v>674130</v>
      </c>
      <c r="C40" t="n">
        <v>345185</v>
      </c>
      <c r="D40" t="n">
        <v>139.1</v>
      </c>
      <c r="E40" t="n">
        <v>14411.248641</v>
      </c>
      <c r="F40" t="n">
        <v>4300033.45461782</v>
      </c>
      <c r="G40" t="n">
        <v>0.0411696778876828</v>
      </c>
      <c r="H40" t="n">
        <v>0.670805</v>
      </c>
      <c r="I40" t="n">
        <v>0.0442</v>
      </c>
      <c r="J40" t="n">
        <v>0.0407466666666667</v>
      </c>
      <c r="K40" t="s">
        <v>178</v>
      </c>
      <c r="L40" t="e">
        <f t="shared" si="25"/>
        <v>#N/A</v>
      </c>
      <c r="M40" t="e">
        <f t="shared" si="26"/>
        <v>#N/A</v>
      </c>
      <c r="N40" t="e">
        <f t="shared" si="27"/>
        <v>#N/A</v>
      </c>
      <c r="O40" t="n">
        <f t="shared" si="28"/>
        <v>0</v>
      </c>
      <c r="P40" t="n">
        <f t="shared" si="29"/>
        <v>0</v>
      </c>
      <c r="Q40" t="n">
        <f t="shared" si="30"/>
        <v>0</v>
      </c>
      <c r="R40" t="n">
        <f t="shared" si="31"/>
        <v>0</v>
      </c>
      <c r="S40" t="e">
        <f t="shared" si="32"/>
        <v>#N/A</v>
      </c>
      <c r="T40" t="e">
        <f t="shared" si="33"/>
        <v>#N/A</v>
      </c>
      <c r="U40" t="e">
        <f t="shared" si="34"/>
        <v>#N/A</v>
      </c>
      <c r="V40" t="e">
        <f t="shared" si="35"/>
        <v>#N/A</v>
      </c>
      <c r="W40" t="e">
        <f t="shared" si="36"/>
        <v>#N/A</v>
      </c>
      <c r="X40" t="e">
        <f t="shared" si="37"/>
        <v>#N/A</v>
      </c>
      <c r="Y40" t="e">
        <f t="shared" si="38"/>
        <v>#N/A</v>
      </c>
      <c r="Z40" t="e">
        <f t="shared" si="39"/>
        <v>#N/A</v>
      </c>
      <c r="AA40" t="e">
        <f t="shared" si="40"/>
        <v>#N/A</v>
      </c>
      <c r="AB40" t="e">
        <f t="shared" si="41"/>
        <v>#N/A</v>
      </c>
      <c r="AC40" t="e">
        <f t="shared" si="42"/>
        <v>#N/A</v>
      </c>
      <c r="AD40" t="e">
        <f t="shared" si="43"/>
        <v>#N/A</v>
      </c>
      <c r="AE40" t="e">
        <f t="shared" si="44"/>
        <v>#N/A</v>
      </c>
      <c r="AF40" t="e">
        <f t="shared" si="45"/>
        <v>#N/A</v>
      </c>
      <c r="AG40" t="e">
        <f t="shared" si="46"/>
        <v>#N/A</v>
      </c>
      <c r="AH40" t="e">
        <f t="shared" si="47"/>
        <v>#N/A</v>
      </c>
      <c r="AI40" t="e">
        <f t="shared" si="48"/>
        <v>#N/A</v>
      </c>
      <c r="AJ40" t="e">
        <f t="shared" si="49"/>
        <v>#N/A</v>
      </c>
    </row>
    <row r="41">
      <c r="A41" s="2" t="n">
        <v>45627</v>
      </c>
      <c r="B41" t="n">
        <v>677077</v>
      </c>
      <c r="C41" t="n">
        <v>347360</v>
      </c>
      <c r="D41" t="n">
        <v>139.6</v>
      </c>
      <c r="E41" t="n">
        <v>14473.697393</v>
      </c>
      <c r="F41" t="n">
        <v>4306318.00469064</v>
      </c>
      <c r="G41" t="n">
        <v>0.0401043172136999</v>
      </c>
      <c r="H41" t="n">
        <v>0.670117</v>
      </c>
      <c r="I41" t="n">
        <v>0.044233</v>
      </c>
      <c r="J41" t="n">
        <v>0.0437466666666667</v>
      </c>
      <c r="K41" t="s">
        <v>178</v>
      </c>
      <c r="L41" t="e">
        <f t="shared" si="25"/>
        <v>#N/A</v>
      </c>
      <c r="M41" t="e">
        <f t="shared" si="26"/>
        <v>#N/A</v>
      </c>
      <c r="N41" t="e">
        <f t="shared" si="27"/>
        <v>#N/A</v>
      </c>
      <c r="O41" t="n">
        <f t="shared" si="28"/>
        <v>0</v>
      </c>
      <c r="P41" t="n">
        <f t="shared" si="29"/>
        <v>0</v>
      </c>
      <c r="Q41" t="n">
        <f t="shared" si="30"/>
        <v>0</v>
      </c>
      <c r="R41" t="n">
        <f t="shared" si="31"/>
        <v>0</v>
      </c>
      <c r="S41" t="e">
        <f t="shared" si="32"/>
        <v>#N/A</v>
      </c>
      <c r="T41" t="e">
        <f t="shared" si="33"/>
        <v>#N/A</v>
      </c>
      <c r="U41" t="e">
        <f t="shared" si="34"/>
        <v>#N/A</v>
      </c>
      <c r="V41" t="e">
        <f t="shared" si="35"/>
        <v>#N/A</v>
      </c>
      <c r="W41" t="e">
        <f t="shared" si="36"/>
        <v>#N/A</v>
      </c>
      <c r="X41" t="e">
        <f t="shared" si="37"/>
        <v>#N/A</v>
      </c>
      <c r="Y41" t="e">
        <f t="shared" si="38"/>
        <v>#N/A</v>
      </c>
      <c r="Z41" t="e">
        <f t="shared" si="39"/>
        <v>#N/A</v>
      </c>
      <c r="AA41" t="e">
        <f t="shared" si="40"/>
        <v>#N/A</v>
      </c>
      <c r="AB41" t="e">
        <f t="shared" si="41"/>
        <v>#N/A</v>
      </c>
      <c r="AC41" t="e">
        <f t="shared" si="42"/>
        <v>#N/A</v>
      </c>
      <c r="AD41" t="e">
        <f t="shared" si="43"/>
        <v>#N/A</v>
      </c>
      <c r="AE41" t="e">
        <f t="shared" si="44"/>
        <v>#N/A</v>
      </c>
      <c r="AF41" t="e">
        <f t="shared" si="45"/>
        <v>#N/A</v>
      </c>
      <c r="AG41" t="e">
        <f t="shared" si="46"/>
        <v>#N/A</v>
      </c>
      <c r="AH41" t="e">
        <f t="shared" si="47"/>
        <v>#N/A</v>
      </c>
      <c r="AI41" t="e">
        <f t="shared" si="48"/>
        <v>#N/A</v>
      </c>
      <c r="AJ41" t="e">
        <f t="shared" si="49"/>
        <v>#N/A</v>
      </c>
    </row>
    <row r="42">
      <c r="A42" s="2" t="n">
        <v>45717</v>
      </c>
      <c r="B42" t="n">
        <v>679519</v>
      </c>
      <c r="C42" t="n">
        <v>349205</v>
      </c>
      <c r="D42" t="n">
        <v>140.9</v>
      </c>
      <c r="E42" t="n">
        <v>14503.3755150333</v>
      </c>
      <c r="F42" t="n">
        <v>4301301.39505132</v>
      </c>
      <c r="G42" t="n">
        <v>0.040946291793016</v>
      </c>
      <c r="H42" t="n">
        <v>0.668511013333333</v>
      </c>
      <c r="I42" t="n">
        <v>0.0420666666666667</v>
      </c>
      <c r="J42" t="n">
        <v>0.0444166666666667</v>
      </c>
      <c r="K42" t="s">
        <v>178</v>
      </c>
      <c r="L42" t="e">
        <f t="shared" si="25"/>
        <v>#N/A</v>
      </c>
      <c r="M42" t="e">
        <f t="shared" si="26"/>
        <v>#N/A</v>
      </c>
      <c r="N42" t="e">
        <f t="shared" si="27"/>
        <v>#N/A</v>
      </c>
      <c r="O42" t="n">
        <f t="shared" si="28"/>
        <v>0</v>
      </c>
      <c r="P42" t="n">
        <f t="shared" si="29"/>
        <v>0</v>
      </c>
      <c r="Q42" t="n">
        <f t="shared" si="30"/>
        <v>0</v>
      </c>
      <c r="R42" t="n">
        <f t="shared" si="31"/>
        <v>0</v>
      </c>
      <c r="S42" t="e">
        <f t="shared" si="32"/>
        <v>#N/A</v>
      </c>
      <c r="T42" t="e">
        <f t="shared" si="33"/>
        <v>#N/A</v>
      </c>
      <c r="U42" t="e">
        <f t="shared" si="34"/>
        <v>#N/A</v>
      </c>
      <c r="V42" t="e">
        <f t="shared" si="35"/>
        <v>#N/A</v>
      </c>
      <c r="W42" t="e">
        <f t="shared" si="36"/>
        <v>#N/A</v>
      </c>
      <c r="X42" t="e">
        <f t="shared" si="37"/>
        <v>#N/A</v>
      </c>
      <c r="Y42" t="e">
        <f t="shared" si="38"/>
        <v>#N/A</v>
      </c>
      <c r="Z42" t="e">
        <f t="shared" si="39"/>
        <v>#N/A</v>
      </c>
      <c r="AA42" t="e">
        <f t="shared" si="40"/>
        <v>#N/A</v>
      </c>
      <c r="AB42" t="e">
        <f t="shared" si="41"/>
        <v>#N/A</v>
      </c>
      <c r="AC42" t="e">
        <f t="shared" si="42"/>
        <v>#N/A</v>
      </c>
      <c r="AD42" t="e">
        <f t="shared" si="43"/>
        <v>#N/A</v>
      </c>
      <c r="AE42" t="e">
        <f t="shared" si="44"/>
        <v>#N/A</v>
      </c>
      <c r="AF42" t="e">
        <f t="shared" si="45"/>
        <v>#N/A</v>
      </c>
      <c r="AG42" t="e">
        <f t="shared" si="46"/>
        <v>#N/A</v>
      </c>
      <c r="AH42" t="e">
        <f t="shared" si="47"/>
        <v>#N/A</v>
      </c>
      <c r="AI42" t="e">
        <f t="shared" si="48"/>
        <v>#N/A</v>
      </c>
      <c r="AJ42" t="e">
        <f t="shared" si="49"/>
        <v>#N/A</v>
      </c>
    </row>
    <row r="43">
      <c r="A43" s="2" t="n">
        <v>45809</v>
      </c>
      <c r="B43" t="n">
        <v>684822</v>
      </c>
      <c r="C43" t="n">
        <v>352663</v>
      </c>
      <c r="D43" t="n">
        <v>141.9</v>
      </c>
      <c r="E43" t="n">
        <v>14589.9722275667</v>
      </c>
      <c r="F43" t="n">
        <v>4309477.70314058</v>
      </c>
      <c r="G43" t="n">
        <v>0.0415799332516735</v>
      </c>
      <c r="H43" t="n">
        <v>0.670083922</v>
      </c>
      <c r="I43" t="n">
        <v>0.0383</v>
      </c>
      <c r="J43" t="n">
        <v>0.04275</v>
      </c>
      <c r="K43" t="s">
        <v>178</v>
      </c>
      <c r="L43" t="e">
        <f t="shared" si="25"/>
        <v>#N/A</v>
      </c>
      <c r="M43" t="e">
        <f t="shared" si="26"/>
        <v>#N/A</v>
      </c>
      <c r="N43" t="e">
        <f t="shared" si="27"/>
        <v>#N/A</v>
      </c>
      <c r="O43" t="n">
        <f t="shared" si="28"/>
        <v>0</v>
      </c>
      <c r="P43" t="n">
        <f t="shared" si="29"/>
        <v>0</v>
      </c>
      <c r="Q43" t="n">
        <f t="shared" si="30"/>
        <v>0</v>
      </c>
      <c r="R43" t="n">
        <f t="shared" si="31"/>
        <v>0</v>
      </c>
      <c r="S43" t="e">
        <f t="shared" si="32"/>
        <v>#N/A</v>
      </c>
      <c r="T43" t="e">
        <f t="shared" si="33"/>
        <v>#N/A</v>
      </c>
      <c r="U43" t="e">
        <f t="shared" si="34"/>
        <v>#N/A</v>
      </c>
      <c r="V43" t="e">
        <f t="shared" si="35"/>
        <v>#N/A</v>
      </c>
      <c r="W43" t="e">
        <f t="shared" si="36"/>
        <v>#N/A</v>
      </c>
      <c r="X43" t="e">
        <f t="shared" si="37"/>
        <v>#N/A</v>
      </c>
      <c r="Y43" t="e">
        <f t="shared" si="38"/>
        <v>#N/A</v>
      </c>
      <c r="Z43" t="e">
        <f t="shared" si="39"/>
        <v>#N/A</v>
      </c>
      <c r="AA43" t="e">
        <f t="shared" si="40"/>
        <v>#N/A</v>
      </c>
      <c r="AB43" t="e">
        <f t="shared" si="41"/>
        <v>#N/A</v>
      </c>
      <c r="AC43" t="e">
        <f t="shared" si="42"/>
        <v>#N/A</v>
      </c>
      <c r="AD43" t="e">
        <f t="shared" si="43"/>
        <v>#N/A</v>
      </c>
      <c r="AE43" t="e">
        <f t="shared" si="44"/>
        <v>#N/A</v>
      </c>
      <c r="AF43" t="e">
        <f t="shared" si="45"/>
        <v>#N/A</v>
      </c>
      <c r="AG43" t="e">
        <f t="shared" si="46"/>
        <v>#N/A</v>
      </c>
      <c r="AH43" t="e">
        <f t="shared" si="47"/>
        <v>#N/A</v>
      </c>
      <c r="AI43" t="e">
        <f t="shared" si="48"/>
        <v>#N/A</v>
      </c>
      <c r="AJ43" t="e">
        <f t="shared" si="49"/>
        <v>#N/A</v>
      </c>
    </row>
    <row r="44">
      <c r="A44" s="2" t="n">
        <v>45901</v>
      </c>
      <c r="B44" t="n">
        <v>688271</v>
      </c>
      <c r="C44" t="n">
        <v>354377</v>
      </c>
      <c r="D44" t="n">
        <v>143.5</v>
      </c>
      <c r="E44" t="n">
        <v>14608.7589597667</v>
      </c>
      <c r="F44" t="n">
        <v>4314963.97352389</v>
      </c>
      <c r="G44" t="n">
        <v>0.0430614370315685</v>
      </c>
      <c r="H44" t="n">
        <v>0.669101939</v>
      </c>
      <c r="I44" t="n">
        <v>0.0362333333333333</v>
      </c>
      <c r="J44" t="n">
        <v>0.04288</v>
      </c>
      <c r="K44" t="s">
        <v>178</v>
      </c>
      <c r="L44" t="e">
        <f t="shared" si="25"/>
        <v>#N/A</v>
      </c>
      <c r="M44" t="e">
        <f t="shared" si="26"/>
        <v>#N/A</v>
      </c>
      <c r="N44" t="e">
        <f t="shared" si="27"/>
        <v>#N/A</v>
      </c>
      <c r="O44" t="n">
        <f t="shared" si="28"/>
        <v>0</v>
      </c>
      <c r="P44" t="n">
        <f t="shared" si="29"/>
        <v>0</v>
      </c>
      <c r="Q44" t="n">
        <f t="shared" si="30"/>
        <v>0</v>
      </c>
      <c r="R44" t="n">
        <f t="shared" si="31"/>
        <v>0</v>
      </c>
      <c r="S44" t="e">
        <f t="shared" si="32"/>
        <v>#N/A</v>
      </c>
      <c r="T44" t="e">
        <f t="shared" si="33"/>
        <v>#N/A</v>
      </c>
      <c r="U44" t="e">
        <f t="shared" si="34"/>
        <v>#N/A</v>
      </c>
      <c r="V44" t="e">
        <f t="shared" si="35"/>
        <v>#N/A</v>
      </c>
      <c r="W44" t="e">
        <f t="shared" si="36"/>
        <v>#N/A</v>
      </c>
      <c r="X44" t="e">
        <f t="shared" si="37"/>
        <v>#N/A</v>
      </c>
      <c r="Y44" t="e">
        <f t="shared" si="38"/>
        <v>#N/A</v>
      </c>
      <c r="Z44" t="e">
        <f t="shared" si="39"/>
        <v>#N/A</v>
      </c>
      <c r="AA44" t="e">
        <f t="shared" si="40"/>
        <v>#N/A</v>
      </c>
      <c r="AB44" t="e">
        <f t="shared" si="41"/>
        <v>#N/A</v>
      </c>
      <c r="AC44" t="e">
        <f t="shared" si="42"/>
        <v>#N/A</v>
      </c>
      <c r="AD44" t="e">
        <f t="shared" si="43"/>
        <v>#N/A</v>
      </c>
      <c r="AE44" t="e">
        <f t="shared" si="44"/>
        <v>#N/A</v>
      </c>
      <c r="AF44" t="e">
        <f t="shared" si="45"/>
        <v>#N/A</v>
      </c>
      <c r="AG44" t="e">
        <f t="shared" si="46"/>
        <v>#N/A</v>
      </c>
      <c r="AH44" t="e">
        <f t="shared" si="47"/>
        <v>#N/A</v>
      </c>
      <c r="AI44" t="e">
        <f t="shared" si="48"/>
        <v>#N/A</v>
      </c>
      <c r="AJ44" t="e">
        <f t="shared" si="49"/>
        <v>#N/A</v>
      </c>
    </row>
    <row r="45">
      <c r="A45" s="2" t="n">
        <v>45992</v>
      </c>
      <c r="B45" t="n">
        <v>694551</v>
      </c>
      <c r="C45" t="n">
        <v>355990</v>
      </c>
      <c r="D45" t="n">
        <v>144.6</v>
      </c>
      <c r="E45" t="n">
        <v>14636.2891356667</v>
      </c>
      <c r="F45" t="n">
        <v>4354933.52552386</v>
      </c>
      <c r="G45" t="n">
        <v>0.0425731268402279</v>
      </c>
      <c r="H45" t="n">
        <v>0.667316483666667</v>
      </c>
      <c r="I45" t="n">
        <v>0.0364</v>
      </c>
      <c r="J45" t="n">
        <v>0.0445633333333333</v>
      </c>
      <c r="K45" t="s">
        <v>178</v>
      </c>
      <c r="L45" t="e">
        <f t="shared" si="25"/>
        <v>#N/A</v>
      </c>
      <c r="M45" t="e">
        <f t="shared" si="26"/>
        <v>#N/A</v>
      </c>
      <c r="N45" t="e">
        <f t="shared" si="27"/>
        <v>#N/A</v>
      </c>
      <c r="O45" t="n">
        <f t="shared" si="28"/>
        <v>0</v>
      </c>
      <c r="P45" t="n">
        <f t="shared" si="29"/>
        <v>0</v>
      </c>
      <c r="Q45" t="n">
        <f t="shared" si="30"/>
        <v>0</v>
      </c>
      <c r="R45" t="n">
        <f t="shared" si="31"/>
        <v>0</v>
      </c>
      <c r="S45" t="e">
        <f t="shared" si="32"/>
        <v>#N/A</v>
      </c>
      <c r="T45" t="e">
        <f t="shared" si="33"/>
        <v>#N/A</v>
      </c>
      <c r="U45" t="e">
        <f t="shared" si="34"/>
        <v>#N/A</v>
      </c>
      <c r="V45" t="e">
        <f t="shared" si="35"/>
        <v>#N/A</v>
      </c>
      <c r="W45" t="e">
        <f t="shared" si="36"/>
        <v>#N/A</v>
      </c>
      <c r="X45" t="e">
        <f t="shared" si="37"/>
        <v>#N/A</v>
      </c>
      <c r="Y45" t="e">
        <f t="shared" si="38"/>
        <v>#N/A</v>
      </c>
      <c r="Z45" t="e">
        <f t="shared" si="39"/>
        <v>#N/A</v>
      </c>
      <c r="AA45" t="e">
        <f t="shared" si="40"/>
        <v>#N/A</v>
      </c>
      <c r="AB45" t="e">
        <f t="shared" si="41"/>
        <v>#N/A</v>
      </c>
      <c r="AC45" t="e">
        <f t="shared" si="42"/>
        <v>#N/A</v>
      </c>
      <c r="AD45" t="e">
        <f t="shared" si="43"/>
        <v>#N/A</v>
      </c>
      <c r="AE45" t="e">
        <f t="shared" si="44"/>
        <v>#N/A</v>
      </c>
      <c r="AF45" t="e">
        <f t="shared" si="45"/>
        <v>#N/A</v>
      </c>
      <c r="AG45" t="e">
        <f t="shared" si="46"/>
        <v>#N/A</v>
      </c>
      <c r="AH45" t="e">
        <f t="shared" si="47"/>
        <v>#N/A</v>
      </c>
      <c r="AI45" t="e">
        <f t="shared" si="48"/>
        <v>#N/A</v>
      </c>
      <c r="AJ45" t="e">
        <f t="shared" si="49"/>
        <v>#N/A</v>
      </c>
    </row>
    <row r="46">
      <c r="A46" s="2" t="n">
        <v>45992</v>
      </c>
      <c r="B46" t="n">
        <v>688866.834207019</v>
      </c>
      <c r="C46" t="n">
        <v>355093.061230489</v>
      </c>
      <c r="D46" t="n">
        <v>144.861825036032</v>
      </c>
      <c r="E46" t="n">
        <v>14660.1382908138</v>
      </c>
      <c r="F46" t="n">
        <v>4306620.46796513</v>
      </c>
      <c r="G46" t="n">
        <v>0.0476355452146825</v>
      </c>
      <c r="H46" t="n">
        <v>0.668738443493437</v>
      </c>
      <c r="I46" t="n">
        <v>0.0314049553003385</v>
      </c>
      <c r="J46" t="n">
        <v>0.0420180185621423</v>
      </c>
      <c r="K46" t="s">
        <v>179</v>
      </c>
      <c r="L46" t="e">
        <f t="shared" si="25"/>
        <v>#N/A</v>
      </c>
      <c r="M46" t="e">
        <f t="shared" si="26"/>
        <v>#N/A</v>
      </c>
      <c r="N46" t="e">
        <f t="shared" si="27"/>
        <v>#N/A</v>
      </c>
      <c r="O46" t="n">
        <f t="shared" si="28"/>
        <v>0</v>
      </c>
      <c r="P46" t="n">
        <f t="shared" si="29"/>
        <v>0</v>
      </c>
      <c r="Q46" t="n">
        <f t="shared" si="30"/>
        <v>0</v>
      </c>
      <c r="R46" t="n">
        <f t="shared" si="31"/>
        <v>0</v>
      </c>
      <c r="S46" t="e">
        <f t="shared" si="32"/>
        <v>#N/A</v>
      </c>
      <c r="T46" t="e">
        <f t="shared" si="33"/>
        <v>#N/A</v>
      </c>
      <c r="U46" t="e">
        <f t="shared" si="34"/>
        <v>#N/A</v>
      </c>
      <c r="V46" t="e">
        <f t="shared" si="35"/>
        <v>#N/A</v>
      </c>
      <c r="W46" t="e">
        <f t="shared" si="36"/>
        <v>#N/A</v>
      </c>
      <c r="X46" t="e">
        <f t="shared" si="37"/>
        <v>#N/A</v>
      </c>
      <c r="Y46" t="e">
        <f t="shared" si="38"/>
        <v>#N/A</v>
      </c>
      <c r="Z46" t="e">
        <f t="shared" si="39"/>
        <v>#N/A</v>
      </c>
      <c r="AA46" t="e">
        <f t="shared" si="40"/>
        <v>#N/A</v>
      </c>
      <c r="AB46" t="e">
        <f t="shared" si="41"/>
        <v>#N/A</v>
      </c>
      <c r="AC46" t="e">
        <f t="shared" si="42"/>
        <v>#N/A</v>
      </c>
      <c r="AD46" t="e">
        <f t="shared" si="43"/>
        <v>#N/A</v>
      </c>
      <c r="AE46" t="e">
        <f t="shared" si="44"/>
        <v>#N/A</v>
      </c>
      <c r="AF46" t="e">
        <f t="shared" si="45"/>
        <v>#N/A</v>
      </c>
      <c r="AG46" t="e">
        <f t="shared" si="46"/>
        <v>#N/A</v>
      </c>
      <c r="AH46" t="e">
        <f t="shared" si="47"/>
        <v>#N/A</v>
      </c>
      <c r="AI46" t="e">
        <f t="shared" si="48"/>
        <v>#N/A</v>
      </c>
      <c r="AJ46" t="e">
        <f t="shared" si="49"/>
        <v>#N/A</v>
      </c>
    </row>
    <row r="47">
      <c r="A47" s="2" t="n">
        <v>46082</v>
      </c>
      <c r="B47" t="n">
        <v>696539</v>
      </c>
      <c r="C47" t="n">
        <v>357486</v>
      </c>
      <c r="D47" t="n">
        <v>146.6</v>
      </c>
      <c r="E47" t="n">
        <v>14718.9240242333</v>
      </c>
      <c r="F47"/>
      <c r="G47" t="n">
        <v>0.0422401232211014</v>
      </c>
      <c r="H47" t="n">
        <v>0.667597298</v>
      </c>
      <c r="I47" t="n">
        <v>0.0397333333333333</v>
      </c>
      <c r="J47" t="n">
        <v>0.0481133333333333</v>
      </c>
      <c r="K47" t="s">
        <v>178</v>
      </c>
      <c r="L47" t="e">
        <f t="shared" si="25"/>
        <v>#N/A</v>
      </c>
      <c r="M47" t="e">
        <f t="shared" si="26"/>
        <v>#N/A</v>
      </c>
      <c r="N47" t="e">
        <f t="shared" si="27"/>
        <v>#N/A</v>
      </c>
      <c r="O47" t="n">
        <f t="shared" si="28"/>
        <v>0</v>
      </c>
      <c r="P47" t="n">
        <f t="shared" si="29"/>
        <v>0</v>
      </c>
      <c r="Q47" t="n">
        <f t="shared" si="30"/>
        <v>0</v>
      </c>
      <c r="R47" t="n">
        <f t="shared" si="31"/>
        <v>0</v>
      </c>
      <c r="S47" t="e">
        <f t="shared" si="32"/>
        <v>#N/A</v>
      </c>
      <c r="T47" t="e">
        <f t="shared" si="33"/>
        <v>#N/A</v>
      </c>
      <c r="U47" t="e">
        <f t="shared" si="34"/>
        <v>#N/A</v>
      </c>
      <c r="V47" t="e">
        <f t="shared" si="35"/>
        <v>#N/A</v>
      </c>
      <c r="W47" t="e">
        <f t="shared" si="36"/>
        <v>#N/A</v>
      </c>
      <c r="X47" t="e">
        <f t="shared" si="37"/>
        <v>#N/A</v>
      </c>
      <c r="Y47" t="e">
        <f t="shared" si="38"/>
        <v>#N/A</v>
      </c>
      <c r="Z47" t="e">
        <f t="shared" si="39"/>
        <v>#N/A</v>
      </c>
      <c r="AA47" t="e">
        <f t="shared" si="40"/>
        <v>#N/A</v>
      </c>
      <c r="AB47" t="e">
        <f t="shared" si="41"/>
        <v>#N/A</v>
      </c>
      <c r="AC47" t="e">
        <f t="shared" si="42"/>
        <v>#N/A</v>
      </c>
      <c r="AD47" t="e">
        <f t="shared" si="43"/>
        <v>#N/A</v>
      </c>
      <c r="AE47" t="e">
        <f t="shared" si="44"/>
        <v>#N/A</v>
      </c>
      <c r="AF47" t="e">
        <f t="shared" si="45"/>
        <v>#N/A</v>
      </c>
      <c r="AG47" t="e">
        <f t="shared" si="46"/>
        <v>#N/A</v>
      </c>
      <c r="AH47" t="e">
        <f t="shared" si="47"/>
        <v>#N/A</v>
      </c>
      <c r="AI47" t="e">
        <f t="shared" si="48"/>
        <v>#N/A</v>
      </c>
      <c r="AJ47" t="e">
        <f t="shared" si="49"/>
        <v>#N/A</v>
      </c>
    </row>
    <row r="48">
      <c r="A48" s="2" t="n">
        <v>46082</v>
      </c>
      <c r="B48" t="n">
        <v>703604.833724565</v>
      </c>
      <c r="C48" t="n">
        <v>360057.783987501</v>
      </c>
      <c r="D48" t="n">
        <v>146.567278204913</v>
      </c>
      <c r="E48" t="n">
        <v>14784.3907849657</v>
      </c>
      <c r="F48" t="n">
        <v>4341504.405242</v>
      </c>
      <c r="G48" t="n">
        <v>0.0429469799590524</v>
      </c>
      <c r="H48" t="n">
        <v>0.668207338782978</v>
      </c>
      <c r="I48" t="n">
        <v>0.0418909243457843</v>
      </c>
      <c r="J48" t="n">
        <v>0.041851576986759</v>
      </c>
      <c r="K48" t="s">
        <v>179</v>
      </c>
      <c r="L48" t="e">
        <f t="shared" si="25"/>
        <v>#N/A</v>
      </c>
      <c r="M48" t="e">
        <f t="shared" si="26"/>
        <v>#N/A</v>
      </c>
      <c r="N48" t="e">
        <f t="shared" si="27"/>
        <v>#N/A</v>
      </c>
      <c r="O48" t="n">
        <f t="shared" si="28"/>
        <v>0</v>
      </c>
      <c r="P48" t="n">
        <f t="shared" si="29"/>
        <v>0</v>
      </c>
      <c r="Q48" t="n">
        <f t="shared" si="30"/>
        <v>0</v>
      </c>
      <c r="R48" t="n">
        <f t="shared" si="31"/>
        <v>0</v>
      </c>
      <c r="S48" t="e">
        <f t="shared" si="32"/>
        <v>#N/A</v>
      </c>
      <c r="T48" t="e">
        <f t="shared" si="33"/>
        <v>#N/A</v>
      </c>
      <c r="U48" t="e">
        <f t="shared" si="34"/>
        <v>#N/A</v>
      </c>
      <c r="V48" t="e">
        <f t="shared" si="35"/>
        <v>#N/A</v>
      </c>
      <c r="W48" t="e">
        <f t="shared" si="36"/>
        <v>#N/A</v>
      </c>
      <c r="X48" t="e">
        <f t="shared" si="37"/>
        <v>#N/A</v>
      </c>
      <c r="Y48" t="e">
        <f t="shared" si="38"/>
        <v>#N/A</v>
      </c>
      <c r="Z48" t="e">
        <f t="shared" si="39"/>
        <v>#N/A</v>
      </c>
      <c r="AA48" t="e">
        <f t="shared" si="40"/>
        <v>#N/A</v>
      </c>
      <c r="AB48" t="e">
        <f t="shared" si="41"/>
        <v>#N/A</v>
      </c>
      <c r="AC48" t="e">
        <f t="shared" si="42"/>
        <v>#N/A</v>
      </c>
      <c r="AD48" t="e">
        <f t="shared" si="43"/>
        <v>#N/A</v>
      </c>
      <c r="AE48" t="e">
        <f t="shared" si="44"/>
        <v>#N/A</v>
      </c>
      <c r="AF48" t="e">
        <f t="shared" si="45"/>
        <v>#N/A</v>
      </c>
      <c r="AG48" t="e">
        <f t="shared" si="46"/>
        <v>#N/A</v>
      </c>
      <c r="AH48" t="e">
        <f t="shared" si="47"/>
        <v>#N/A</v>
      </c>
      <c r="AI48" t="e">
        <f t="shared" si="48"/>
        <v>#N/A</v>
      </c>
      <c r="AJ48" t="e">
        <f t="shared" si="49"/>
        <v>#N/A</v>
      </c>
    </row>
    <row r="49">
      <c r="A49" s="2" t="n">
        <v>46174</v>
      </c>
      <c r="B49"/>
      <c r="C49"/>
      <c r="D49" t="n">
        <v>147.5</v>
      </c>
      <c r="E49" t="n">
        <v>14756.8534456</v>
      </c>
      <c r="F49"/>
      <c r="G49" t="n">
        <v>0.0443404596118933</v>
      </c>
      <c r="H49" t="n">
        <v>0.667944264333333</v>
      </c>
      <c r="I49" t="n">
        <v>0.0441</v>
      </c>
      <c r="J49" t="n">
        <v>0.0492733333333333</v>
      </c>
      <c r="K49" t="s">
        <v>178</v>
      </c>
      <c r="L49" t="e">
        <f t="shared" si="25"/>
        <v>#N/A</v>
      </c>
      <c r="M49" t="e">
        <f t="shared" si="26"/>
        <v>#N/A</v>
      </c>
      <c r="N49" t="e">
        <f t="shared" si="27"/>
        <v>#N/A</v>
      </c>
      <c r="O49" t="n">
        <f t="shared" si="28"/>
        <v>0</v>
      </c>
      <c r="P49" t="n">
        <f t="shared" si="29"/>
        <v>0</v>
      </c>
      <c r="Q49" t="n">
        <f t="shared" si="30"/>
        <v>0</v>
      </c>
      <c r="R49" t="n">
        <f t="shared" si="31"/>
        <v>0</v>
      </c>
      <c r="S49" t="e">
        <f t="shared" si="32"/>
        <v>#N/A</v>
      </c>
      <c r="T49" t="e">
        <f t="shared" si="33"/>
        <v>#N/A</v>
      </c>
      <c r="U49" t="e">
        <f t="shared" si="34"/>
        <v>#N/A</v>
      </c>
      <c r="V49" t="e">
        <f t="shared" si="35"/>
        <v>#N/A</v>
      </c>
      <c r="W49" t="e">
        <f t="shared" si="36"/>
        <v>#N/A</v>
      </c>
      <c r="X49" t="e">
        <f t="shared" si="37"/>
        <v>#N/A</v>
      </c>
      <c r="Y49" t="e">
        <f t="shared" si="38"/>
        <v>#N/A</v>
      </c>
      <c r="Z49" t="e">
        <f t="shared" si="39"/>
        <v>#N/A</v>
      </c>
      <c r="AA49" t="e">
        <f t="shared" si="40"/>
        <v>#N/A</v>
      </c>
      <c r="AB49" t="e">
        <f t="shared" si="41"/>
        <v>#N/A</v>
      </c>
      <c r="AC49" t="e">
        <f t="shared" si="42"/>
        <v>#N/A</v>
      </c>
      <c r="AD49" t="e">
        <f t="shared" si="43"/>
        <v>#N/A</v>
      </c>
      <c r="AE49" t="e">
        <f t="shared" si="44"/>
        <v>#N/A</v>
      </c>
      <c r="AF49" t="e">
        <f t="shared" si="45"/>
        <v>#N/A</v>
      </c>
      <c r="AG49" t="e">
        <f t="shared" si="46"/>
        <v>#N/A</v>
      </c>
      <c r="AH49" t="e">
        <f t="shared" si="47"/>
        <v>#N/A</v>
      </c>
      <c r="AI49" t="e">
        <f t="shared" si="48"/>
        <v>#N/A</v>
      </c>
      <c r="AJ49" t="e">
        <f t="shared" si="49"/>
        <v>#N/A</v>
      </c>
    </row>
    <row r="50">
      <c r="A50" s="2" t="n">
        <v>46174</v>
      </c>
      <c r="B50" t="n">
        <v>704005.064389124</v>
      </c>
      <c r="C50" t="n">
        <v>362937.789666279</v>
      </c>
      <c r="D50" t="n">
        <v>148.241631055667</v>
      </c>
      <c r="E50" t="n">
        <v>14873.7006897608</v>
      </c>
      <c r="F50" t="n">
        <v>4353656.0388599</v>
      </c>
      <c r="G50" t="n">
        <v>0.0422622895429496</v>
      </c>
      <c r="H50" t="n">
        <v>0.668874023193749</v>
      </c>
      <c r="I50" t="n">
        <v>0.048564260801248</v>
      </c>
      <c r="J50" t="n">
        <v>0.04210182293627</v>
      </c>
      <c r="K50" t="s">
        <v>179</v>
      </c>
      <c r="L50" t="e">
        <f t="shared" si="25"/>
        <v>#N/A</v>
      </c>
      <c r="M50" t="e">
        <f t="shared" si="26"/>
        <v>#N/A</v>
      </c>
      <c r="N50" t="e">
        <f t="shared" si="27"/>
        <v>#N/A</v>
      </c>
      <c r="O50" t="n">
        <f t="shared" si="28"/>
        <v>0</v>
      </c>
      <c r="P50" t="n">
        <f t="shared" si="29"/>
        <v>0</v>
      </c>
      <c r="Q50" t="n">
        <f t="shared" si="30"/>
        <v>0</v>
      </c>
      <c r="R50" t="n">
        <f t="shared" si="31"/>
        <v>0</v>
      </c>
      <c r="S50" t="e">
        <f t="shared" si="32"/>
        <v>#N/A</v>
      </c>
      <c r="T50" t="e">
        <f t="shared" si="33"/>
        <v>#N/A</v>
      </c>
      <c r="U50" t="e">
        <f t="shared" si="34"/>
        <v>#N/A</v>
      </c>
      <c r="V50" t="e">
        <f t="shared" si="35"/>
        <v>#N/A</v>
      </c>
      <c r="W50" t="e">
        <f t="shared" si="36"/>
        <v>#N/A</v>
      </c>
      <c r="X50" t="e">
        <f t="shared" si="37"/>
        <v>#N/A</v>
      </c>
      <c r="Y50" t="e">
        <f t="shared" si="38"/>
        <v>#N/A</v>
      </c>
      <c r="Z50" t="e">
        <f t="shared" si="39"/>
        <v>#N/A</v>
      </c>
      <c r="AA50" t="e">
        <f t="shared" si="40"/>
        <v>#N/A</v>
      </c>
      <c r="AB50" t="e">
        <f t="shared" si="41"/>
        <v>#N/A</v>
      </c>
      <c r="AC50" t="e">
        <f t="shared" si="42"/>
        <v>#N/A</v>
      </c>
      <c r="AD50" t="e">
        <f t="shared" si="43"/>
        <v>#N/A</v>
      </c>
      <c r="AE50" t="e">
        <f t="shared" si="44"/>
        <v>#N/A</v>
      </c>
      <c r="AF50" t="e">
        <f t="shared" si="45"/>
        <v>#N/A</v>
      </c>
      <c r="AG50" t="e">
        <f t="shared" si="46"/>
        <v>#N/A</v>
      </c>
      <c r="AH50" t="e">
        <f t="shared" si="47"/>
        <v>#N/A</v>
      </c>
      <c r="AI50" t="e">
        <f t="shared" si="48"/>
        <v>#N/A</v>
      </c>
      <c r="AJ50" t="e">
        <f t="shared" si="49"/>
        <v>#N/A</v>
      </c>
    </row>
    <row r="51">
      <c r="A51" s="2" t="n">
        <v>46266</v>
      </c>
      <c r="B51"/>
      <c r="C51"/>
      <c r="D51"/>
      <c r="E51"/>
      <c r="F51"/>
      <c r="G51"/>
      <c r="H51"/>
      <c r="I51" t="n">
        <v>0.04495</v>
      </c>
      <c r="J51" t="n">
        <v>0.04919</v>
      </c>
      <c r="K51" t="s">
        <v>178</v>
      </c>
      <c r="L51" t="e">
        <f t="shared" si="25"/>
        <v>#N/A</v>
      </c>
      <c r="M51" t="e">
        <f t="shared" si="26"/>
        <v>#N/A</v>
      </c>
      <c r="N51" t="e">
        <f t="shared" si="27"/>
        <v>#N/A</v>
      </c>
      <c r="O51" t="n">
        <f t="shared" si="28"/>
        <v>0</v>
      </c>
      <c r="P51" t="n">
        <f t="shared" si="29"/>
        <v>0</v>
      </c>
      <c r="Q51" t="n">
        <f t="shared" si="30"/>
        <v>0</v>
      </c>
      <c r="R51" t="n">
        <f t="shared" si="31"/>
        <v>0</v>
      </c>
      <c r="S51" t="e">
        <f t="shared" si="32"/>
        <v>#N/A</v>
      </c>
      <c r="T51" t="e">
        <f t="shared" si="33"/>
        <v>#N/A</v>
      </c>
      <c r="U51" t="e">
        <f t="shared" si="34"/>
        <v>#N/A</v>
      </c>
      <c r="V51" t="e">
        <f t="shared" si="35"/>
        <v>#N/A</v>
      </c>
      <c r="W51" t="e">
        <f t="shared" si="36"/>
        <v>#N/A</v>
      </c>
      <c r="X51" t="e">
        <f t="shared" si="37"/>
        <v>#N/A</v>
      </c>
      <c r="Y51" t="e">
        <f t="shared" si="38"/>
        <v>#N/A</v>
      </c>
      <c r="Z51" t="e">
        <f t="shared" si="39"/>
        <v>#N/A</v>
      </c>
      <c r="AA51" t="e">
        <f t="shared" si="40"/>
        <v>#N/A</v>
      </c>
      <c r="AB51" t="e">
        <f t="shared" si="41"/>
        <v>#N/A</v>
      </c>
      <c r="AC51" t="e">
        <f t="shared" si="42"/>
        <v>#N/A</v>
      </c>
      <c r="AD51" t="e">
        <f t="shared" si="43"/>
        <v>#N/A</v>
      </c>
      <c r="AE51" t="e">
        <f t="shared" si="44"/>
        <v>#N/A</v>
      </c>
      <c r="AF51" t="e">
        <f t="shared" si="45"/>
        <v>#N/A</v>
      </c>
      <c r="AG51" t="e">
        <f t="shared" si="46"/>
        <v>#N/A</v>
      </c>
      <c r="AH51" t="e">
        <f t="shared" si="47"/>
        <v>#N/A</v>
      </c>
      <c r="AI51" t="e">
        <f t="shared" si="48"/>
        <v>#N/A</v>
      </c>
      <c r="AJ51" t="e">
        <f t="shared" si="49"/>
        <v>#N/A</v>
      </c>
    </row>
    <row r="52">
      <c r="A52" s="2" t="n">
        <v>46266</v>
      </c>
      <c r="B52" t="n">
        <v>714552.93586156</v>
      </c>
      <c r="C52" t="n">
        <v>366473.809550388</v>
      </c>
      <c r="D52" t="n">
        <v>150.062869922578</v>
      </c>
      <c r="E52" t="n">
        <v>14979.6239936873</v>
      </c>
      <c r="F52" t="n">
        <v>4384452.67298778</v>
      </c>
      <c r="G52" t="n">
        <v>0.0397043761566259</v>
      </c>
      <c r="H52" t="n">
        <v>0.669265864313209</v>
      </c>
      <c r="I52" t="n">
        <v>0.0574900449324341</v>
      </c>
      <c r="J52" t="n">
        <v>0.042877278420556</v>
      </c>
      <c r="K52" t="s">
        <v>179</v>
      </c>
      <c r="L52" t="e">
        <f t="shared" si="25"/>
        <v>#N/A</v>
      </c>
      <c r="M52" t="e">
        <f t="shared" si="26"/>
        <v>#N/A</v>
      </c>
      <c r="N52" t="e">
        <f t="shared" si="27"/>
        <v>#N/A</v>
      </c>
      <c r="O52" t="n">
        <f t="shared" si="28"/>
        <v>0</v>
      </c>
      <c r="P52" t="n">
        <f t="shared" si="29"/>
        <v>0</v>
      </c>
      <c r="Q52" t="n">
        <f t="shared" si="30"/>
        <v>0</v>
      </c>
      <c r="R52" t="n">
        <f t="shared" si="31"/>
        <v>0</v>
      </c>
      <c r="S52" t="e">
        <f t="shared" si="32"/>
        <v>#N/A</v>
      </c>
      <c r="T52" t="e">
        <f t="shared" si="33"/>
        <v>#N/A</v>
      </c>
      <c r="U52" t="e">
        <f t="shared" si="34"/>
        <v>#N/A</v>
      </c>
      <c r="V52" t="e">
        <f t="shared" si="35"/>
        <v>#N/A</v>
      </c>
      <c r="W52" t="e">
        <f t="shared" si="36"/>
        <v>#N/A</v>
      </c>
      <c r="X52" t="e">
        <f t="shared" si="37"/>
        <v>#N/A</v>
      </c>
      <c r="Y52" t="e">
        <f t="shared" si="38"/>
        <v>#N/A</v>
      </c>
      <c r="Z52" t="e">
        <f t="shared" si="39"/>
        <v>#N/A</v>
      </c>
      <c r="AA52" t="e">
        <f t="shared" si="40"/>
        <v>#N/A</v>
      </c>
      <c r="AB52" t="e">
        <f t="shared" si="41"/>
        <v>#N/A</v>
      </c>
      <c r="AC52" t="e">
        <f t="shared" si="42"/>
        <v>#N/A</v>
      </c>
      <c r="AD52" t="e">
        <f t="shared" si="43"/>
        <v>#N/A</v>
      </c>
      <c r="AE52" t="e">
        <f t="shared" si="44"/>
        <v>#N/A</v>
      </c>
      <c r="AF52" t="e">
        <f t="shared" si="45"/>
        <v>#N/A</v>
      </c>
      <c r="AG52" t="e">
        <f t="shared" si="46"/>
        <v>#N/A</v>
      </c>
      <c r="AH52" t="e">
        <f t="shared" si="47"/>
        <v>#N/A</v>
      </c>
      <c r="AI52" t="e">
        <f t="shared" si="48"/>
        <v>#N/A</v>
      </c>
      <c r="AJ52" t="e">
        <f t="shared" si="49"/>
        <v>#N/A</v>
      </c>
    </row>
    <row r="53">
      <c r="A53" s="2" t="n">
        <v>46357</v>
      </c>
      <c r="B53" t="n">
        <v>719337.992559658</v>
      </c>
      <c r="C53" t="n">
        <v>369339.814282417</v>
      </c>
      <c r="D53" t="n">
        <v>151.913210100911</v>
      </c>
      <c r="E53" t="n">
        <v>15073.6227619722</v>
      </c>
      <c r="F53" t="n">
        <v>4407585.69186157</v>
      </c>
      <c r="G53" t="n">
        <v>0.0384188223965749</v>
      </c>
      <c r="H53" t="n">
        <v>0.669992092008903</v>
      </c>
      <c r="I53" t="n">
        <v>0.0652008442306751</v>
      </c>
      <c r="J53" t="n">
        <v>0.0440684594932849</v>
      </c>
      <c r="K53" t="s">
        <v>179</v>
      </c>
      <c r="L53" t="e">
        <f t="shared" si="25"/>
        <v>#N/A</v>
      </c>
      <c r="M53" t="e">
        <f t="shared" si="26"/>
        <v>#N/A</v>
      </c>
      <c r="N53" t="e">
        <f t="shared" si="27"/>
        <v>#N/A</v>
      </c>
      <c r="O53" t="n">
        <f t="shared" si="28"/>
        <v>0</v>
      </c>
      <c r="P53" t="n">
        <f t="shared" si="29"/>
        <v>0</v>
      </c>
      <c r="Q53" t="n">
        <f t="shared" si="30"/>
        <v>0</v>
      </c>
      <c r="R53" t="n">
        <f t="shared" si="31"/>
        <v>0</v>
      </c>
      <c r="S53" t="e">
        <f t="shared" si="32"/>
        <v>#N/A</v>
      </c>
      <c r="T53" t="e">
        <f t="shared" si="33"/>
        <v>#N/A</v>
      </c>
      <c r="U53" t="e">
        <f t="shared" si="34"/>
        <v>#N/A</v>
      </c>
      <c r="V53" t="e">
        <f t="shared" si="35"/>
        <v>#N/A</v>
      </c>
      <c r="W53" t="e">
        <f t="shared" si="36"/>
        <v>#N/A</v>
      </c>
      <c r="X53" t="e">
        <f t="shared" si="37"/>
        <v>#N/A</v>
      </c>
      <c r="Y53" t="e">
        <f t="shared" si="38"/>
        <v>#N/A</v>
      </c>
      <c r="Z53" t="e">
        <f t="shared" si="39"/>
        <v>#N/A</v>
      </c>
      <c r="AA53" t="e">
        <f t="shared" si="40"/>
        <v>#N/A</v>
      </c>
      <c r="AB53" t="e">
        <f t="shared" si="41"/>
        <v>#N/A</v>
      </c>
      <c r="AC53" t="e">
        <f t="shared" si="42"/>
        <v>#N/A</v>
      </c>
      <c r="AD53" t="e">
        <f t="shared" si="43"/>
        <v>#N/A</v>
      </c>
      <c r="AE53" t="e">
        <f t="shared" si="44"/>
        <v>#N/A</v>
      </c>
      <c r="AF53" t="e">
        <f t="shared" si="45"/>
        <v>#N/A</v>
      </c>
      <c r="AG53" t="e">
        <f t="shared" si="46"/>
        <v>#N/A</v>
      </c>
      <c r="AH53" t="e">
        <f t="shared" si="47"/>
        <v>#N/A</v>
      </c>
      <c r="AI53" t="e">
        <f t="shared" si="48"/>
        <v>#N/A</v>
      </c>
      <c r="AJ53" t="e">
        <f t="shared" si="49"/>
        <v>#N/A</v>
      </c>
    </row>
    <row r="54">
      <c r="A54" s="2" t="n">
        <v>46447</v>
      </c>
      <c r="B54" t="n">
        <v>724256.765829046</v>
      </c>
      <c r="C54" t="n">
        <v>371785.376433554</v>
      </c>
      <c r="D54" t="n">
        <v>153.807079270962</v>
      </c>
      <c r="E54" t="n">
        <v>15154.7536053024</v>
      </c>
      <c r="F54" t="n">
        <v>4424330.47025098</v>
      </c>
      <c r="G54" t="n">
        <v>0.0377529827519163</v>
      </c>
      <c r="H54" t="n">
        <v>0.670563620862076</v>
      </c>
      <c r="I54" t="n">
        <v>0.0709882041567446</v>
      </c>
      <c r="J54" t="n">
        <v>0.0455302835228866</v>
      </c>
      <c r="K54" t="s">
        <v>179</v>
      </c>
      <c r="L54" t="e">
        <f t="shared" si="25"/>
        <v>#N/A</v>
      </c>
      <c r="M54" t="e">
        <f t="shared" si="26"/>
        <v>#N/A</v>
      </c>
      <c r="N54" t="e">
        <f t="shared" si="27"/>
        <v>#N/A</v>
      </c>
      <c r="O54" t="n">
        <f t="shared" si="28"/>
        <v>0</v>
      </c>
      <c r="P54" t="n">
        <f t="shared" si="29"/>
        <v>0</v>
      </c>
      <c r="Q54" t="n">
        <f t="shared" si="30"/>
        <v>0</v>
      </c>
      <c r="R54" t="n">
        <f t="shared" si="31"/>
        <v>0</v>
      </c>
      <c r="S54" t="e">
        <f t="shared" si="32"/>
        <v>#N/A</v>
      </c>
      <c r="T54" t="e">
        <f t="shared" si="33"/>
        <v>#N/A</v>
      </c>
      <c r="U54" t="e">
        <f t="shared" si="34"/>
        <v>#N/A</v>
      </c>
      <c r="V54" t="e">
        <f t="shared" si="35"/>
        <v>#N/A</v>
      </c>
      <c r="W54" t="e">
        <f t="shared" si="36"/>
        <v>#N/A</v>
      </c>
      <c r="X54" t="e">
        <f t="shared" si="37"/>
        <v>#N/A</v>
      </c>
      <c r="Y54" t="e">
        <f t="shared" si="38"/>
        <v>#N/A</v>
      </c>
      <c r="Z54" t="e">
        <f t="shared" si="39"/>
        <v>#N/A</v>
      </c>
      <c r="AA54" t="e">
        <f t="shared" si="40"/>
        <v>#N/A</v>
      </c>
      <c r="AB54" t="e">
        <f t="shared" si="41"/>
        <v>#N/A</v>
      </c>
      <c r="AC54" t="e">
        <f t="shared" si="42"/>
        <v>#N/A</v>
      </c>
      <c r="AD54" t="e">
        <f t="shared" si="43"/>
        <v>#N/A</v>
      </c>
      <c r="AE54" t="e">
        <f t="shared" si="44"/>
        <v>#N/A</v>
      </c>
      <c r="AF54" t="e">
        <f t="shared" si="45"/>
        <v>#N/A</v>
      </c>
      <c r="AG54" t="e">
        <f t="shared" si="46"/>
        <v>#N/A</v>
      </c>
      <c r="AH54" t="e">
        <f t="shared" si="47"/>
        <v>#N/A</v>
      </c>
      <c r="AI54" t="e">
        <f t="shared" si="48"/>
        <v>#N/A</v>
      </c>
      <c r="AJ54" t="e">
        <f t="shared" si="49"/>
        <v>#N/A</v>
      </c>
    </row>
    <row r="55">
      <c r="A55" s="2" t="n">
        <v>46539</v>
      </c>
      <c r="B55" t="n">
        <v>728826.008025022</v>
      </c>
      <c r="C55" t="n">
        <v>373790.180930009</v>
      </c>
      <c r="D55" t="n">
        <v>155.737810677994</v>
      </c>
      <c r="E55" t="n">
        <v>15223.4317295647</v>
      </c>
      <c r="F55" t="n">
        <v>4435449.47915343</v>
      </c>
      <c r="G55" t="n">
        <v>0.0374515894401633</v>
      </c>
      <c r="H55" t="n">
        <v>0.670828879735494</v>
      </c>
      <c r="I55" t="n">
        <v>0.0757193581888692</v>
      </c>
      <c r="J55" t="n">
        <v>0.0471802047779933</v>
      </c>
      <c r="K55" t="s">
        <v>179</v>
      </c>
      <c r="L55" t="e">
        <f t="shared" si="25"/>
        <v>#N/A</v>
      </c>
      <c r="M55" t="e">
        <f t="shared" si="26"/>
        <v>#N/A</v>
      </c>
      <c r="N55" t="e">
        <f t="shared" si="27"/>
        <v>#N/A</v>
      </c>
      <c r="O55" t="n">
        <f t="shared" si="28"/>
        <v>0</v>
      </c>
      <c r="P55" t="n">
        <f t="shared" si="29"/>
        <v>0</v>
      </c>
      <c r="Q55" t="n">
        <f t="shared" si="30"/>
        <v>0</v>
      </c>
      <c r="R55" t="n">
        <f t="shared" si="31"/>
        <v>0</v>
      </c>
      <c r="S55" t="e">
        <f t="shared" si="32"/>
        <v>#N/A</v>
      </c>
      <c r="T55" t="e">
        <f t="shared" si="33"/>
        <v>#N/A</v>
      </c>
      <c r="U55" t="e">
        <f t="shared" si="34"/>
        <v>#N/A</v>
      </c>
      <c r="V55" t="e">
        <f t="shared" si="35"/>
        <v>#N/A</v>
      </c>
      <c r="W55" t="e">
        <f t="shared" si="36"/>
        <v>#N/A</v>
      </c>
      <c r="X55" t="e">
        <f t="shared" si="37"/>
        <v>#N/A</v>
      </c>
      <c r="Y55" t="e">
        <f t="shared" si="38"/>
        <v>#N/A</v>
      </c>
      <c r="Z55" t="e">
        <f t="shared" si="39"/>
        <v>#N/A</v>
      </c>
      <c r="AA55" t="e">
        <f t="shared" si="40"/>
        <v>#N/A</v>
      </c>
      <c r="AB55" t="e">
        <f t="shared" si="41"/>
        <v>#N/A</v>
      </c>
      <c r="AC55" t="e">
        <f t="shared" si="42"/>
        <v>#N/A</v>
      </c>
      <c r="AD55" t="e">
        <f t="shared" si="43"/>
        <v>#N/A</v>
      </c>
      <c r="AE55" t="e">
        <f t="shared" si="44"/>
        <v>#N/A</v>
      </c>
      <c r="AF55" t="e">
        <f t="shared" si="45"/>
        <v>#N/A</v>
      </c>
      <c r="AG55" t="e">
        <f t="shared" si="46"/>
        <v>#N/A</v>
      </c>
      <c r="AH55" t="e">
        <f t="shared" si="47"/>
        <v>#N/A</v>
      </c>
      <c r="AI55" t="e">
        <f t="shared" si="48"/>
        <v>#N/A</v>
      </c>
      <c r="AJ55" t="e">
        <f t="shared" si="49"/>
        <v>#N/A</v>
      </c>
    </row>
    <row r="56">
      <c r="A56" s="2" t="n">
        <v>46631</v>
      </c>
      <c r="B56" t="n">
        <v>732269.61534342</v>
      </c>
      <c r="C56" t="n">
        <v>375539.160539227</v>
      </c>
      <c r="D56" t="n">
        <v>157.676999581605</v>
      </c>
      <c r="E56" t="n">
        <v>15278.9814737081</v>
      </c>
      <c r="F56" t="n">
        <v>4439349.12680686</v>
      </c>
      <c r="G56" t="n">
        <v>0.0377614085617731</v>
      </c>
      <c r="H56" t="n">
        <v>0.671058690849045</v>
      </c>
      <c r="I56" t="n">
        <v>0.078482052044651</v>
      </c>
      <c r="J56" t="n">
        <v>0.0488858688062876</v>
      </c>
      <c r="K56" t="s">
        <v>179</v>
      </c>
      <c r="L56" t="e">
        <f t="shared" si="25"/>
        <v>#N/A</v>
      </c>
      <c r="M56" t="e">
        <f t="shared" si="26"/>
        <v>#N/A</v>
      </c>
      <c r="N56" t="e">
        <f t="shared" si="27"/>
        <v>#N/A</v>
      </c>
      <c r="O56" t="n">
        <f t="shared" si="28"/>
        <v>0</v>
      </c>
      <c r="P56" t="n">
        <f t="shared" si="29"/>
        <v>0</v>
      </c>
      <c r="Q56" t="n">
        <f t="shared" si="30"/>
        <v>0</v>
      </c>
      <c r="R56" t="n">
        <f t="shared" si="31"/>
        <v>0</v>
      </c>
      <c r="S56" t="e">
        <f t="shared" si="32"/>
        <v>#N/A</v>
      </c>
      <c r="T56" t="e">
        <f t="shared" si="33"/>
        <v>#N/A</v>
      </c>
      <c r="U56" t="e">
        <f t="shared" si="34"/>
        <v>#N/A</v>
      </c>
      <c r="V56" t="e">
        <f t="shared" si="35"/>
        <v>#N/A</v>
      </c>
      <c r="W56" t="e">
        <f t="shared" si="36"/>
        <v>#N/A</v>
      </c>
      <c r="X56" t="e">
        <f t="shared" si="37"/>
        <v>#N/A</v>
      </c>
      <c r="Y56" t="e">
        <f t="shared" si="38"/>
        <v>#N/A</v>
      </c>
      <c r="Z56" t="e">
        <f t="shared" si="39"/>
        <v>#N/A</v>
      </c>
      <c r="AA56" t="e">
        <f t="shared" si="40"/>
        <v>#N/A</v>
      </c>
      <c r="AB56" t="e">
        <f t="shared" si="41"/>
        <v>#N/A</v>
      </c>
      <c r="AC56" t="e">
        <f t="shared" si="42"/>
        <v>#N/A</v>
      </c>
      <c r="AD56" t="e">
        <f t="shared" si="43"/>
        <v>#N/A</v>
      </c>
      <c r="AE56" t="e">
        <f t="shared" si="44"/>
        <v>#N/A</v>
      </c>
      <c r="AF56" t="e">
        <f t="shared" si="45"/>
        <v>#N/A</v>
      </c>
      <c r="AG56" t="e">
        <f t="shared" si="46"/>
        <v>#N/A</v>
      </c>
      <c r="AH56" t="e">
        <f t="shared" si="47"/>
        <v>#N/A</v>
      </c>
      <c r="AI56" t="e">
        <f t="shared" si="48"/>
        <v>#N/A</v>
      </c>
      <c r="AJ56" t="e">
        <f t="shared" si="49"/>
        <v>#N/A</v>
      </c>
    </row>
    <row r="57">
      <c r="A57" s="2" t="n">
        <v>46722</v>
      </c>
      <c r="B57" t="n">
        <v>736143.756310264</v>
      </c>
      <c r="C57" t="n">
        <v>377359.172118566</v>
      </c>
      <c r="D57" t="n">
        <v>159.617705393002</v>
      </c>
      <c r="E57" t="n">
        <v>15327.5557187814</v>
      </c>
      <c r="F57" t="n">
        <v>4440127.33759172</v>
      </c>
      <c r="G57" t="n">
        <v>0.0382422909373827</v>
      </c>
      <c r="H57" t="n">
        <v>0.671099902521527</v>
      </c>
      <c r="I57" t="n">
        <v>0.0800725952304393</v>
      </c>
      <c r="J57" t="n">
        <v>0.050572285043336</v>
      </c>
      <c r="K57" t="s">
        <v>179</v>
      </c>
      <c r="L57" t="e">
        <f t="shared" si="25"/>
        <v>#N/A</v>
      </c>
      <c r="M57" t="e">
        <f t="shared" si="26"/>
        <v>#N/A</v>
      </c>
      <c r="N57" t="e">
        <f t="shared" si="27"/>
        <v>#N/A</v>
      </c>
      <c r="O57" t="n">
        <f t="shared" si="28"/>
        <v>0</v>
      </c>
      <c r="P57" t="n">
        <f t="shared" si="29"/>
        <v>0</v>
      </c>
      <c r="Q57" t="n">
        <f t="shared" si="30"/>
        <v>0</v>
      </c>
      <c r="R57" t="n">
        <f t="shared" si="31"/>
        <v>0</v>
      </c>
      <c r="S57" t="e">
        <f t="shared" si="32"/>
        <v>#N/A</v>
      </c>
      <c r="T57" t="e">
        <f t="shared" si="33"/>
        <v>#N/A</v>
      </c>
      <c r="U57" t="e">
        <f t="shared" si="34"/>
        <v>#N/A</v>
      </c>
      <c r="V57" t="e">
        <f t="shared" si="35"/>
        <v>#N/A</v>
      </c>
      <c r="W57" t="e">
        <f t="shared" si="36"/>
        <v>#N/A</v>
      </c>
      <c r="X57" t="e">
        <f t="shared" si="37"/>
        <v>#N/A</v>
      </c>
      <c r="Y57" t="e">
        <f t="shared" si="38"/>
        <v>#N/A</v>
      </c>
      <c r="Z57" t="e">
        <f t="shared" si="39"/>
        <v>#N/A</v>
      </c>
      <c r="AA57" t="e">
        <f t="shared" si="40"/>
        <v>#N/A</v>
      </c>
      <c r="AB57" t="e">
        <f t="shared" si="41"/>
        <v>#N/A</v>
      </c>
      <c r="AC57" t="e">
        <f t="shared" si="42"/>
        <v>#N/A</v>
      </c>
      <c r="AD57" t="e">
        <f t="shared" si="43"/>
        <v>#N/A</v>
      </c>
      <c r="AE57" t="e">
        <f t="shared" si="44"/>
        <v>#N/A</v>
      </c>
      <c r="AF57" t="e">
        <f t="shared" si="45"/>
        <v>#N/A</v>
      </c>
      <c r="AG57" t="e">
        <f t="shared" si="46"/>
        <v>#N/A</v>
      </c>
      <c r="AH57" t="e">
        <f t="shared" si="47"/>
        <v>#N/A</v>
      </c>
      <c r="AI57" t="e">
        <f t="shared" si="48"/>
        <v>#N/A</v>
      </c>
      <c r="AJ57" t="e">
        <f t="shared" si="49"/>
        <v>#N/A</v>
      </c>
    </row>
    <row r="58">
      <c r="A58" s="2" t="n">
        <v>46813</v>
      </c>
      <c r="B58" t="n">
        <v>739872.036054429</v>
      </c>
      <c r="C58" t="n">
        <v>379195.880901556</v>
      </c>
      <c r="D58" t="n">
        <v>161.54507457248</v>
      </c>
      <c r="E58" t="n">
        <v>15371.4471386894</v>
      </c>
      <c r="F58" t="n">
        <v>4438398.27222015</v>
      </c>
      <c r="G58" t="n">
        <v>0.0389194502846442</v>
      </c>
      <c r="H58" t="n">
        <v>0.671073274359972</v>
      </c>
      <c r="I58" t="n">
        <v>0.0804565319409796</v>
      </c>
      <c r="J58" t="n">
        <v>0.0521674640460337</v>
      </c>
      <c r="K58" t="s">
        <v>179</v>
      </c>
      <c r="L58" t="e">
        <f t="shared" si="25"/>
        <v>#N/A</v>
      </c>
      <c r="M58" t="e">
        <f t="shared" si="26"/>
        <v>#N/A</v>
      </c>
      <c r="N58" t="e">
        <f t="shared" si="27"/>
        <v>#N/A</v>
      </c>
      <c r="O58" t="n">
        <f t="shared" si="28"/>
        <v>0</v>
      </c>
      <c r="P58" t="n">
        <f t="shared" si="29"/>
        <v>0</v>
      </c>
      <c r="Q58" t="n">
        <f t="shared" si="30"/>
        <v>0</v>
      </c>
      <c r="R58" t="n">
        <f t="shared" si="31"/>
        <v>0</v>
      </c>
      <c r="S58" t="e">
        <f t="shared" si="32"/>
        <v>#N/A</v>
      </c>
      <c r="T58" t="e">
        <f t="shared" si="33"/>
        <v>#N/A</v>
      </c>
      <c r="U58" t="e">
        <f t="shared" si="34"/>
        <v>#N/A</v>
      </c>
      <c r="V58" t="e">
        <f t="shared" si="35"/>
        <v>#N/A</v>
      </c>
      <c r="W58" t="e">
        <f t="shared" si="36"/>
        <v>#N/A</v>
      </c>
      <c r="X58" t="e">
        <f t="shared" si="37"/>
        <v>#N/A</v>
      </c>
      <c r="Y58" t="e">
        <f t="shared" si="38"/>
        <v>#N/A</v>
      </c>
      <c r="Z58" t="e">
        <f t="shared" si="39"/>
        <v>#N/A</v>
      </c>
      <c r="AA58" t="e">
        <f t="shared" si="40"/>
        <v>#N/A</v>
      </c>
      <c r="AB58" t="e">
        <f t="shared" si="41"/>
        <v>#N/A</v>
      </c>
      <c r="AC58" t="e">
        <f t="shared" si="42"/>
        <v>#N/A</v>
      </c>
      <c r="AD58" t="e">
        <f t="shared" si="43"/>
        <v>#N/A</v>
      </c>
      <c r="AE58" t="e">
        <f t="shared" si="44"/>
        <v>#N/A</v>
      </c>
      <c r="AF58" t="e">
        <f t="shared" si="45"/>
        <v>#N/A</v>
      </c>
      <c r="AG58" t="e">
        <f t="shared" si="46"/>
        <v>#N/A</v>
      </c>
      <c r="AH58" t="e">
        <f t="shared" si="47"/>
        <v>#N/A</v>
      </c>
      <c r="AI58" t="e">
        <f t="shared" si="48"/>
        <v>#N/A</v>
      </c>
      <c r="AJ58" t="e">
        <f t="shared" si="49"/>
        <v>#N/A</v>
      </c>
    </row>
    <row r="59">
      <c r="A59" s="2" t="n">
        <v>46905</v>
      </c>
      <c r="B59" t="n">
        <v>743482.735925008</v>
      </c>
      <c r="C59" t="n">
        <v>380837.882653327</v>
      </c>
      <c r="D59" t="n">
        <v>163.438775844355</v>
      </c>
      <c r="E59" t="n">
        <v>15411.0513046542</v>
      </c>
      <c r="F59" t="n">
        <v>4434578.77341717</v>
      </c>
      <c r="G59" t="n">
        <v>0.0397459318085481</v>
      </c>
      <c r="H59" t="n">
        <v>0.670965270697196</v>
      </c>
      <c r="I59" t="n">
        <v>0.0796686129262509</v>
      </c>
      <c r="J59" t="n">
        <v>0.0536064176704616</v>
      </c>
      <c r="K59" t="s">
        <v>179</v>
      </c>
      <c r="L59" t="e">
        <f t="shared" si="25"/>
        <v>#N/A</v>
      </c>
      <c r="M59" t="e">
        <f t="shared" si="26"/>
        <v>#N/A</v>
      </c>
      <c r="N59" t="e">
        <f t="shared" si="27"/>
        <v>#N/A</v>
      </c>
      <c r="O59" t="n">
        <f t="shared" si="28"/>
        <v>0</v>
      </c>
      <c r="P59" t="n">
        <f t="shared" si="29"/>
        <v>0</v>
      </c>
      <c r="Q59" t="n">
        <f t="shared" si="30"/>
        <v>0</v>
      </c>
      <c r="R59" t="n">
        <f t="shared" si="31"/>
        <v>0</v>
      </c>
      <c r="S59" t="e">
        <f t="shared" si="32"/>
        <v>#N/A</v>
      </c>
      <c r="T59" t="e">
        <f t="shared" si="33"/>
        <v>#N/A</v>
      </c>
      <c r="U59" t="e">
        <f t="shared" si="34"/>
        <v>#N/A</v>
      </c>
      <c r="V59" t="e">
        <f t="shared" si="35"/>
        <v>#N/A</v>
      </c>
      <c r="W59" t="e">
        <f t="shared" si="36"/>
        <v>#N/A</v>
      </c>
      <c r="X59" t="e">
        <f t="shared" si="37"/>
        <v>#N/A</v>
      </c>
      <c r="Y59" t="e">
        <f t="shared" si="38"/>
        <v>#N/A</v>
      </c>
      <c r="Z59" t="e">
        <f t="shared" si="39"/>
        <v>#N/A</v>
      </c>
      <c r="AA59" t="e">
        <f t="shared" si="40"/>
        <v>#N/A</v>
      </c>
      <c r="AB59" t="e">
        <f t="shared" si="41"/>
        <v>#N/A</v>
      </c>
      <c r="AC59" t="e">
        <f t="shared" si="42"/>
        <v>#N/A</v>
      </c>
      <c r="AD59" t="e">
        <f t="shared" si="43"/>
        <v>#N/A</v>
      </c>
      <c r="AE59" t="e">
        <f t="shared" si="44"/>
        <v>#N/A</v>
      </c>
      <c r="AF59" t="e">
        <f t="shared" si="45"/>
        <v>#N/A</v>
      </c>
      <c r="AG59" t="e">
        <f t="shared" si="46"/>
        <v>#N/A</v>
      </c>
      <c r="AH59" t="e">
        <f t="shared" si="47"/>
        <v>#N/A</v>
      </c>
      <c r="AI59" t="e">
        <f t="shared" si="48"/>
        <v>#N/A</v>
      </c>
      <c r="AJ59" t="e">
        <f t="shared" si="49"/>
        <v>#N/A</v>
      </c>
    </row>
    <row r="60">
      <c r="A60" s="2" t="n">
        <v>46997</v>
      </c>
      <c r="B60" t="n">
        <v>745856.57694317</v>
      </c>
      <c r="C60" t="n">
        <v>382332.873153968</v>
      </c>
      <c r="D60" t="n">
        <v>165.302610326867</v>
      </c>
      <c r="E60" t="n">
        <v>15438.1692116841</v>
      </c>
      <c r="F60" t="n">
        <v>4426401.69076955</v>
      </c>
      <c r="G60" t="n">
        <v>0.0411742074325166</v>
      </c>
      <c r="H60" t="n">
        <v>0.670772055868517</v>
      </c>
      <c r="I60" t="n">
        <v>0.0771015656263362</v>
      </c>
      <c r="J60" t="n">
        <v>0.0547916828797798</v>
      </c>
      <c r="K60" t="s">
        <v>179</v>
      </c>
      <c r="L60" t="e">
        <f t="shared" si="25"/>
        <v>#N/A</v>
      </c>
      <c r="M60" t="e">
        <f t="shared" si="26"/>
        <v>#N/A</v>
      </c>
      <c r="N60" t="e">
        <f t="shared" si="27"/>
        <v>#N/A</v>
      </c>
      <c r="O60" t="n">
        <f t="shared" si="28"/>
        <v>0</v>
      </c>
      <c r="P60" t="n">
        <f t="shared" si="29"/>
        <v>0</v>
      </c>
      <c r="Q60" t="n">
        <f t="shared" si="30"/>
        <v>0</v>
      </c>
      <c r="R60" t="n">
        <f t="shared" si="31"/>
        <v>0</v>
      </c>
      <c r="S60" t="e">
        <f t="shared" si="32"/>
        <v>#N/A</v>
      </c>
      <c r="T60" t="e">
        <f t="shared" si="33"/>
        <v>#N/A</v>
      </c>
      <c r="U60" t="e">
        <f t="shared" si="34"/>
        <v>#N/A</v>
      </c>
      <c r="V60" t="e">
        <f t="shared" si="35"/>
        <v>#N/A</v>
      </c>
      <c r="W60" t="e">
        <f t="shared" si="36"/>
        <v>#N/A</v>
      </c>
      <c r="X60" t="e">
        <f t="shared" si="37"/>
        <v>#N/A</v>
      </c>
      <c r="Y60" t="e">
        <f t="shared" si="38"/>
        <v>#N/A</v>
      </c>
      <c r="Z60" t="e">
        <f t="shared" si="39"/>
        <v>#N/A</v>
      </c>
      <c r="AA60" t="e">
        <f t="shared" si="40"/>
        <v>#N/A</v>
      </c>
      <c r="AB60" t="e">
        <f t="shared" si="41"/>
        <v>#N/A</v>
      </c>
      <c r="AC60" t="e">
        <f t="shared" si="42"/>
        <v>#N/A</v>
      </c>
      <c r="AD60" t="e">
        <f t="shared" si="43"/>
        <v>#N/A</v>
      </c>
      <c r="AE60" t="e">
        <f t="shared" si="44"/>
        <v>#N/A</v>
      </c>
      <c r="AF60" t="e">
        <f t="shared" si="45"/>
        <v>#N/A</v>
      </c>
      <c r="AG60" t="e">
        <f t="shared" si="46"/>
        <v>#N/A</v>
      </c>
      <c r="AH60" t="e">
        <f t="shared" si="47"/>
        <v>#N/A</v>
      </c>
      <c r="AI60" t="e">
        <f t="shared" si="48"/>
        <v>#N/A</v>
      </c>
      <c r="AJ60" t="e">
        <f t="shared" si="49"/>
        <v>#N/A</v>
      </c>
    </row>
    <row r="61">
      <c r="A61" s="2" t="n">
        <v>47088</v>
      </c>
      <c r="B61" t="n">
        <v>748707.895668934</v>
      </c>
      <c r="C61" t="n">
        <v>384044.25336919</v>
      </c>
      <c r="D61" t="n">
        <v>167.147037406829</v>
      </c>
      <c r="E61" t="n">
        <v>15462.5236798803</v>
      </c>
      <c r="F61" t="n">
        <v>4417903.81265247</v>
      </c>
      <c r="G61" t="n">
        <v>0.042576611386634</v>
      </c>
      <c r="H61" t="n">
        <v>0.67044649759709</v>
      </c>
      <c r="I61" t="n">
        <v>0.0738597386672685</v>
      </c>
      <c r="J61" t="n">
        <v>0.0556995025740107</v>
      </c>
      <c r="K61" t="s">
        <v>179</v>
      </c>
      <c r="L61" t="e">
        <f t="shared" si="25"/>
        <v>#N/A</v>
      </c>
      <c r="M61" t="e">
        <f t="shared" si="26"/>
        <v>#N/A</v>
      </c>
      <c r="N61" t="e">
        <f t="shared" si="27"/>
        <v>#N/A</v>
      </c>
      <c r="O61" t="n">
        <f t="shared" si="28"/>
        <v>0</v>
      </c>
      <c r="P61" t="n">
        <f t="shared" si="29"/>
        <v>0</v>
      </c>
      <c r="Q61" t="n">
        <f t="shared" si="30"/>
        <v>0</v>
      </c>
      <c r="R61" t="n">
        <f t="shared" si="31"/>
        <v>0</v>
      </c>
      <c r="S61" t="e">
        <f t="shared" si="32"/>
        <v>#N/A</v>
      </c>
      <c r="T61" t="e">
        <f t="shared" si="33"/>
        <v>#N/A</v>
      </c>
      <c r="U61" t="e">
        <f t="shared" si="34"/>
        <v>#N/A</v>
      </c>
      <c r="V61" t="e">
        <f t="shared" si="35"/>
        <v>#N/A</v>
      </c>
      <c r="W61" t="e">
        <f t="shared" si="36"/>
        <v>#N/A</v>
      </c>
      <c r="X61" t="e">
        <f t="shared" si="37"/>
        <v>#N/A</v>
      </c>
      <c r="Y61" t="e">
        <f t="shared" si="38"/>
        <v>#N/A</v>
      </c>
      <c r="Z61" t="e">
        <f t="shared" si="39"/>
        <v>#N/A</v>
      </c>
      <c r="AA61" t="e">
        <f t="shared" si="40"/>
        <v>#N/A</v>
      </c>
      <c r="AB61" t="e">
        <f t="shared" si="41"/>
        <v>#N/A</v>
      </c>
      <c r="AC61" t="e">
        <f t="shared" si="42"/>
        <v>#N/A</v>
      </c>
      <c r="AD61" t="e">
        <f t="shared" si="43"/>
        <v>#N/A</v>
      </c>
      <c r="AE61" t="e">
        <f t="shared" si="44"/>
        <v>#N/A</v>
      </c>
      <c r="AF61" t="e">
        <f t="shared" si="45"/>
        <v>#N/A</v>
      </c>
      <c r="AG61" t="e">
        <f t="shared" si="46"/>
        <v>#N/A</v>
      </c>
      <c r="AH61" t="e">
        <f t="shared" si="47"/>
        <v>#N/A</v>
      </c>
      <c r="AI61" t="e">
        <f t="shared" si="48"/>
        <v>#N/A</v>
      </c>
      <c r="AJ61" t="e">
        <f t="shared" si="49"/>
        <v>#N/A</v>
      </c>
    </row>
    <row r="62">
      <c r="A62" s="2" t="n">
        <v>47178</v>
      </c>
      <c r="B62" t="n">
        <v>751592.891779237</v>
      </c>
      <c r="C62" t="n">
        <v>385944.148580009</v>
      </c>
      <c r="D62" t="n">
        <v>168.97076524576</v>
      </c>
      <c r="E62" t="n">
        <v>15486.6849526166</v>
      </c>
      <c r="F62" t="n">
        <v>4410098.30789943</v>
      </c>
      <c r="G62" t="n">
        <v>0.0439062811463092</v>
      </c>
      <c r="H62" t="n">
        <v>0.670067618904415</v>
      </c>
      <c r="I62" t="n">
        <v>0.0702196339544976</v>
      </c>
      <c r="J62" t="n">
        <v>0.0563245299850348</v>
      </c>
      <c r="K62" t="s">
        <v>179</v>
      </c>
      <c r="L62" t="e">
        <f t="shared" si="25"/>
        <v>#N/A</v>
      </c>
      <c r="M62" t="e">
        <f t="shared" si="26"/>
        <v>#N/A</v>
      </c>
      <c r="N62" t="e">
        <f t="shared" si="27"/>
        <v>#N/A</v>
      </c>
      <c r="O62" t="n">
        <f t="shared" si="28"/>
        <v>0</v>
      </c>
      <c r="P62" t="n">
        <f t="shared" si="29"/>
        <v>0</v>
      </c>
      <c r="Q62" t="n">
        <f t="shared" si="30"/>
        <v>0</v>
      </c>
      <c r="R62" t="n">
        <f t="shared" si="31"/>
        <v>0</v>
      </c>
      <c r="S62" t="e">
        <f t="shared" si="32"/>
        <v>#N/A</v>
      </c>
      <c r="T62" t="e">
        <f t="shared" si="33"/>
        <v>#N/A</v>
      </c>
      <c r="U62" t="e">
        <f t="shared" si="34"/>
        <v>#N/A</v>
      </c>
      <c r="V62" t="e">
        <f t="shared" si="35"/>
        <v>#N/A</v>
      </c>
      <c r="W62" t="e">
        <f t="shared" si="36"/>
        <v>#N/A</v>
      </c>
      <c r="X62" t="e">
        <f t="shared" si="37"/>
        <v>#N/A</v>
      </c>
      <c r="Y62" t="e">
        <f t="shared" si="38"/>
        <v>#N/A</v>
      </c>
      <c r="Z62" t="e">
        <f t="shared" si="39"/>
        <v>#N/A</v>
      </c>
      <c r="AA62" t="e">
        <f t="shared" si="40"/>
        <v>#N/A</v>
      </c>
      <c r="AB62" t="e">
        <f t="shared" si="41"/>
        <v>#N/A</v>
      </c>
      <c r="AC62" t="e">
        <f t="shared" si="42"/>
        <v>#N/A</v>
      </c>
      <c r="AD62" t="e">
        <f t="shared" si="43"/>
        <v>#N/A</v>
      </c>
      <c r="AE62" t="e">
        <f t="shared" si="44"/>
        <v>#N/A</v>
      </c>
      <c r="AF62" t="e">
        <f t="shared" si="45"/>
        <v>#N/A</v>
      </c>
      <c r="AG62" t="e">
        <f t="shared" si="46"/>
        <v>#N/A</v>
      </c>
      <c r="AH62" t="e">
        <f t="shared" si="47"/>
        <v>#N/A</v>
      </c>
      <c r="AI62" t="e">
        <f t="shared" si="48"/>
        <v>#N/A</v>
      </c>
      <c r="AJ62" t="e">
        <f t="shared" si="49"/>
        <v>#N/A</v>
      </c>
    </row>
    <row r="63">
      <c r="A63" s="2" t="n">
        <v>47270</v>
      </c>
      <c r="B63" t="n">
        <v>753979.460209213</v>
      </c>
      <c r="C63" t="n">
        <v>387673.976116972</v>
      </c>
      <c r="D63" t="n">
        <v>170.771152773423</v>
      </c>
      <c r="E63" t="n">
        <v>15509.099740885</v>
      </c>
      <c r="F63" t="n">
        <v>4401772.93299267</v>
      </c>
      <c r="G63" t="n">
        <v>0.0453008820821677</v>
      </c>
      <c r="H63" t="n">
        <v>0.669664801186322</v>
      </c>
      <c r="I63" t="n">
        <v>0.0661769144169075</v>
      </c>
      <c r="J63" t="n">
        <v>0.0566615180948787</v>
      </c>
      <c r="K63" t="s">
        <v>179</v>
      </c>
      <c r="L63" t="e">
        <f t="shared" si="25"/>
        <v>#N/A</v>
      </c>
      <c r="M63" t="e">
        <f t="shared" si="26"/>
        <v>#N/A</v>
      </c>
      <c r="N63" t="e">
        <f t="shared" si="27"/>
        <v>#N/A</v>
      </c>
      <c r="O63" t="n">
        <f t="shared" si="28"/>
        <v>0</v>
      </c>
      <c r="P63" t="n">
        <f t="shared" si="29"/>
        <v>0</v>
      </c>
      <c r="Q63" t="n">
        <f t="shared" si="30"/>
        <v>0</v>
      </c>
      <c r="R63" t="n">
        <f t="shared" si="31"/>
        <v>0</v>
      </c>
      <c r="S63" t="e">
        <f t="shared" si="32"/>
        <v>#N/A</v>
      </c>
      <c r="T63" t="e">
        <f t="shared" si="33"/>
        <v>#N/A</v>
      </c>
      <c r="U63" t="e">
        <f t="shared" si="34"/>
        <v>#N/A</v>
      </c>
      <c r="V63" t="e">
        <f t="shared" si="35"/>
        <v>#N/A</v>
      </c>
      <c r="W63" t="e">
        <f t="shared" si="36"/>
        <v>#N/A</v>
      </c>
      <c r="X63" t="e">
        <f t="shared" si="37"/>
        <v>#N/A</v>
      </c>
      <c r="Y63" t="e">
        <f t="shared" si="38"/>
        <v>#N/A</v>
      </c>
      <c r="Z63" t="e">
        <f t="shared" si="39"/>
        <v>#N/A</v>
      </c>
      <c r="AA63" t="e">
        <f t="shared" si="40"/>
        <v>#N/A</v>
      </c>
      <c r="AB63" t="e">
        <f t="shared" si="41"/>
        <v>#N/A</v>
      </c>
      <c r="AC63" t="e">
        <f t="shared" si="42"/>
        <v>#N/A</v>
      </c>
      <c r="AD63" t="e">
        <f t="shared" si="43"/>
        <v>#N/A</v>
      </c>
      <c r="AE63" t="e">
        <f t="shared" si="44"/>
        <v>#N/A</v>
      </c>
      <c r="AF63" t="e">
        <f t="shared" si="45"/>
        <v>#N/A</v>
      </c>
      <c r="AG63" t="e">
        <f t="shared" si="46"/>
        <v>#N/A</v>
      </c>
      <c r="AH63" t="e">
        <f t="shared" si="47"/>
        <v>#N/A</v>
      </c>
      <c r="AI63" t="e">
        <f t="shared" si="48"/>
        <v>#N/A</v>
      </c>
      <c r="AJ63" t="e">
        <f t="shared" si="49"/>
        <v>#N/A</v>
      </c>
    </row>
    <row r="64">
      <c r="A64" s="2" t="n">
        <v>47362</v>
      </c>
      <c r="B64" t="n">
        <v>756564.061656325</v>
      </c>
      <c r="C64" t="n">
        <v>389612.033720876</v>
      </c>
      <c r="D64" t="n">
        <v>172.561047652913</v>
      </c>
      <c r="E64" t="n">
        <v>15531.6194493314</v>
      </c>
      <c r="F64" t="n">
        <v>4394440.55282515</v>
      </c>
      <c r="G64" t="n">
        <v>0.0465294393567139</v>
      </c>
      <c r="H64" t="n">
        <v>0.669240053335417</v>
      </c>
      <c r="I64" t="n">
        <v>0.0622662855250369</v>
      </c>
      <c r="J64" t="n">
        <v>0.0567380577381814</v>
      </c>
      <c r="K64" t="s">
        <v>179</v>
      </c>
      <c r="L64" t="e">
        <f t="shared" si="25"/>
        <v>#N/A</v>
      </c>
      <c r="M64" t="e">
        <f t="shared" si="26"/>
        <v>#N/A</v>
      </c>
      <c r="N64" t="e">
        <f t="shared" si="27"/>
        <v>#N/A</v>
      </c>
      <c r="O64" t="n">
        <f t="shared" si="28"/>
        <v>0</v>
      </c>
      <c r="P64" t="n">
        <f t="shared" si="29"/>
        <v>0</v>
      </c>
      <c r="Q64" t="n">
        <f t="shared" si="30"/>
        <v>0</v>
      </c>
      <c r="R64" t="n">
        <f t="shared" si="31"/>
        <v>0</v>
      </c>
      <c r="S64" t="e">
        <f t="shared" si="32"/>
        <v>#N/A</v>
      </c>
      <c r="T64" t="e">
        <f t="shared" si="33"/>
        <v>#N/A</v>
      </c>
      <c r="U64" t="e">
        <f t="shared" si="34"/>
        <v>#N/A</v>
      </c>
      <c r="V64" t="e">
        <f t="shared" si="35"/>
        <v>#N/A</v>
      </c>
      <c r="W64" t="e">
        <f t="shared" si="36"/>
        <v>#N/A</v>
      </c>
      <c r="X64" t="e">
        <f t="shared" si="37"/>
        <v>#N/A</v>
      </c>
      <c r="Y64" t="e">
        <f t="shared" si="38"/>
        <v>#N/A</v>
      </c>
      <c r="Z64" t="e">
        <f t="shared" si="39"/>
        <v>#N/A</v>
      </c>
      <c r="AA64" t="e">
        <f t="shared" si="40"/>
        <v>#N/A</v>
      </c>
      <c r="AB64" t="e">
        <f t="shared" si="41"/>
        <v>#N/A</v>
      </c>
      <c r="AC64" t="e">
        <f t="shared" si="42"/>
        <v>#N/A</v>
      </c>
      <c r="AD64" t="e">
        <f t="shared" si="43"/>
        <v>#N/A</v>
      </c>
      <c r="AE64" t="e">
        <f t="shared" si="44"/>
        <v>#N/A</v>
      </c>
      <c r="AF64" t="e">
        <f t="shared" si="45"/>
        <v>#N/A</v>
      </c>
      <c r="AG64" t="e">
        <f t="shared" si="46"/>
        <v>#N/A</v>
      </c>
      <c r="AH64" t="e">
        <f t="shared" si="47"/>
        <v>#N/A</v>
      </c>
      <c r="AI64" t="e">
        <f t="shared" si="48"/>
        <v>#N/A</v>
      </c>
      <c r="AJ64" t="e">
        <f t="shared" si="49"/>
        <v>#N/A</v>
      </c>
    </row>
    <row r="65">
      <c r="A65" s="2" t="n">
        <v>47453</v>
      </c>
      <c r="B65" t="n">
        <v>759065.983376761</v>
      </c>
      <c r="C65" t="n">
        <v>391756.564237653</v>
      </c>
      <c r="D65" t="n">
        <v>174.336529199355</v>
      </c>
      <c r="E65" t="n">
        <v>15555.2674192707</v>
      </c>
      <c r="F65" t="n">
        <v>4387918.40113471</v>
      </c>
      <c r="G65" t="n">
        <v>0.0477091906589183</v>
      </c>
      <c r="H65" t="n">
        <v>0.668835524517931</v>
      </c>
      <c r="I65" t="n">
        <v>0.0583876144763562</v>
      </c>
      <c r="J65" t="n">
        <v>0.0565737827712509</v>
      </c>
      <c r="K65" t="s">
        <v>179</v>
      </c>
      <c r="L65" t="e">
        <f t="shared" si="25"/>
        <v>#N/A</v>
      </c>
      <c r="M65" t="e">
        <f t="shared" si="26"/>
        <v>#N/A</v>
      </c>
      <c r="N65" t="e">
        <f t="shared" si="27"/>
        <v>#N/A</v>
      </c>
      <c r="O65" t="n">
        <f t="shared" si="28"/>
        <v>0</v>
      </c>
      <c r="P65" t="n">
        <f t="shared" si="29"/>
        <v>0</v>
      </c>
      <c r="Q65" t="n">
        <f t="shared" si="30"/>
        <v>0</v>
      </c>
      <c r="R65" t="n">
        <f t="shared" si="31"/>
        <v>0</v>
      </c>
      <c r="S65" t="e">
        <f t="shared" si="32"/>
        <v>#N/A</v>
      </c>
      <c r="T65" t="e">
        <f t="shared" si="33"/>
        <v>#N/A</v>
      </c>
      <c r="U65" t="e">
        <f t="shared" si="34"/>
        <v>#N/A</v>
      </c>
      <c r="V65" t="e">
        <f t="shared" si="35"/>
        <v>#N/A</v>
      </c>
      <c r="W65" t="e">
        <f t="shared" si="36"/>
        <v>#N/A</v>
      </c>
      <c r="X65" t="e">
        <f t="shared" si="37"/>
        <v>#N/A</v>
      </c>
      <c r="Y65" t="e">
        <f t="shared" si="38"/>
        <v>#N/A</v>
      </c>
      <c r="Z65" t="e">
        <f t="shared" si="39"/>
        <v>#N/A</v>
      </c>
      <c r="AA65" t="e">
        <f t="shared" si="40"/>
        <v>#N/A</v>
      </c>
      <c r="AB65" t="e">
        <f t="shared" si="41"/>
        <v>#N/A</v>
      </c>
      <c r="AC65" t="e">
        <f t="shared" si="42"/>
        <v>#N/A</v>
      </c>
      <c r="AD65" t="e">
        <f t="shared" si="43"/>
        <v>#N/A</v>
      </c>
      <c r="AE65" t="e">
        <f t="shared" si="44"/>
        <v>#N/A</v>
      </c>
      <c r="AF65" t="e">
        <f t="shared" si="45"/>
        <v>#N/A</v>
      </c>
      <c r="AG65" t="e">
        <f t="shared" si="46"/>
        <v>#N/A</v>
      </c>
      <c r="AH65" t="e">
        <f t="shared" si="47"/>
        <v>#N/A</v>
      </c>
      <c r="AI65" t="e">
        <f t="shared" si="48"/>
        <v>#N/A</v>
      </c>
      <c r="AJ65" t="e">
        <f t="shared" si="49"/>
        <v>#N/A</v>
      </c>
    </row>
    <row r="66">
      <c r="A66" s="2" t="n">
        <v>47543</v>
      </c>
      <c r="B66" t="n">
        <v>761592.821092448</v>
      </c>
      <c r="C66" t="n">
        <v>394082.926339524</v>
      </c>
      <c r="D66" t="n">
        <v>176.103581632536</v>
      </c>
      <c r="E66" t="n">
        <v>15580.6921937828</v>
      </c>
      <c r="F66" t="n">
        <v>4382594.21620332</v>
      </c>
      <c r="G66" t="n">
        <v>0.0487791084776117</v>
      </c>
      <c r="H66" t="n">
        <v>0.668435740027791</v>
      </c>
      <c r="I66" t="n">
        <v>0.05471105453302</v>
      </c>
      <c r="J66" t="n">
        <v>0.0561973294955701</v>
      </c>
      <c r="K66" t="s">
        <v>179</v>
      </c>
      <c r="L66" t="e">
        <f t="shared" ref="L66:L97" si="50">IF(ROW()&lt;=5,NA(),IFERROR(100*(B66/INDEX(B:B,ROW()-4)-1),NA()))</f>
        <v>#N/A</v>
      </c>
      <c r="M66" t="e">
        <f t="shared" ref="M66:M97" si="51">IF(ROW()&lt;=5,NA(),IFERROR(100*(C66/INDEX(C:C,ROW()-4)-1),NA()))</f>
        <v>#N/A</v>
      </c>
      <c r="N66" t="e">
        <f t="shared" ref="N66:N97" si="52">IF(ROW()&lt;=5,NA(),IFERROR(100*(D66/INDEX(D:D,ROW()-4)-1),NA()))</f>
        <v>#N/A</v>
      </c>
      <c r="O66" t="n">
        <f t="shared" ref="O66:O97" si="53">100*G66</f>
        <v>0</v>
      </c>
      <c r="P66" t="n">
        <f t="shared" ref="P66:P97" si="54">100*H66</f>
        <v>0</v>
      </c>
      <c r="Q66" t="n">
        <f t="shared" ref="Q66:Q97" si="55">100*I66</f>
        <v>0</v>
      </c>
      <c r="R66" t="n">
        <f t="shared" ref="R66:R97" si="56">100*J66</f>
        <v>0</v>
      </c>
      <c r="S66" t="e">
        <f t="shared" ref="S66:S97" si="57">IFERROR(100*E66/INDEX(E:E,MATCH(DATE(2024,12,1),A:A,0)),NA())</f>
        <v>#N/A</v>
      </c>
      <c r="T66" t="e">
        <f t="shared" ref="T66:T97" si="58">IFERROR(100*F66/INDEX(F:F,MATCH(DATE(2024,12,1),A:A,0)),NA())</f>
        <v>#N/A</v>
      </c>
      <c r="U66" t="e">
        <f t="shared" ref="U66:U97" si="59">IF($K66="Actual",L66,NA())</f>
        <v>#N/A</v>
      </c>
      <c r="V66" t="e">
        <f t="shared" ref="V66:V97" si="60">IF($A66&gt;=DATE(2024,12,1),L66,NA())</f>
        <v>#N/A</v>
      </c>
      <c r="W66" t="e">
        <f t="shared" ref="W66:W97" si="61">IF($K66="Actual",M66,NA())</f>
        <v>#N/A</v>
      </c>
      <c r="X66" t="e">
        <f t="shared" ref="X66:X97" si="62">IF($A66&gt;=DATE(2024,12,1),M66,NA())</f>
        <v>#N/A</v>
      </c>
      <c r="Y66" t="e">
        <f t="shared" ref="Y66:Y97" si="63">IF($K66="Actual",S66,NA())</f>
        <v>#N/A</v>
      </c>
      <c r="Z66" t="e">
        <f t="shared" ref="Z66:Z97" si="64">IF($A66&gt;=DATE(2024,12,1),S66,NA())</f>
        <v>#N/A</v>
      </c>
      <c r="AA66" t="e">
        <f t="shared" ref="AA66:AA97" si="65">IF($K66="Actual",T66,NA())</f>
        <v>#N/A</v>
      </c>
      <c r="AB66" t="e">
        <f t="shared" ref="AB66:AB97" si="66">IF($A66&gt;=DATE(2024,12,1),T66,NA())</f>
        <v>#N/A</v>
      </c>
      <c r="AC66" t="e">
        <f t="shared" ref="AC66:AC97" si="67">IF($K66="Actual",O66,NA())</f>
        <v>#N/A</v>
      </c>
      <c r="AD66" t="e">
        <f t="shared" ref="AD66:AD97" si="68">IF($A66&gt;=DATE(2024,12,1),O66,NA())</f>
        <v>#N/A</v>
      </c>
      <c r="AE66" t="e">
        <f t="shared" ref="AE66:AE97" si="69">IF($K66="Actual",Q66,NA())</f>
        <v>#N/A</v>
      </c>
      <c r="AF66" t="e">
        <f t="shared" ref="AF66:AF97" si="70">IF($A66&gt;=DATE(2024,12,1),Q66,NA())</f>
        <v>#N/A</v>
      </c>
      <c r="AG66" t="e">
        <f t="shared" ref="AG66:AG97" si="71">IF($K66="Actual",R66,NA())</f>
        <v>#N/A</v>
      </c>
      <c r="AH66" t="e">
        <f t="shared" ref="AH66:AH97" si="72">IF($A66&gt;=DATE(2024,12,1),R66,NA())</f>
        <v>#N/A</v>
      </c>
      <c r="AI66" t="e">
        <f t="shared" ref="AI66:AI97" si="73">IF($K66="Actual",N66,NA())</f>
        <v>#N/A</v>
      </c>
      <c r="AJ66" t="e">
        <f t="shared" ref="AJ66:AJ97" si="74">IF($A66&gt;=DATE(2024,12,1),N66,NA())</f>
        <v>#N/A</v>
      </c>
    </row>
    <row r="67">
      <c r="A67" s="2" t="n">
        <v>47635</v>
      </c>
      <c r="B67" t="n">
        <v>763627.089338228</v>
      </c>
      <c r="C67" t="n">
        <v>396208.184092239</v>
      </c>
      <c r="D67" t="n">
        <v>177.859925856128</v>
      </c>
      <c r="E67" t="n">
        <v>15605.4442405689</v>
      </c>
      <c r="F67" t="n">
        <v>4377000.48922538</v>
      </c>
      <c r="G67" t="n">
        <v>0.0499031234612238</v>
      </c>
      <c r="H67" t="n">
        <v>0.668050433292613</v>
      </c>
      <c r="I67" t="n">
        <v>0.05103256751457</v>
      </c>
      <c r="J67" t="n">
        <v>0.0556229943399395</v>
      </c>
      <c r="K67" t="s">
        <v>179</v>
      </c>
      <c r="L67" t="e">
        <f t="shared" si="50"/>
        <v>#N/A</v>
      </c>
      <c r="M67" t="e">
        <f t="shared" si="51"/>
        <v>#N/A</v>
      </c>
      <c r="N67" t="e">
        <f t="shared" si="52"/>
        <v>#N/A</v>
      </c>
      <c r="O67" t="n">
        <f t="shared" si="53"/>
        <v>0</v>
      </c>
      <c r="P67" t="n">
        <f t="shared" si="54"/>
        <v>0</v>
      </c>
      <c r="Q67" t="n">
        <f t="shared" si="55"/>
        <v>0</v>
      </c>
      <c r="R67" t="n">
        <f t="shared" si="56"/>
        <v>0</v>
      </c>
      <c r="S67" t="e">
        <f t="shared" si="57"/>
        <v>#N/A</v>
      </c>
      <c r="T67" t="e">
        <f t="shared" si="58"/>
        <v>#N/A</v>
      </c>
      <c r="U67" t="e">
        <f t="shared" si="59"/>
        <v>#N/A</v>
      </c>
      <c r="V67" t="e">
        <f t="shared" si="60"/>
        <v>#N/A</v>
      </c>
      <c r="W67" t="e">
        <f t="shared" si="61"/>
        <v>#N/A</v>
      </c>
      <c r="X67" t="e">
        <f t="shared" si="62"/>
        <v>#N/A</v>
      </c>
      <c r="Y67" t="e">
        <f t="shared" si="63"/>
        <v>#N/A</v>
      </c>
      <c r="Z67" t="e">
        <f t="shared" si="64"/>
        <v>#N/A</v>
      </c>
      <c r="AA67" t="e">
        <f t="shared" si="65"/>
        <v>#N/A</v>
      </c>
      <c r="AB67" t="e">
        <f t="shared" si="66"/>
        <v>#N/A</v>
      </c>
      <c r="AC67" t="e">
        <f t="shared" si="67"/>
        <v>#N/A</v>
      </c>
      <c r="AD67" t="e">
        <f t="shared" si="68"/>
        <v>#N/A</v>
      </c>
      <c r="AE67" t="e">
        <f t="shared" si="69"/>
        <v>#N/A</v>
      </c>
      <c r="AF67" t="e">
        <f t="shared" si="70"/>
        <v>#N/A</v>
      </c>
      <c r="AG67" t="e">
        <f t="shared" si="71"/>
        <v>#N/A</v>
      </c>
      <c r="AH67" t="e">
        <f t="shared" si="72"/>
        <v>#N/A</v>
      </c>
      <c r="AI67" t="e">
        <f t="shared" si="73"/>
        <v>#N/A</v>
      </c>
      <c r="AJ67" t="e">
        <f t="shared" si="74"/>
        <v>#N/A</v>
      </c>
    </row>
    <row r="68">
      <c r="A68" s="2" t="n">
        <v>47727</v>
      </c>
      <c r="B68" t="n">
        <v>765984.19108567</v>
      </c>
      <c r="C68" t="n">
        <v>398503.250939809</v>
      </c>
      <c r="D68" t="n">
        <v>179.61495784256</v>
      </c>
      <c r="E68" t="n">
        <v>15632.3490255688</v>
      </c>
      <c r="F68" t="n">
        <v>4372641.77019563</v>
      </c>
      <c r="G68" t="n">
        <v>0.0509013204393899</v>
      </c>
      <c r="H68" t="n">
        <v>0.667665679409849</v>
      </c>
      <c r="I68" t="n">
        <v>0.0476458097545583</v>
      </c>
      <c r="J68" t="n">
        <v>0.0548819411187777</v>
      </c>
      <c r="K68" t="s">
        <v>179</v>
      </c>
      <c r="L68" t="e">
        <f t="shared" si="50"/>
        <v>#N/A</v>
      </c>
      <c r="M68" t="e">
        <f t="shared" si="51"/>
        <v>#N/A</v>
      </c>
      <c r="N68" t="e">
        <f t="shared" si="52"/>
        <v>#N/A</v>
      </c>
      <c r="O68" t="n">
        <f t="shared" si="53"/>
        <v>0</v>
      </c>
      <c r="P68" t="n">
        <f t="shared" si="54"/>
        <v>0</v>
      </c>
      <c r="Q68" t="n">
        <f t="shared" si="55"/>
        <v>0</v>
      </c>
      <c r="R68" t="n">
        <f t="shared" si="56"/>
        <v>0</v>
      </c>
      <c r="S68" t="e">
        <f t="shared" si="57"/>
        <v>#N/A</v>
      </c>
      <c r="T68" t="e">
        <f t="shared" si="58"/>
        <v>#N/A</v>
      </c>
      <c r="U68" t="e">
        <f t="shared" si="59"/>
        <v>#N/A</v>
      </c>
      <c r="V68" t="e">
        <f t="shared" si="60"/>
        <v>#N/A</v>
      </c>
      <c r="W68" t="e">
        <f t="shared" si="61"/>
        <v>#N/A</v>
      </c>
      <c r="X68" t="e">
        <f t="shared" si="62"/>
        <v>#N/A</v>
      </c>
      <c r="Y68" t="e">
        <f t="shared" si="63"/>
        <v>#N/A</v>
      </c>
      <c r="Z68" t="e">
        <f t="shared" si="64"/>
        <v>#N/A</v>
      </c>
      <c r="AA68" t="e">
        <f t="shared" si="65"/>
        <v>#N/A</v>
      </c>
      <c r="AB68" t="e">
        <f t="shared" si="66"/>
        <v>#N/A</v>
      </c>
      <c r="AC68" t="e">
        <f t="shared" si="67"/>
        <v>#N/A</v>
      </c>
      <c r="AD68" t="e">
        <f t="shared" si="68"/>
        <v>#N/A</v>
      </c>
      <c r="AE68" t="e">
        <f t="shared" si="69"/>
        <v>#N/A</v>
      </c>
      <c r="AF68" t="e">
        <f t="shared" si="70"/>
        <v>#N/A</v>
      </c>
      <c r="AG68" t="e">
        <f t="shared" si="71"/>
        <v>#N/A</v>
      </c>
      <c r="AH68" t="e">
        <f t="shared" si="72"/>
        <v>#N/A</v>
      </c>
      <c r="AI68" t="e">
        <f t="shared" si="73"/>
        <v>#N/A</v>
      </c>
      <c r="AJ68" t="e">
        <f t="shared" si="74"/>
        <v>#N/A</v>
      </c>
    </row>
    <row r="69">
      <c r="A69" s="2" t="n">
        <v>47818</v>
      </c>
      <c r="B69" t="n">
        <v>768298.130966983</v>
      </c>
      <c r="C69" t="n">
        <v>401020.572954027</v>
      </c>
      <c r="D69" t="n">
        <v>181.369116557117</v>
      </c>
      <c r="E69" t="n">
        <v>15661.173246529</v>
      </c>
      <c r="F69" t="n">
        <v>4369333.97132791</v>
      </c>
      <c r="G69" t="n">
        <v>0.0518060108937556</v>
      </c>
      <c r="H69" t="n">
        <v>0.667301985313034</v>
      </c>
      <c r="I69" t="n">
        <v>0.0445393604028814</v>
      </c>
      <c r="J69" t="n">
        <v>0.0540025228812025</v>
      </c>
      <c r="K69" t="s">
        <v>179</v>
      </c>
      <c r="L69" t="e">
        <f t="shared" si="50"/>
        <v>#N/A</v>
      </c>
      <c r="M69" t="e">
        <f t="shared" si="51"/>
        <v>#N/A</v>
      </c>
      <c r="N69" t="e">
        <f t="shared" si="52"/>
        <v>#N/A</v>
      </c>
      <c r="O69" t="n">
        <f t="shared" si="53"/>
        <v>0</v>
      </c>
      <c r="P69" t="n">
        <f t="shared" si="54"/>
        <v>0</v>
      </c>
      <c r="Q69" t="n">
        <f t="shared" si="55"/>
        <v>0</v>
      </c>
      <c r="R69" t="n">
        <f t="shared" si="56"/>
        <v>0</v>
      </c>
      <c r="S69" t="e">
        <f t="shared" si="57"/>
        <v>#N/A</v>
      </c>
      <c r="T69" t="e">
        <f t="shared" si="58"/>
        <v>#N/A</v>
      </c>
      <c r="U69" t="e">
        <f t="shared" si="59"/>
        <v>#N/A</v>
      </c>
      <c r="V69" t="e">
        <f t="shared" si="60"/>
        <v>#N/A</v>
      </c>
      <c r="W69" t="e">
        <f t="shared" si="61"/>
        <v>#N/A</v>
      </c>
      <c r="X69" t="e">
        <f t="shared" si="62"/>
        <v>#N/A</v>
      </c>
      <c r="Y69" t="e">
        <f t="shared" si="63"/>
        <v>#N/A</v>
      </c>
      <c r="Z69" t="e">
        <f t="shared" si="64"/>
        <v>#N/A</v>
      </c>
      <c r="AA69" t="e">
        <f t="shared" si="65"/>
        <v>#N/A</v>
      </c>
      <c r="AB69" t="e">
        <f t="shared" si="66"/>
        <v>#N/A</v>
      </c>
      <c r="AC69" t="e">
        <f t="shared" si="67"/>
        <v>#N/A</v>
      </c>
      <c r="AD69" t="e">
        <f t="shared" si="68"/>
        <v>#N/A</v>
      </c>
      <c r="AE69" t="e">
        <f t="shared" si="69"/>
        <v>#N/A</v>
      </c>
      <c r="AF69" t="e">
        <f t="shared" si="70"/>
        <v>#N/A</v>
      </c>
      <c r="AG69" t="e">
        <f t="shared" si="71"/>
        <v>#N/A</v>
      </c>
      <c r="AH69" t="e">
        <f t="shared" si="72"/>
        <v>#N/A</v>
      </c>
      <c r="AI69" t="e">
        <f t="shared" si="73"/>
        <v>#N/A</v>
      </c>
      <c r="AJ69" t="e">
        <f t="shared" si="74"/>
        <v>#N/A</v>
      </c>
    </row>
    <row r="70">
      <c r="A70" s="2" t="n">
        <v>47908</v>
      </c>
      <c r="B70" t="n">
        <v>770723.944212995</v>
      </c>
      <c r="C70" t="n">
        <v>403709.43528421</v>
      </c>
      <c r="D70" t="n">
        <v>183.126373748861</v>
      </c>
      <c r="E70" t="n">
        <v>15692.5940088257</v>
      </c>
      <c r="F70" t="n">
        <v>4367366.02900209</v>
      </c>
      <c r="G70" t="n">
        <v>0.0525847512532759</v>
      </c>
      <c r="H70" t="n">
        <v>0.666964589500615</v>
      </c>
      <c r="I70" t="n">
        <v>0.0417803996804782</v>
      </c>
      <c r="J70" t="n">
        <v>0.0530152475790985</v>
      </c>
      <c r="K70" t="s">
        <v>179</v>
      </c>
      <c r="L70" t="e">
        <f t="shared" si="50"/>
        <v>#N/A</v>
      </c>
      <c r="M70" t="e">
        <f t="shared" si="51"/>
        <v>#N/A</v>
      </c>
      <c r="N70" t="e">
        <f t="shared" si="52"/>
        <v>#N/A</v>
      </c>
      <c r="O70" t="n">
        <f t="shared" si="53"/>
        <v>0</v>
      </c>
      <c r="P70" t="n">
        <f t="shared" si="54"/>
        <v>0</v>
      </c>
      <c r="Q70" t="n">
        <f t="shared" si="55"/>
        <v>0</v>
      </c>
      <c r="R70" t="n">
        <f t="shared" si="56"/>
        <v>0</v>
      </c>
      <c r="S70" t="e">
        <f t="shared" si="57"/>
        <v>#N/A</v>
      </c>
      <c r="T70" t="e">
        <f t="shared" si="58"/>
        <v>#N/A</v>
      </c>
      <c r="U70" t="e">
        <f t="shared" si="59"/>
        <v>#N/A</v>
      </c>
      <c r="V70" t="e">
        <f t="shared" si="60"/>
        <v>#N/A</v>
      </c>
      <c r="W70" t="e">
        <f t="shared" si="61"/>
        <v>#N/A</v>
      </c>
      <c r="X70" t="e">
        <f t="shared" si="62"/>
        <v>#N/A</v>
      </c>
      <c r="Y70" t="e">
        <f t="shared" si="63"/>
        <v>#N/A</v>
      </c>
      <c r="Z70" t="e">
        <f t="shared" si="64"/>
        <v>#N/A</v>
      </c>
      <c r="AA70" t="e">
        <f t="shared" si="65"/>
        <v>#N/A</v>
      </c>
      <c r="AB70" t="e">
        <f t="shared" si="66"/>
        <v>#N/A</v>
      </c>
      <c r="AC70" t="e">
        <f t="shared" si="67"/>
        <v>#N/A</v>
      </c>
      <c r="AD70" t="e">
        <f t="shared" si="68"/>
        <v>#N/A</v>
      </c>
      <c r="AE70" t="e">
        <f t="shared" si="69"/>
        <v>#N/A</v>
      </c>
      <c r="AF70" t="e">
        <f t="shared" si="70"/>
        <v>#N/A</v>
      </c>
      <c r="AG70" t="e">
        <f t="shared" si="71"/>
        <v>#N/A</v>
      </c>
      <c r="AH70" t="e">
        <f t="shared" si="72"/>
        <v>#N/A</v>
      </c>
      <c r="AI70" t="e">
        <f t="shared" si="73"/>
        <v>#N/A</v>
      </c>
      <c r="AJ70" t="e">
        <f t="shared" si="74"/>
        <v>#N/A</v>
      </c>
    </row>
    <row r="71">
      <c r="A71" s="2" t="n">
        <v>48000</v>
      </c>
      <c r="B71" t="n">
        <v>772946.367068996</v>
      </c>
      <c r="C71" t="n">
        <v>406200.442596775</v>
      </c>
      <c r="D71" t="n">
        <v>184.887021174485</v>
      </c>
      <c r="E71" t="n">
        <v>15725.1074820831</v>
      </c>
      <c r="F71" t="n">
        <v>4365891.17491286</v>
      </c>
      <c r="G71" t="n">
        <v>0.0533357232548638</v>
      </c>
      <c r="H71" t="n">
        <v>0.666657932243705</v>
      </c>
      <c r="I71" t="n">
        <v>0.0392343250046122</v>
      </c>
      <c r="J71" t="n">
        <v>0.0519403741091514</v>
      </c>
      <c r="K71" t="s">
        <v>179</v>
      </c>
      <c r="L71" t="e">
        <f t="shared" si="50"/>
        <v>#N/A</v>
      </c>
      <c r="M71" t="e">
        <f t="shared" si="51"/>
        <v>#N/A</v>
      </c>
      <c r="N71" t="e">
        <f t="shared" si="52"/>
        <v>#N/A</v>
      </c>
      <c r="O71" t="n">
        <f t="shared" si="53"/>
        <v>0</v>
      </c>
      <c r="P71" t="n">
        <f t="shared" si="54"/>
        <v>0</v>
      </c>
      <c r="Q71" t="n">
        <f t="shared" si="55"/>
        <v>0</v>
      </c>
      <c r="R71" t="n">
        <f t="shared" si="56"/>
        <v>0</v>
      </c>
      <c r="S71" t="e">
        <f t="shared" si="57"/>
        <v>#N/A</v>
      </c>
      <c r="T71" t="e">
        <f t="shared" si="58"/>
        <v>#N/A</v>
      </c>
      <c r="U71" t="e">
        <f t="shared" si="59"/>
        <v>#N/A</v>
      </c>
      <c r="V71" t="e">
        <f t="shared" si="60"/>
        <v>#N/A</v>
      </c>
      <c r="W71" t="e">
        <f t="shared" si="61"/>
        <v>#N/A</v>
      </c>
      <c r="X71" t="e">
        <f t="shared" si="62"/>
        <v>#N/A</v>
      </c>
      <c r="Y71" t="e">
        <f t="shared" si="63"/>
        <v>#N/A</v>
      </c>
      <c r="Z71" t="e">
        <f t="shared" si="64"/>
        <v>#N/A</v>
      </c>
      <c r="AA71" t="e">
        <f t="shared" si="65"/>
        <v>#N/A</v>
      </c>
      <c r="AB71" t="e">
        <f t="shared" si="66"/>
        <v>#N/A</v>
      </c>
      <c r="AC71" t="e">
        <f t="shared" si="67"/>
        <v>#N/A</v>
      </c>
      <c r="AD71" t="e">
        <f t="shared" si="68"/>
        <v>#N/A</v>
      </c>
      <c r="AE71" t="e">
        <f t="shared" si="69"/>
        <v>#N/A</v>
      </c>
      <c r="AF71" t="e">
        <f t="shared" si="70"/>
        <v>#N/A</v>
      </c>
      <c r="AG71" t="e">
        <f t="shared" si="71"/>
        <v>#N/A</v>
      </c>
      <c r="AH71" t="e">
        <f t="shared" si="72"/>
        <v>#N/A</v>
      </c>
      <c r="AI71" t="e">
        <f t="shared" si="73"/>
        <v>#N/A</v>
      </c>
      <c r="AJ71" t="e">
        <f t="shared" si="74"/>
        <v>#N/A</v>
      </c>
    </row>
    <row r="72">
      <c r="A72" s="2" t="n">
        <v>48092</v>
      </c>
      <c r="B72" t="n">
        <v>775346.84537666</v>
      </c>
      <c r="C72" t="n">
        <v>408859.758593226</v>
      </c>
      <c r="D72" t="n">
        <v>186.66035712596</v>
      </c>
      <c r="E72" t="n">
        <v>15759.4890465908</v>
      </c>
      <c r="F72" t="n">
        <v>4365587.30364413</v>
      </c>
      <c r="G72" t="n">
        <v>0.0538974826684908</v>
      </c>
      <c r="H72" t="n">
        <v>0.666376046794848</v>
      </c>
      <c r="I72" t="n">
        <v>0.0371605426344513</v>
      </c>
      <c r="J72" t="n">
        <v>0.0508125431493152</v>
      </c>
      <c r="K72" t="s">
        <v>179</v>
      </c>
      <c r="L72" t="e">
        <f t="shared" si="50"/>
        <v>#N/A</v>
      </c>
      <c r="M72" t="e">
        <f t="shared" si="51"/>
        <v>#N/A</v>
      </c>
      <c r="N72" t="e">
        <f t="shared" si="52"/>
        <v>#N/A</v>
      </c>
      <c r="O72" t="n">
        <f t="shared" si="53"/>
        <v>0</v>
      </c>
      <c r="P72" t="n">
        <f t="shared" si="54"/>
        <v>0</v>
      </c>
      <c r="Q72" t="n">
        <f t="shared" si="55"/>
        <v>0</v>
      </c>
      <c r="R72" t="n">
        <f t="shared" si="56"/>
        <v>0</v>
      </c>
      <c r="S72" t="e">
        <f t="shared" si="57"/>
        <v>#N/A</v>
      </c>
      <c r="T72" t="e">
        <f t="shared" si="58"/>
        <v>#N/A</v>
      </c>
      <c r="U72" t="e">
        <f t="shared" si="59"/>
        <v>#N/A</v>
      </c>
      <c r="V72" t="e">
        <f t="shared" si="60"/>
        <v>#N/A</v>
      </c>
      <c r="W72" t="e">
        <f t="shared" si="61"/>
        <v>#N/A</v>
      </c>
      <c r="X72" t="e">
        <f t="shared" si="62"/>
        <v>#N/A</v>
      </c>
      <c r="Y72" t="e">
        <f t="shared" si="63"/>
        <v>#N/A</v>
      </c>
      <c r="Z72" t="e">
        <f t="shared" si="64"/>
        <v>#N/A</v>
      </c>
      <c r="AA72" t="e">
        <f t="shared" si="65"/>
        <v>#N/A</v>
      </c>
      <c r="AB72" t="e">
        <f t="shared" si="66"/>
        <v>#N/A</v>
      </c>
      <c r="AC72" t="e">
        <f t="shared" si="67"/>
        <v>#N/A</v>
      </c>
      <c r="AD72" t="e">
        <f t="shared" si="68"/>
        <v>#N/A</v>
      </c>
      <c r="AE72" t="e">
        <f t="shared" si="69"/>
        <v>#N/A</v>
      </c>
      <c r="AF72" t="e">
        <f t="shared" si="70"/>
        <v>#N/A</v>
      </c>
      <c r="AG72" t="e">
        <f t="shared" si="71"/>
        <v>#N/A</v>
      </c>
      <c r="AH72" t="e">
        <f t="shared" si="72"/>
        <v>#N/A</v>
      </c>
      <c r="AI72" t="e">
        <f t="shared" si="73"/>
        <v>#N/A</v>
      </c>
      <c r="AJ72" t="e">
        <f t="shared" si="74"/>
        <v>#N/A</v>
      </c>
    </row>
    <row r="73">
      <c r="A73" s="2" t="n">
        <v>48183</v>
      </c>
      <c r="B73" t="n">
        <v>777903.578603048</v>
      </c>
      <c r="C73" t="n">
        <v>411709.960166294</v>
      </c>
      <c r="D73" t="n">
        <v>188.445720308962</v>
      </c>
      <c r="E73" t="n">
        <v>15796.7509370761</v>
      </c>
      <c r="F73" t="n">
        <v>4366592.24325918</v>
      </c>
      <c r="G73" t="n">
        <v>0.0543432694253603</v>
      </c>
      <c r="H73" t="n">
        <v>0.66613719610291</v>
      </c>
      <c r="I73" t="n">
        <v>0.0354571177860221</v>
      </c>
      <c r="J73" t="n">
        <v>0.0496578500322422</v>
      </c>
      <c r="K73" t="s">
        <v>179</v>
      </c>
      <c r="L73" t="e">
        <f t="shared" si="50"/>
        <v>#N/A</v>
      </c>
      <c r="M73" t="e">
        <f t="shared" si="51"/>
        <v>#N/A</v>
      </c>
      <c r="N73" t="e">
        <f t="shared" si="52"/>
        <v>#N/A</v>
      </c>
      <c r="O73" t="n">
        <f t="shared" si="53"/>
        <v>0</v>
      </c>
      <c r="P73" t="n">
        <f t="shared" si="54"/>
        <v>0</v>
      </c>
      <c r="Q73" t="n">
        <f t="shared" si="55"/>
        <v>0</v>
      </c>
      <c r="R73" t="n">
        <f t="shared" si="56"/>
        <v>0</v>
      </c>
      <c r="S73" t="e">
        <f t="shared" si="57"/>
        <v>#N/A</v>
      </c>
      <c r="T73" t="e">
        <f t="shared" si="58"/>
        <v>#N/A</v>
      </c>
      <c r="U73" t="e">
        <f t="shared" si="59"/>
        <v>#N/A</v>
      </c>
      <c r="V73" t="e">
        <f t="shared" si="60"/>
        <v>#N/A</v>
      </c>
      <c r="W73" t="e">
        <f t="shared" si="61"/>
        <v>#N/A</v>
      </c>
      <c r="X73" t="e">
        <f t="shared" si="62"/>
        <v>#N/A</v>
      </c>
      <c r="Y73" t="e">
        <f t="shared" si="63"/>
        <v>#N/A</v>
      </c>
      <c r="Z73" t="e">
        <f t="shared" si="64"/>
        <v>#N/A</v>
      </c>
      <c r="AA73" t="e">
        <f t="shared" si="65"/>
        <v>#N/A</v>
      </c>
      <c r="AB73" t="e">
        <f t="shared" si="66"/>
        <v>#N/A</v>
      </c>
      <c r="AC73" t="e">
        <f t="shared" si="67"/>
        <v>#N/A</v>
      </c>
      <c r="AD73" t="e">
        <f t="shared" si="68"/>
        <v>#N/A</v>
      </c>
      <c r="AE73" t="e">
        <f t="shared" si="69"/>
        <v>#N/A</v>
      </c>
      <c r="AF73" t="e">
        <f t="shared" si="70"/>
        <v>#N/A</v>
      </c>
      <c r="AG73" t="e">
        <f t="shared" si="71"/>
        <v>#N/A</v>
      </c>
      <c r="AH73" t="e">
        <f t="shared" si="72"/>
        <v>#N/A</v>
      </c>
      <c r="AI73" t="e">
        <f t="shared" si="73"/>
        <v>#N/A</v>
      </c>
      <c r="AJ73" t="e">
        <f t="shared" si="74"/>
        <v>#N/A</v>
      </c>
    </row>
    <row r="74">
      <c r="A74" s="2" t="n">
        <v>48274</v>
      </c>
      <c r="B74" t="n">
        <v>780589.236172161</v>
      </c>
      <c r="C74" t="n">
        <v>414703.660560691</v>
      </c>
      <c r="D74" t="n">
        <v>190.2481335749</v>
      </c>
      <c r="E74" t="n">
        <v>15837.4746936044</v>
      </c>
      <c r="F74" t="n">
        <v>4369189.35790591</v>
      </c>
      <c r="G74" t="n">
        <v>0.0546353807734029</v>
      </c>
      <c r="H74" t="n">
        <v>0.66593823261433</v>
      </c>
      <c r="I74" t="n">
        <v>0.0341881399973922</v>
      </c>
      <c r="J74" t="n">
        <v>0.0485045106145913</v>
      </c>
      <c r="K74" t="s">
        <v>179</v>
      </c>
      <c r="L74" t="e">
        <f t="shared" si="50"/>
        <v>#N/A</v>
      </c>
      <c r="M74" t="e">
        <f t="shared" si="51"/>
        <v>#N/A</v>
      </c>
      <c r="N74" t="e">
        <f t="shared" si="52"/>
        <v>#N/A</v>
      </c>
      <c r="O74" t="n">
        <f t="shared" si="53"/>
        <v>0</v>
      </c>
      <c r="P74" t="n">
        <f t="shared" si="54"/>
        <v>0</v>
      </c>
      <c r="Q74" t="n">
        <f t="shared" si="55"/>
        <v>0</v>
      </c>
      <c r="R74" t="n">
        <f t="shared" si="56"/>
        <v>0</v>
      </c>
      <c r="S74" t="e">
        <f t="shared" si="57"/>
        <v>#N/A</v>
      </c>
      <c r="T74" t="e">
        <f t="shared" si="58"/>
        <v>#N/A</v>
      </c>
      <c r="U74" t="e">
        <f t="shared" si="59"/>
        <v>#N/A</v>
      </c>
      <c r="V74" t="e">
        <f t="shared" si="60"/>
        <v>#N/A</v>
      </c>
      <c r="W74" t="e">
        <f t="shared" si="61"/>
        <v>#N/A</v>
      </c>
      <c r="X74" t="e">
        <f t="shared" si="62"/>
        <v>#N/A</v>
      </c>
      <c r="Y74" t="e">
        <f t="shared" si="63"/>
        <v>#N/A</v>
      </c>
      <c r="Z74" t="e">
        <f t="shared" si="64"/>
        <v>#N/A</v>
      </c>
      <c r="AA74" t="e">
        <f t="shared" si="65"/>
        <v>#N/A</v>
      </c>
      <c r="AB74" t="e">
        <f t="shared" si="66"/>
        <v>#N/A</v>
      </c>
      <c r="AC74" t="e">
        <f t="shared" si="67"/>
        <v>#N/A</v>
      </c>
      <c r="AD74" t="e">
        <f t="shared" si="68"/>
        <v>#N/A</v>
      </c>
      <c r="AE74" t="e">
        <f t="shared" si="69"/>
        <v>#N/A</v>
      </c>
      <c r="AF74" t="e">
        <f t="shared" si="70"/>
        <v>#N/A</v>
      </c>
      <c r="AG74" t="e">
        <f t="shared" si="71"/>
        <v>#N/A</v>
      </c>
      <c r="AH74" t="e">
        <f t="shared" si="72"/>
        <v>#N/A</v>
      </c>
      <c r="AI74" t="e">
        <f t="shared" si="73"/>
        <v>#N/A</v>
      </c>
      <c r="AJ74" t="e">
        <f t="shared" si="74"/>
        <v>#N/A</v>
      </c>
    </row>
    <row r="75">
      <c r="A75" s="2" t="n">
        <v>48366</v>
      </c>
      <c r="B75" t="n">
        <v>782636.191871042</v>
      </c>
      <c r="C75" t="n">
        <v>417365.104369556</v>
      </c>
      <c r="D75" t="n">
        <v>192.064173922479</v>
      </c>
      <c r="E75" t="n">
        <v>15877.1565731392</v>
      </c>
      <c r="F75" t="n">
        <v>4371081.17519711</v>
      </c>
      <c r="G75" t="n">
        <v>0.0550422313300796</v>
      </c>
      <c r="H75" t="n">
        <v>0.665778140116756</v>
      </c>
      <c r="I75" t="n">
        <v>0.0329180988234901</v>
      </c>
      <c r="J75" t="n">
        <v>0.0473523683413659</v>
      </c>
      <c r="K75" t="s">
        <v>179</v>
      </c>
      <c r="L75" t="e">
        <f t="shared" si="50"/>
        <v>#N/A</v>
      </c>
      <c r="M75" t="e">
        <f t="shared" si="51"/>
        <v>#N/A</v>
      </c>
      <c r="N75" t="e">
        <f t="shared" si="52"/>
        <v>#N/A</v>
      </c>
      <c r="O75" t="n">
        <f t="shared" si="53"/>
        <v>0</v>
      </c>
      <c r="P75" t="n">
        <f t="shared" si="54"/>
        <v>0</v>
      </c>
      <c r="Q75" t="n">
        <f t="shared" si="55"/>
        <v>0</v>
      </c>
      <c r="R75" t="n">
        <f t="shared" si="56"/>
        <v>0</v>
      </c>
      <c r="S75" t="e">
        <f t="shared" si="57"/>
        <v>#N/A</v>
      </c>
      <c r="T75" t="e">
        <f t="shared" si="58"/>
        <v>#N/A</v>
      </c>
      <c r="U75" t="e">
        <f t="shared" si="59"/>
        <v>#N/A</v>
      </c>
      <c r="V75" t="e">
        <f t="shared" si="60"/>
        <v>#N/A</v>
      </c>
      <c r="W75" t="e">
        <f t="shared" si="61"/>
        <v>#N/A</v>
      </c>
      <c r="X75" t="e">
        <f t="shared" si="62"/>
        <v>#N/A</v>
      </c>
      <c r="Y75" t="e">
        <f t="shared" si="63"/>
        <v>#N/A</v>
      </c>
      <c r="Z75" t="e">
        <f t="shared" si="64"/>
        <v>#N/A</v>
      </c>
      <c r="AA75" t="e">
        <f t="shared" si="65"/>
        <v>#N/A</v>
      </c>
      <c r="AB75" t="e">
        <f t="shared" si="66"/>
        <v>#N/A</v>
      </c>
      <c r="AC75" t="e">
        <f t="shared" si="67"/>
        <v>#N/A</v>
      </c>
      <c r="AD75" t="e">
        <f t="shared" si="68"/>
        <v>#N/A</v>
      </c>
      <c r="AE75" t="e">
        <f t="shared" si="69"/>
        <v>#N/A</v>
      </c>
      <c r="AF75" t="e">
        <f t="shared" si="70"/>
        <v>#N/A</v>
      </c>
      <c r="AG75" t="e">
        <f t="shared" si="71"/>
        <v>#N/A</v>
      </c>
      <c r="AH75" t="e">
        <f t="shared" si="72"/>
        <v>#N/A</v>
      </c>
      <c r="AI75" t="e">
        <f t="shared" si="73"/>
        <v>#N/A</v>
      </c>
      <c r="AJ75" t="e">
        <f t="shared" si="74"/>
        <v>#N/A</v>
      </c>
    </row>
    <row r="76">
      <c r="A76" s="2" t="n">
        <v>48458</v>
      </c>
      <c r="B76" t="n">
        <v>785414.900332301</v>
      </c>
      <c r="C76" t="n">
        <v>420181.786286364</v>
      </c>
      <c r="D76" t="n">
        <v>193.907181320183</v>
      </c>
      <c r="E76" t="n">
        <v>15919.9771291619</v>
      </c>
      <c r="F76" t="n">
        <v>4374742.69277775</v>
      </c>
      <c r="G76" t="n">
        <v>0.0551897491992756</v>
      </c>
      <c r="H76" t="n">
        <v>0.665626713816379</v>
      </c>
      <c r="I76" t="n">
        <v>0.0322201482533588</v>
      </c>
      <c r="J76" t="n">
        <v>0.0462360943177715</v>
      </c>
      <c r="K76" t="s">
        <v>179</v>
      </c>
      <c r="L76" t="e">
        <f t="shared" si="50"/>
        <v>#N/A</v>
      </c>
      <c r="M76" t="e">
        <f t="shared" si="51"/>
        <v>#N/A</v>
      </c>
      <c r="N76" t="e">
        <f t="shared" si="52"/>
        <v>#N/A</v>
      </c>
      <c r="O76" t="n">
        <f t="shared" si="53"/>
        <v>0</v>
      </c>
      <c r="P76" t="n">
        <f t="shared" si="54"/>
        <v>0</v>
      </c>
      <c r="Q76" t="n">
        <f t="shared" si="55"/>
        <v>0</v>
      </c>
      <c r="R76" t="n">
        <f t="shared" si="56"/>
        <v>0</v>
      </c>
      <c r="S76" t="e">
        <f t="shared" si="57"/>
        <v>#N/A</v>
      </c>
      <c r="T76" t="e">
        <f t="shared" si="58"/>
        <v>#N/A</v>
      </c>
      <c r="U76" t="e">
        <f t="shared" si="59"/>
        <v>#N/A</v>
      </c>
      <c r="V76" t="e">
        <f t="shared" si="60"/>
        <v>#N/A</v>
      </c>
      <c r="W76" t="e">
        <f t="shared" si="61"/>
        <v>#N/A</v>
      </c>
      <c r="X76" t="e">
        <f t="shared" si="62"/>
        <v>#N/A</v>
      </c>
      <c r="Y76" t="e">
        <f t="shared" si="63"/>
        <v>#N/A</v>
      </c>
      <c r="Z76" t="e">
        <f t="shared" si="64"/>
        <v>#N/A</v>
      </c>
      <c r="AA76" t="e">
        <f t="shared" si="65"/>
        <v>#N/A</v>
      </c>
      <c r="AB76" t="e">
        <f t="shared" si="66"/>
        <v>#N/A</v>
      </c>
      <c r="AC76" t="e">
        <f t="shared" si="67"/>
        <v>#N/A</v>
      </c>
      <c r="AD76" t="e">
        <f t="shared" si="68"/>
        <v>#N/A</v>
      </c>
      <c r="AE76" t="e">
        <f t="shared" si="69"/>
        <v>#N/A</v>
      </c>
      <c r="AF76" t="e">
        <f t="shared" si="70"/>
        <v>#N/A</v>
      </c>
      <c r="AG76" t="e">
        <f t="shared" si="71"/>
        <v>#N/A</v>
      </c>
      <c r="AH76" t="e">
        <f t="shared" si="72"/>
        <v>#N/A</v>
      </c>
      <c r="AI76" t="e">
        <f t="shared" si="73"/>
        <v>#N/A</v>
      </c>
      <c r="AJ76" t="e">
        <f t="shared" si="74"/>
        <v>#N/A</v>
      </c>
    </row>
    <row r="77">
      <c r="A77" s="2" t="n">
        <v>48549</v>
      </c>
      <c r="B77" t="n">
        <v>787969.453362443</v>
      </c>
      <c r="C77" t="n">
        <v>423104.406650936</v>
      </c>
      <c r="D77" t="n">
        <v>195.77103888629</v>
      </c>
      <c r="E77" t="n">
        <v>15964.2554711333</v>
      </c>
      <c r="F77" t="n">
        <v>4378911.71985276</v>
      </c>
      <c r="G77" t="n">
        <v>0.0553179422842544</v>
      </c>
      <c r="H77" t="n">
        <v>0.665523552441271</v>
      </c>
      <c r="I77" t="n">
        <v>0.0317190444818548</v>
      </c>
      <c r="J77" t="n">
        <v>0.0451652097053683</v>
      </c>
      <c r="K77" t="s">
        <v>179</v>
      </c>
      <c r="L77" t="e">
        <f t="shared" si="50"/>
        <v>#N/A</v>
      </c>
      <c r="M77" t="e">
        <f t="shared" si="51"/>
        <v>#N/A</v>
      </c>
      <c r="N77" t="e">
        <f t="shared" si="52"/>
        <v>#N/A</v>
      </c>
      <c r="O77" t="n">
        <f t="shared" si="53"/>
        <v>0</v>
      </c>
      <c r="P77" t="n">
        <f t="shared" si="54"/>
        <v>0</v>
      </c>
      <c r="Q77" t="n">
        <f t="shared" si="55"/>
        <v>0</v>
      </c>
      <c r="R77" t="n">
        <f t="shared" si="56"/>
        <v>0</v>
      </c>
      <c r="S77" t="e">
        <f t="shared" si="57"/>
        <v>#N/A</v>
      </c>
      <c r="T77" t="e">
        <f t="shared" si="58"/>
        <v>#N/A</v>
      </c>
      <c r="U77" t="e">
        <f t="shared" si="59"/>
        <v>#N/A</v>
      </c>
      <c r="V77" t="e">
        <f t="shared" si="60"/>
        <v>#N/A</v>
      </c>
      <c r="W77" t="e">
        <f t="shared" si="61"/>
        <v>#N/A</v>
      </c>
      <c r="X77" t="e">
        <f t="shared" si="62"/>
        <v>#N/A</v>
      </c>
      <c r="Y77" t="e">
        <f t="shared" si="63"/>
        <v>#N/A</v>
      </c>
      <c r="Z77" t="e">
        <f t="shared" si="64"/>
        <v>#N/A</v>
      </c>
      <c r="AA77" t="e">
        <f t="shared" si="65"/>
        <v>#N/A</v>
      </c>
      <c r="AB77" t="e">
        <f t="shared" si="66"/>
        <v>#N/A</v>
      </c>
      <c r="AC77" t="e">
        <f t="shared" si="67"/>
        <v>#N/A</v>
      </c>
      <c r="AD77" t="e">
        <f t="shared" si="68"/>
        <v>#N/A</v>
      </c>
      <c r="AE77" t="e">
        <f t="shared" si="69"/>
        <v>#N/A</v>
      </c>
      <c r="AF77" t="e">
        <f t="shared" si="70"/>
        <v>#N/A</v>
      </c>
      <c r="AG77" t="e">
        <f t="shared" si="71"/>
        <v>#N/A</v>
      </c>
      <c r="AH77" t="e">
        <f t="shared" si="72"/>
        <v>#N/A</v>
      </c>
      <c r="AI77" t="e">
        <f t="shared" si="73"/>
        <v>#N/A</v>
      </c>
      <c r="AJ77" t="e">
        <f t="shared" si="74"/>
        <v>#N/A</v>
      </c>
    </row>
    <row r="78">
      <c r="A78" s="2" t="n">
        <v>48639</v>
      </c>
      <c r="B78" t="n">
        <v>790657.747887504</v>
      </c>
      <c r="C78" t="n">
        <v>426087.907947669</v>
      </c>
      <c r="D78" t="n">
        <v>197.660858807234</v>
      </c>
      <c r="E78" t="n">
        <v>16010.2679570229</v>
      </c>
      <c r="F78" t="n">
        <v>4383818.47183093</v>
      </c>
      <c r="G78" t="n">
        <v>0.0553766803496886</v>
      </c>
      <c r="H78" t="n">
        <v>0.665444284872856</v>
      </c>
      <c r="I78" t="n">
        <v>0.0314714201212209</v>
      </c>
      <c r="J78" t="n">
        <v>0.044152029109093</v>
      </c>
      <c r="K78" t="s">
        <v>179</v>
      </c>
      <c r="L78" t="e">
        <f t="shared" si="50"/>
        <v>#N/A</v>
      </c>
      <c r="M78" t="e">
        <f t="shared" si="51"/>
        <v>#N/A</v>
      </c>
      <c r="N78" t="e">
        <f t="shared" si="52"/>
        <v>#N/A</v>
      </c>
      <c r="O78" t="n">
        <f t="shared" si="53"/>
        <v>0</v>
      </c>
      <c r="P78" t="n">
        <f t="shared" si="54"/>
        <v>0</v>
      </c>
      <c r="Q78" t="n">
        <f t="shared" si="55"/>
        <v>0</v>
      </c>
      <c r="R78" t="n">
        <f t="shared" si="56"/>
        <v>0</v>
      </c>
      <c r="S78" t="e">
        <f t="shared" si="57"/>
        <v>#N/A</v>
      </c>
      <c r="T78" t="e">
        <f t="shared" si="58"/>
        <v>#N/A</v>
      </c>
      <c r="U78" t="e">
        <f t="shared" si="59"/>
        <v>#N/A</v>
      </c>
      <c r="V78" t="e">
        <f t="shared" si="60"/>
        <v>#N/A</v>
      </c>
      <c r="W78" t="e">
        <f t="shared" si="61"/>
        <v>#N/A</v>
      </c>
      <c r="X78" t="e">
        <f t="shared" si="62"/>
        <v>#N/A</v>
      </c>
      <c r="Y78" t="e">
        <f t="shared" si="63"/>
        <v>#N/A</v>
      </c>
      <c r="Z78" t="e">
        <f t="shared" si="64"/>
        <v>#N/A</v>
      </c>
      <c r="AA78" t="e">
        <f t="shared" si="65"/>
        <v>#N/A</v>
      </c>
      <c r="AB78" t="e">
        <f t="shared" si="66"/>
        <v>#N/A</v>
      </c>
      <c r="AC78" t="e">
        <f t="shared" si="67"/>
        <v>#N/A</v>
      </c>
      <c r="AD78" t="e">
        <f t="shared" si="68"/>
        <v>#N/A</v>
      </c>
      <c r="AE78" t="e">
        <f t="shared" si="69"/>
        <v>#N/A</v>
      </c>
      <c r="AF78" t="e">
        <f t="shared" si="70"/>
        <v>#N/A</v>
      </c>
      <c r="AG78" t="e">
        <f t="shared" si="71"/>
        <v>#N/A</v>
      </c>
      <c r="AH78" t="e">
        <f t="shared" si="72"/>
        <v>#N/A</v>
      </c>
      <c r="AI78" t="e">
        <f t="shared" si="73"/>
        <v>#N/A</v>
      </c>
      <c r="AJ78" t="e">
        <f t="shared" si="74"/>
        <v>#N/A</v>
      </c>
    </row>
    <row r="79">
      <c r="A79" s="2" t="n">
        <v>48731</v>
      </c>
      <c r="B79" t="n">
        <v>793123.08669446</v>
      </c>
      <c r="C79" t="n">
        <v>428735.445384839</v>
      </c>
      <c r="D79" t="n">
        <v>199.5744988877</v>
      </c>
      <c r="E79" t="n">
        <v>16056.0867201441</v>
      </c>
      <c r="F79" t="n">
        <v>4388495.95063912</v>
      </c>
      <c r="G79" t="n">
        <v>0.0554793953270457</v>
      </c>
      <c r="H79" t="n">
        <v>0.665388284378883</v>
      </c>
      <c r="I79" t="n">
        <v>0.0312891428347487</v>
      </c>
      <c r="J79" t="n">
        <v>0.043196602233198</v>
      </c>
      <c r="K79" t="s">
        <v>179</v>
      </c>
      <c r="L79" t="e">
        <f t="shared" si="50"/>
        <v>#N/A</v>
      </c>
      <c r="M79" t="e">
        <f t="shared" si="51"/>
        <v>#N/A</v>
      </c>
      <c r="N79" t="e">
        <f t="shared" si="52"/>
        <v>#N/A</v>
      </c>
      <c r="O79" t="n">
        <f t="shared" si="53"/>
        <v>0</v>
      </c>
      <c r="P79" t="n">
        <f t="shared" si="54"/>
        <v>0</v>
      </c>
      <c r="Q79" t="n">
        <f t="shared" si="55"/>
        <v>0</v>
      </c>
      <c r="R79" t="n">
        <f t="shared" si="56"/>
        <v>0</v>
      </c>
      <c r="S79" t="e">
        <f t="shared" si="57"/>
        <v>#N/A</v>
      </c>
      <c r="T79" t="e">
        <f t="shared" si="58"/>
        <v>#N/A</v>
      </c>
      <c r="U79" t="e">
        <f t="shared" si="59"/>
        <v>#N/A</v>
      </c>
      <c r="V79" t="e">
        <f t="shared" si="60"/>
        <v>#N/A</v>
      </c>
      <c r="W79" t="e">
        <f t="shared" si="61"/>
        <v>#N/A</v>
      </c>
      <c r="X79" t="e">
        <f t="shared" si="62"/>
        <v>#N/A</v>
      </c>
      <c r="Y79" t="e">
        <f t="shared" si="63"/>
        <v>#N/A</v>
      </c>
      <c r="Z79" t="e">
        <f t="shared" si="64"/>
        <v>#N/A</v>
      </c>
      <c r="AA79" t="e">
        <f t="shared" si="65"/>
        <v>#N/A</v>
      </c>
      <c r="AB79" t="e">
        <f t="shared" si="66"/>
        <v>#N/A</v>
      </c>
      <c r="AC79" t="e">
        <f t="shared" si="67"/>
        <v>#N/A</v>
      </c>
      <c r="AD79" t="e">
        <f t="shared" si="68"/>
        <v>#N/A</v>
      </c>
      <c r="AE79" t="e">
        <f t="shared" si="69"/>
        <v>#N/A</v>
      </c>
      <c r="AF79" t="e">
        <f t="shared" si="70"/>
        <v>#N/A</v>
      </c>
      <c r="AG79" t="e">
        <f t="shared" si="71"/>
        <v>#N/A</v>
      </c>
      <c r="AH79" t="e">
        <f t="shared" si="72"/>
        <v>#N/A</v>
      </c>
      <c r="AI79" t="e">
        <f t="shared" si="73"/>
        <v>#N/A</v>
      </c>
      <c r="AJ79" t="e">
        <f t="shared" si="74"/>
        <v>#N/A</v>
      </c>
    </row>
    <row r="80">
      <c r="A80" s="2" t="n">
        <v>48823</v>
      </c>
      <c r="B80" t="n">
        <v>795684.722537564</v>
      </c>
      <c r="C80" t="n">
        <v>431412.895106344</v>
      </c>
      <c r="D80" t="n">
        <v>201.516643902451</v>
      </c>
      <c r="E80" t="n">
        <v>16102.1438208044</v>
      </c>
      <c r="F80" t="n">
        <v>4393348.72050083</v>
      </c>
      <c r="G80" t="n">
        <v>0.0555371497172604</v>
      </c>
      <c r="H80" t="n">
        <v>0.665341795956703</v>
      </c>
      <c r="I80" t="n">
        <v>0.0312671540641927</v>
      </c>
      <c r="J80" t="n">
        <v>0.042304742753585</v>
      </c>
      <c r="K80" t="s">
        <v>179</v>
      </c>
      <c r="L80" t="e">
        <f t="shared" si="50"/>
        <v>#N/A</v>
      </c>
      <c r="M80" t="e">
        <f t="shared" si="51"/>
        <v>#N/A</v>
      </c>
      <c r="N80" t="e">
        <f t="shared" si="52"/>
        <v>#N/A</v>
      </c>
      <c r="O80" t="n">
        <f t="shared" si="53"/>
        <v>0</v>
      </c>
      <c r="P80" t="n">
        <f t="shared" si="54"/>
        <v>0</v>
      </c>
      <c r="Q80" t="n">
        <f t="shared" si="55"/>
        <v>0</v>
      </c>
      <c r="R80" t="n">
        <f t="shared" si="56"/>
        <v>0</v>
      </c>
      <c r="S80" t="e">
        <f t="shared" si="57"/>
        <v>#N/A</v>
      </c>
      <c r="T80" t="e">
        <f t="shared" si="58"/>
        <v>#N/A</v>
      </c>
      <c r="U80" t="e">
        <f t="shared" si="59"/>
        <v>#N/A</v>
      </c>
      <c r="V80" t="e">
        <f t="shared" si="60"/>
        <v>#N/A</v>
      </c>
      <c r="W80" t="e">
        <f t="shared" si="61"/>
        <v>#N/A</v>
      </c>
      <c r="X80" t="e">
        <f t="shared" si="62"/>
        <v>#N/A</v>
      </c>
      <c r="Y80" t="e">
        <f t="shared" si="63"/>
        <v>#N/A</v>
      </c>
      <c r="Z80" t="e">
        <f t="shared" si="64"/>
        <v>#N/A</v>
      </c>
      <c r="AA80" t="e">
        <f t="shared" si="65"/>
        <v>#N/A</v>
      </c>
      <c r="AB80" t="e">
        <f t="shared" si="66"/>
        <v>#N/A</v>
      </c>
      <c r="AC80" t="e">
        <f t="shared" si="67"/>
        <v>#N/A</v>
      </c>
      <c r="AD80" t="e">
        <f t="shared" si="68"/>
        <v>#N/A</v>
      </c>
      <c r="AE80" t="e">
        <f t="shared" si="69"/>
        <v>#N/A</v>
      </c>
      <c r="AF80" t="e">
        <f t="shared" si="70"/>
        <v>#N/A</v>
      </c>
      <c r="AG80" t="e">
        <f t="shared" si="71"/>
        <v>#N/A</v>
      </c>
      <c r="AH80" t="e">
        <f t="shared" si="72"/>
        <v>#N/A</v>
      </c>
      <c r="AI80" t="e">
        <f t="shared" si="73"/>
        <v>#N/A</v>
      </c>
      <c r="AJ80" t="e">
        <f t="shared" si="74"/>
        <v>#N/A</v>
      </c>
    </row>
    <row r="81">
      <c r="A81" s="2" t="n">
        <v>48914</v>
      </c>
      <c r="B81" t="n">
        <v>798380.276989552</v>
      </c>
      <c r="C81" t="n">
        <v>434197.981031085</v>
      </c>
      <c r="D81" t="n">
        <v>203.486791205144</v>
      </c>
      <c r="E81" t="n">
        <v>16149.2688145554</v>
      </c>
      <c r="F81" t="n">
        <v>4398648.29633681</v>
      </c>
      <c r="G81" t="n">
        <v>0.055548109231266</v>
      </c>
      <c r="H81" t="n">
        <v>0.665306580427461</v>
      </c>
      <c r="I81" t="n">
        <v>0.0314039511778042</v>
      </c>
      <c r="J81" t="n">
        <v>0.0414817781377211</v>
      </c>
      <c r="K81" t="s">
        <v>179</v>
      </c>
      <c r="L81" t="e">
        <f t="shared" si="50"/>
        <v>#N/A</v>
      </c>
      <c r="M81" t="e">
        <f t="shared" si="51"/>
        <v>#N/A</v>
      </c>
      <c r="N81" t="e">
        <f t="shared" si="52"/>
        <v>#N/A</v>
      </c>
      <c r="O81" t="n">
        <f t="shared" si="53"/>
        <v>0</v>
      </c>
      <c r="P81" t="n">
        <f t="shared" si="54"/>
        <v>0</v>
      </c>
      <c r="Q81" t="n">
        <f t="shared" si="55"/>
        <v>0</v>
      </c>
      <c r="R81" t="n">
        <f t="shared" si="56"/>
        <v>0</v>
      </c>
      <c r="S81" t="e">
        <f t="shared" si="57"/>
        <v>#N/A</v>
      </c>
      <c r="T81" t="e">
        <f t="shared" si="58"/>
        <v>#N/A</v>
      </c>
      <c r="U81" t="e">
        <f t="shared" si="59"/>
        <v>#N/A</v>
      </c>
      <c r="V81" t="e">
        <f t="shared" si="60"/>
        <v>#N/A</v>
      </c>
      <c r="W81" t="e">
        <f t="shared" si="61"/>
        <v>#N/A</v>
      </c>
      <c r="X81" t="e">
        <f t="shared" si="62"/>
        <v>#N/A</v>
      </c>
      <c r="Y81" t="e">
        <f t="shared" si="63"/>
        <v>#N/A</v>
      </c>
      <c r="Z81" t="e">
        <f t="shared" si="64"/>
        <v>#N/A</v>
      </c>
      <c r="AA81" t="e">
        <f t="shared" si="65"/>
        <v>#N/A</v>
      </c>
      <c r="AB81" t="e">
        <f t="shared" si="66"/>
        <v>#N/A</v>
      </c>
      <c r="AC81" t="e">
        <f t="shared" si="67"/>
        <v>#N/A</v>
      </c>
      <c r="AD81" t="e">
        <f t="shared" si="68"/>
        <v>#N/A</v>
      </c>
      <c r="AE81" t="e">
        <f t="shared" si="69"/>
        <v>#N/A</v>
      </c>
      <c r="AF81" t="e">
        <f t="shared" si="70"/>
        <v>#N/A</v>
      </c>
      <c r="AG81" t="e">
        <f t="shared" si="71"/>
        <v>#N/A</v>
      </c>
      <c r="AH81" t="e">
        <f t="shared" si="72"/>
        <v>#N/A</v>
      </c>
      <c r="AI81" t="e">
        <f t="shared" si="73"/>
        <v>#N/A</v>
      </c>
      <c r="AJ81" t="e">
        <f t="shared" si="74"/>
        <v>#N/A</v>
      </c>
    </row>
    <row r="82">
      <c r="A82" s="2" t="n">
        <v>49004</v>
      </c>
      <c r="B82" t="n">
        <v>801126.051542471</v>
      </c>
      <c r="C82" t="n">
        <v>437015.957437043</v>
      </c>
      <c r="D82" t="n">
        <v>205.485453031879</v>
      </c>
      <c r="E82" t="n">
        <v>16197.3550174937</v>
      </c>
      <c r="F82" t="n">
        <v>4404318.65702166</v>
      </c>
      <c r="G82" t="n">
        <v>0.055526404159625</v>
      </c>
      <c r="H82" t="n">
        <v>0.665287819876703</v>
      </c>
      <c r="I82" t="n">
        <v>0.0316590405753057</v>
      </c>
      <c r="J82" t="n">
        <v>0.0407302141134133</v>
      </c>
      <c r="K82" t="s">
        <v>179</v>
      </c>
      <c r="L82" t="e">
        <f t="shared" si="50"/>
        <v>#N/A</v>
      </c>
      <c r="M82" t="e">
        <f t="shared" si="51"/>
        <v>#N/A</v>
      </c>
      <c r="N82" t="e">
        <f t="shared" si="52"/>
        <v>#N/A</v>
      </c>
      <c r="O82" t="n">
        <f t="shared" si="53"/>
        <v>0</v>
      </c>
      <c r="P82" t="n">
        <f t="shared" si="54"/>
        <v>0</v>
      </c>
      <c r="Q82" t="n">
        <f t="shared" si="55"/>
        <v>0</v>
      </c>
      <c r="R82" t="n">
        <f t="shared" si="56"/>
        <v>0</v>
      </c>
      <c r="S82" t="e">
        <f t="shared" si="57"/>
        <v>#N/A</v>
      </c>
      <c r="T82" t="e">
        <f t="shared" si="58"/>
        <v>#N/A</v>
      </c>
      <c r="U82" t="e">
        <f t="shared" si="59"/>
        <v>#N/A</v>
      </c>
      <c r="V82" t="e">
        <f t="shared" si="60"/>
        <v>#N/A</v>
      </c>
      <c r="W82" t="e">
        <f t="shared" si="61"/>
        <v>#N/A</v>
      </c>
      <c r="X82" t="e">
        <f t="shared" si="62"/>
        <v>#N/A</v>
      </c>
      <c r="Y82" t="e">
        <f t="shared" si="63"/>
        <v>#N/A</v>
      </c>
      <c r="Z82" t="e">
        <f t="shared" si="64"/>
        <v>#N/A</v>
      </c>
      <c r="AA82" t="e">
        <f t="shared" si="65"/>
        <v>#N/A</v>
      </c>
      <c r="AB82" t="e">
        <f t="shared" si="66"/>
        <v>#N/A</v>
      </c>
      <c r="AC82" t="e">
        <f t="shared" si="67"/>
        <v>#N/A</v>
      </c>
      <c r="AD82" t="e">
        <f t="shared" si="68"/>
        <v>#N/A</v>
      </c>
      <c r="AE82" t="e">
        <f t="shared" si="69"/>
        <v>#N/A</v>
      </c>
      <c r="AF82" t="e">
        <f t="shared" si="70"/>
        <v>#N/A</v>
      </c>
      <c r="AG82" t="e">
        <f t="shared" si="71"/>
        <v>#N/A</v>
      </c>
      <c r="AH82" t="e">
        <f t="shared" si="72"/>
        <v>#N/A</v>
      </c>
      <c r="AI82" t="e">
        <f t="shared" si="73"/>
        <v>#N/A</v>
      </c>
      <c r="AJ82" t="e">
        <f t="shared" si="74"/>
        <v>#N/A</v>
      </c>
    </row>
    <row r="83">
      <c r="A83" s="2" t="n">
        <v>49096</v>
      </c>
      <c r="B83" t="n">
        <v>803621.31987296</v>
      </c>
      <c r="C83" t="n">
        <v>439470.628671841</v>
      </c>
      <c r="D83" t="n">
        <v>207.510209888551</v>
      </c>
      <c r="E83" t="n">
        <v>16244.4397149243</v>
      </c>
      <c r="F83" t="n">
        <v>4409406.66415457</v>
      </c>
      <c r="G83" t="n">
        <v>0.0555778061324279</v>
      </c>
      <c r="H83" t="n">
        <v>0.665279291899466</v>
      </c>
      <c r="I83" t="n">
        <v>0.0318483809193854</v>
      </c>
      <c r="J83" t="n">
        <v>0.0400412063483066</v>
      </c>
      <c r="K83" t="s">
        <v>179</v>
      </c>
      <c r="L83" t="e">
        <f t="shared" si="50"/>
        <v>#N/A</v>
      </c>
      <c r="M83" t="e">
        <f t="shared" si="51"/>
        <v>#N/A</v>
      </c>
      <c r="N83" t="e">
        <f t="shared" si="52"/>
        <v>#N/A</v>
      </c>
      <c r="O83" t="n">
        <f t="shared" si="53"/>
        <v>0</v>
      </c>
      <c r="P83" t="n">
        <f t="shared" si="54"/>
        <v>0</v>
      </c>
      <c r="Q83" t="n">
        <f t="shared" si="55"/>
        <v>0</v>
      </c>
      <c r="R83" t="n">
        <f t="shared" si="56"/>
        <v>0</v>
      </c>
      <c r="S83" t="e">
        <f t="shared" si="57"/>
        <v>#N/A</v>
      </c>
      <c r="T83" t="e">
        <f t="shared" si="58"/>
        <v>#N/A</v>
      </c>
      <c r="U83" t="e">
        <f t="shared" si="59"/>
        <v>#N/A</v>
      </c>
      <c r="V83" t="e">
        <f t="shared" si="60"/>
        <v>#N/A</v>
      </c>
      <c r="W83" t="e">
        <f t="shared" si="61"/>
        <v>#N/A</v>
      </c>
      <c r="X83" t="e">
        <f t="shared" si="62"/>
        <v>#N/A</v>
      </c>
      <c r="Y83" t="e">
        <f t="shared" si="63"/>
        <v>#N/A</v>
      </c>
      <c r="Z83" t="e">
        <f t="shared" si="64"/>
        <v>#N/A</v>
      </c>
      <c r="AA83" t="e">
        <f t="shared" si="65"/>
        <v>#N/A</v>
      </c>
      <c r="AB83" t="e">
        <f t="shared" si="66"/>
        <v>#N/A</v>
      </c>
      <c r="AC83" t="e">
        <f t="shared" si="67"/>
        <v>#N/A</v>
      </c>
      <c r="AD83" t="e">
        <f t="shared" si="68"/>
        <v>#N/A</v>
      </c>
      <c r="AE83" t="e">
        <f t="shared" si="69"/>
        <v>#N/A</v>
      </c>
      <c r="AF83" t="e">
        <f t="shared" si="70"/>
        <v>#N/A</v>
      </c>
      <c r="AG83" t="e">
        <f t="shared" si="71"/>
        <v>#N/A</v>
      </c>
      <c r="AH83" t="e">
        <f t="shared" si="72"/>
        <v>#N/A</v>
      </c>
      <c r="AI83" t="e">
        <f t="shared" si="73"/>
        <v>#N/A</v>
      </c>
      <c r="AJ83" t="e">
        <f t="shared" si="74"/>
        <v>#N/A</v>
      </c>
    </row>
    <row r="84">
      <c r="A84" s="2" t="n">
        <v>49188</v>
      </c>
      <c r="B84" t="n">
        <v>806212.514206004</v>
      </c>
      <c r="C84" t="n">
        <v>441958.297714343</v>
      </c>
      <c r="D84" t="n">
        <v>209.566509972304</v>
      </c>
      <c r="E84" t="n">
        <v>16290.9862546113</v>
      </c>
      <c r="F84" t="n">
        <v>4414432.9816159</v>
      </c>
      <c r="G84" t="n">
        <v>0.0555757989612515</v>
      </c>
      <c r="H84" t="n">
        <v>0.665267800448204</v>
      </c>
      <c r="I84" t="n">
        <v>0.0321530548592867</v>
      </c>
      <c r="J84" t="n">
        <v>0.0394175114285953</v>
      </c>
      <c r="K84" t="s">
        <v>179</v>
      </c>
      <c r="L84" t="e">
        <f t="shared" si="50"/>
        <v>#N/A</v>
      </c>
      <c r="M84" t="e">
        <f t="shared" si="51"/>
        <v>#N/A</v>
      </c>
      <c r="N84" t="e">
        <f t="shared" si="52"/>
        <v>#N/A</v>
      </c>
      <c r="O84" t="n">
        <f t="shared" si="53"/>
        <v>0</v>
      </c>
      <c r="P84" t="n">
        <f t="shared" si="54"/>
        <v>0</v>
      </c>
      <c r="Q84" t="n">
        <f t="shared" si="55"/>
        <v>0</v>
      </c>
      <c r="R84" t="n">
        <f t="shared" si="56"/>
        <v>0</v>
      </c>
      <c r="S84" t="e">
        <f t="shared" si="57"/>
        <v>#N/A</v>
      </c>
      <c r="T84" t="e">
        <f t="shared" si="58"/>
        <v>#N/A</v>
      </c>
      <c r="U84" t="e">
        <f t="shared" si="59"/>
        <v>#N/A</v>
      </c>
      <c r="V84" t="e">
        <f t="shared" si="60"/>
        <v>#N/A</v>
      </c>
      <c r="W84" t="e">
        <f t="shared" si="61"/>
        <v>#N/A</v>
      </c>
      <c r="X84" t="e">
        <f t="shared" si="62"/>
        <v>#N/A</v>
      </c>
      <c r="Y84" t="e">
        <f t="shared" si="63"/>
        <v>#N/A</v>
      </c>
      <c r="Z84" t="e">
        <f t="shared" si="64"/>
        <v>#N/A</v>
      </c>
      <c r="AA84" t="e">
        <f t="shared" si="65"/>
        <v>#N/A</v>
      </c>
      <c r="AB84" t="e">
        <f t="shared" si="66"/>
        <v>#N/A</v>
      </c>
      <c r="AC84" t="e">
        <f t="shared" si="67"/>
        <v>#N/A</v>
      </c>
      <c r="AD84" t="e">
        <f t="shared" si="68"/>
        <v>#N/A</v>
      </c>
      <c r="AE84" t="e">
        <f t="shared" si="69"/>
        <v>#N/A</v>
      </c>
      <c r="AF84" t="e">
        <f t="shared" si="70"/>
        <v>#N/A</v>
      </c>
      <c r="AG84" t="e">
        <f t="shared" si="71"/>
        <v>#N/A</v>
      </c>
      <c r="AH84" t="e">
        <f t="shared" si="72"/>
        <v>#N/A</v>
      </c>
      <c r="AI84" t="e">
        <f t="shared" si="73"/>
        <v>#N/A</v>
      </c>
      <c r="AJ84" t="e">
        <f t="shared" si="74"/>
        <v>#N/A</v>
      </c>
    </row>
    <row r="85">
      <c r="A85" s="2" t="n">
        <v>49279</v>
      </c>
      <c r="B85" t="n">
        <v>808907.924093146</v>
      </c>
      <c r="C85" t="n">
        <v>444538.084752457</v>
      </c>
      <c r="D85" t="n">
        <v>211.65125169234</v>
      </c>
      <c r="E85" t="n">
        <v>16338.0041933129</v>
      </c>
      <c r="F85" t="n">
        <v>4419616.92829471</v>
      </c>
      <c r="G85" t="n">
        <v>0.0555588552314353</v>
      </c>
      <c r="H85" t="n">
        <v>0.665265054124157</v>
      </c>
      <c r="I85" t="n">
        <v>0.0325040781154078</v>
      </c>
      <c r="J85" t="n">
        <v>0.0388575081380368</v>
      </c>
      <c r="K85" t="s">
        <v>179</v>
      </c>
      <c r="L85" t="e">
        <f t="shared" si="50"/>
        <v>#N/A</v>
      </c>
      <c r="M85" t="e">
        <f t="shared" si="51"/>
        <v>#N/A</v>
      </c>
      <c r="N85" t="e">
        <f t="shared" si="52"/>
        <v>#N/A</v>
      </c>
      <c r="O85" t="n">
        <f t="shared" si="53"/>
        <v>0</v>
      </c>
      <c r="P85" t="n">
        <f t="shared" si="54"/>
        <v>0</v>
      </c>
      <c r="Q85" t="n">
        <f t="shared" si="55"/>
        <v>0</v>
      </c>
      <c r="R85" t="n">
        <f t="shared" si="56"/>
        <v>0</v>
      </c>
      <c r="S85" t="e">
        <f t="shared" si="57"/>
        <v>#N/A</v>
      </c>
      <c r="T85" t="e">
        <f t="shared" si="58"/>
        <v>#N/A</v>
      </c>
      <c r="U85" t="e">
        <f t="shared" si="59"/>
        <v>#N/A</v>
      </c>
      <c r="V85" t="e">
        <f t="shared" si="60"/>
        <v>#N/A</v>
      </c>
      <c r="W85" t="e">
        <f t="shared" si="61"/>
        <v>#N/A</v>
      </c>
      <c r="X85" t="e">
        <f t="shared" si="62"/>
        <v>#N/A</v>
      </c>
      <c r="Y85" t="e">
        <f t="shared" si="63"/>
        <v>#N/A</v>
      </c>
      <c r="Z85" t="e">
        <f t="shared" si="64"/>
        <v>#N/A</v>
      </c>
      <c r="AA85" t="e">
        <f t="shared" si="65"/>
        <v>#N/A</v>
      </c>
      <c r="AB85" t="e">
        <f t="shared" si="66"/>
        <v>#N/A</v>
      </c>
      <c r="AC85" t="e">
        <f t="shared" si="67"/>
        <v>#N/A</v>
      </c>
      <c r="AD85" t="e">
        <f t="shared" si="68"/>
        <v>#N/A</v>
      </c>
      <c r="AE85" t="e">
        <f t="shared" si="69"/>
        <v>#N/A</v>
      </c>
      <c r="AF85" t="e">
        <f t="shared" si="70"/>
        <v>#N/A</v>
      </c>
      <c r="AG85" t="e">
        <f t="shared" si="71"/>
        <v>#N/A</v>
      </c>
      <c r="AH85" t="e">
        <f t="shared" si="72"/>
        <v>#N/A</v>
      </c>
      <c r="AI85" t="e">
        <f t="shared" si="73"/>
        <v>#N/A</v>
      </c>
      <c r="AJ85" t="e">
        <f t="shared" si="74"/>
        <v>#N/A</v>
      </c>
    </row>
    <row r="86">
      <c r="A86" s="2" t="n">
        <v>49369</v>
      </c>
      <c r="B86" t="n">
        <v>811626.162336572</v>
      </c>
      <c r="C86" t="n">
        <v>447141.780892027</v>
      </c>
      <c r="D86" t="n">
        <v>213.764838746508</v>
      </c>
      <c r="E86" t="n">
        <v>16385.3837652746</v>
      </c>
      <c r="F86" t="n">
        <v>4424916.33158228</v>
      </c>
      <c r="G86" t="n">
        <v>0.0555288791490229</v>
      </c>
      <c r="H86" t="n">
        <v>0.665267771793435</v>
      </c>
      <c r="I86" t="n">
        <v>0.0328883610879304</v>
      </c>
      <c r="J86" t="n">
        <v>0.038358890245586</v>
      </c>
      <c r="K86" t="s">
        <v>179</v>
      </c>
      <c r="L86" t="e">
        <f t="shared" si="50"/>
        <v>#N/A</v>
      </c>
      <c r="M86" t="e">
        <f t="shared" si="51"/>
        <v>#N/A</v>
      </c>
      <c r="N86" t="e">
        <f t="shared" si="52"/>
        <v>#N/A</v>
      </c>
      <c r="O86" t="n">
        <f t="shared" si="53"/>
        <v>0</v>
      </c>
      <c r="P86" t="n">
        <f t="shared" si="54"/>
        <v>0</v>
      </c>
      <c r="Q86" t="n">
        <f t="shared" si="55"/>
        <v>0</v>
      </c>
      <c r="R86" t="n">
        <f t="shared" si="56"/>
        <v>0</v>
      </c>
      <c r="S86" t="e">
        <f t="shared" si="57"/>
        <v>#N/A</v>
      </c>
      <c r="T86" t="e">
        <f t="shared" si="58"/>
        <v>#N/A</v>
      </c>
      <c r="U86" t="e">
        <f t="shared" si="59"/>
        <v>#N/A</v>
      </c>
      <c r="V86" t="e">
        <f t="shared" si="60"/>
        <v>#N/A</v>
      </c>
      <c r="W86" t="e">
        <f t="shared" si="61"/>
        <v>#N/A</v>
      </c>
      <c r="X86" t="e">
        <f t="shared" si="62"/>
        <v>#N/A</v>
      </c>
      <c r="Y86" t="e">
        <f t="shared" si="63"/>
        <v>#N/A</v>
      </c>
      <c r="Z86" t="e">
        <f t="shared" si="64"/>
        <v>#N/A</v>
      </c>
      <c r="AA86" t="e">
        <f t="shared" si="65"/>
        <v>#N/A</v>
      </c>
      <c r="AB86" t="e">
        <f t="shared" si="66"/>
        <v>#N/A</v>
      </c>
      <c r="AC86" t="e">
        <f t="shared" si="67"/>
        <v>#N/A</v>
      </c>
      <c r="AD86" t="e">
        <f t="shared" si="68"/>
        <v>#N/A</v>
      </c>
      <c r="AE86" t="e">
        <f t="shared" si="69"/>
        <v>#N/A</v>
      </c>
      <c r="AF86" t="e">
        <f t="shared" si="70"/>
        <v>#N/A</v>
      </c>
      <c r="AG86" t="e">
        <f t="shared" si="71"/>
        <v>#N/A</v>
      </c>
      <c r="AH86" t="e">
        <f t="shared" si="72"/>
        <v>#N/A</v>
      </c>
      <c r="AI86" t="e">
        <f t="shared" si="73"/>
        <v>#N/A</v>
      </c>
      <c r="AJ86" t="e">
        <f t="shared" si="74"/>
        <v>#N/A</v>
      </c>
    </row>
    <row r="87">
      <c r="A87" s="2" t="n">
        <v>49461</v>
      </c>
      <c r="B87" t="n">
        <v>814060.672962983</v>
      </c>
      <c r="C87" t="n">
        <v>449363.800690713</v>
      </c>
      <c r="D87" t="n">
        <v>215.903847055471</v>
      </c>
      <c r="E87" t="n">
        <v>16431.1898542148</v>
      </c>
      <c r="F87" t="n">
        <v>4429385.73022685</v>
      </c>
      <c r="G87" t="n">
        <v>0.0555927408357918</v>
      </c>
      <c r="H87" t="n">
        <v>0.665272761287944</v>
      </c>
      <c r="I87" t="n">
        <v>0.0331251853860166</v>
      </c>
      <c r="J87" t="n">
        <v>0.0379085301983115</v>
      </c>
      <c r="K87" t="s">
        <v>179</v>
      </c>
      <c r="L87" t="e">
        <f t="shared" si="50"/>
        <v>#N/A</v>
      </c>
      <c r="M87" t="e">
        <f t="shared" si="51"/>
        <v>#N/A</v>
      </c>
      <c r="N87" t="e">
        <f t="shared" si="52"/>
        <v>#N/A</v>
      </c>
      <c r="O87" t="n">
        <f t="shared" si="53"/>
        <v>0</v>
      </c>
      <c r="P87" t="n">
        <f t="shared" si="54"/>
        <v>0</v>
      </c>
      <c r="Q87" t="n">
        <f t="shared" si="55"/>
        <v>0</v>
      </c>
      <c r="R87" t="n">
        <f t="shared" si="56"/>
        <v>0</v>
      </c>
      <c r="S87" t="e">
        <f t="shared" si="57"/>
        <v>#N/A</v>
      </c>
      <c r="T87" t="e">
        <f t="shared" si="58"/>
        <v>#N/A</v>
      </c>
      <c r="U87" t="e">
        <f t="shared" si="59"/>
        <v>#N/A</v>
      </c>
      <c r="V87" t="e">
        <f t="shared" si="60"/>
        <v>#N/A</v>
      </c>
      <c r="W87" t="e">
        <f t="shared" si="61"/>
        <v>#N/A</v>
      </c>
      <c r="X87" t="e">
        <f t="shared" si="62"/>
        <v>#N/A</v>
      </c>
      <c r="Y87" t="e">
        <f t="shared" si="63"/>
        <v>#N/A</v>
      </c>
      <c r="Z87" t="e">
        <f t="shared" si="64"/>
        <v>#N/A</v>
      </c>
      <c r="AA87" t="e">
        <f t="shared" si="65"/>
        <v>#N/A</v>
      </c>
      <c r="AB87" t="e">
        <f t="shared" si="66"/>
        <v>#N/A</v>
      </c>
      <c r="AC87" t="e">
        <f t="shared" si="67"/>
        <v>#N/A</v>
      </c>
      <c r="AD87" t="e">
        <f t="shared" si="68"/>
        <v>#N/A</v>
      </c>
      <c r="AE87" t="e">
        <f t="shared" si="69"/>
        <v>#N/A</v>
      </c>
      <c r="AF87" t="e">
        <f t="shared" si="70"/>
        <v>#N/A</v>
      </c>
      <c r="AG87" t="e">
        <f t="shared" si="71"/>
        <v>#N/A</v>
      </c>
      <c r="AH87" t="e">
        <f t="shared" si="72"/>
        <v>#N/A</v>
      </c>
      <c r="AI87" t="e">
        <f t="shared" si="73"/>
        <v>#N/A</v>
      </c>
      <c r="AJ87" t="e">
        <f t="shared" si="74"/>
        <v>#N/A</v>
      </c>
    </row>
    <row r="88">
      <c r="A88" s="2" t="n">
        <v>49553</v>
      </c>
      <c r="B88" t="n">
        <v>816537.500058475</v>
      </c>
      <c r="C88" t="n">
        <v>451581.252200743</v>
      </c>
      <c r="D88" t="n">
        <v>218.069944131086</v>
      </c>
      <c r="E88" t="n">
        <v>16476.1725413265</v>
      </c>
      <c r="F88" t="n">
        <v>4433460.78173659</v>
      </c>
      <c r="G88" t="n">
        <v>0.0556887257192587</v>
      </c>
      <c r="H88" t="n">
        <v>0.665264955091977</v>
      </c>
      <c r="I88" t="n">
        <v>0.0332824315437678</v>
      </c>
      <c r="J88" t="n">
        <v>0.0374983157076646</v>
      </c>
      <c r="K88" t="s">
        <v>179</v>
      </c>
      <c r="L88" t="e">
        <f t="shared" si="50"/>
        <v>#N/A</v>
      </c>
      <c r="M88" t="e">
        <f t="shared" si="51"/>
        <v>#N/A</v>
      </c>
      <c r="N88" t="e">
        <f t="shared" si="52"/>
        <v>#N/A</v>
      </c>
      <c r="O88" t="n">
        <f t="shared" si="53"/>
        <v>0</v>
      </c>
      <c r="P88" t="n">
        <f t="shared" si="54"/>
        <v>0</v>
      </c>
      <c r="Q88" t="n">
        <f t="shared" si="55"/>
        <v>0</v>
      </c>
      <c r="R88" t="n">
        <f t="shared" si="56"/>
        <v>0</v>
      </c>
      <c r="S88" t="e">
        <f t="shared" si="57"/>
        <v>#N/A</v>
      </c>
      <c r="T88" t="e">
        <f t="shared" si="58"/>
        <v>#N/A</v>
      </c>
      <c r="U88" t="e">
        <f t="shared" si="59"/>
        <v>#N/A</v>
      </c>
      <c r="V88" t="e">
        <f t="shared" si="60"/>
        <v>#N/A</v>
      </c>
      <c r="W88" t="e">
        <f t="shared" si="61"/>
        <v>#N/A</v>
      </c>
      <c r="X88" t="e">
        <f t="shared" si="62"/>
        <v>#N/A</v>
      </c>
      <c r="Y88" t="e">
        <f t="shared" si="63"/>
        <v>#N/A</v>
      </c>
      <c r="Z88" t="e">
        <f t="shared" si="64"/>
        <v>#N/A</v>
      </c>
      <c r="AA88" t="e">
        <f t="shared" si="65"/>
        <v>#N/A</v>
      </c>
      <c r="AB88" t="e">
        <f t="shared" si="66"/>
        <v>#N/A</v>
      </c>
      <c r="AC88" t="e">
        <f t="shared" si="67"/>
        <v>#N/A</v>
      </c>
      <c r="AD88" t="e">
        <f t="shared" si="68"/>
        <v>#N/A</v>
      </c>
      <c r="AE88" t="e">
        <f t="shared" si="69"/>
        <v>#N/A</v>
      </c>
      <c r="AF88" t="e">
        <f t="shared" si="70"/>
        <v>#N/A</v>
      </c>
      <c r="AG88" t="e">
        <f t="shared" si="71"/>
        <v>#N/A</v>
      </c>
      <c r="AH88" t="e">
        <f t="shared" si="72"/>
        <v>#N/A</v>
      </c>
      <c r="AI88" t="e">
        <f t="shared" si="73"/>
        <v>#N/A</v>
      </c>
      <c r="AJ88" t="e">
        <f t="shared" si="74"/>
        <v>#N/A</v>
      </c>
    </row>
    <row r="89">
      <c r="A89" s="2" t="n">
        <v>49644</v>
      </c>
      <c r="B89" t="n">
        <v>819110.576775134</v>
      </c>
      <c r="C89" t="n">
        <v>453907.281855652</v>
      </c>
      <c r="D89" t="n">
        <v>220.26299062667</v>
      </c>
      <c r="E89" t="n">
        <v>16521.2059305811</v>
      </c>
      <c r="F89" t="n">
        <v>4437560.85758665</v>
      </c>
      <c r="G89" t="n">
        <v>0.0557675599911851</v>
      </c>
      <c r="H89" t="n">
        <v>0.665247490956784</v>
      </c>
      <c r="I89" t="n">
        <v>0.0334340476953785</v>
      </c>
      <c r="J89" t="n">
        <v>0.0371251776420812</v>
      </c>
      <c r="K89" t="s">
        <v>179</v>
      </c>
      <c r="L89" t="e">
        <f t="shared" si="50"/>
        <v>#N/A</v>
      </c>
      <c r="M89" t="e">
        <f t="shared" si="51"/>
        <v>#N/A</v>
      </c>
      <c r="N89" t="e">
        <f t="shared" si="52"/>
        <v>#N/A</v>
      </c>
      <c r="O89" t="n">
        <f t="shared" si="53"/>
        <v>0</v>
      </c>
      <c r="P89" t="n">
        <f t="shared" si="54"/>
        <v>0</v>
      </c>
      <c r="Q89" t="n">
        <f t="shared" si="55"/>
        <v>0</v>
      </c>
      <c r="R89" t="n">
        <f t="shared" si="56"/>
        <v>0</v>
      </c>
      <c r="S89" t="e">
        <f t="shared" si="57"/>
        <v>#N/A</v>
      </c>
      <c r="T89" t="e">
        <f t="shared" si="58"/>
        <v>#N/A</v>
      </c>
      <c r="U89" t="e">
        <f t="shared" si="59"/>
        <v>#N/A</v>
      </c>
      <c r="V89" t="e">
        <f t="shared" si="60"/>
        <v>#N/A</v>
      </c>
      <c r="W89" t="e">
        <f t="shared" si="61"/>
        <v>#N/A</v>
      </c>
      <c r="X89" t="e">
        <f t="shared" si="62"/>
        <v>#N/A</v>
      </c>
      <c r="Y89" t="e">
        <f t="shared" si="63"/>
        <v>#N/A</v>
      </c>
      <c r="Z89" t="e">
        <f t="shared" si="64"/>
        <v>#N/A</v>
      </c>
      <c r="AA89" t="e">
        <f t="shared" si="65"/>
        <v>#N/A</v>
      </c>
      <c r="AB89" t="e">
        <f t="shared" si="66"/>
        <v>#N/A</v>
      </c>
      <c r="AC89" t="e">
        <f t="shared" si="67"/>
        <v>#N/A</v>
      </c>
      <c r="AD89" t="e">
        <f t="shared" si="68"/>
        <v>#N/A</v>
      </c>
      <c r="AE89" t="e">
        <f t="shared" si="69"/>
        <v>#N/A</v>
      </c>
      <c r="AF89" t="e">
        <f t="shared" si="70"/>
        <v>#N/A</v>
      </c>
      <c r="AG89" t="e">
        <f t="shared" si="71"/>
        <v>#N/A</v>
      </c>
      <c r="AH89" t="e">
        <f t="shared" si="72"/>
        <v>#N/A</v>
      </c>
      <c r="AI89" t="e">
        <f t="shared" si="73"/>
        <v>#N/A</v>
      </c>
      <c r="AJ89" t="e">
        <f t="shared" si="74"/>
        <v>#N/A</v>
      </c>
    </row>
    <row r="90">
      <c r="A90" s="2" t="n">
        <v>49735</v>
      </c>
      <c r="B90" t="n">
        <v>821692.459819732</v>
      </c>
      <c r="C90" t="n">
        <v>456270.457226596</v>
      </c>
      <c r="D90" t="n">
        <v>222.482164740121</v>
      </c>
      <c r="E90" t="n">
        <v>16566.3518378067</v>
      </c>
      <c r="F90" t="n">
        <v>4441682.17388536</v>
      </c>
      <c r="G90" t="n">
        <v>0.0558377972579612</v>
      </c>
      <c r="H90" t="n">
        <v>0.665228855245502</v>
      </c>
      <c r="I90" t="n">
        <v>0.0335656378207202</v>
      </c>
      <c r="J90" t="n">
        <v>0.0367853808532839</v>
      </c>
      <c r="K90" t="s">
        <v>179</v>
      </c>
      <c r="L90" t="e">
        <f t="shared" si="50"/>
        <v>#N/A</v>
      </c>
      <c r="M90" t="e">
        <f t="shared" si="51"/>
        <v>#N/A</v>
      </c>
      <c r="N90" t="e">
        <f t="shared" si="52"/>
        <v>#N/A</v>
      </c>
      <c r="O90" t="n">
        <f t="shared" si="53"/>
        <v>0</v>
      </c>
      <c r="P90" t="n">
        <f t="shared" si="54"/>
        <v>0</v>
      </c>
      <c r="Q90" t="n">
        <f t="shared" si="55"/>
        <v>0</v>
      </c>
      <c r="R90" t="n">
        <f t="shared" si="56"/>
        <v>0</v>
      </c>
      <c r="S90" t="e">
        <f t="shared" si="57"/>
        <v>#N/A</v>
      </c>
      <c r="T90" t="e">
        <f t="shared" si="58"/>
        <v>#N/A</v>
      </c>
      <c r="U90" t="e">
        <f t="shared" si="59"/>
        <v>#N/A</v>
      </c>
      <c r="V90" t="e">
        <f t="shared" si="60"/>
        <v>#N/A</v>
      </c>
      <c r="W90" t="e">
        <f t="shared" si="61"/>
        <v>#N/A</v>
      </c>
      <c r="X90" t="e">
        <f t="shared" si="62"/>
        <v>#N/A</v>
      </c>
      <c r="Y90" t="e">
        <f t="shared" si="63"/>
        <v>#N/A</v>
      </c>
      <c r="Z90" t="e">
        <f t="shared" si="64"/>
        <v>#N/A</v>
      </c>
      <c r="AA90" t="e">
        <f t="shared" si="65"/>
        <v>#N/A</v>
      </c>
      <c r="AB90" t="e">
        <f t="shared" si="66"/>
        <v>#N/A</v>
      </c>
      <c r="AC90" t="e">
        <f t="shared" si="67"/>
        <v>#N/A</v>
      </c>
      <c r="AD90" t="e">
        <f t="shared" si="68"/>
        <v>#N/A</v>
      </c>
      <c r="AE90" t="e">
        <f t="shared" si="69"/>
        <v>#N/A</v>
      </c>
      <c r="AF90" t="e">
        <f t="shared" si="70"/>
        <v>#N/A</v>
      </c>
      <c r="AG90" t="e">
        <f t="shared" si="71"/>
        <v>#N/A</v>
      </c>
      <c r="AH90" t="e">
        <f t="shared" si="72"/>
        <v>#N/A</v>
      </c>
      <c r="AI90" t="e">
        <f t="shared" si="73"/>
        <v>#N/A</v>
      </c>
      <c r="AJ90" t="e">
        <f t="shared" si="74"/>
        <v>#N/A</v>
      </c>
    </row>
    <row r="91">
      <c r="A91" s="2" t="n">
        <v>49827</v>
      </c>
      <c r="B91" t="n">
        <v>823299.562268308</v>
      </c>
      <c r="C91" t="n">
        <v>458154.476454183</v>
      </c>
      <c r="D91" t="n">
        <v>224.718528185303</v>
      </c>
      <c r="E91" t="n">
        <v>16606.2503249918</v>
      </c>
      <c r="F91" t="n">
        <v>4443229.10719057</v>
      </c>
      <c r="G91" t="n">
        <v>0.05619417293662</v>
      </c>
      <c r="H91" t="n">
        <v>0.66520203625928</v>
      </c>
      <c r="I91" t="n">
        <v>0.0331895485298051</v>
      </c>
      <c r="J91" t="n">
        <v>0.0364458207513861</v>
      </c>
      <c r="K91" t="s">
        <v>179</v>
      </c>
      <c r="L91" t="e">
        <f t="shared" si="50"/>
        <v>#N/A</v>
      </c>
      <c r="M91" t="e">
        <f t="shared" si="51"/>
        <v>#N/A</v>
      </c>
      <c r="N91" t="e">
        <f t="shared" si="52"/>
        <v>#N/A</v>
      </c>
      <c r="O91" t="n">
        <f t="shared" si="53"/>
        <v>0</v>
      </c>
      <c r="P91" t="n">
        <f t="shared" si="54"/>
        <v>0</v>
      </c>
      <c r="Q91" t="n">
        <f t="shared" si="55"/>
        <v>0</v>
      </c>
      <c r="R91" t="n">
        <f t="shared" si="56"/>
        <v>0</v>
      </c>
      <c r="S91" t="e">
        <f t="shared" si="57"/>
        <v>#N/A</v>
      </c>
      <c r="T91" t="e">
        <f t="shared" si="58"/>
        <v>#N/A</v>
      </c>
      <c r="U91" t="e">
        <f t="shared" si="59"/>
        <v>#N/A</v>
      </c>
      <c r="V91" t="e">
        <f t="shared" si="60"/>
        <v>#N/A</v>
      </c>
      <c r="W91" t="e">
        <f t="shared" si="61"/>
        <v>#N/A</v>
      </c>
      <c r="X91" t="e">
        <f t="shared" si="62"/>
        <v>#N/A</v>
      </c>
      <c r="Y91" t="e">
        <f t="shared" si="63"/>
        <v>#N/A</v>
      </c>
      <c r="Z91" t="e">
        <f t="shared" si="64"/>
        <v>#N/A</v>
      </c>
      <c r="AA91" t="e">
        <f t="shared" si="65"/>
        <v>#N/A</v>
      </c>
      <c r="AB91" t="e">
        <f t="shared" si="66"/>
        <v>#N/A</v>
      </c>
      <c r="AC91" t="e">
        <f t="shared" si="67"/>
        <v>#N/A</v>
      </c>
      <c r="AD91" t="e">
        <f t="shared" si="68"/>
        <v>#N/A</v>
      </c>
      <c r="AE91" t="e">
        <f t="shared" si="69"/>
        <v>#N/A</v>
      </c>
      <c r="AF91" t="e">
        <f t="shared" si="70"/>
        <v>#N/A</v>
      </c>
      <c r="AG91" t="e">
        <f t="shared" si="71"/>
        <v>#N/A</v>
      </c>
      <c r="AH91" t="e">
        <f t="shared" si="72"/>
        <v>#N/A</v>
      </c>
      <c r="AI91" t="e">
        <f t="shared" si="73"/>
        <v>#N/A</v>
      </c>
      <c r="AJ91" t="e">
        <f t="shared" si="74"/>
        <v>#N/A</v>
      </c>
    </row>
    <row r="92">
      <c r="A92" s="2" t="n">
        <v>49919</v>
      </c>
      <c r="B92" t="n">
        <v>825704.761593842</v>
      </c>
      <c r="C92" t="n">
        <v>460131.309634874</v>
      </c>
      <c r="D92" t="n">
        <v>226.982580411847</v>
      </c>
      <c r="E92" t="n">
        <v>16647.0335993825</v>
      </c>
      <c r="F92" t="n">
        <v>4445384.7765072</v>
      </c>
      <c r="G92" t="n">
        <v>0.0564263794043315</v>
      </c>
      <c r="H92" t="n">
        <v>0.665132082304693</v>
      </c>
      <c r="I92" t="n">
        <v>0.0329405830793991</v>
      </c>
      <c r="J92" t="n">
        <v>0.0361142035700699</v>
      </c>
      <c r="K92" t="s">
        <v>179</v>
      </c>
      <c r="L92" t="e">
        <f t="shared" si="50"/>
        <v>#N/A</v>
      </c>
      <c r="M92" t="e">
        <f t="shared" si="51"/>
        <v>#N/A</v>
      </c>
      <c r="N92" t="e">
        <f t="shared" si="52"/>
        <v>#N/A</v>
      </c>
      <c r="O92" t="n">
        <f t="shared" si="53"/>
        <v>0</v>
      </c>
      <c r="P92" t="n">
        <f t="shared" si="54"/>
        <v>0</v>
      </c>
      <c r="Q92" t="n">
        <f t="shared" si="55"/>
        <v>0</v>
      </c>
      <c r="R92" t="n">
        <f t="shared" si="56"/>
        <v>0</v>
      </c>
      <c r="S92" t="e">
        <f t="shared" si="57"/>
        <v>#N/A</v>
      </c>
      <c r="T92" t="e">
        <f t="shared" si="58"/>
        <v>#N/A</v>
      </c>
      <c r="U92" t="e">
        <f t="shared" si="59"/>
        <v>#N/A</v>
      </c>
      <c r="V92" t="e">
        <f t="shared" si="60"/>
        <v>#N/A</v>
      </c>
      <c r="W92" t="e">
        <f t="shared" si="61"/>
        <v>#N/A</v>
      </c>
      <c r="X92" t="e">
        <f t="shared" si="62"/>
        <v>#N/A</v>
      </c>
      <c r="Y92" t="e">
        <f t="shared" si="63"/>
        <v>#N/A</v>
      </c>
      <c r="Z92" t="e">
        <f t="shared" si="64"/>
        <v>#N/A</v>
      </c>
      <c r="AA92" t="e">
        <f t="shared" si="65"/>
        <v>#N/A</v>
      </c>
      <c r="AB92" t="e">
        <f t="shared" si="66"/>
        <v>#N/A</v>
      </c>
      <c r="AC92" t="e">
        <f t="shared" si="67"/>
        <v>#N/A</v>
      </c>
      <c r="AD92" t="e">
        <f t="shared" si="68"/>
        <v>#N/A</v>
      </c>
      <c r="AE92" t="e">
        <f t="shared" si="69"/>
        <v>#N/A</v>
      </c>
      <c r="AF92" t="e">
        <f t="shared" si="70"/>
        <v>#N/A</v>
      </c>
      <c r="AG92" t="e">
        <f t="shared" si="71"/>
        <v>#N/A</v>
      </c>
      <c r="AH92" t="e">
        <f t="shared" si="72"/>
        <v>#N/A</v>
      </c>
      <c r="AI92" t="e">
        <f t="shared" si="73"/>
        <v>#N/A</v>
      </c>
      <c r="AJ92" t="e">
        <f t="shared" si="74"/>
        <v>#N/A</v>
      </c>
    </row>
    <row r="93">
      <c r="A93" s="2" t="n">
        <v>50010</v>
      </c>
      <c r="B93" t="n">
        <v>827719.66030336</v>
      </c>
      <c r="C93" t="n">
        <v>462196.668659974</v>
      </c>
      <c r="D93" t="n">
        <v>229.265895310311</v>
      </c>
      <c r="E93" t="n">
        <v>16686.756894527</v>
      </c>
      <c r="F93" t="n">
        <v>4446989.65659041</v>
      </c>
      <c r="G93" t="n">
        <v>0.0567202434040637</v>
      </c>
      <c r="H93" t="n">
        <v>0.665064625162319</v>
      </c>
      <c r="I93" t="n">
        <v>0.0325329998302493</v>
      </c>
      <c r="J93" t="n">
        <v>0.035780354282777</v>
      </c>
      <c r="K93" t="s">
        <v>179</v>
      </c>
      <c r="L93" t="e">
        <f t="shared" si="50"/>
        <v>#N/A</v>
      </c>
      <c r="M93" t="e">
        <f t="shared" si="51"/>
        <v>#N/A</v>
      </c>
      <c r="N93" t="e">
        <f t="shared" si="52"/>
        <v>#N/A</v>
      </c>
      <c r="O93" t="n">
        <f t="shared" si="53"/>
        <v>0</v>
      </c>
      <c r="P93" t="n">
        <f t="shared" si="54"/>
        <v>0</v>
      </c>
      <c r="Q93" t="n">
        <f t="shared" si="55"/>
        <v>0</v>
      </c>
      <c r="R93" t="n">
        <f t="shared" si="56"/>
        <v>0</v>
      </c>
      <c r="S93" t="e">
        <f t="shared" si="57"/>
        <v>#N/A</v>
      </c>
      <c r="T93" t="e">
        <f t="shared" si="58"/>
        <v>#N/A</v>
      </c>
      <c r="U93" t="e">
        <f t="shared" si="59"/>
        <v>#N/A</v>
      </c>
      <c r="V93" t="e">
        <f t="shared" si="60"/>
        <v>#N/A</v>
      </c>
      <c r="W93" t="e">
        <f t="shared" si="61"/>
        <v>#N/A</v>
      </c>
      <c r="X93" t="e">
        <f t="shared" si="62"/>
        <v>#N/A</v>
      </c>
      <c r="Y93" t="e">
        <f t="shared" si="63"/>
        <v>#N/A</v>
      </c>
      <c r="Z93" t="e">
        <f t="shared" si="64"/>
        <v>#N/A</v>
      </c>
      <c r="AA93" t="e">
        <f t="shared" si="65"/>
        <v>#N/A</v>
      </c>
      <c r="AB93" t="e">
        <f t="shared" si="66"/>
        <v>#N/A</v>
      </c>
      <c r="AC93" t="e">
        <f t="shared" si="67"/>
        <v>#N/A</v>
      </c>
      <c r="AD93" t="e">
        <f t="shared" si="68"/>
        <v>#N/A</v>
      </c>
      <c r="AE93" t="e">
        <f t="shared" si="69"/>
        <v>#N/A</v>
      </c>
      <c r="AF93" t="e">
        <f t="shared" si="70"/>
        <v>#N/A</v>
      </c>
      <c r="AG93" t="e">
        <f t="shared" si="71"/>
        <v>#N/A</v>
      </c>
      <c r="AH93" t="e">
        <f t="shared" si="72"/>
        <v>#N/A</v>
      </c>
      <c r="AI93" t="e">
        <f t="shared" si="73"/>
        <v>#N/A</v>
      </c>
      <c r="AJ93" t="e">
        <f t="shared" si="74"/>
        <v>#N/A</v>
      </c>
    </row>
    <row r="94">
      <c r="A94" s="2"/>
      <c r="L94" t="e">
        <f t="shared" si="50"/>
        <v>#N/A</v>
      </c>
      <c r="M94" t="e">
        <f t="shared" si="51"/>
        <v>#N/A</v>
      </c>
      <c r="N94" t="e">
        <f t="shared" si="52"/>
        <v>#N/A</v>
      </c>
      <c r="O94" t="n">
        <f t="shared" si="53"/>
        <v>0</v>
      </c>
      <c r="P94" t="n">
        <f t="shared" si="54"/>
        <v>0</v>
      </c>
      <c r="Q94" t="n">
        <f t="shared" si="55"/>
        <v>0</v>
      </c>
      <c r="R94" t="n">
        <f t="shared" si="56"/>
        <v>0</v>
      </c>
      <c r="S94" t="e">
        <f t="shared" si="57"/>
        <v>#N/A</v>
      </c>
      <c r="T94" t="e">
        <f t="shared" si="58"/>
        <v>#N/A</v>
      </c>
      <c r="U94" t="e">
        <f t="shared" si="59"/>
        <v>#N/A</v>
      </c>
      <c r="V94" t="e">
        <f t="shared" si="60"/>
        <v>#N/A</v>
      </c>
      <c r="W94" t="e">
        <f t="shared" si="61"/>
        <v>#N/A</v>
      </c>
      <c r="X94" t="e">
        <f t="shared" si="62"/>
        <v>#N/A</v>
      </c>
      <c r="Y94" t="e">
        <f t="shared" si="63"/>
        <v>#N/A</v>
      </c>
      <c r="Z94" t="e">
        <f t="shared" si="64"/>
        <v>#N/A</v>
      </c>
      <c r="AA94" t="e">
        <f t="shared" si="65"/>
        <v>#N/A</v>
      </c>
      <c r="AB94" t="e">
        <f t="shared" si="66"/>
        <v>#N/A</v>
      </c>
      <c r="AC94" t="e">
        <f t="shared" si="67"/>
        <v>#N/A</v>
      </c>
      <c r="AD94" t="e">
        <f t="shared" si="68"/>
        <v>#N/A</v>
      </c>
      <c r="AE94" t="e">
        <f t="shared" si="69"/>
        <v>#N/A</v>
      </c>
      <c r="AF94" t="e">
        <f t="shared" si="70"/>
        <v>#N/A</v>
      </c>
      <c r="AG94" t="e">
        <f t="shared" si="71"/>
        <v>#N/A</v>
      </c>
      <c r="AH94" t="e">
        <f t="shared" si="72"/>
        <v>#N/A</v>
      </c>
      <c r="AI94" t="e">
        <f t="shared" si="73"/>
        <v>#N/A</v>
      </c>
      <c r="AJ94" t="e">
        <f t="shared" si="74"/>
        <v>#N/A</v>
      </c>
    </row>
    <row r="95">
      <c r="A95" s="2"/>
      <c r="L95" t="e">
        <f t="shared" si="50"/>
        <v>#N/A</v>
      </c>
      <c r="M95" t="e">
        <f t="shared" si="51"/>
        <v>#N/A</v>
      </c>
      <c r="N95" t="e">
        <f t="shared" si="52"/>
        <v>#N/A</v>
      </c>
      <c r="O95" t="n">
        <f t="shared" si="53"/>
        <v>0</v>
      </c>
      <c r="P95" t="n">
        <f t="shared" si="54"/>
        <v>0</v>
      </c>
      <c r="Q95" t="n">
        <f t="shared" si="55"/>
        <v>0</v>
      </c>
      <c r="R95" t="n">
        <f t="shared" si="56"/>
        <v>0</v>
      </c>
      <c r="S95" t="e">
        <f t="shared" si="57"/>
        <v>#N/A</v>
      </c>
      <c r="T95" t="e">
        <f t="shared" si="58"/>
        <v>#N/A</v>
      </c>
      <c r="U95" t="e">
        <f t="shared" si="59"/>
        <v>#N/A</v>
      </c>
      <c r="V95" t="e">
        <f t="shared" si="60"/>
        <v>#N/A</v>
      </c>
      <c r="W95" t="e">
        <f t="shared" si="61"/>
        <v>#N/A</v>
      </c>
      <c r="X95" t="e">
        <f t="shared" si="62"/>
        <v>#N/A</v>
      </c>
      <c r="Y95" t="e">
        <f t="shared" si="63"/>
        <v>#N/A</v>
      </c>
      <c r="Z95" t="e">
        <f t="shared" si="64"/>
        <v>#N/A</v>
      </c>
      <c r="AA95" t="e">
        <f t="shared" si="65"/>
        <v>#N/A</v>
      </c>
      <c r="AB95" t="e">
        <f t="shared" si="66"/>
        <v>#N/A</v>
      </c>
      <c r="AC95" t="e">
        <f t="shared" si="67"/>
        <v>#N/A</v>
      </c>
      <c r="AD95" t="e">
        <f t="shared" si="68"/>
        <v>#N/A</v>
      </c>
      <c r="AE95" t="e">
        <f t="shared" si="69"/>
        <v>#N/A</v>
      </c>
      <c r="AF95" t="e">
        <f t="shared" si="70"/>
        <v>#N/A</v>
      </c>
      <c r="AG95" t="e">
        <f t="shared" si="71"/>
        <v>#N/A</v>
      </c>
      <c r="AH95" t="e">
        <f t="shared" si="72"/>
        <v>#N/A</v>
      </c>
      <c r="AI95" t="e">
        <f t="shared" si="73"/>
        <v>#N/A</v>
      </c>
      <c r="AJ95" t="e">
        <f t="shared" si="74"/>
        <v>#N/A</v>
      </c>
    </row>
    <row r="96">
      <c r="A96" s="2"/>
      <c r="L96" t="e">
        <f t="shared" si="50"/>
        <v>#N/A</v>
      </c>
      <c r="M96" t="e">
        <f t="shared" si="51"/>
        <v>#N/A</v>
      </c>
      <c r="N96" t="e">
        <f t="shared" si="52"/>
        <v>#N/A</v>
      </c>
      <c r="O96" t="n">
        <f t="shared" si="53"/>
        <v>0</v>
      </c>
      <c r="P96" t="n">
        <f t="shared" si="54"/>
        <v>0</v>
      </c>
      <c r="Q96" t="n">
        <f t="shared" si="55"/>
        <v>0</v>
      </c>
      <c r="R96" t="n">
        <f t="shared" si="56"/>
        <v>0</v>
      </c>
      <c r="S96" t="e">
        <f t="shared" si="57"/>
        <v>#N/A</v>
      </c>
      <c r="T96" t="e">
        <f t="shared" si="58"/>
        <v>#N/A</v>
      </c>
      <c r="U96" t="e">
        <f t="shared" si="59"/>
        <v>#N/A</v>
      </c>
      <c r="V96" t="e">
        <f t="shared" si="60"/>
        <v>#N/A</v>
      </c>
      <c r="W96" t="e">
        <f t="shared" si="61"/>
        <v>#N/A</v>
      </c>
      <c r="X96" t="e">
        <f t="shared" si="62"/>
        <v>#N/A</v>
      </c>
      <c r="Y96" t="e">
        <f t="shared" si="63"/>
        <v>#N/A</v>
      </c>
      <c r="Z96" t="e">
        <f t="shared" si="64"/>
        <v>#N/A</v>
      </c>
      <c r="AA96" t="e">
        <f t="shared" si="65"/>
        <v>#N/A</v>
      </c>
      <c r="AB96" t="e">
        <f t="shared" si="66"/>
        <v>#N/A</v>
      </c>
      <c r="AC96" t="e">
        <f t="shared" si="67"/>
        <v>#N/A</v>
      </c>
      <c r="AD96" t="e">
        <f t="shared" si="68"/>
        <v>#N/A</v>
      </c>
      <c r="AE96" t="e">
        <f t="shared" si="69"/>
        <v>#N/A</v>
      </c>
      <c r="AF96" t="e">
        <f t="shared" si="70"/>
        <v>#N/A</v>
      </c>
      <c r="AG96" t="e">
        <f t="shared" si="71"/>
        <v>#N/A</v>
      </c>
      <c r="AH96" t="e">
        <f t="shared" si="72"/>
        <v>#N/A</v>
      </c>
      <c r="AI96" t="e">
        <f t="shared" si="73"/>
        <v>#N/A</v>
      </c>
      <c r="AJ96" t="e">
        <f t="shared" si="74"/>
        <v>#N/A</v>
      </c>
    </row>
    <row r="97">
      <c r="A97" s="2"/>
      <c r="L97" t="e">
        <f t="shared" si="50"/>
        <v>#N/A</v>
      </c>
      <c r="M97" t="e">
        <f t="shared" si="51"/>
        <v>#N/A</v>
      </c>
      <c r="N97" t="e">
        <f t="shared" si="52"/>
        <v>#N/A</v>
      </c>
      <c r="O97" t="n">
        <f t="shared" si="53"/>
        <v>0</v>
      </c>
      <c r="P97" t="n">
        <f t="shared" si="54"/>
        <v>0</v>
      </c>
      <c r="Q97" t="n">
        <f t="shared" si="55"/>
        <v>0</v>
      </c>
      <c r="R97" t="n">
        <f t="shared" si="56"/>
        <v>0</v>
      </c>
      <c r="S97" t="e">
        <f t="shared" si="57"/>
        <v>#N/A</v>
      </c>
      <c r="T97" t="e">
        <f t="shared" si="58"/>
        <v>#N/A</v>
      </c>
      <c r="U97" t="e">
        <f t="shared" si="59"/>
        <v>#N/A</v>
      </c>
      <c r="V97" t="e">
        <f t="shared" si="60"/>
        <v>#N/A</v>
      </c>
      <c r="W97" t="e">
        <f t="shared" si="61"/>
        <v>#N/A</v>
      </c>
      <c r="X97" t="e">
        <f t="shared" si="62"/>
        <v>#N/A</v>
      </c>
      <c r="Y97" t="e">
        <f t="shared" si="63"/>
        <v>#N/A</v>
      </c>
      <c r="Z97" t="e">
        <f t="shared" si="64"/>
        <v>#N/A</v>
      </c>
      <c r="AA97" t="e">
        <f t="shared" si="65"/>
        <v>#N/A</v>
      </c>
      <c r="AB97" t="e">
        <f t="shared" si="66"/>
        <v>#N/A</v>
      </c>
      <c r="AC97" t="e">
        <f t="shared" si="67"/>
        <v>#N/A</v>
      </c>
      <c r="AD97" t="e">
        <f t="shared" si="68"/>
        <v>#N/A</v>
      </c>
      <c r="AE97" t="e">
        <f t="shared" si="69"/>
        <v>#N/A</v>
      </c>
      <c r="AF97" t="e">
        <f t="shared" si="70"/>
        <v>#N/A</v>
      </c>
      <c r="AG97" t="e">
        <f t="shared" si="71"/>
        <v>#N/A</v>
      </c>
      <c r="AH97" t="e">
        <f t="shared" si="72"/>
        <v>#N/A</v>
      </c>
      <c r="AI97" t="e">
        <f t="shared" si="73"/>
        <v>#N/A</v>
      </c>
      <c r="AJ97" t="e">
        <f t="shared" si="74"/>
        <v>#N/A</v>
      </c>
    </row>
    <row r="98">
      <c r="A98" s="2"/>
      <c r="L98" t="e">
        <f t="shared" ref="L98:L129" si="75">IF(ROW()&lt;=5,NA(),IFERROR(100*(B98/INDEX(B:B,ROW()-4)-1),NA()))</f>
        <v>#N/A</v>
      </c>
      <c r="M98" t="e">
        <f t="shared" ref="M98:M129" si="76">IF(ROW()&lt;=5,NA(),IFERROR(100*(C98/INDEX(C:C,ROW()-4)-1),NA()))</f>
        <v>#N/A</v>
      </c>
      <c r="N98" t="e">
        <f t="shared" ref="N98:N129" si="77">IF(ROW()&lt;=5,NA(),IFERROR(100*(D98/INDEX(D:D,ROW()-4)-1),NA()))</f>
        <v>#N/A</v>
      </c>
      <c r="O98" t="n">
        <f t="shared" ref="O98:O129" si="78">100*G98</f>
        <v>0</v>
      </c>
      <c r="P98" t="n">
        <f t="shared" ref="P98:P129" si="79">100*H98</f>
        <v>0</v>
      </c>
      <c r="Q98" t="n">
        <f t="shared" ref="Q98:Q129" si="80">100*I98</f>
        <v>0</v>
      </c>
      <c r="R98" t="n">
        <f t="shared" ref="R98:R129" si="81">100*J98</f>
        <v>0</v>
      </c>
      <c r="S98" t="e">
        <f t="shared" ref="S98:S129" si="82">IFERROR(100*E98/INDEX(E:E,MATCH(DATE(2024,12,1),A:A,0)),NA())</f>
        <v>#N/A</v>
      </c>
      <c r="T98" t="e">
        <f t="shared" ref="T98:T129" si="83">IFERROR(100*F98/INDEX(F:F,MATCH(DATE(2024,12,1),A:A,0)),NA())</f>
        <v>#N/A</v>
      </c>
      <c r="U98" t="e">
        <f t="shared" ref="U98:U129" si="84">IF($K98="Actual",L98,NA())</f>
        <v>#N/A</v>
      </c>
      <c r="V98" t="e">
        <f t="shared" ref="V98:V129" si="85">IF($A98&gt;=DATE(2024,12,1),L98,NA())</f>
        <v>#N/A</v>
      </c>
      <c r="W98" t="e">
        <f t="shared" ref="W98:W129" si="86">IF($K98="Actual",M98,NA())</f>
        <v>#N/A</v>
      </c>
      <c r="X98" t="e">
        <f t="shared" ref="X98:X129" si="87">IF($A98&gt;=DATE(2024,12,1),M98,NA())</f>
        <v>#N/A</v>
      </c>
      <c r="Y98" t="e">
        <f t="shared" ref="Y98:Y129" si="88">IF($K98="Actual",S98,NA())</f>
        <v>#N/A</v>
      </c>
      <c r="Z98" t="e">
        <f t="shared" ref="Z98:Z129" si="89">IF($A98&gt;=DATE(2024,12,1),S98,NA())</f>
        <v>#N/A</v>
      </c>
      <c r="AA98" t="e">
        <f t="shared" ref="AA98:AA129" si="90">IF($K98="Actual",T98,NA())</f>
        <v>#N/A</v>
      </c>
      <c r="AB98" t="e">
        <f t="shared" ref="AB98:AB129" si="91">IF($A98&gt;=DATE(2024,12,1),T98,NA())</f>
        <v>#N/A</v>
      </c>
      <c r="AC98" t="e">
        <f t="shared" ref="AC98:AC129" si="92">IF($K98="Actual",O98,NA())</f>
        <v>#N/A</v>
      </c>
      <c r="AD98" t="e">
        <f t="shared" ref="AD98:AD129" si="93">IF($A98&gt;=DATE(2024,12,1),O98,NA())</f>
        <v>#N/A</v>
      </c>
      <c r="AE98" t="e">
        <f t="shared" ref="AE98:AE129" si="94">IF($K98="Actual",Q98,NA())</f>
        <v>#N/A</v>
      </c>
      <c r="AF98" t="e">
        <f t="shared" ref="AF98:AF129" si="95">IF($A98&gt;=DATE(2024,12,1),Q98,NA())</f>
        <v>#N/A</v>
      </c>
      <c r="AG98" t="e">
        <f t="shared" ref="AG98:AG129" si="96">IF($K98="Actual",R98,NA())</f>
        <v>#N/A</v>
      </c>
      <c r="AH98" t="e">
        <f t="shared" ref="AH98:AH129" si="97">IF($A98&gt;=DATE(2024,12,1),R98,NA())</f>
        <v>#N/A</v>
      </c>
      <c r="AI98" t="e">
        <f t="shared" ref="AI98:AI129" si="98">IF($K98="Actual",N98,NA())</f>
        <v>#N/A</v>
      </c>
      <c r="AJ98" t="e">
        <f t="shared" ref="AJ98:AJ129" si="99">IF($A98&gt;=DATE(2024,12,1),N98,NA())</f>
        <v>#N/A</v>
      </c>
    </row>
    <row r="99">
      <c r="A99" s="2"/>
      <c r="L99" t="e">
        <f t="shared" si="75"/>
        <v>#N/A</v>
      </c>
      <c r="M99" t="e">
        <f t="shared" si="76"/>
        <v>#N/A</v>
      </c>
      <c r="N99" t="e">
        <f t="shared" si="77"/>
        <v>#N/A</v>
      </c>
      <c r="O99" t="n">
        <f t="shared" si="78"/>
        <v>0</v>
      </c>
      <c r="P99" t="n">
        <f t="shared" si="79"/>
        <v>0</v>
      </c>
      <c r="Q99" t="n">
        <f t="shared" si="80"/>
        <v>0</v>
      </c>
      <c r="R99" t="n">
        <f t="shared" si="81"/>
        <v>0</v>
      </c>
      <c r="S99" t="e">
        <f t="shared" si="82"/>
        <v>#N/A</v>
      </c>
      <c r="T99" t="e">
        <f t="shared" si="83"/>
        <v>#N/A</v>
      </c>
      <c r="U99" t="e">
        <f t="shared" si="84"/>
        <v>#N/A</v>
      </c>
      <c r="V99" t="e">
        <f t="shared" si="85"/>
        <v>#N/A</v>
      </c>
      <c r="W99" t="e">
        <f t="shared" si="86"/>
        <v>#N/A</v>
      </c>
      <c r="X99" t="e">
        <f t="shared" si="87"/>
        <v>#N/A</v>
      </c>
      <c r="Y99" t="e">
        <f t="shared" si="88"/>
        <v>#N/A</v>
      </c>
      <c r="Z99" t="e">
        <f t="shared" si="89"/>
        <v>#N/A</v>
      </c>
      <c r="AA99" t="e">
        <f t="shared" si="90"/>
        <v>#N/A</v>
      </c>
      <c r="AB99" t="e">
        <f t="shared" si="91"/>
        <v>#N/A</v>
      </c>
      <c r="AC99" t="e">
        <f t="shared" si="92"/>
        <v>#N/A</v>
      </c>
      <c r="AD99" t="e">
        <f t="shared" si="93"/>
        <v>#N/A</v>
      </c>
      <c r="AE99" t="e">
        <f t="shared" si="94"/>
        <v>#N/A</v>
      </c>
      <c r="AF99" t="e">
        <f t="shared" si="95"/>
        <v>#N/A</v>
      </c>
      <c r="AG99" t="e">
        <f t="shared" si="96"/>
        <v>#N/A</v>
      </c>
      <c r="AH99" t="e">
        <f t="shared" si="97"/>
        <v>#N/A</v>
      </c>
      <c r="AI99" t="e">
        <f t="shared" si="98"/>
        <v>#N/A</v>
      </c>
      <c r="AJ99" t="e">
        <f t="shared" si="99"/>
        <v>#N/A</v>
      </c>
    </row>
    <row r="100">
      <c r="A100" s="2"/>
      <c r="L100" t="e">
        <f t="shared" si="75"/>
        <v>#N/A</v>
      </c>
      <c r="M100" t="e">
        <f t="shared" si="76"/>
        <v>#N/A</v>
      </c>
      <c r="N100" t="e">
        <f t="shared" si="77"/>
        <v>#N/A</v>
      </c>
      <c r="O100" t="n">
        <f t="shared" si="78"/>
        <v>0</v>
      </c>
      <c r="P100" t="n">
        <f t="shared" si="79"/>
        <v>0</v>
      </c>
      <c r="Q100" t="n">
        <f t="shared" si="80"/>
        <v>0</v>
      </c>
      <c r="R100" t="n">
        <f t="shared" si="81"/>
        <v>0</v>
      </c>
      <c r="S100" t="e">
        <f t="shared" si="82"/>
        <v>#N/A</v>
      </c>
      <c r="T100" t="e">
        <f t="shared" si="83"/>
        <v>#N/A</v>
      </c>
      <c r="U100" t="e">
        <f t="shared" si="84"/>
        <v>#N/A</v>
      </c>
      <c r="V100" t="e">
        <f t="shared" si="85"/>
        <v>#N/A</v>
      </c>
      <c r="W100" t="e">
        <f t="shared" si="86"/>
        <v>#N/A</v>
      </c>
      <c r="X100" t="e">
        <f t="shared" si="87"/>
        <v>#N/A</v>
      </c>
      <c r="Y100" t="e">
        <f t="shared" si="88"/>
        <v>#N/A</v>
      </c>
      <c r="Z100" t="e">
        <f t="shared" si="89"/>
        <v>#N/A</v>
      </c>
      <c r="AA100" t="e">
        <f t="shared" si="90"/>
        <v>#N/A</v>
      </c>
      <c r="AB100" t="e">
        <f t="shared" si="91"/>
        <v>#N/A</v>
      </c>
      <c r="AC100" t="e">
        <f t="shared" si="92"/>
        <v>#N/A</v>
      </c>
      <c r="AD100" t="e">
        <f t="shared" si="93"/>
        <v>#N/A</v>
      </c>
      <c r="AE100" t="e">
        <f t="shared" si="94"/>
        <v>#N/A</v>
      </c>
      <c r="AF100" t="e">
        <f t="shared" si="95"/>
        <v>#N/A</v>
      </c>
      <c r="AG100" t="e">
        <f t="shared" si="96"/>
        <v>#N/A</v>
      </c>
      <c r="AH100" t="e">
        <f t="shared" si="97"/>
        <v>#N/A</v>
      </c>
      <c r="AI100" t="e">
        <f t="shared" si="98"/>
        <v>#N/A</v>
      </c>
      <c r="AJ100" t="e">
        <f t="shared" si="99"/>
        <v>#N/A</v>
      </c>
    </row>
    <row r="101">
      <c r="A101" s="2"/>
      <c r="L101" t="e">
        <f t="shared" si="75"/>
        <v>#N/A</v>
      </c>
      <c r="M101" t="e">
        <f t="shared" si="76"/>
        <v>#N/A</v>
      </c>
      <c r="N101" t="e">
        <f t="shared" si="77"/>
        <v>#N/A</v>
      </c>
      <c r="O101" t="n">
        <f t="shared" si="78"/>
        <v>0</v>
      </c>
      <c r="P101" t="n">
        <f t="shared" si="79"/>
        <v>0</v>
      </c>
      <c r="Q101" t="n">
        <f t="shared" si="80"/>
        <v>0</v>
      </c>
      <c r="R101" t="n">
        <f t="shared" si="81"/>
        <v>0</v>
      </c>
      <c r="S101" t="e">
        <f t="shared" si="82"/>
        <v>#N/A</v>
      </c>
      <c r="T101" t="e">
        <f t="shared" si="83"/>
        <v>#N/A</v>
      </c>
      <c r="U101" t="e">
        <f t="shared" si="84"/>
        <v>#N/A</v>
      </c>
      <c r="V101" t="e">
        <f t="shared" si="85"/>
        <v>#N/A</v>
      </c>
      <c r="W101" t="e">
        <f t="shared" si="86"/>
        <v>#N/A</v>
      </c>
      <c r="X101" t="e">
        <f t="shared" si="87"/>
        <v>#N/A</v>
      </c>
      <c r="Y101" t="e">
        <f t="shared" si="88"/>
        <v>#N/A</v>
      </c>
      <c r="Z101" t="e">
        <f t="shared" si="89"/>
        <v>#N/A</v>
      </c>
      <c r="AA101" t="e">
        <f t="shared" si="90"/>
        <v>#N/A</v>
      </c>
      <c r="AB101" t="e">
        <f t="shared" si="91"/>
        <v>#N/A</v>
      </c>
      <c r="AC101" t="e">
        <f t="shared" si="92"/>
        <v>#N/A</v>
      </c>
      <c r="AD101" t="e">
        <f t="shared" si="93"/>
        <v>#N/A</v>
      </c>
      <c r="AE101" t="e">
        <f t="shared" si="94"/>
        <v>#N/A</v>
      </c>
      <c r="AF101" t="e">
        <f t="shared" si="95"/>
        <v>#N/A</v>
      </c>
      <c r="AG101" t="e">
        <f t="shared" si="96"/>
        <v>#N/A</v>
      </c>
      <c r="AH101" t="e">
        <f t="shared" si="97"/>
        <v>#N/A</v>
      </c>
      <c r="AI101" t="e">
        <f t="shared" si="98"/>
        <v>#N/A</v>
      </c>
      <c r="AJ101" t="e">
        <f t="shared" si="99"/>
        <v>#N/A</v>
      </c>
    </row>
    <row r="102">
      <c r="A102" s="2"/>
      <c r="L102" t="e">
        <f t="shared" si="75"/>
        <v>#N/A</v>
      </c>
      <c r="M102" t="e">
        <f t="shared" si="76"/>
        <v>#N/A</v>
      </c>
      <c r="N102" t="e">
        <f t="shared" si="77"/>
        <v>#N/A</v>
      </c>
      <c r="O102" t="n">
        <f t="shared" si="78"/>
        <v>0</v>
      </c>
      <c r="P102" t="n">
        <f t="shared" si="79"/>
        <v>0</v>
      </c>
      <c r="Q102" t="n">
        <f t="shared" si="80"/>
        <v>0</v>
      </c>
      <c r="R102" t="n">
        <f t="shared" si="81"/>
        <v>0</v>
      </c>
      <c r="S102" t="e">
        <f t="shared" si="82"/>
        <v>#N/A</v>
      </c>
      <c r="T102" t="e">
        <f t="shared" si="83"/>
        <v>#N/A</v>
      </c>
      <c r="U102" t="e">
        <f t="shared" si="84"/>
        <v>#N/A</v>
      </c>
      <c r="V102" t="e">
        <f t="shared" si="85"/>
        <v>#N/A</v>
      </c>
      <c r="W102" t="e">
        <f t="shared" si="86"/>
        <v>#N/A</v>
      </c>
      <c r="X102" t="e">
        <f t="shared" si="87"/>
        <v>#N/A</v>
      </c>
      <c r="Y102" t="e">
        <f t="shared" si="88"/>
        <v>#N/A</v>
      </c>
      <c r="Z102" t="e">
        <f t="shared" si="89"/>
        <v>#N/A</v>
      </c>
      <c r="AA102" t="e">
        <f t="shared" si="90"/>
        <v>#N/A</v>
      </c>
      <c r="AB102" t="e">
        <f t="shared" si="91"/>
        <v>#N/A</v>
      </c>
      <c r="AC102" t="e">
        <f t="shared" si="92"/>
        <v>#N/A</v>
      </c>
      <c r="AD102" t="e">
        <f t="shared" si="93"/>
        <v>#N/A</v>
      </c>
      <c r="AE102" t="e">
        <f t="shared" si="94"/>
        <v>#N/A</v>
      </c>
      <c r="AF102" t="e">
        <f t="shared" si="95"/>
        <v>#N/A</v>
      </c>
      <c r="AG102" t="e">
        <f t="shared" si="96"/>
        <v>#N/A</v>
      </c>
      <c r="AH102" t="e">
        <f t="shared" si="97"/>
        <v>#N/A</v>
      </c>
      <c r="AI102" t="e">
        <f t="shared" si="98"/>
        <v>#N/A</v>
      </c>
      <c r="AJ102" t="e">
        <f t="shared" si="99"/>
        <v>#N/A</v>
      </c>
    </row>
    <row r="103">
      <c r="A103" s="2"/>
      <c r="L103" t="e">
        <f t="shared" si="75"/>
        <v>#N/A</v>
      </c>
      <c r="M103" t="e">
        <f t="shared" si="76"/>
        <v>#N/A</v>
      </c>
      <c r="N103" t="e">
        <f t="shared" si="77"/>
        <v>#N/A</v>
      </c>
      <c r="O103" t="n">
        <f t="shared" si="78"/>
        <v>0</v>
      </c>
      <c r="P103" t="n">
        <f t="shared" si="79"/>
        <v>0</v>
      </c>
      <c r="Q103" t="n">
        <f t="shared" si="80"/>
        <v>0</v>
      </c>
      <c r="R103" t="n">
        <f t="shared" si="81"/>
        <v>0</v>
      </c>
      <c r="S103" t="e">
        <f t="shared" si="82"/>
        <v>#N/A</v>
      </c>
      <c r="T103" t="e">
        <f t="shared" si="83"/>
        <v>#N/A</v>
      </c>
      <c r="U103" t="e">
        <f t="shared" si="84"/>
        <v>#N/A</v>
      </c>
      <c r="V103" t="e">
        <f t="shared" si="85"/>
        <v>#N/A</v>
      </c>
      <c r="W103" t="e">
        <f t="shared" si="86"/>
        <v>#N/A</v>
      </c>
      <c r="X103" t="e">
        <f t="shared" si="87"/>
        <v>#N/A</v>
      </c>
      <c r="Y103" t="e">
        <f t="shared" si="88"/>
        <v>#N/A</v>
      </c>
      <c r="Z103" t="e">
        <f t="shared" si="89"/>
        <v>#N/A</v>
      </c>
      <c r="AA103" t="e">
        <f t="shared" si="90"/>
        <v>#N/A</v>
      </c>
      <c r="AB103" t="e">
        <f t="shared" si="91"/>
        <v>#N/A</v>
      </c>
      <c r="AC103" t="e">
        <f t="shared" si="92"/>
        <v>#N/A</v>
      </c>
      <c r="AD103" t="e">
        <f t="shared" si="93"/>
        <v>#N/A</v>
      </c>
      <c r="AE103" t="e">
        <f t="shared" si="94"/>
        <v>#N/A</v>
      </c>
      <c r="AF103" t="e">
        <f t="shared" si="95"/>
        <v>#N/A</v>
      </c>
      <c r="AG103" t="e">
        <f t="shared" si="96"/>
        <v>#N/A</v>
      </c>
      <c r="AH103" t="e">
        <f t="shared" si="97"/>
        <v>#N/A</v>
      </c>
      <c r="AI103" t="e">
        <f t="shared" si="98"/>
        <v>#N/A</v>
      </c>
      <c r="AJ103" t="e">
        <f t="shared" si="99"/>
        <v>#N/A</v>
      </c>
    </row>
    <row r="104">
      <c r="A104" s="2"/>
      <c r="L104" t="e">
        <f t="shared" si="75"/>
        <v>#N/A</v>
      </c>
      <c r="M104" t="e">
        <f t="shared" si="76"/>
        <v>#N/A</v>
      </c>
      <c r="N104" t="e">
        <f t="shared" si="77"/>
        <v>#N/A</v>
      </c>
      <c r="O104" t="n">
        <f t="shared" si="78"/>
        <v>0</v>
      </c>
      <c r="P104" t="n">
        <f t="shared" si="79"/>
        <v>0</v>
      </c>
      <c r="Q104" t="n">
        <f t="shared" si="80"/>
        <v>0</v>
      </c>
      <c r="R104" t="n">
        <f t="shared" si="81"/>
        <v>0</v>
      </c>
      <c r="S104" t="e">
        <f t="shared" si="82"/>
        <v>#N/A</v>
      </c>
      <c r="T104" t="e">
        <f t="shared" si="83"/>
        <v>#N/A</v>
      </c>
      <c r="U104" t="e">
        <f t="shared" si="84"/>
        <v>#N/A</v>
      </c>
      <c r="V104" t="e">
        <f t="shared" si="85"/>
        <v>#N/A</v>
      </c>
      <c r="W104" t="e">
        <f t="shared" si="86"/>
        <v>#N/A</v>
      </c>
      <c r="X104" t="e">
        <f t="shared" si="87"/>
        <v>#N/A</v>
      </c>
      <c r="Y104" t="e">
        <f t="shared" si="88"/>
        <v>#N/A</v>
      </c>
      <c r="Z104" t="e">
        <f t="shared" si="89"/>
        <v>#N/A</v>
      </c>
      <c r="AA104" t="e">
        <f t="shared" si="90"/>
        <v>#N/A</v>
      </c>
      <c r="AB104" t="e">
        <f t="shared" si="91"/>
        <v>#N/A</v>
      </c>
      <c r="AC104" t="e">
        <f t="shared" si="92"/>
        <v>#N/A</v>
      </c>
      <c r="AD104" t="e">
        <f t="shared" si="93"/>
        <v>#N/A</v>
      </c>
      <c r="AE104" t="e">
        <f t="shared" si="94"/>
        <v>#N/A</v>
      </c>
      <c r="AF104" t="e">
        <f t="shared" si="95"/>
        <v>#N/A</v>
      </c>
      <c r="AG104" t="e">
        <f t="shared" si="96"/>
        <v>#N/A</v>
      </c>
      <c r="AH104" t="e">
        <f t="shared" si="97"/>
        <v>#N/A</v>
      </c>
      <c r="AI104" t="e">
        <f t="shared" si="98"/>
        <v>#N/A</v>
      </c>
      <c r="AJ104" t="e">
        <f t="shared" si="99"/>
        <v>#N/A</v>
      </c>
    </row>
    <row r="105">
      <c r="A105" s="2"/>
      <c r="L105" t="e">
        <f t="shared" si="75"/>
        <v>#N/A</v>
      </c>
      <c r="M105" t="e">
        <f t="shared" si="76"/>
        <v>#N/A</v>
      </c>
      <c r="N105" t="e">
        <f t="shared" si="77"/>
        <v>#N/A</v>
      </c>
      <c r="O105" t="n">
        <f t="shared" si="78"/>
        <v>0</v>
      </c>
      <c r="P105" t="n">
        <f t="shared" si="79"/>
        <v>0</v>
      </c>
      <c r="Q105" t="n">
        <f t="shared" si="80"/>
        <v>0</v>
      </c>
      <c r="R105" t="n">
        <f t="shared" si="81"/>
        <v>0</v>
      </c>
      <c r="S105" t="e">
        <f t="shared" si="82"/>
        <v>#N/A</v>
      </c>
      <c r="T105" t="e">
        <f t="shared" si="83"/>
        <v>#N/A</v>
      </c>
      <c r="U105" t="e">
        <f t="shared" si="84"/>
        <v>#N/A</v>
      </c>
      <c r="V105" t="e">
        <f t="shared" si="85"/>
        <v>#N/A</v>
      </c>
      <c r="W105" t="e">
        <f t="shared" si="86"/>
        <v>#N/A</v>
      </c>
      <c r="X105" t="e">
        <f t="shared" si="87"/>
        <v>#N/A</v>
      </c>
      <c r="Y105" t="e">
        <f t="shared" si="88"/>
        <v>#N/A</v>
      </c>
      <c r="Z105" t="e">
        <f t="shared" si="89"/>
        <v>#N/A</v>
      </c>
      <c r="AA105" t="e">
        <f t="shared" si="90"/>
        <v>#N/A</v>
      </c>
      <c r="AB105" t="e">
        <f t="shared" si="91"/>
        <v>#N/A</v>
      </c>
      <c r="AC105" t="e">
        <f t="shared" si="92"/>
        <v>#N/A</v>
      </c>
      <c r="AD105" t="e">
        <f t="shared" si="93"/>
        <v>#N/A</v>
      </c>
      <c r="AE105" t="e">
        <f t="shared" si="94"/>
        <v>#N/A</v>
      </c>
      <c r="AF105" t="e">
        <f t="shared" si="95"/>
        <v>#N/A</v>
      </c>
      <c r="AG105" t="e">
        <f t="shared" si="96"/>
        <v>#N/A</v>
      </c>
      <c r="AH105" t="e">
        <f t="shared" si="97"/>
        <v>#N/A</v>
      </c>
      <c r="AI105" t="e">
        <f t="shared" si="98"/>
        <v>#N/A</v>
      </c>
      <c r="AJ105" t="e">
        <f t="shared" si="99"/>
        <v>#N/A</v>
      </c>
    </row>
    <row r="106">
      <c r="A106" s="2"/>
      <c r="L106" t="e">
        <f t="shared" si="75"/>
        <v>#N/A</v>
      </c>
      <c r="M106" t="e">
        <f t="shared" si="76"/>
        <v>#N/A</v>
      </c>
      <c r="N106" t="e">
        <f t="shared" si="77"/>
        <v>#N/A</v>
      </c>
      <c r="O106" t="n">
        <f t="shared" si="78"/>
        <v>0</v>
      </c>
      <c r="P106" t="n">
        <f t="shared" si="79"/>
        <v>0</v>
      </c>
      <c r="Q106" t="n">
        <f t="shared" si="80"/>
        <v>0</v>
      </c>
      <c r="R106" t="n">
        <f t="shared" si="81"/>
        <v>0</v>
      </c>
      <c r="S106" t="e">
        <f t="shared" si="82"/>
        <v>#N/A</v>
      </c>
      <c r="T106" t="e">
        <f t="shared" si="83"/>
        <v>#N/A</v>
      </c>
      <c r="U106" t="e">
        <f t="shared" si="84"/>
        <v>#N/A</v>
      </c>
      <c r="V106" t="e">
        <f t="shared" si="85"/>
        <v>#N/A</v>
      </c>
      <c r="W106" t="e">
        <f t="shared" si="86"/>
        <v>#N/A</v>
      </c>
      <c r="X106" t="e">
        <f t="shared" si="87"/>
        <v>#N/A</v>
      </c>
      <c r="Y106" t="e">
        <f t="shared" si="88"/>
        <v>#N/A</v>
      </c>
      <c r="Z106" t="e">
        <f t="shared" si="89"/>
        <v>#N/A</v>
      </c>
      <c r="AA106" t="e">
        <f t="shared" si="90"/>
        <v>#N/A</v>
      </c>
      <c r="AB106" t="e">
        <f t="shared" si="91"/>
        <v>#N/A</v>
      </c>
      <c r="AC106" t="e">
        <f t="shared" si="92"/>
        <v>#N/A</v>
      </c>
      <c r="AD106" t="e">
        <f t="shared" si="93"/>
        <v>#N/A</v>
      </c>
      <c r="AE106" t="e">
        <f t="shared" si="94"/>
        <v>#N/A</v>
      </c>
      <c r="AF106" t="e">
        <f t="shared" si="95"/>
        <v>#N/A</v>
      </c>
      <c r="AG106" t="e">
        <f t="shared" si="96"/>
        <v>#N/A</v>
      </c>
      <c r="AH106" t="e">
        <f t="shared" si="97"/>
        <v>#N/A</v>
      </c>
      <c r="AI106" t="e">
        <f t="shared" si="98"/>
        <v>#N/A</v>
      </c>
      <c r="AJ106" t="e">
        <f t="shared" si="99"/>
        <v>#N/A</v>
      </c>
    </row>
    <row r="107">
      <c r="A107" s="2"/>
      <c r="L107" t="e">
        <f t="shared" si="75"/>
        <v>#N/A</v>
      </c>
      <c r="M107" t="e">
        <f t="shared" si="76"/>
        <v>#N/A</v>
      </c>
      <c r="N107" t="e">
        <f t="shared" si="77"/>
        <v>#N/A</v>
      </c>
      <c r="O107" t="n">
        <f t="shared" si="78"/>
        <v>0</v>
      </c>
      <c r="P107" t="n">
        <f t="shared" si="79"/>
        <v>0</v>
      </c>
      <c r="Q107" t="n">
        <f t="shared" si="80"/>
        <v>0</v>
      </c>
      <c r="R107" t="n">
        <f t="shared" si="81"/>
        <v>0</v>
      </c>
      <c r="S107" t="e">
        <f t="shared" si="82"/>
        <v>#N/A</v>
      </c>
      <c r="T107" t="e">
        <f t="shared" si="83"/>
        <v>#N/A</v>
      </c>
      <c r="U107" t="e">
        <f t="shared" si="84"/>
        <v>#N/A</v>
      </c>
      <c r="V107" t="e">
        <f t="shared" si="85"/>
        <v>#N/A</v>
      </c>
      <c r="W107" t="e">
        <f t="shared" si="86"/>
        <v>#N/A</v>
      </c>
      <c r="X107" t="e">
        <f t="shared" si="87"/>
        <v>#N/A</v>
      </c>
      <c r="Y107" t="e">
        <f t="shared" si="88"/>
        <v>#N/A</v>
      </c>
      <c r="Z107" t="e">
        <f t="shared" si="89"/>
        <v>#N/A</v>
      </c>
      <c r="AA107" t="e">
        <f t="shared" si="90"/>
        <v>#N/A</v>
      </c>
      <c r="AB107" t="e">
        <f t="shared" si="91"/>
        <v>#N/A</v>
      </c>
      <c r="AC107" t="e">
        <f t="shared" si="92"/>
        <v>#N/A</v>
      </c>
      <c r="AD107" t="e">
        <f t="shared" si="93"/>
        <v>#N/A</v>
      </c>
      <c r="AE107" t="e">
        <f t="shared" si="94"/>
        <v>#N/A</v>
      </c>
      <c r="AF107" t="e">
        <f t="shared" si="95"/>
        <v>#N/A</v>
      </c>
      <c r="AG107" t="e">
        <f t="shared" si="96"/>
        <v>#N/A</v>
      </c>
      <c r="AH107" t="e">
        <f t="shared" si="97"/>
        <v>#N/A</v>
      </c>
      <c r="AI107" t="e">
        <f t="shared" si="98"/>
        <v>#N/A</v>
      </c>
      <c r="AJ107" t="e">
        <f t="shared" si="99"/>
        <v>#N/A</v>
      </c>
    </row>
    <row r="108">
      <c r="A108" s="2"/>
      <c r="L108" t="e">
        <f t="shared" si="75"/>
        <v>#N/A</v>
      </c>
      <c r="M108" t="e">
        <f t="shared" si="76"/>
        <v>#N/A</v>
      </c>
      <c r="N108" t="e">
        <f t="shared" si="77"/>
        <v>#N/A</v>
      </c>
      <c r="O108" t="n">
        <f t="shared" si="78"/>
        <v>0</v>
      </c>
      <c r="P108" t="n">
        <f t="shared" si="79"/>
        <v>0</v>
      </c>
      <c r="Q108" t="n">
        <f t="shared" si="80"/>
        <v>0</v>
      </c>
      <c r="R108" t="n">
        <f t="shared" si="81"/>
        <v>0</v>
      </c>
      <c r="S108" t="e">
        <f t="shared" si="82"/>
        <v>#N/A</v>
      </c>
      <c r="T108" t="e">
        <f t="shared" si="83"/>
        <v>#N/A</v>
      </c>
      <c r="U108" t="e">
        <f t="shared" si="84"/>
        <v>#N/A</v>
      </c>
      <c r="V108" t="e">
        <f t="shared" si="85"/>
        <v>#N/A</v>
      </c>
      <c r="W108" t="e">
        <f t="shared" si="86"/>
        <v>#N/A</v>
      </c>
      <c r="X108" t="e">
        <f t="shared" si="87"/>
        <v>#N/A</v>
      </c>
      <c r="Y108" t="e">
        <f t="shared" si="88"/>
        <v>#N/A</v>
      </c>
      <c r="Z108" t="e">
        <f t="shared" si="89"/>
        <v>#N/A</v>
      </c>
      <c r="AA108" t="e">
        <f t="shared" si="90"/>
        <v>#N/A</v>
      </c>
      <c r="AB108" t="e">
        <f t="shared" si="91"/>
        <v>#N/A</v>
      </c>
      <c r="AC108" t="e">
        <f t="shared" si="92"/>
        <v>#N/A</v>
      </c>
      <c r="AD108" t="e">
        <f t="shared" si="93"/>
        <v>#N/A</v>
      </c>
      <c r="AE108" t="e">
        <f t="shared" si="94"/>
        <v>#N/A</v>
      </c>
      <c r="AF108" t="e">
        <f t="shared" si="95"/>
        <v>#N/A</v>
      </c>
      <c r="AG108" t="e">
        <f t="shared" si="96"/>
        <v>#N/A</v>
      </c>
      <c r="AH108" t="e">
        <f t="shared" si="97"/>
        <v>#N/A</v>
      </c>
      <c r="AI108" t="e">
        <f t="shared" si="98"/>
        <v>#N/A</v>
      </c>
      <c r="AJ108" t="e">
        <f t="shared" si="99"/>
        <v>#N/A</v>
      </c>
    </row>
    <row r="109">
      <c r="A109" s="2"/>
      <c r="L109" t="e">
        <f t="shared" si="75"/>
        <v>#N/A</v>
      </c>
      <c r="M109" t="e">
        <f t="shared" si="76"/>
        <v>#N/A</v>
      </c>
      <c r="N109" t="e">
        <f t="shared" si="77"/>
        <v>#N/A</v>
      </c>
      <c r="O109" t="n">
        <f t="shared" si="78"/>
        <v>0</v>
      </c>
      <c r="P109" t="n">
        <f t="shared" si="79"/>
        <v>0</v>
      </c>
      <c r="Q109" t="n">
        <f t="shared" si="80"/>
        <v>0</v>
      </c>
      <c r="R109" t="n">
        <f t="shared" si="81"/>
        <v>0</v>
      </c>
      <c r="S109" t="e">
        <f t="shared" si="82"/>
        <v>#N/A</v>
      </c>
      <c r="T109" t="e">
        <f t="shared" si="83"/>
        <v>#N/A</v>
      </c>
      <c r="U109" t="e">
        <f t="shared" si="84"/>
        <v>#N/A</v>
      </c>
      <c r="V109" t="e">
        <f t="shared" si="85"/>
        <v>#N/A</v>
      </c>
      <c r="W109" t="e">
        <f t="shared" si="86"/>
        <v>#N/A</v>
      </c>
      <c r="X109" t="e">
        <f t="shared" si="87"/>
        <v>#N/A</v>
      </c>
      <c r="Y109" t="e">
        <f t="shared" si="88"/>
        <v>#N/A</v>
      </c>
      <c r="Z109" t="e">
        <f t="shared" si="89"/>
        <v>#N/A</v>
      </c>
      <c r="AA109" t="e">
        <f t="shared" si="90"/>
        <v>#N/A</v>
      </c>
      <c r="AB109" t="e">
        <f t="shared" si="91"/>
        <v>#N/A</v>
      </c>
      <c r="AC109" t="e">
        <f t="shared" si="92"/>
        <v>#N/A</v>
      </c>
      <c r="AD109" t="e">
        <f t="shared" si="93"/>
        <v>#N/A</v>
      </c>
      <c r="AE109" t="e">
        <f t="shared" si="94"/>
        <v>#N/A</v>
      </c>
      <c r="AF109" t="e">
        <f t="shared" si="95"/>
        <v>#N/A</v>
      </c>
      <c r="AG109" t="e">
        <f t="shared" si="96"/>
        <v>#N/A</v>
      </c>
      <c r="AH109" t="e">
        <f t="shared" si="97"/>
        <v>#N/A</v>
      </c>
      <c r="AI109" t="e">
        <f t="shared" si="98"/>
        <v>#N/A</v>
      </c>
      <c r="AJ109" t="e">
        <f t="shared" si="99"/>
        <v>#N/A</v>
      </c>
    </row>
    <row r="110">
      <c r="A110" s="2"/>
      <c r="L110" t="e">
        <f t="shared" si="75"/>
        <v>#N/A</v>
      </c>
      <c r="M110" t="e">
        <f t="shared" si="76"/>
        <v>#N/A</v>
      </c>
      <c r="N110" t="e">
        <f t="shared" si="77"/>
        <v>#N/A</v>
      </c>
      <c r="O110" t="n">
        <f t="shared" si="78"/>
        <v>0</v>
      </c>
      <c r="P110" t="n">
        <f t="shared" si="79"/>
        <v>0</v>
      </c>
      <c r="Q110" t="n">
        <f t="shared" si="80"/>
        <v>0</v>
      </c>
      <c r="R110" t="n">
        <f t="shared" si="81"/>
        <v>0</v>
      </c>
      <c r="S110" t="e">
        <f t="shared" si="82"/>
        <v>#N/A</v>
      </c>
      <c r="T110" t="e">
        <f t="shared" si="83"/>
        <v>#N/A</v>
      </c>
      <c r="U110" t="e">
        <f t="shared" si="84"/>
        <v>#N/A</v>
      </c>
      <c r="V110" t="e">
        <f t="shared" si="85"/>
        <v>#N/A</v>
      </c>
      <c r="W110" t="e">
        <f t="shared" si="86"/>
        <v>#N/A</v>
      </c>
      <c r="X110" t="e">
        <f t="shared" si="87"/>
        <v>#N/A</v>
      </c>
      <c r="Y110" t="e">
        <f t="shared" si="88"/>
        <v>#N/A</v>
      </c>
      <c r="Z110" t="e">
        <f t="shared" si="89"/>
        <v>#N/A</v>
      </c>
      <c r="AA110" t="e">
        <f t="shared" si="90"/>
        <v>#N/A</v>
      </c>
      <c r="AB110" t="e">
        <f t="shared" si="91"/>
        <v>#N/A</v>
      </c>
      <c r="AC110" t="e">
        <f t="shared" si="92"/>
        <v>#N/A</v>
      </c>
      <c r="AD110" t="e">
        <f t="shared" si="93"/>
        <v>#N/A</v>
      </c>
      <c r="AE110" t="e">
        <f t="shared" si="94"/>
        <v>#N/A</v>
      </c>
      <c r="AF110" t="e">
        <f t="shared" si="95"/>
        <v>#N/A</v>
      </c>
      <c r="AG110" t="e">
        <f t="shared" si="96"/>
        <v>#N/A</v>
      </c>
      <c r="AH110" t="e">
        <f t="shared" si="97"/>
        <v>#N/A</v>
      </c>
      <c r="AI110" t="e">
        <f t="shared" si="98"/>
        <v>#N/A</v>
      </c>
      <c r="AJ110" t="e">
        <f t="shared" si="99"/>
        <v>#N/A</v>
      </c>
    </row>
    <row r="111">
      <c r="A111" s="2"/>
      <c r="L111" t="e">
        <f t="shared" si="75"/>
        <v>#N/A</v>
      </c>
      <c r="M111" t="e">
        <f t="shared" si="76"/>
        <v>#N/A</v>
      </c>
      <c r="N111" t="e">
        <f t="shared" si="77"/>
        <v>#N/A</v>
      </c>
      <c r="O111" t="n">
        <f t="shared" si="78"/>
        <v>0</v>
      </c>
      <c r="P111" t="n">
        <f t="shared" si="79"/>
        <v>0</v>
      </c>
      <c r="Q111" t="n">
        <f t="shared" si="80"/>
        <v>0</v>
      </c>
      <c r="R111" t="n">
        <f t="shared" si="81"/>
        <v>0</v>
      </c>
      <c r="S111" t="e">
        <f t="shared" si="82"/>
        <v>#N/A</v>
      </c>
      <c r="T111" t="e">
        <f t="shared" si="83"/>
        <v>#N/A</v>
      </c>
      <c r="U111" t="e">
        <f t="shared" si="84"/>
        <v>#N/A</v>
      </c>
      <c r="V111" t="e">
        <f t="shared" si="85"/>
        <v>#N/A</v>
      </c>
      <c r="W111" t="e">
        <f t="shared" si="86"/>
        <v>#N/A</v>
      </c>
      <c r="X111" t="e">
        <f t="shared" si="87"/>
        <v>#N/A</v>
      </c>
      <c r="Y111" t="e">
        <f t="shared" si="88"/>
        <v>#N/A</v>
      </c>
      <c r="Z111" t="e">
        <f t="shared" si="89"/>
        <v>#N/A</v>
      </c>
      <c r="AA111" t="e">
        <f t="shared" si="90"/>
        <v>#N/A</v>
      </c>
      <c r="AB111" t="e">
        <f t="shared" si="91"/>
        <v>#N/A</v>
      </c>
      <c r="AC111" t="e">
        <f t="shared" si="92"/>
        <v>#N/A</v>
      </c>
      <c r="AD111" t="e">
        <f t="shared" si="93"/>
        <v>#N/A</v>
      </c>
      <c r="AE111" t="e">
        <f t="shared" si="94"/>
        <v>#N/A</v>
      </c>
      <c r="AF111" t="e">
        <f t="shared" si="95"/>
        <v>#N/A</v>
      </c>
      <c r="AG111" t="e">
        <f t="shared" si="96"/>
        <v>#N/A</v>
      </c>
      <c r="AH111" t="e">
        <f t="shared" si="97"/>
        <v>#N/A</v>
      </c>
      <c r="AI111" t="e">
        <f t="shared" si="98"/>
        <v>#N/A</v>
      </c>
      <c r="AJ111" t="e">
        <f t="shared" si="99"/>
        <v>#N/A</v>
      </c>
    </row>
    <row r="112">
      <c r="A112" s="2"/>
      <c r="L112" t="e">
        <f t="shared" si="75"/>
        <v>#N/A</v>
      </c>
      <c r="M112" t="e">
        <f t="shared" si="76"/>
        <v>#N/A</v>
      </c>
      <c r="N112" t="e">
        <f t="shared" si="77"/>
        <v>#N/A</v>
      </c>
      <c r="O112" t="n">
        <f t="shared" si="78"/>
        <v>0</v>
      </c>
      <c r="P112" t="n">
        <f t="shared" si="79"/>
        <v>0</v>
      </c>
      <c r="Q112" t="n">
        <f t="shared" si="80"/>
        <v>0</v>
      </c>
      <c r="R112" t="n">
        <f t="shared" si="81"/>
        <v>0</v>
      </c>
      <c r="S112" t="e">
        <f t="shared" si="82"/>
        <v>#N/A</v>
      </c>
      <c r="T112" t="e">
        <f t="shared" si="83"/>
        <v>#N/A</v>
      </c>
      <c r="U112" t="e">
        <f t="shared" si="84"/>
        <v>#N/A</v>
      </c>
      <c r="V112" t="e">
        <f t="shared" si="85"/>
        <v>#N/A</v>
      </c>
      <c r="W112" t="e">
        <f t="shared" si="86"/>
        <v>#N/A</v>
      </c>
      <c r="X112" t="e">
        <f t="shared" si="87"/>
        <v>#N/A</v>
      </c>
      <c r="Y112" t="e">
        <f t="shared" si="88"/>
        <v>#N/A</v>
      </c>
      <c r="Z112" t="e">
        <f t="shared" si="89"/>
        <v>#N/A</v>
      </c>
      <c r="AA112" t="e">
        <f t="shared" si="90"/>
        <v>#N/A</v>
      </c>
      <c r="AB112" t="e">
        <f t="shared" si="91"/>
        <v>#N/A</v>
      </c>
      <c r="AC112" t="e">
        <f t="shared" si="92"/>
        <v>#N/A</v>
      </c>
      <c r="AD112" t="e">
        <f t="shared" si="93"/>
        <v>#N/A</v>
      </c>
      <c r="AE112" t="e">
        <f t="shared" si="94"/>
        <v>#N/A</v>
      </c>
      <c r="AF112" t="e">
        <f t="shared" si="95"/>
        <v>#N/A</v>
      </c>
      <c r="AG112" t="e">
        <f t="shared" si="96"/>
        <v>#N/A</v>
      </c>
      <c r="AH112" t="e">
        <f t="shared" si="97"/>
        <v>#N/A</v>
      </c>
      <c r="AI112" t="e">
        <f t="shared" si="98"/>
        <v>#N/A</v>
      </c>
      <c r="AJ112" t="e">
        <f t="shared" si="99"/>
        <v>#N/A</v>
      </c>
    </row>
    <row r="113">
      <c r="A113" s="2"/>
      <c r="L113" t="e">
        <f t="shared" si="75"/>
        <v>#N/A</v>
      </c>
      <c r="M113" t="e">
        <f t="shared" si="76"/>
        <v>#N/A</v>
      </c>
      <c r="N113" t="e">
        <f t="shared" si="77"/>
        <v>#N/A</v>
      </c>
      <c r="O113" t="n">
        <f t="shared" si="78"/>
        <v>0</v>
      </c>
      <c r="P113" t="n">
        <f t="shared" si="79"/>
        <v>0</v>
      </c>
      <c r="Q113" t="n">
        <f t="shared" si="80"/>
        <v>0</v>
      </c>
      <c r="R113" t="n">
        <f t="shared" si="81"/>
        <v>0</v>
      </c>
      <c r="S113" t="e">
        <f t="shared" si="82"/>
        <v>#N/A</v>
      </c>
      <c r="T113" t="e">
        <f t="shared" si="83"/>
        <v>#N/A</v>
      </c>
      <c r="U113" t="e">
        <f t="shared" si="84"/>
        <v>#N/A</v>
      </c>
      <c r="V113" t="e">
        <f t="shared" si="85"/>
        <v>#N/A</v>
      </c>
      <c r="W113" t="e">
        <f t="shared" si="86"/>
        <v>#N/A</v>
      </c>
      <c r="X113" t="e">
        <f t="shared" si="87"/>
        <v>#N/A</v>
      </c>
      <c r="Y113" t="e">
        <f t="shared" si="88"/>
        <v>#N/A</v>
      </c>
      <c r="Z113" t="e">
        <f t="shared" si="89"/>
        <v>#N/A</v>
      </c>
      <c r="AA113" t="e">
        <f t="shared" si="90"/>
        <v>#N/A</v>
      </c>
      <c r="AB113" t="e">
        <f t="shared" si="91"/>
        <v>#N/A</v>
      </c>
      <c r="AC113" t="e">
        <f t="shared" si="92"/>
        <v>#N/A</v>
      </c>
      <c r="AD113" t="e">
        <f t="shared" si="93"/>
        <v>#N/A</v>
      </c>
      <c r="AE113" t="e">
        <f t="shared" si="94"/>
        <v>#N/A</v>
      </c>
      <c r="AF113" t="e">
        <f t="shared" si="95"/>
        <v>#N/A</v>
      </c>
      <c r="AG113" t="e">
        <f t="shared" si="96"/>
        <v>#N/A</v>
      </c>
      <c r="AH113" t="e">
        <f t="shared" si="97"/>
        <v>#N/A</v>
      </c>
      <c r="AI113" t="e">
        <f t="shared" si="98"/>
        <v>#N/A</v>
      </c>
      <c r="AJ113" t="e">
        <f t="shared" si="99"/>
        <v>#N/A</v>
      </c>
    </row>
    <row r="114">
      <c r="A114" s="2"/>
      <c r="L114" t="e">
        <f t="shared" si="75"/>
        <v>#N/A</v>
      </c>
      <c r="M114" t="e">
        <f t="shared" si="76"/>
        <v>#N/A</v>
      </c>
      <c r="N114" t="e">
        <f t="shared" si="77"/>
        <v>#N/A</v>
      </c>
      <c r="O114" t="n">
        <f t="shared" si="78"/>
        <v>0</v>
      </c>
      <c r="P114" t="n">
        <f t="shared" si="79"/>
        <v>0</v>
      </c>
      <c r="Q114" t="n">
        <f t="shared" si="80"/>
        <v>0</v>
      </c>
      <c r="R114" t="n">
        <f t="shared" si="81"/>
        <v>0</v>
      </c>
      <c r="S114" t="e">
        <f t="shared" si="82"/>
        <v>#N/A</v>
      </c>
      <c r="T114" t="e">
        <f t="shared" si="83"/>
        <v>#N/A</v>
      </c>
      <c r="U114" t="e">
        <f t="shared" si="84"/>
        <v>#N/A</v>
      </c>
      <c r="V114" t="e">
        <f t="shared" si="85"/>
        <v>#N/A</v>
      </c>
      <c r="W114" t="e">
        <f t="shared" si="86"/>
        <v>#N/A</v>
      </c>
      <c r="X114" t="e">
        <f t="shared" si="87"/>
        <v>#N/A</v>
      </c>
      <c r="Y114" t="e">
        <f t="shared" si="88"/>
        <v>#N/A</v>
      </c>
      <c r="Z114" t="e">
        <f t="shared" si="89"/>
        <v>#N/A</v>
      </c>
      <c r="AA114" t="e">
        <f t="shared" si="90"/>
        <v>#N/A</v>
      </c>
      <c r="AB114" t="e">
        <f t="shared" si="91"/>
        <v>#N/A</v>
      </c>
      <c r="AC114" t="e">
        <f t="shared" si="92"/>
        <v>#N/A</v>
      </c>
      <c r="AD114" t="e">
        <f t="shared" si="93"/>
        <v>#N/A</v>
      </c>
      <c r="AE114" t="e">
        <f t="shared" si="94"/>
        <v>#N/A</v>
      </c>
      <c r="AF114" t="e">
        <f t="shared" si="95"/>
        <v>#N/A</v>
      </c>
      <c r="AG114" t="e">
        <f t="shared" si="96"/>
        <v>#N/A</v>
      </c>
      <c r="AH114" t="e">
        <f t="shared" si="97"/>
        <v>#N/A</v>
      </c>
      <c r="AI114" t="e">
        <f t="shared" si="98"/>
        <v>#N/A</v>
      </c>
      <c r="AJ114" t="e">
        <f t="shared" si="99"/>
        <v>#N/A</v>
      </c>
    </row>
    <row r="115">
      <c r="A115" s="2"/>
      <c r="L115" t="e">
        <f t="shared" si="75"/>
        <v>#N/A</v>
      </c>
      <c r="M115" t="e">
        <f t="shared" si="76"/>
        <v>#N/A</v>
      </c>
      <c r="N115" t="e">
        <f t="shared" si="77"/>
        <v>#N/A</v>
      </c>
      <c r="O115" t="n">
        <f t="shared" si="78"/>
        <v>0</v>
      </c>
      <c r="P115" t="n">
        <f t="shared" si="79"/>
        <v>0</v>
      </c>
      <c r="Q115" t="n">
        <f t="shared" si="80"/>
        <v>0</v>
      </c>
      <c r="R115" t="n">
        <f t="shared" si="81"/>
        <v>0</v>
      </c>
      <c r="S115" t="e">
        <f t="shared" si="82"/>
        <v>#N/A</v>
      </c>
      <c r="T115" t="e">
        <f t="shared" si="83"/>
        <v>#N/A</v>
      </c>
      <c r="U115" t="e">
        <f t="shared" si="84"/>
        <v>#N/A</v>
      </c>
      <c r="V115" t="e">
        <f t="shared" si="85"/>
        <v>#N/A</v>
      </c>
      <c r="W115" t="e">
        <f t="shared" si="86"/>
        <v>#N/A</v>
      </c>
      <c r="X115" t="e">
        <f t="shared" si="87"/>
        <v>#N/A</v>
      </c>
      <c r="Y115" t="e">
        <f t="shared" si="88"/>
        <v>#N/A</v>
      </c>
      <c r="Z115" t="e">
        <f t="shared" si="89"/>
        <v>#N/A</v>
      </c>
      <c r="AA115" t="e">
        <f t="shared" si="90"/>
        <v>#N/A</v>
      </c>
      <c r="AB115" t="e">
        <f t="shared" si="91"/>
        <v>#N/A</v>
      </c>
      <c r="AC115" t="e">
        <f t="shared" si="92"/>
        <v>#N/A</v>
      </c>
      <c r="AD115" t="e">
        <f t="shared" si="93"/>
        <v>#N/A</v>
      </c>
      <c r="AE115" t="e">
        <f t="shared" si="94"/>
        <v>#N/A</v>
      </c>
      <c r="AF115" t="e">
        <f t="shared" si="95"/>
        <v>#N/A</v>
      </c>
      <c r="AG115" t="e">
        <f t="shared" si="96"/>
        <v>#N/A</v>
      </c>
      <c r="AH115" t="e">
        <f t="shared" si="97"/>
        <v>#N/A</v>
      </c>
      <c r="AI115" t="e">
        <f t="shared" si="98"/>
        <v>#N/A</v>
      </c>
      <c r="AJ115" t="e">
        <f t="shared" si="99"/>
        <v>#N/A</v>
      </c>
    </row>
    <row r="116">
      <c r="A116" s="2"/>
      <c r="L116" t="e">
        <f t="shared" si="75"/>
        <v>#N/A</v>
      </c>
      <c r="M116" t="e">
        <f t="shared" si="76"/>
        <v>#N/A</v>
      </c>
      <c r="N116" t="e">
        <f t="shared" si="77"/>
        <v>#N/A</v>
      </c>
      <c r="O116" t="n">
        <f t="shared" si="78"/>
        <v>0</v>
      </c>
      <c r="P116" t="n">
        <f t="shared" si="79"/>
        <v>0</v>
      </c>
      <c r="Q116" t="n">
        <f t="shared" si="80"/>
        <v>0</v>
      </c>
      <c r="R116" t="n">
        <f t="shared" si="81"/>
        <v>0</v>
      </c>
      <c r="S116" t="e">
        <f t="shared" si="82"/>
        <v>#N/A</v>
      </c>
      <c r="T116" t="e">
        <f t="shared" si="83"/>
        <v>#N/A</v>
      </c>
      <c r="U116" t="e">
        <f t="shared" si="84"/>
        <v>#N/A</v>
      </c>
      <c r="V116" t="e">
        <f t="shared" si="85"/>
        <v>#N/A</v>
      </c>
      <c r="W116" t="e">
        <f t="shared" si="86"/>
        <v>#N/A</v>
      </c>
      <c r="X116" t="e">
        <f t="shared" si="87"/>
        <v>#N/A</v>
      </c>
      <c r="Y116" t="e">
        <f t="shared" si="88"/>
        <v>#N/A</v>
      </c>
      <c r="Z116" t="e">
        <f t="shared" si="89"/>
        <v>#N/A</v>
      </c>
      <c r="AA116" t="e">
        <f t="shared" si="90"/>
        <v>#N/A</v>
      </c>
      <c r="AB116" t="e">
        <f t="shared" si="91"/>
        <v>#N/A</v>
      </c>
      <c r="AC116" t="e">
        <f t="shared" si="92"/>
        <v>#N/A</v>
      </c>
      <c r="AD116" t="e">
        <f t="shared" si="93"/>
        <v>#N/A</v>
      </c>
      <c r="AE116" t="e">
        <f t="shared" si="94"/>
        <v>#N/A</v>
      </c>
      <c r="AF116" t="e">
        <f t="shared" si="95"/>
        <v>#N/A</v>
      </c>
      <c r="AG116" t="e">
        <f t="shared" si="96"/>
        <v>#N/A</v>
      </c>
      <c r="AH116" t="e">
        <f t="shared" si="97"/>
        <v>#N/A</v>
      </c>
      <c r="AI116" t="e">
        <f t="shared" si="98"/>
        <v>#N/A</v>
      </c>
      <c r="AJ116" t="e">
        <f t="shared" si="99"/>
        <v>#N/A</v>
      </c>
    </row>
    <row r="117">
      <c r="A117" s="2"/>
      <c r="L117" t="e">
        <f t="shared" si="75"/>
        <v>#N/A</v>
      </c>
      <c r="M117" t="e">
        <f t="shared" si="76"/>
        <v>#N/A</v>
      </c>
      <c r="N117" t="e">
        <f t="shared" si="77"/>
        <v>#N/A</v>
      </c>
      <c r="O117" t="n">
        <f t="shared" si="78"/>
        <v>0</v>
      </c>
      <c r="P117" t="n">
        <f t="shared" si="79"/>
        <v>0</v>
      </c>
      <c r="Q117" t="n">
        <f t="shared" si="80"/>
        <v>0</v>
      </c>
      <c r="R117" t="n">
        <f t="shared" si="81"/>
        <v>0</v>
      </c>
      <c r="S117" t="e">
        <f t="shared" si="82"/>
        <v>#N/A</v>
      </c>
      <c r="T117" t="e">
        <f t="shared" si="83"/>
        <v>#N/A</v>
      </c>
      <c r="U117" t="e">
        <f t="shared" si="84"/>
        <v>#N/A</v>
      </c>
      <c r="V117" t="e">
        <f t="shared" si="85"/>
        <v>#N/A</v>
      </c>
      <c r="W117" t="e">
        <f t="shared" si="86"/>
        <v>#N/A</v>
      </c>
      <c r="X117" t="e">
        <f t="shared" si="87"/>
        <v>#N/A</v>
      </c>
      <c r="Y117" t="e">
        <f t="shared" si="88"/>
        <v>#N/A</v>
      </c>
      <c r="Z117" t="e">
        <f t="shared" si="89"/>
        <v>#N/A</v>
      </c>
      <c r="AA117" t="e">
        <f t="shared" si="90"/>
        <v>#N/A</v>
      </c>
      <c r="AB117" t="e">
        <f t="shared" si="91"/>
        <v>#N/A</v>
      </c>
      <c r="AC117" t="e">
        <f t="shared" si="92"/>
        <v>#N/A</v>
      </c>
      <c r="AD117" t="e">
        <f t="shared" si="93"/>
        <v>#N/A</v>
      </c>
      <c r="AE117" t="e">
        <f t="shared" si="94"/>
        <v>#N/A</v>
      </c>
      <c r="AF117" t="e">
        <f t="shared" si="95"/>
        <v>#N/A</v>
      </c>
      <c r="AG117" t="e">
        <f t="shared" si="96"/>
        <v>#N/A</v>
      </c>
      <c r="AH117" t="e">
        <f t="shared" si="97"/>
        <v>#N/A</v>
      </c>
      <c r="AI117" t="e">
        <f t="shared" si="98"/>
        <v>#N/A</v>
      </c>
      <c r="AJ117" t="e">
        <f t="shared" si="99"/>
        <v>#N/A</v>
      </c>
    </row>
    <row r="118">
      <c r="A118" s="2"/>
      <c r="L118" t="e">
        <f t="shared" si="75"/>
        <v>#N/A</v>
      </c>
      <c r="M118" t="e">
        <f t="shared" si="76"/>
        <v>#N/A</v>
      </c>
      <c r="N118" t="e">
        <f t="shared" si="77"/>
        <v>#N/A</v>
      </c>
      <c r="O118" t="n">
        <f t="shared" si="78"/>
        <v>0</v>
      </c>
      <c r="P118" t="n">
        <f t="shared" si="79"/>
        <v>0</v>
      </c>
      <c r="Q118" t="n">
        <f t="shared" si="80"/>
        <v>0</v>
      </c>
      <c r="R118" t="n">
        <f t="shared" si="81"/>
        <v>0</v>
      </c>
      <c r="S118" t="e">
        <f t="shared" si="82"/>
        <v>#N/A</v>
      </c>
      <c r="T118" t="e">
        <f t="shared" si="83"/>
        <v>#N/A</v>
      </c>
      <c r="U118" t="e">
        <f t="shared" si="84"/>
        <v>#N/A</v>
      </c>
      <c r="V118" t="e">
        <f t="shared" si="85"/>
        <v>#N/A</v>
      </c>
      <c r="W118" t="e">
        <f t="shared" si="86"/>
        <v>#N/A</v>
      </c>
      <c r="X118" t="e">
        <f t="shared" si="87"/>
        <v>#N/A</v>
      </c>
      <c r="Y118" t="e">
        <f t="shared" si="88"/>
        <v>#N/A</v>
      </c>
      <c r="Z118" t="e">
        <f t="shared" si="89"/>
        <v>#N/A</v>
      </c>
      <c r="AA118" t="e">
        <f t="shared" si="90"/>
        <v>#N/A</v>
      </c>
      <c r="AB118" t="e">
        <f t="shared" si="91"/>
        <v>#N/A</v>
      </c>
      <c r="AC118" t="e">
        <f t="shared" si="92"/>
        <v>#N/A</v>
      </c>
      <c r="AD118" t="e">
        <f t="shared" si="93"/>
        <v>#N/A</v>
      </c>
      <c r="AE118" t="e">
        <f t="shared" si="94"/>
        <v>#N/A</v>
      </c>
      <c r="AF118" t="e">
        <f t="shared" si="95"/>
        <v>#N/A</v>
      </c>
      <c r="AG118" t="e">
        <f t="shared" si="96"/>
        <v>#N/A</v>
      </c>
      <c r="AH118" t="e">
        <f t="shared" si="97"/>
        <v>#N/A</v>
      </c>
      <c r="AI118" t="e">
        <f t="shared" si="98"/>
        <v>#N/A</v>
      </c>
      <c r="AJ118" t="e">
        <f t="shared" si="99"/>
        <v>#N/A</v>
      </c>
    </row>
    <row r="119">
      <c r="A119" s="2"/>
      <c r="L119" t="e">
        <f t="shared" si="75"/>
        <v>#N/A</v>
      </c>
      <c r="M119" t="e">
        <f t="shared" si="76"/>
        <v>#N/A</v>
      </c>
      <c r="N119" t="e">
        <f t="shared" si="77"/>
        <v>#N/A</v>
      </c>
      <c r="O119" t="n">
        <f t="shared" si="78"/>
        <v>0</v>
      </c>
      <c r="P119" t="n">
        <f t="shared" si="79"/>
        <v>0</v>
      </c>
      <c r="Q119" t="n">
        <f t="shared" si="80"/>
        <v>0</v>
      </c>
      <c r="R119" t="n">
        <f t="shared" si="81"/>
        <v>0</v>
      </c>
      <c r="S119" t="e">
        <f t="shared" si="82"/>
        <v>#N/A</v>
      </c>
      <c r="T119" t="e">
        <f t="shared" si="83"/>
        <v>#N/A</v>
      </c>
      <c r="U119" t="e">
        <f t="shared" si="84"/>
        <v>#N/A</v>
      </c>
      <c r="V119" t="e">
        <f t="shared" si="85"/>
        <v>#N/A</v>
      </c>
      <c r="W119" t="e">
        <f t="shared" si="86"/>
        <v>#N/A</v>
      </c>
      <c r="X119" t="e">
        <f t="shared" si="87"/>
        <v>#N/A</v>
      </c>
      <c r="Y119" t="e">
        <f t="shared" si="88"/>
        <v>#N/A</v>
      </c>
      <c r="Z119" t="e">
        <f t="shared" si="89"/>
        <v>#N/A</v>
      </c>
      <c r="AA119" t="e">
        <f t="shared" si="90"/>
        <v>#N/A</v>
      </c>
      <c r="AB119" t="e">
        <f t="shared" si="91"/>
        <v>#N/A</v>
      </c>
      <c r="AC119" t="e">
        <f t="shared" si="92"/>
        <v>#N/A</v>
      </c>
      <c r="AD119" t="e">
        <f t="shared" si="93"/>
        <v>#N/A</v>
      </c>
      <c r="AE119" t="e">
        <f t="shared" si="94"/>
        <v>#N/A</v>
      </c>
      <c r="AF119" t="e">
        <f t="shared" si="95"/>
        <v>#N/A</v>
      </c>
      <c r="AG119" t="e">
        <f t="shared" si="96"/>
        <v>#N/A</v>
      </c>
      <c r="AH119" t="e">
        <f t="shared" si="97"/>
        <v>#N/A</v>
      </c>
      <c r="AI119" t="e">
        <f t="shared" si="98"/>
        <v>#N/A</v>
      </c>
      <c r="AJ119" t="e">
        <f t="shared" si="99"/>
        <v>#N/A</v>
      </c>
    </row>
    <row r="120">
      <c r="A120" s="2"/>
      <c r="L120" t="e">
        <f t="shared" si="75"/>
        <v>#N/A</v>
      </c>
      <c r="M120" t="e">
        <f t="shared" si="76"/>
        <v>#N/A</v>
      </c>
      <c r="N120" t="e">
        <f t="shared" si="77"/>
        <v>#N/A</v>
      </c>
      <c r="O120" t="n">
        <f t="shared" si="78"/>
        <v>0</v>
      </c>
      <c r="P120" t="n">
        <f t="shared" si="79"/>
        <v>0</v>
      </c>
      <c r="Q120" t="n">
        <f t="shared" si="80"/>
        <v>0</v>
      </c>
      <c r="R120" t="n">
        <f t="shared" si="81"/>
        <v>0</v>
      </c>
      <c r="S120" t="e">
        <f t="shared" si="82"/>
        <v>#N/A</v>
      </c>
      <c r="T120" t="e">
        <f t="shared" si="83"/>
        <v>#N/A</v>
      </c>
      <c r="U120" t="e">
        <f t="shared" si="84"/>
        <v>#N/A</v>
      </c>
      <c r="V120" t="e">
        <f t="shared" si="85"/>
        <v>#N/A</v>
      </c>
      <c r="W120" t="e">
        <f t="shared" si="86"/>
        <v>#N/A</v>
      </c>
      <c r="X120" t="e">
        <f t="shared" si="87"/>
        <v>#N/A</v>
      </c>
      <c r="Y120" t="e">
        <f t="shared" si="88"/>
        <v>#N/A</v>
      </c>
      <c r="Z120" t="e">
        <f t="shared" si="89"/>
        <v>#N/A</v>
      </c>
      <c r="AA120" t="e">
        <f t="shared" si="90"/>
        <v>#N/A</v>
      </c>
      <c r="AB120" t="e">
        <f t="shared" si="91"/>
        <v>#N/A</v>
      </c>
      <c r="AC120" t="e">
        <f t="shared" si="92"/>
        <v>#N/A</v>
      </c>
      <c r="AD120" t="e">
        <f t="shared" si="93"/>
        <v>#N/A</v>
      </c>
      <c r="AE120" t="e">
        <f t="shared" si="94"/>
        <v>#N/A</v>
      </c>
      <c r="AF120" t="e">
        <f t="shared" si="95"/>
        <v>#N/A</v>
      </c>
      <c r="AG120" t="e">
        <f t="shared" si="96"/>
        <v>#N/A</v>
      </c>
      <c r="AH120" t="e">
        <f t="shared" si="97"/>
        <v>#N/A</v>
      </c>
      <c r="AI120" t="e">
        <f t="shared" si="98"/>
        <v>#N/A</v>
      </c>
      <c r="AJ120" t="e">
        <f t="shared" si="99"/>
        <v>#N/A</v>
      </c>
    </row>
    <row r="121">
      <c r="A121" s="2"/>
      <c r="L121" t="e">
        <f t="shared" si="75"/>
        <v>#N/A</v>
      </c>
      <c r="M121" t="e">
        <f t="shared" si="76"/>
        <v>#N/A</v>
      </c>
      <c r="N121" t="e">
        <f t="shared" si="77"/>
        <v>#N/A</v>
      </c>
      <c r="O121" t="n">
        <f t="shared" si="78"/>
        <v>0</v>
      </c>
      <c r="P121" t="n">
        <f t="shared" si="79"/>
        <v>0</v>
      </c>
      <c r="Q121" t="n">
        <f t="shared" si="80"/>
        <v>0</v>
      </c>
      <c r="R121" t="n">
        <f t="shared" si="81"/>
        <v>0</v>
      </c>
      <c r="S121" t="e">
        <f t="shared" si="82"/>
        <v>#N/A</v>
      </c>
      <c r="T121" t="e">
        <f t="shared" si="83"/>
        <v>#N/A</v>
      </c>
      <c r="U121" t="e">
        <f t="shared" si="84"/>
        <v>#N/A</v>
      </c>
      <c r="V121" t="e">
        <f t="shared" si="85"/>
        <v>#N/A</v>
      </c>
      <c r="W121" t="e">
        <f t="shared" si="86"/>
        <v>#N/A</v>
      </c>
      <c r="X121" t="e">
        <f t="shared" si="87"/>
        <v>#N/A</v>
      </c>
      <c r="Y121" t="e">
        <f t="shared" si="88"/>
        <v>#N/A</v>
      </c>
      <c r="Z121" t="e">
        <f t="shared" si="89"/>
        <v>#N/A</v>
      </c>
      <c r="AA121" t="e">
        <f t="shared" si="90"/>
        <v>#N/A</v>
      </c>
      <c r="AB121" t="e">
        <f t="shared" si="91"/>
        <v>#N/A</v>
      </c>
      <c r="AC121" t="e">
        <f t="shared" si="92"/>
        <v>#N/A</v>
      </c>
      <c r="AD121" t="e">
        <f t="shared" si="93"/>
        <v>#N/A</v>
      </c>
      <c r="AE121" t="e">
        <f t="shared" si="94"/>
        <v>#N/A</v>
      </c>
      <c r="AF121" t="e">
        <f t="shared" si="95"/>
        <v>#N/A</v>
      </c>
      <c r="AG121" t="e">
        <f t="shared" si="96"/>
        <v>#N/A</v>
      </c>
      <c r="AH121" t="e">
        <f t="shared" si="97"/>
        <v>#N/A</v>
      </c>
      <c r="AI121" t="e">
        <f t="shared" si="98"/>
        <v>#N/A</v>
      </c>
      <c r="AJ121" t="e">
        <f t="shared" si="99"/>
        <v>#N/A</v>
      </c>
    </row>
    <row r="122">
      <c r="A122" s="2"/>
      <c r="L122" t="e">
        <f t="shared" si="75"/>
        <v>#N/A</v>
      </c>
      <c r="M122" t="e">
        <f t="shared" si="76"/>
        <v>#N/A</v>
      </c>
      <c r="N122" t="e">
        <f t="shared" si="77"/>
        <v>#N/A</v>
      </c>
      <c r="O122" t="n">
        <f t="shared" si="78"/>
        <v>0</v>
      </c>
      <c r="P122" t="n">
        <f t="shared" si="79"/>
        <v>0</v>
      </c>
      <c r="Q122" t="n">
        <f t="shared" si="80"/>
        <v>0</v>
      </c>
      <c r="R122" t="n">
        <f t="shared" si="81"/>
        <v>0</v>
      </c>
      <c r="S122" t="e">
        <f t="shared" si="82"/>
        <v>#N/A</v>
      </c>
      <c r="T122" t="e">
        <f t="shared" si="83"/>
        <v>#N/A</v>
      </c>
      <c r="U122" t="e">
        <f t="shared" si="84"/>
        <v>#N/A</v>
      </c>
      <c r="V122" t="e">
        <f t="shared" si="85"/>
        <v>#N/A</v>
      </c>
      <c r="W122" t="e">
        <f t="shared" si="86"/>
        <v>#N/A</v>
      </c>
      <c r="X122" t="e">
        <f t="shared" si="87"/>
        <v>#N/A</v>
      </c>
      <c r="Y122" t="e">
        <f t="shared" si="88"/>
        <v>#N/A</v>
      </c>
      <c r="Z122" t="e">
        <f t="shared" si="89"/>
        <v>#N/A</v>
      </c>
      <c r="AA122" t="e">
        <f t="shared" si="90"/>
        <v>#N/A</v>
      </c>
      <c r="AB122" t="e">
        <f t="shared" si="91"/>
        <v>#N/A</v>
      </c>
      <c r="AC122" t="e">
        <f t="shared" si="92"/>
        <v>#N/A</v>
      </c>
      <c r="AD122" t="e">
        <f t="shared" si="93"/>
        <v>#N/A</v>
      </c>
      <c r="AE122" t="e">
        <f t="shared" si="94"/>
        <v>#N/A</v>
      </c>
      <c r="AF122" t="e">
        <f t="shared" si="95"/>
        <v>#N/A</v>
      </c>
      <c r="AG122" t="e">
        <f t="shared" si="96"/>
        <v>#N/A</v>
      </c>
      <c r="AH122" t="e">
        <f t="shared" si="97"/>
        <v>#N/A</v>
      </c>
      <c r="AI122" t="e">
        <f t="shared" si="98"/>
        <v>#N/A</v>
      </c>
      <c r="AJ122" t="e">
        <f t="shared" si="99"/>
        <v>#N/A</v>
      </c>
    </row>
    <row r="123">
      <c r="A123" s="2"/>
      <c r="L123" t="e">
        <f t="shared" si="75"/>
        <v>#N/A</v>
      </c>
      <c r="M123" t="e">
        <f t="shared" si="76"/>
        <v>#N/A</v>
      </c>
      <c r="N123" t="e">
        <f t="shared" si="77"/>
        <v>#N/A</v>
      </c>
      <c r="O123" t="n">
        <f t="shared" si="78"/>
        <v>0</v>
      </c>
      <c r="P123" t="n">
        <f t="shared" si="79"/>
        <v>0</v>
      </c>
      <c r="Q123" t="n">
        <f t="shared" si="80"/>
        <v>0</v>
      </c>
      <c r="R123" t="n">
        <f t="shared" si="81"/>
        <v>0</v>
      </c>
      <c r="S123" t="e">
        <f t="shared" si="82"/>
        <v>#N/A</v>
      </c>
      <c r="T123" t="e">
        <f t="shared" si="83"/>
        <v>#N/A</v>
      </c>
      <c r="U123" t="e">
        <f t="shared" si="84"/>
        <v>#N/A</v>
      </c>
      <c r="V123" t="e">
        <f t="shared" si="85"/>
        <v>#N/A</v>
      </c>
      <c r="W123" t="e">
        <f t="shared" si="86"/>
        <v>#N/A</v>
      </c>
      <c r="X123" t="e">
        <f t="shared" si="87"/>
        <v>#N/A</v>
      </c>
      <c r="Y123" t="e">
        <f t="shared" si="88"/>
        <v>#N/A</v>
      </c>
      <c r="Z123" t="e">
        <f t="shared" si="89"/>
        <v>#N/A</v>
      </c>
      <c r="AA123" t="e">
        <f t="shared" si="90"/>
        <v>#N/A</v>
      </c>
      <c r="AB123" t="e">
        <f t="shared" si="91"/>
        <v>#N/A</v>
      </c>
      <c r="AC123" t="e">
        <f t="shared" si="92"/>
        <v>#N/A</v>
      </c>
      <c r="AD123" t="e">
        <f t="shared" si="93"/>
        <v>#N/A</v>
      </c>
      <c r="AE123" t="e">
        <f t="shared" si="94"/>
        <v>#N/A</v>
      </c>
      <c r="AF123" t="e">
        <f t="shared" si="95"/>
        <v>#N/A</v>
      </c>
      <c r="AG123" t="e">
        <f t="shared" si="96"/>
        <v>#N/A</v>
      </c>
      <c r="AH123" t="e">
        <f t="shared" si="97"/>
        <v>#N/A</v>
      </c>
      <c r="AI123" t="e">
        <f t="shared" si="98"/>
        <v>#N/A</v>
      </c>
      <c r="AJ123" t="e">
        <f t="shared" si="99"/>
        <v>#N/A</v>
      </c>
    </row>
    <row r="124">
      <c r="A124" s="2"/>
      <c r="L124" t="e">
        <f t="shared" si="75"/>
        <v>#N/A</v>
      </c>
      <c r="M124" t="e">
        <f t="shared" si="76"/>
        <v>#N/A</v>
      </c>
      <c r="N124" t="e">
        <f t="shared" si="77"/>
        <v>#N/A</v>
      </c>
      <c r="O124" t="n">
        <f t="shared" si="78"/>
        <v>0</v>
      </c>
      <c r="P124" t="n">
        <f t="shared" si="79"/>
        <v>0</v>
      </c>
      <c r="Q124" t="n">
        <f t="shared" si="80"/>
        <v>0</v>
      </c>
      <c r="R124" t="n">
        <f t="shared" si="81"/>
        <v>0</v>
      </c>
      <c r="S124" t="e">
        <f t="shared" si="82"/>
        <v>#N/A</v>
      </c>
      <c r="T124" t="e">
        <f t="shared" si="83"/>
        <v>#N/A</v>
      </c>
      <c r="U124" t="e">
        <f t="shared" si="84"/>
        <v>#N/A</v>
      </c>
      <c r="V124" t="e">
        <f t="shared" si="85"/>
        <v>#N/A</v>
      </c>
      <c r="W124" t="e">
        <f t="shared" si="86"/>
        <v>#N/A</v>
      </c>
      <c r="X124" t="e">
        <f t="shared" si="87"/>
        <v>#N/A</v>
      </c>
      <c r="Y124" t="e">
        <f t="shared" si="88"/>
        <v>#N/A</v>
      </c>
      <c r="Z124" t="e">
        <f t="shared" si="89"/>
        <v>#N/A</v>
      </c>
      <c r="AA124" t="e">
        <f t="shared" si="90"/>
        <v>#N/A</v>
      </c>
      <c r="AB124" t="e">
        <f t="shared" si="91"/>
        <v>#N/A</v>
      </c>
      <c r="AC124" t="e">
        <f t="shared" si="92"/>
        <v>#N/A</v>
      </c>
      <c r="AD124" t="e">
        <f t="shared" si="93"/>
        <v>#N/A</v>
      </c>
      <c r="AE124" t="e">
        <f t="shared" si="94"/>
        <v>#N/A</v>
      </c>
      <c r="AF124" t="e">
        <f t="shared" si="95"/>
        <v>#N/A</v>
      </c>
      <c r="AG124" t="e">
        <f t="shared" si="96"/>
        <v>#N/A</v>
      </c>
      <c r="AH124" t="e">
        <f t="shared" si="97"/>
        <v>#N/A</v>
      </c>
      <c r="AI124" t="e">
        <f t="shared" si="98"/>
        <v>#N/A</v>
      </c>
      <c r="AJ124" t="e">
        <f t="shared" si="99"/>
        <v>#N/A</v>
      </c>
    </row>
    <row r="125">
      <c r="A125" s="2"/>
      <c r="L125" t="e">
        <f t="shared" si="75"/>
        <v>#N/A</v>
      </c>
      <c r="M125" t="e">
        <f t="shared" si="76"/>
        <v>#N/A</v>
      </c>
      <c r="N125" t="e">
        <f t="shared" si="77"/>
        <v>#N/A</v>
      </c>
      <c r="O125" t="n">
        <f t="shared" si="78"/>
        <v>0</v>
      </c>
      <c r="P125" t="n">
        <f t="shared" si="79"/>
        <v>0</v>
      </c>
      <c r="Q125" t="n">
        <f t="shared" si="80"/>
        <v>0</v>
      </c>
      <c r="R125" t="n">
        <f t="shared" si="81"/>
        <v>0</v>
      </c>
      <c r="S125" t="e">
        <f t="shared" si="82"/>
        <v>#N/A</v>
      </c>
      <c r="T125" t="e">
        <f t="shared" si="83"/>
        <v>#N/A</v>
      </c>
      <c r="U125" t="e">
        <f t="shared" si="84"/>
        <v>#N/A</v>
      </c>
      <c r="V125" t="e">
        <f t="shared" si="85"/>
        <v>#N/A</v>
      </c>
      <c r="W125" t="e">
        <f t="shared" si="86"/>
        <v>#N/A</v>
      </c>
      <c r="X125" t="e">
        <f t="shared" si="87"/>
        <v>#N/A</v>
      </c>
      <c r="Y125" t="e">
        <f t="shared" si="88"/>
        <v>#N/A</v>
      </c>
      <c r="Z125" t="e">
        <f t="shared" si="89"/>
        <v>#N/A</v>
      </c>
      <c r="AA125" t="e">
        <f t="shared" si="90"/>
        <v>#N/A</v>
      </c>
      <c r="AB125" t="e">
        <f t="shared" si="91"/>
        <v>#N/A</v>
      </c>
      <c r="AC125" t="e">
        <f t="shared" si="92"/>
        <v>#N/A</v>
      </c>
      <c r="AD125" t="e">
        <f t="shared" si="93"/>
        <v>#N/A</v>
      </c>
      <c r="AE125" t="e">
        <f t="shared" si="94"/>
        <v>#N/A</v>
      </c>
      <c r="AF125" t="e">
        <f t="shared" si="95"/>
        <v>#N/A</v>
      </c>
      <c r="AG125" t="e">
        <f t="shared" si="96"/>
        <v>#N/A</v>
      </c>
      <c r="AH125" t="e">
        <f t="shared" si="97"/>
        <v>#N/A</v>
      </c>
      <c r="AI125" t="e">
        <f t="shared" si="98"/>
        <v>#N/A</v>
      </c>
      <c r="AJ125" t="e">
        <f t="shared" si="99"/>
        <v>#N/A</v>
      </c>
    </row>
    <row r="126">
      <c r="A126" s="2"/>
      <c r="L126" t="e">
        <f t="shared" si="75"/>
        <v>#N/A</v>
      </c>
      <c r="M126" t="e">
        <f t="shared" si="76"/>
        <v>#N/A</v>
      </c>
      <c r="N126" t="e">
        <f t="shared" si="77"/>
        <v>#N/A</v>
      </c>
      <c r="O126" t="n">
        <f t="shared" si="78"/>
        <v>0</v>
      </c>
      <c r="P126" t="n">
        <f t="shared" si="79"/>
        <v>0</v>
      </c>
      <c r="Q126" t="n">
        <f t="shared" si="80"/>
        <v>0</v>
      </c>
      <c r="R126" t="n">
        <f t="shared" si="81"/>
        <v>0</v>
      </c>
      <c r="S126" t="e">
        <f t="shared" si="82"/>
        <v>#N/A</v>
      </c>
      <c r="T126" t="e">
        <f t="shared" si="83"/>
        <v>#N/A</v>
      </c>
      <c r="U126" t="e">
        <f t="shared" si="84"/>
        <v>#N/A</v>
      </c>
      <c r="V126" t="e">
        <f t="shared" si="85"/>
        <v>#N/A</v>
      </c>
      <c r="W126" t="e">
        <f t="shared" si="86"/>
        <v>#N/A</v>
      </c>
      <c r="X126" t="e">
        <f t="shared" si="87"/>
        <v>#N/A</v>
      </c>
      <c r="Y126" t="e">
        <f t="shared" si="88"/>
        <v>#N/A</v>
      </c>
      <c r="Z126" t="e">
        <f t="shared" si="89"/>
        <v>#N/A</v>
      </c>
      <c r="AA126" t="e">
        <f t="shared" si="90"/>
        <v>#N/A</v>
      </c>
      <c r="AB126" t="e">
        <f t="shared" si="91"/>
        <v>#N/A</v>
      </c>
      <c r="AC126" t="e">
        <f t="shared" si="92"/>
        <v>#N/A</v>
      </c>
      <c r="AD126" t="e">
        <f t="shared" si="93"/>
        <v>#N/A</v>
      </c>
      <c r="AE126" t="e">
        <f t="shared" si="94"/>
        <v>#N/A</v>
      </c>
      <c r="AF126" t="e">
        <f t="shared" si="95"/>
        <v>#N/A</v>
      </c>
      <c r="AG126" t="e">
        <f t="shared" si="96"/>
        <v>#N/A</v>
      </c>
      <c r="AH126" t="e">
        <f t="shared" si="97"/>
        <v>#N/A</v>
      </c>
      <c r="AI126" t="e">
        <f t="shared" si="98"/>
        <v>#N/A</v>
      </c>
      <c r="AJ126" t="e">
        <f t="shared" si="99"/>
        <v>#N/A</v>
      </c>
    </row>
    <row r="127">
      <c r="A127" s="2"/>
      <c r="L127" t="e">
        <f t="shared" si="75"/>
        <v>#N/A</v>
      </c>
      <c r="M127" t="e">
        <f t="shared" si="76"/>
        <v>#N/A</v>
      </c>
      <c r="N127" t="e">
        <f t="shared" si="77"/>
        <v>#N/A</v>
      </c>
      <c r="O127" t="n">
        <f t="shared" si="78"/>
        <v>0</v>
      </c>
      <c r="P127" t="n">
        <f t="shared" si="79"/>
        <v>0</v>
      </c>
      <c r="Q127" t="n">
        <f t="shared" si="80"/>
        <v>0</v>
      </c>
      <c r="R127" t="n">
        <f t="shared" si="81"/>
        <v>0</v>
      </c>
      <c r="S127" t="e">
        <f t="shared" si="82"/>
        <v>#N/A</v>
      </c>
      <c r="T127" t="e">
        <f t="shared" si="83"/>
        <v>#N/A</v>
      </c>
      <c r="U127" t="e">
        <f t="shared" si="84"/>
        <v>#N/A</v>
      </c>
      <c r="V127" t="e">
        <f t="shared" si="85"/>
        <v>#N/A</v>
      </c>
      <c r="W127" t="e">
        <f t="shared" si="86"/>
        <v>#N/A</v>
      </c>
      <c r="X127" t="e">
        <f t="shared" si="87"/>
        <v>#N/A</v>
      </c>
      <c r="Y127" t="e">
        <f t="shared" si="88"/>
        <v>#N/A</v>
      </c>
      <c r="Z127" t="e">
        <f t="shared" si="89"/>
        <v>#N/A</v>
      </c>
      <c r="AA127" t="e">
        <f t="shared" si="90"/>
        <v>#N/A</v>
      </c>
      <c r="AB127" t="e">
        <f t="shared" si="91"/>
        <v>#N/A</v>
      </c>
      <c r="AC127" t="e">
        <f t="shared" si="92"/>
        <v>#N/A</v>
      </c>
      <c r="AD127" t="e">
        <f t="shared" si="93"/>
        <v>#N/A</v>
      </c>
      <c r="AE127" t="e">
        <f t="shared" si="94"/>
        <v>#N/A</v>
      </c>
      <c r="AF127" t="e">
        <f t="shared" si="95"/>
        <v>#N/A</v>
      </c>
      <c r="AG127" t="e">
        <f t="shared" si="96"/>
        <v>#N/A</v>
      </c>
      <c r="AH127" t="e">
        <f t="shared" si="97"/>
        <v>#N/A</v>
      </c>
      <c r="AI127" t="e">
        <f t="shared" si="98"/>
        <v>#N/A</v>
      </c>
      <c r="AJ127" t="e">
        <f t="shared" si="99"/>
        <v>#N/A</v>
      </c>
    </row>
    <row r="128">
      <c r="A128" s="2"/>
      <c r="L128" t="e">
        <f t="shared" si="75"/>
        <v>#N/A</v>
      </c>
      <c r="M128" t="e">
        <f t="shared" si="76"/>
        <v>#N/A</v>
      </c>
      <c r="N128" t="e">
        <f t="shared" si="77"/>
        <v>#N/A</v>
      </c>
      <c r="O128" t="n">
        <f t="shared" si="78"/>
        <v>0</v>
      </c>
      <c r="P128" t="n">
        <f t="shared" si="79"/>
        <v>0</v>
      </c>
      <c r="Q128" t="n">
        <f t="shared" si="80"/>
        <v>0</v>
      </c>
      <c r="R128" t="n">
        <f t="shared" si="81"/>
        <v>0</v>
      </c>
      <c r="S128" t="e">
        <f t="shared" si="82"/>
        <v>#N/A</v>
      </c>
      <c r="T128" t="e">
        <f t="shared" si="83"/>
        <v>#N/A</v>
      </c>
      <c r="U128" t="e">
        <f t="shared" si="84"/>
        <v>#N/A</v>
      </c>
      <c r="V128" t="e">
        <f t="shared" si="85"/>
        <v>#N/A</v>
      </c>
      <c r="W128" t="e">
        <f t="shared" si="86"/>
        <v>#N/A</v>
      </c>
      <c r="X128" t="e">
        <f t="shared" si="87"/>
        <v>#N/A</v>
      </c>
      <c r="Y128" t="e">
        <f t="shared" si="88"/>
        <v>#N/A</v>
      </c>
      <c r="Z128" t="e">
        <f t="shared" si="89"/>
        <v>#N/A</v>
      </c>
      <c r="AA128" t="e">
        <f t="shared" si="90"/>
        <v>#N/A</v>
      </c>
      <c r="AB128" t="e">
        <f t="shared" si="91"/>
        <v>#N/A</v>
      </c>
      <c r="AC128" t="e">
        <f t="shared" si="92"/>
        <v>#N/A</v>
      </c>
      <c r="AD128" t="e">
        <f t="shared" si="93"/>
        <v>#N/A</v>
      </c>
      <c r="AE128" t="e">
        <f t="shared" si="94"/>
        <v>#N/A</v>
      </c>
      <c r="AF128" t="e">
        <f t="shared" si="95"/>
        <v>#N/A</v>
      </c>
      <c r="AG128" t="e">
        <f t="shared" si="96"/>
        <v>#N/A</v>
      </c>
      <c r="AH128" t="e">
        <f t="shared" si="97"/>
        <v>#N/A</v>
      </c>
      <c r="AI128" t="e">
        <f t="shared" si="98"/>
        <v>#N/A</v>
      </c>
      <c r="AJ128" t="e">
        <f t="shared" si="99"/>
        <v>#N/A</v>
      </c>
    </row>
    <row r="129">
      <c r="A129" s="2"/>
      <c r="L129" t="e">
        <f t="shared" si="75"/>
        <v>#N/A</v>
      </c>
      <c r="M129" t="e">
        <f t="shared" si="76"/>
        <v>#N/A</v>
      </c>
      <c r="N129" t="e">
        <f t="shared" si="77"/>
        <v>#N/A</v>
      </c>
      <c r="O129" t="n">
        <f t="shared" si="78"/>
        <v>0</v>
      </c>
      <c r="P129" t="n">
        <f t="shared" si="79"/>
        <v>0</v>
      </c>
      <c r="Q129" t="n">
        <f t="shared" si="80"/>
        <v>0</v>
      </c>
      <c r="R129" t="n">
        <f t="shared" si="81"/>
        <v>0</v>
      </c>
      <c r="S129" t="e">
        <f t="shared" si="82"/>
        <v>#N/A</v>
      </c>
      <c r="T129" t="e">
        <f t="shared" si="83"/>
        <v>#N/A</v>
      </c>
      <c r="U129" t="e">
        <f t="shared" si="84"/>
        <v>#N/A</v>
      </c>
      <c r="V129" t="e">
        <f t="shared" si="85"/>
        <v>#N/A</v>
      </c>
      <c r="W129" t="e">
        <f t="shared" si="86"/>
        <v>#N/A</v>
      </c>
      <c r="X129" t="e">
        <f t="shared" si="87"/>
        <v>#N/A</v>
      </c>
      <c r="Y129" t="e">
        <f t="shared" si="88"/>
        <v>#N/A</v>
      </c>
      <c r="Z129" t="e">
        <f t="shared" si="89"/>
        <v>#N/A</v>
      </c>
      <c r="AA129" t="e">
        <f t="shared" si="90"/>
        <v>#N/A</v>
      </c>
      <c r="AB129" t="e">
        <f t="shared" si="91"/>
        <v>#N/A</v>
      </c>
      <c r="AC129" t="e">
        <f t="shared" si="92"/>
        <v>#N/A</v>
      </c>
      <c r="AD129" t="e">
        <f t="shared" si="93"/>
        <v>#N/A</v>
      </c>
      <c r="AE129" t="e">
        <f t="shared" si="94"/>
        <v>#N/A</v>
      </c>
      <c r="AF129" t="e">
        <f t="shared" si="95"/>
        <v>#N/A</v>
      </c>
      <c r="AG129" t="e">
        <f t="shared" si="96"/>
        <v>#N/A</v>
      </c>
      <c r="AH129" t="e">
        <f t="shared" si="97"/>
        <v>#N/A</v>
      </c>
      <c r="AI129" t="e">
        <f t="shared" si="98"/>
        <v>#N/A</v>
      </c>
      <c r="AJ129" t="e">
        <f t="shared" si="99"/>
        <v>#N/A</v>
      </c>
    </row>
    <row r="130">
      <c r="A130" s="2"/>
      <c r="L130" t="e">
        <f t="shared" ref="L130:L161" si="100">IF(ROW()&lt;=5,NA(),IFERROR(100*(B130/INDEX(B:B,ROW()-4)-1),NA()))</f>
        <v>#N/A</v>
      </c>
      <c r="M130" t="e">
        <f t="shared" ref="M130:M161" si="101">IF(ROW()&lt;=5,NA(),IFERROR(100*(C130/INDEX(C:C,ROW()-4)-1),NA()))</f>
        <v>#N/A</v>
      </c>
      <c r="N130" t="e">
        <f t="shared" ref="N130:N161" si="102">IF(ROW()&lt;=5,NA(),IFERROR(100*(D130/INDEX(D:D,ROW()-4)-1),NA()))</f>
        <v>#N/A</v>
      </c>
      <c r="O130" t="n">
        <f t="shared" ref="O130:O161" si="103">100*G130</f>
        <v>0</v>
      </c>
      <c r="P130" t="n">
        <f t="shared" ref="P130:P161" si="104">100*H130</f>
        <v>0</v>
      </c>
      <c r="Q130" t="n">
        <f t="shared" ref="Q130:Q161" si="105">100*I130</f>
        <v>0</v>
      </c>
      <c r="R130" t="n">
        <f t="shared" ref="R130:R161" si="106">100*J130</f>
        <v>0</v>
      </c>
      <c r="S130" t="e">
        <f t="shared" ref="S130:S161" si="107">IFERROR(100*E130/INDEX(E:E,MATCH(DATE(2024,12,1),A:A,0)),NA())</f>
        <v>#N/A</v>
      </c>
      <c r="T130" t="e">
        <f t="shared" ref="T130:T161" si="108">IFERROR(100*F130/INDEX(F:F,MATCH(DATE(2024,12,1),A:A,0)),NA())</f>
        <v>#N/A</v>
      </c>
      <c r="U130" t="e">
        <f t="shared" ref="U130:U161" si="109">IF($K130="Actual",L130,NA())</f>
        <v>#N/A</v>
      </c>
      <c r="V130" t="e">
        <f t="shared" ref="V130:V161" si="110">IF($A130&gt;=DATE(2024,12,1),L130,NA())</f>
        <v>#N/A</v>
      </c>
      <c r="W130" t="e">
        <f t="shared" ref="W130:W161" si="111">IF($K130="Actual",M130,NA())</f>
        <v>#N/A</v>
      </c>
      <c r="X130" t="e">
        <f t="shared" ref="X130:X161" si="112">IF($A130&gt;=DATE(2024,12,1),M130,NA())</f>
        <v>#N/A</v>
      </c>
      <c r="Y130" t="e">
        <f t="shared" ref="Y130:Y161" si="113">IF($K130="Actual",S130,NA())</f>
        <v>#N/A</v>
      </c>
      <c r="Z130" t="e">
        <f t="shared" ref="Z130:Z161" si="114">IF($A130&gt;=DATE(2024,12,1),S130,NA())</f>
        <v>#N/A</v>
      </c>
      <c r="AA130" t="e">
        <f t="shared" ref="AA130:AA161" si="115">IF($K130="Actual",T130,NA())</f>
        <v>#N/A</v>
      </c>
      <c r="AB130" t="e">
        <f t="shared" ref="AB130:AB161" si="116">IF($A130&gt;=DATE(2024,12,1),T130,NA())</f>
        <v>#N/A</v>
      </c>
      <c r="AC130" t="e">
        <f t="shared" ref="AC130:AC161" si="117">IF($K130="Actual",O130,NA())</f>
        <v>#N/A</v>
      </c>
      <c r="AD130" t="e">
        <f t="shared" ref="AD130:AD161" si="118">IF($A130&gt;=DATE(2024,12,1),O130,NA())</f>
        <v>#N/A</v>
      </c>
      <c r="AE130" t="e">
        <f t="shared" ref="AE130:AE161" si="119">IF($K130="Actual",Q130,NA())</f>
        <v>#N/A</v>
      </c>
      <c r="AF130" t="e">
        <f t="shared" ref="AF130:AF161" si="120">IF($A130&gt;=DATE(2024,12,1),Q130,NA())</f>
        <v>#N/A</v>
      </c>
      <c r="AG130" t="e">
        <f t="shared" ref="AG130:AG161" si="121">IF($K130="Actual",R130,NA())</f>
        <v>#N/A</v>
      </c>
      <c r="AH130" t="e">
        <f t="shared" ref="AH130:AH161" si="122">IF($A130&gt;=DATE(2024,12,1),R130,NA())</f>
        <v>#N/A</v>
      </c>
      <c r="AI130" t="e">
        <f t="shared" ref="AI130:AI161" si="123">IF($K130="Actual",N130,NA())</f>
        <v>#N/A</v>
      </c>
      <c r="AJ130" t="e">
        <f t="shared" ref="AJ130:AJ161" si="124">IF($A130&gt;=DATE(2024,12,1),N130,NA())</f>
        <v>#N/A</v>
      </c>
    </row>
    <row r="131">
      <c r="A131" s="2"/>
      <c r="L131" t="e">
        <f t="shared" si="100"/>
        <v>#N/A</v>
      </c>
      <c r="M131" t="e">
        <f t="shared" si="101"/>
        <v>#N/A</v>
      </c>
      <c r="N131" t="e">
        <f t="shared" si="102"/>
        <v>#N/A</v>
      </c>
      <c r="O131" t="n">
        <f t="shared" si="103"/>
        <v>0</v>
      </c>
      <c r="P131" t="n">
        <f t="shared" si="104"/>
        <v>0</v>
      </c>
      <c r="Q131" t="n">
        <f t="shared" si="105"/>
        <v>0</v>
      </c>
      <c r="R131" t="n">
        <f t="shared" si="106"/>
        <v>0</v>
      </c>
      <c r="S131" t="e">
        <f t="shared" si="107"/>
        <v>#N/A</v>
      </c>
      <c r="T131" t="e">
        <f t="shared" si="108"/>
        <v>#N/A</v>
      </c>
      <c r="U131" t="e">
        <f t="shared" si="109"/>
        <v>#N/A</v>
      </c>
      <c r="V131" t="e">
        <f t="shared" si="110"/>
        <v>#N/A</v>
      </c>
      <c r="W131" t="e">
        <f t="shared" si="111"/>
        <v>#N/A</v>
      </c>
      <c r="X131" t="e">
        <f t="shared" si="112"/>
        <v>#N/A</v>
      </c>
      <c r="Y131" t="e">
        <f t="shared" si="113"/>
        <v>#N/A</v>
      </c>
      <c r="Z131" t="e">
        <f t="shared" si="114"/>
        <v>#N/A</v>
      </c>
      <c r="AA131" t="e">
        <f t="shared" si="115"/>
        <v>#N/A</v>
      </c>
      <c r="AB131" t="e">
        <f t="shared" si="116"/>
        <v>#N/A</v>
      </c>
      <c r="AC131" t="e">
        <f t="shared" si="117"/>
        <v>#N/A</v>
      </c>
      <c r="AD131" t="e">
        <f t="shared" si="118"/>
        <v>#N/A</v>
      </c>
      <c r="AE131" t="e">
        <f t="shared" si="119"/>
        <v>#N/A</v>
      </c>
      <c r="AF131" t="e">
        <f t="shared" si="120"/>
        <v>#N/A</v>
      </c>
      <c r="AG131" t="e">
        <f t="shared" si="121"/>
        <v>#N/A</v>
      </c>
      <c r="AH131" t="e">
        <f t="shared" si="122"/>
        <v>#N/A</v>
      </c>
      <c r="AI131" t="e">
        <f t="shared" si="123"/>
        <v>#N/A</v>
      </c>
      <c r="AJ131" t="e">
        <f t="shared" si="124"/>
        <v>#N/A</v>
      </c>
    </row>
    <row r="132">
      <c r="A132" s="2"/>
      <c r="L132" t="e">
        <f t="shared" si="100"/>
        <v>#N/A</v>
      </c>
      <c r="M132" t="e">
        <f t="shared" si="101"/>
        <v>#N/A</v>
      </c>
      <c r="N132" t="e">
        <f t="shared" si="102"/>
        <v>#N/A</v>
      </c>
      <c r="O132" t="n">
        <f t="shared" si="103"/>
        <v>0</v>
      </c>
      <c r="P132" t="n">
        <f t="shared" si="104"/>
        <v>0</v>
      </c>
      <c r="Q132" t="n">
        <f t="shared" si="105"/>
        <v>0</v>
      </c>
      <c r="R132" t="n">
        <f t="shared" si="106"/>
        <v>0</v>
      </c>
      <c r="S132" t="e">
        <f t="shared" si="107"/>
        <v>#N/A</v>
      </c>
      <c r="T132" t="e">
        <f t="shared" si="108"/>
        <v>#N/A</v>
      </c>
      <c r="U132" t="e">
        <f t="shared" si="109"/>
        <v>#N/A</v>
      </c>
      <c r="V132" t="e">
        <f t="shared" si="110"/>
        <v>#N/A</v>
      </c>
      <c r="W132" t="e">
        <f t="shared" si="111"/>
        <v>#N/A</v>
      </c>
      <c r="X132" t="e">
        <f t="shared" si="112"/>
        <v>#N/A</v>
      </c>
      <c r="Y132" t="e">
        <f t="shared" si="113"/>
        <v>#N/A</v>
      </c>
      <c r="Z132" t="e">
        <f t="shared" si="114"/>
        <v>#N/A</v>
      </c>
      <c r="AA132" t="e">
        <f t="shared" si="115"/>
        <v>#N/A</v>
      </c>
      <c r="AB132" t="e">
        <f t="shared" si="116"/>
        <v>#N/A</v>
      </c>
      <c r="AC132" t="e">
        <f t="shared" si="117"/>
        <v>#N/A</v>
      </c>
      <c r="AD132" t="e">
        <f t="shared" si="118"/>
        <v>#N/A</v>
      </c>
      <c r="AE132" t="e">
        <f t="shared" si="119"/>
        <v>#N/A</v>
      </c>
      <c r="AF132" t="e">
        <f t="shared" si="120"/>
        <v>#N/A</v>
      </c>
      <c r="AG132" t="e">
        <f t="shared" si="121"/>
        <v>#N/A</v>
      </c>
      <c r="AH132" t="e">
        <f t="shared" si="122"/>
        <v>#N/A</v>
      </c>
      <c r="AI132" t="e">
        <f t="shared" si="123"/>
        <v>#N/A</v>
      </c>
      <c r="AJ132" t="e">
        <f t="shared" si="124"/>
        <v>#N/A</v>
      </c>
    </row>
    <row r="133">
      <c r="A133" s="2"/>
      <c r="L133" t="e">
        <f t="shared" si="100"/>
        <v>#N/A</v>
      </c>
      <c r="M133" t="e">
        <f t="shared" si="101"/>
        <v>#N/A</v>
      </c>
      <c r="N133" t="e">
        <f t="shared" si="102"/>
        <v>#N/A</v>
      </c>
      <c r="O133" t="n">
        <f t="shared" si="103"/>
        <v>0</v>
      </c>
      <c r="P133" t="n">
        <f t="shared" si="104"/>
        <v>0</v>
      </c>
      <c r="Q133" t="n">
        <f t="shared" si="105"/>
        <v>0</v>
      </c>
      <c r="R133" t="n">
        <f t="shared" si="106"/>
        <v>0</v>
      </c>
      <c r="S133" t="e">
        <f t="shared" si="107"/>
        <v>#N/A</v>
      </c>
      <c r="T133" t="e">
        <f t="shared" si="108"/>
        <v>#N/A</v>
      </c>
      <c r="U133" t="e">
        <f t="shared" si="109"/>
        <v>#N/A</v>
      </c>
      <c r="V133" t="e">
        <f t="shared" si="110"/>
        <v>#N/A</v>
      </c>
      <c r="W133" t="e">
        <f t="shared" si="111"/>
        <v>#N/A</v>
      </c>
      <c r="X133" t="e">
        <f t="shared" si="112"/>
        <v>#N/A</v>
      </c>
      <c r="Y133" t="e">
        <f t="shared" si="113"/>
        <v>#N/A</v>
      </c>
      <c r="Z133" t="e">
        <f t="shared" si="114"/>
        <v>#N/A</v>
      </c>
      <c r="AA133" t="e">
        <f t="shared" si="115"/>
        <v>#N/A</v>
      </c>
      <c r="AB133" t="e">
        <f t="shared" si="116"/>
        <v>#N/A</v>
      </c>
      <c r="AC133" t="e">
        <f t="shared" si="117"/>
        <v>#N/A</v>
      </c>
      <c r="AD133" t="e">
        <f t="shared" si="118"/>
        <v>#N/A</v>
      </c>
      <c r="AE133" t="e">
        <f t="shared" si="119"/>
        <v>#N/A</v>
      </c>
      <c r="AF133" t="e">
        <f t="shared" si="120"/>
        <v>#N/A</v>
      </c>
      <c r="AG133" t="e">
        <f t="shared" si="121"/>
        <v>#N/A</v>
      </c>
      <c r="AH133" t="e">
        <f t="shared" si="122"/>
        <v>#N/A</v>
      </c>
      <c r="AI133" t="e">
        <f t="shared" si="123"/>
        <v>#N/A</v>
      </c>
      <c r="AJ133" t="e">
        <f t="shared" si="124"/>
        <v>#N/A</v>
      </c>
    </row>
    <row r="134">
      <c r="A134" s="2"/>
      <c r="L134" t="e">
        <f t="shared" si="100"/>
        <v>#N/A</v>
      </c>
      <c r="M134" t="e">
        <f t="shared" si="101"/>
        <v>#N/A</v>
      </c>
      <c r="N134" t="e">
        <f t="shared" si="102"/>
        <v>#N/A</v>
      </c>
      <c r="O134" t="n">
        <f t="shared" si="103"/>
        <v>0</v>
      </c>
      <c r="P134" t="n">
        <f t="shared" si="104"/>
        <v>0</v>
      </c>
      <c r="Q134" t="n">
        <f t="shared" si="105"/>
        <v>0</v>
      </c>
      <c r="R134" t="n">
        <f t="shared" si="106"/>
        <v>0</v>
      </c>
      <c r="S134" t="e">
        <f t="shared" si="107"/>
        <v>#N/A</v>
      </c>
      <c r="T134" t="e">
        <f t="shared" si="108"/>
        <v>#N/A</v>
      </c>
      <c r="U134" t="e">
        <f t="shared" si="109"/>
        <v>#N/A</v>
      </c>
      <c r="V134" t="e">
        <f t="shared" si="110"/>
        <v>#N/A</v>
      </c>
      <c r="W134" t="e">
        <f t="shared" si="111"/>
        <v>#N/A</v>
      </c>
      <c r="X134" t="e">
        <f t="shared" si="112"/>
        <v>#N/A</v>
      </c>
      <c r="Y134" t="e">
        <f t="shared" si="113"/>
        <v>#N/A</v>
      </c>
      <c r="Z134" t="e">
        <f t="shared" si="114"/>
        <v>#N/A</v>
      </c>
      <c r="AA134" t="e">
        <f t="shared" si="115"/>
        <v>#N/A</v>
      </c>
      <c r="AB134" t="e">
        <f t="shared" si="116"/>
        <v>#N/A</v>
      </c>
      <c r="AC134" t="e">
        <f t="shared" si="117"/>
        <v>#N/A</v>
      </c>
      <c r="AD134" t="e">
        <f t="shared" si="118"/>
        <v>#N/A</v>
      </c>
      <c r="AE134" t="e">
        <f t="shared" si="119"/>
        <v>#N/A</v>
      </c>
      <c r="AF134" t="e">
        <f t="shared" si="120"/>
        <v>#N/A</v>
      </c>
      <c r="AG134" t="e">
        <f t="shared" si="121"/>
        <v>#N/A</v>
      </c>
      <c r="AH134" t="e">
        <f t="shared" si="122"/>
        <v>#N/A</v>
      </c>
      <c r="AI134" t="e">
        <f t="shared" si="123"/>
        <v>#N/A</v>
      </c>
      <c r="AJ134" t="e">
        <f t="shared" si="124"/>
        <v>#N/A</v>
      </c>
    </row>
    <row r="135">
      <c r="A135" s="2"/>
      <c r="L135" t="e">
        <f t="shared" si="100"/>
        <v>#N/A</v>
      </c>
      <c r="M135" t="e">
        <f t="shared" si="101"/>
        <v>#N/A</v>
      </c>
      <c r="N135" t="e">
        <f t="shared" si="102"/>
        <v>#N/A</v>
      </c>
      <c r="O135" t="n">
        <f t="shared" si="103"/>
        <v>0</v>
      </c>
      <c r="P135" t="n">
        <f t="shared" si="104"/>
        <v>0</v>
      </c>
      <c r="Q135" t="n">
        <f t="shared" si="105"/>
        <v>0</v>
      </c>
      <c r="R135" t="n">
        <f t="shared" si="106"/>
        <v>0</v>
      </c>
      <c r="S135" t="e">
        <f t="shared" si="107"/>
        <v>#N/A</v>
      </c>
      <c r="T135" t="e">
        <f t="shared" si="108"/>
        <v>#N/A</v>
      </c>
      <c r="U135" t="e">
        <f t="shared" si="109"/>
        <v>#N/A</v>
      </c>
      <c r="V135" t="e">
        <f t="shared" si="110"/>
        <v>#N/A</v>
      </c>
      <c r="W135" t="e">
        <f t="shared" si="111"/>
        <v>#N/A</v>
      </c>
      <c r="X135" t="e">
        <f t="shared" si="112"/>
        <v>#N/A</v>
      </c>
      <c r="Y135" t="e">
        <f t="shared" si="113"/>
        <v>#N/A</v>
      </c>
      <c r="Z135" t="e">
        <f t="shared" si="114"/>
        <v>#N/A</v>
      </c>
      <c r="AA135" t="e">
        <f t="shared" si="115"/>
        <v>#N/A</v>
      </c>
      <c r="AB135" t="e">
        <f t="shared" si="116"/>
        <v>#N/A</v>
      </c>
      <c r="AC135" t="e">
        <f t="shared" si="117"/>
        <v>#N/A</v>
      </c>
      <c r="AD135" t="e">
        <f t="shared" si="118"/>
        <v>#N/A</v>
      </c>
      <c r="AE135" t="e">
        <f t="shared" si="119"/>
        <v>#N/A</v>
      </c>
      <c r="AF135" t="e">
        <f t="shared" si="120"/>
        <v>#N/A</v>
      </c>
      <c r="AG135" t="e">
        <f t="shared" si="121"/>
        <v>#N/A</v>
      </c>
      <c r="AH135" t="e">
        <f t="shared" si="122"/>
        <v>#N/A</v>
      </c>
      <c r="AI135" t="e">
        <f t="shared" si="123"/>
        <v>#N/A</v>
      </c>
      <c r="AJ135" t="e">
        <f t="shared" si="124"/>
        <v>#N/A</v>
      </c>
    </row>
    <row r="136">
      <c r="A136" s="2"/>
      <c r="L136" t="e">
        <f t="shared" si="100"/>
        <v>#N/A</v>
      </c>
      <c r="M136" t="e">
        <f t="shared" si="101"/>
        <v>#N/A</v>
      </c>
      <c r="N136" t="e">
        <f t="shared" si="102"/>
        <v>#N/A</v>
      </c>
      <c r="O136" t="n">
        <f t="shared" si="103"/>
        <v>0</v>
      </c>
      <c r="P136" t="n">
        <f t="shared" si="104"/>
        <v>0</v>
      </c>
      <c r="Q136" t="n">
        <f t="shared" si="105"/>
        <v>0</v>
      </c>
      <c r="R136" t="n">
        <f t="shared" si="106"/>
        <v>0</v>
      </c>
      <c r="S136" t="e">
        <f t="shared" si="107"/>
        <v>#N/A</v>
      </c>
      <c r="T136" t="e">
        <f t="shared" si="108"/>
        <v>#N/A</v>
      </c>
      <c r="U136" t="e">
        <f t="shared" si="109"/>
        <v>#N/A</v>
      </c>
      <c r="V136" t="e">
        <f t="shared" si="110"/>
        <v>#N/A</v>
      </c>
      <c r="W136" t="e">
        <f t="shared" si="111"/>
        <v>#N/A</v>
      </c>
      <c r="X136" t="e">
        <f t="shared" si="112"/>
        <v>#N/A</v>
      </c>
      <c r="Y136" t="e">
        <f t="shared" si="113"/>
        <v>#N/A</v>
      </c>
      <c r="Z136" t="e">
        <f t="shared" si="114"/>
        <v>#N/A</v>
      </c>
      <c r="AA136" t="e">
        <f t="shared" si="115"/>
        <v>#N/A</v>
      </c>
      <c r="AB136" t="e">
        <f t="shared" si="116"/>
        <v>#N/A</v>
      </c>
      <c r="AC136" t="e">
        <f t="shared" si="117"/>
        <v>#N/A</v>
      </c>
      <c r="AD136" t="e">
        <f t="shared" si="118"/>
        <v>#N/A</v>
      </c>
      <c r="AE136" t="e">
        <f t="shared" si="119"/>
        <v>#N/A</v>
      </c>
      <c r="AF136" t="e">
        <f t="shared" si="120"/>
        <v>#N/A</v>
      </c>
      <c r="AG136" t="e">
        <f t="shared" si="121"/>
        <v>#N/A</v>
      </c>
      <c r="AH136" t="e">
        <f t="shared" si="122"/>
        <v>#N/A</v>
      </c>
      <c r="AI136" t="e">
        <f t="shared" si="123"/>
        <v>#N/A</v>
      </c>
      <c r="AJ136" t="e">
        <f t="shared" si="124"/>
        <v>#N/A</v>
      </c>
    </row>
    <row r="137">
      <c r="A137" s="2"/>
      <c r="L137" t="e">
        <f t="shared" si="100"/>
        <v>#N/A</v>
      </c>
      <c r="M137" t="e">
        <f t="shared" si="101"/>
        <v>#N/A</v>
      </c>
      <c r="N137" t="e">
        <f t="shared" si="102"/>
        <v>#N/A</v>
      </c>
      <c r="O137" t="n">
        <f t="shared" si="103"/>
        <v>0</v>
      </c>
      <c r="P137" t="n">
        <f t="shared" si="104"/>
        <v>0</v>
      </c>
      <c r="Q137" t="n">
        <f t="shared" si="105"/>
        <v>0</v>
      </c>
      <c r="R137" t="n">
        <f t="shared" si="106"/>
        <v>0</v>
      </c>
      <c r="S137" t="e">
        <f t="shared" si="107"/>
        <v>#N/A</v>
      </c>
      <c r="T137" t="e">
        <f t="shared" si="108"/>
        <v>#N/A</v>
      </c>
      <c r="U137" t="e">
        <f t="shared" si="109"/>
        <v>#N/A</v>
      </c>
      <c r="V137" t="e">
        <f t="shared" si="110"/>
        <v>#N/A</v>
      </c>
      <c r="W137" t="e">
        <f t="shared" si="111"/>
        <v>#N/A</v>
      </c>
      <c r="X137" t="e">
        <f t="shared" si="112"/>
        <v>#N/A</v>
      </c>
      <c r="Y137" t="e">
        <f t="shared" si="113"/>
        <v>#N/A</v>
      </c>
      <c r="Z137" t="e">
        <f t="shared" si="114"/>
        <v>#N/A</v>
      </c>
      <c r="AA137" t="e">
        <f t="shared" si="115"/>
        <v>#N/A</v>
      </c>
      <c r="AB137" t="e">
        <f t="shared" si="116"/>
        <v>#N/A</v>
      </c>
      <c r="AC137" t="e">
        <f t="shared" si="117"/>
        <v>#N/A</v>
      </c>
      <c r="AD137" t="e">
        <f t="shared" si="118"/>
        <v>#N/A</v>
      </c>
      <c r="AE137" t="e">
        <f t="shared" si="119"/>
        <v>#N/A</v>
      </c>
      <c r="AF137" t="e">
        <f t="shared" si="120"/>
        <v>#N/A</v>
      </c>
      <c r="AG137" t="e">
        <f t="shared" si="121"/>
        <v>#N/A</v>
      </c>
      <c r="AH137" t="e">
        <f t="shared" si="122"/>
        <v>#N/A</v>
      </c>
      <c r="AI137" t="e">
        <f t="shared" si="123"/>
        <v>#N/A</v>
      </c>
      <c r="AJ137" t="e">
        <f t="shared" si="124"/>
        <v>#N/A</v>
      </c>
    </row>
    <row r="138">
      <c r="A138" s="2"/>
      <c r="L138" t="e">
        <f t="shared" si="100"/>
        <v>#N/A</v>
      </c>
      <c r="M138" t="e">
        <f t="shared" si="101"/>
        <v>#N/A</v>
      </c>
      <c r="N138" t="e">
        <f t="shared" si="102"/>
        <v>#N/A</v>
      </c>
      <c r="O138" t="n">
        <f t="shared" si="103"/>
        <v>0</v>
      </c>
      <c r="P138" t="n">
        <f t="shared" si="104"/>
        <v>0</v>
      </c>
      <c r="Q138" t="n">
        <f t="shared" si="105"/>
        <v>0</v>
      </c>
      <c r="R138" t="n">
        <f t="shared" si="106"/>
        <v>0</v>
      </c>
      <c r="S138" t="e">
        <f t="shared" si="107"/>
        <v>#N/A</v>
      </c>
      <c r="T138" t="e">
        <f t="shared" si="108"/>
        <v>#N/A</v>
      </c>
      <c r="U138" t="e">
        <f t="shared" si="109"/>
        <v>#N/A</v>
      </c>
      <c r="V138" t="e">
        <f t="shared" si="110"/>
        <v>#N/A</v>
      </c>
      <c r="W138" t="e">
        <f t="shared" si="111"/>
        <v>#N/A</v>
      </c>
      <c r="X138" t="e">
        <f t="shared" si="112"/>
        <v>#N/A</v>
      </c>
      <c r="Y138" t="e">
        <f t="shared" si="113"/>
        <v>#N/A</v>
      </c>
      <c r="Z138" t="e">
        <f t="shared" si="114"/>
        <v>#N/A</v>
      </c>
      <c r="AA138" t="e">
        <f t="shared" si="115"/>
        <v>#N/A</v>
      </c>
      <c r="AB138" t="e">
        <f t="shared" si="116"/>
        <v>#N/A</v>
      </c>
      <c r="AC138" t="e">
        <f t="shared" si="117"/>
        <v>#N/A</v>
      </c>
      <c r="AD138" t="e">
        <f t="shared" si="118"/>
        <v>#N/A</v>
      </c>
      <c r="AE138" t="e">
        <f t="shared" si="119"/>
        <v>#N/A</v>
      </c>
      <c r="AF138" t="e">
        <f t="shared" si="120"/>
        <v>#N/A</v>
      </c>
      <c r="AG138" t="e">
        <f t="shared" si="121"/>
        <v>#N/A</v>
      </c>
      <c r="AH138" t="e">
        <f t="shared" si="122"/>
        <v>#N/A</v>
      </c>
      <c r="AI138" t="e">
        <f t="shared" si="123"/>
        <v>#N/A</v>
      </c>
      <c r="AJ138" t="e">
        <f t="shared" si="124"/>
        <v>#N/A</v>
      </c>
    </row>
    <row r="139">
      <c r="A139" s="2"/>
      <c r="L139" t="e">
        <f t="shared" si="100"/>
        <v>#N/A</v>
      </c>
      <c r="M139" t="e">
        <f t="shared" si="101"/>
        <v>#N/A</v>
      </c>
      <c r="N139" t="e">
        <f t="shared" si="102"/>
        <v>#N/A</v>
      </c>
      <c r="O139" t="n">
        <f t="shared" si="103"/>
        <v>0</v>
      </c>
      <c r="P139" t="n">
        <f t="shared" si="104"/>
        <v>0</v>
      </c>
      <c r="Q139" t="n">
        <f t="shared" si="105"/>
        <v>0</v>
      </c>
      <c r="R139" t="n">
        <f t="shared" si="106"/>
        <v>0</v>
      </c>
      <c r="S139" t="e">
        <f t="shared" si="107"/>
        <v>#N/A</v>
      </c>
      <c r="T139" t="e">
        <f t="shared" si="108"/>
        <v>#N/A</v>
      </c>
      <c r="U139" t="e">
        <f t="shared" si="109"/>
        <v>#N/A</v>
      </c>
      <c r="V139" t="e">
        <f t="shared" si="110"/>
        <v>#N/A</v>
      </c>
      <c r="W139" t="e">
        <f t="shared" si="111"/>
        <v>#N/A</v>
      </c>
      <c r="X139" t="e">
        <f t="shared" si="112"/>
        <v>#N/A</v>
      </c>
      <c r="Y139" t="e">
        <f t="shared" si="113"/>
        <v>#N/A</v>
      </c>
      <c r="Z139" t="e">
        <f t="shared" si="114"/>
        <v>#N/A</v>
      </c>
      <c r="AA139" t="e">
        <f t="shared" si="115"/>
        <v>#N/A</v>
      </c>
      <c r="AB139" t="e">
        <f t="shared" si="116"/>
        <v>#N/A</v>
      </c>
      <c r="AC139" t="e">
        <f t="shared" si="117"/>
        <v>#N/A</v>
      </c>
      <c r="AD139" t="e">
        <f t="shared" si="118"/>
        <v>#N/A</v>
      </c>
      <c r="AE139" t="e">
        <f t="shared" si="119"/>
        <v>#N/A</v>
      </c>
      <c r="AF139" t="e">
        <f t="shared" si="120"/>
        <v>#N/A</v>
      </c>
      <c r="AG139" t="e">
        <f t="shared" si="121"/>
        <v>#N/A</v>
      </c>
      <c r="AH139" t="e">
        <f t="shared" si="122"/>
        <v>#N/A</v>
      </c>
      <c r="AI139" t="e">
        <f t="shared" si="123"/>
        <v>#N/A</v>
      </c>
      <c r="AJ139" t="e">
        <f t="shared" si="124"/>
        <v>#N/A</v>
      </c>
    </row>
    <row r="140">
      <c r="A140" s="2"/>
      <c r="L140" t="e">
        <f t="shared" si="100"/>
        <v>#N/A</v>
      </c>
      <c r="M140" t="e">
        <f t="shared" si="101"/>
        <v>#N/A</v>
      </c>
      <c r="N140" t="e">
        <f t="shared" si="102"/>
        <v>#N/A</v>
      </c>
      <c r="O140" t="n">
        <f t="shared" si="103"/>
        <v>0</v>
      </c>
      <c r="P140" t="n">
        <f t="shared" si="104"/>
        <v>0</v>
      </c>
      <c r="Q140" t="n">
        <f t="shared" si="105"/>
        <v>0</v>
      </c>
      <c r="R140" t="n">
        <f t="shared" si="106"/>
        <v>0</v>
      </c>
      <c r="S140" t="e">
        <f t="shared" si="107"/>
        <v>#N/A</v>
      </c>
      <c r="T140" t="e">
        <f t="shared" si="108"/>
        <v>#N/A</v>
      </c>
      <c r="U140" t="e">
        <f t="shared" si="109"/>
        <v>#N/A</v>
      </c>
      <c r="V140" t="e">
        <f t="shared" si="110"/>
        <v>#N/A</v>
      </c>
      <c r="W140" t="e">
        <f t="shared" si="111"/>
        <v>#N/A</v>
      </c>
      <c r="X140" t="e">
        <f t="shared" si="112"/>
        <v>#N/A</v>
      </c>
      <c r="Y140" t="e">
        <f t="shared" si="113"/>
        <v>#N/A</v>
      </c>
      <c r="Z140" t="e">
        <f t="shared" si="114"/>
        <v>#N/A</v>
      </c>
      <c r="AA140" t="e">
        <f t="shared" si="115"/>
        <v>#N/A</v>
      </c>
      <c r="AB140" t="e">
        <f t="shared" si="116"/>
        <v>#N/A</v>
      </c>
      <c r="AC140" t="e">
        <f t="shared" si="117"/>
        <v>#N/A</v>
      </c>
      <c r="AD140" t="e">
        <f t="shared" si="118"/>
        <v>#N/A</v>
      </c>
      <c r="AE140" t="e">
        <f t="shared" si="119"/>
        <v>#N/A</v>
      </c>
      <c r="AF140" t="e">
        <f t="shared" si="120"/>
        <v>#N/A</v>
      </c>
      <c r="AG140" t="e">
        <f t="shared" si="121"/>
        <v>#N/A</v>
      </c>
      <c r="AH140" t="e">
        <f t="shared" si="122"/>
        <v>#N/A</v>
      </c>
      <c r="AI140" t="e">
        <f t="shared" si="123"/>
        <v>#N/A</v>
      </c>
      <c r="AJ140" t="e">
        <f t="shared" si="124"/>
        <v>#N/A</v>
      </c>
    </row>
    <row r="141">
      <c r="A141" s="2"/>
      <c r="L141" t="e">
        <f t="shared" si="100"/>
        <v>#N/A</v>
      </c>
      <c r="M141" t="e">
        <f t="shared" si="101"/>
        <v>#N/A</v>
      </c>
      <c r="N141" t="e">
        <f t="shared" si="102"/>
        <v>#N/A</v>
      </c>
      <c r="O141" t="n">
        <f t="shared" si="103"/>
        <v>0</v>
      </c>
      <c r="P141" t="n">
        <f t="shared" si="104"/>
        <v>0</v>
      </c>
      <c r="Q141" t="n">
        <f t="shared" si="105"/>
        <v>0</v>
      </c>
      <c r="R141" t="n">
        <f t="shared" si="106"/>
        <v>0</v>
      </c>
      <c r="S141" t="e">
        <f t="shared" si="107"/>
        <v>#N/A</v>
      </c>
      <c r="T141" t="e">
        <f t="shared" si="108"/>
        <v>#N/A</v>
      </c>
      <c r="U141" t="e">
        <f t="shared" si="109"/>
        <v>#N/A</v>
      </c>
      <c r="V141" t="e">
        <f t="shared" si="110"/>
        <v>#N/A</v>
      </c>
      <c r="W141" t="e">
        <f t="shared" si="111"/>
        <v>#N/A</v>
      </c>
      <c r="X141" t="e">
        <f t="shared" si="112"/>
        <v>#N/A</v>
      </c>
      <c r="Y141" t="e">
        <f t="shared" si="113"/>
        <v>#N/A</v>
      </c>
      <c r="Z141" t="e">
        <f t="shared" si="114"/>
        <v>#N/A</v>
      </c>
      <c r="AA141" t="e">
        <f t="shared" si="115"/>
        <v>#N/A</v>
      </c>
      <c r="AB141" t="e">
        <f t="shared" si="116"/>
        <v>#N/A</v>
      </c>
      <c r="AC141" t="e">
        <f t="shared" si="117"/>
        <v>#N/A</v>
      </c>
      <c r="AD141" t="e">
        <f t="shared" si="118"/>
        <v>#N/A</v>
      </c>
      <c r="AE141" t="e">
        <f t="shared" si="119"/>
        <v>#N/A</v>
      </c>
      <c r="AF141" t="e">
        <f t="shared" si="120"/>
        <v>#N/A</v>
      </c>
      <c r="AG141" t="e">
        <f t="shared" si="121"/>
        <v>#N/A</v>
      </c>
      <c r="AH141" t="e">
        <f t="shared" si="122"/>
        <v>#N/A</v>
      </c>
      <c r="AI141" t="e">
        <f t="shared" si="123"/>
        <v>#N/A</v>
      </c>
      <c r="AJ141" t="e">
        <f t="shared" si="124"/>
        <v>#N/A</v>
      </c>
    </row>
    <row r="142">
      <c r="A142" s="2"/>
      <c r="L142" t="e">
        <f t="shared" si="100"/>
        <v>#N/A</v>
      </c>
      <c r="M142" t="e">
        <f t="shared" si="101"/>
        <v>#N/A</v>
      </c>
      <c r="N142" t="e">
        <f t="shared" si="102"/>
        <v>#N/A</v>
      </c>
      <c r="O142" t="n">
        <f t="shared" si="103"/>
        <v>0</v>
      </c>
      <c r="P142" t="n">
        <f t="shared" si="104"/>
        <v>0</v>
      </c>
      <c r="Q142" t="n">
        <f t="shared" si="105"/>
        <v>0</v>
      </c>
      <c r="R142" t="n">
        <f t="shared" si="106"/>
        <v>0</v>
      </c>
      <c r="S142" t="e">
        <f t="shared" si="107"/>
        <v>#N/A</v>
      </c>
      <c r="T142" t="e">
        <f t="shared" si="108"/>
        <v>#N/A</v>
      </c>
      <c r="U142" t="e">
        <f t="shared" si="109"/>
        <v>#N/A</v>
      </c>
      <c r="V142" t="e">
        <f t="shared" si="110"/>
        <v>#N/A</v>
      </c>
      <c r="W142" t="e">
        <f t="shared" si="111"/>
        <v>#N/A</v>
      </c>
      <c r="X142" t="e">
        <f t="shared" si="112"/>
        <v>#N/A</v>
      </c>
      <c r="Y142" t="e">
        <f t="shared" si="113"/>
        <v>#N/A</v>
      </c>
      <c r="Z142" t="e">
        <f t="shared" si="114"/>
        <v>#N/A</v>
      </c>
      <c r="AA142" t="e">
        <f t="shared" si="115"/>
        <v>#N/A</v>
      </c>
      <c r="AB142" t="e">
        <f t="shared" si="116"/>
        <v>#N/A</v>
      </c>
      <c r="AC142" t="e">
        <f t="shared" si="117"/>
        <v>#N/A</v>
      </c>
      <c r="AD142" t="e">
        <f t="shared" si="118"/>
        <v>#N/A</v>
      </c>
      <c r="AE142" t="e">
        <f t="shared" si="119"/>
        <v>#N/A</v>
      </c>
      <c r="AF142" t="e">
        <f t="shared" si="120"/>
        <v>#N/A</v>
      </c>
      <c r="AG142" t="e">
        <f t="shared" si="121"/>
        <v>#N/A</v>
      </c>
      <c r="AH142" t="e">
        <f t="shared" si="122"/>
        <v>#N/A</v>
      </c>
      <c r="AI142" t="e">
        <f t="shared" si="123"/>
        <v>#N/A</v>
      </c>
      <c r="AJ142" t="e">
        <f t="shared" si="124"/>
        <v>#N/A</v>
      </c>
    </row>
    <row r="143">
      <c r="A143" s="2"/>
      <c r="L143" t="e">
        <f t="shared" si="100"/>
        <v>#N/A</v>
      </c>
      <c r="M143" t="e">
        <f t="shared" si="101"/>
        <v>#N/A</v>
      </c>
      <c r="N143" t="e">
        <f t="shared" si="102"/>
        <v>#N/A</v>
      </c>
      <c r="O143" t="n">
        <f t="shared" si="103"/>
        <v>0</v>
      </c>
      <c r="P143" t="n">
        <f t="shared" si="104"/>
        <v>0</v>
      </c>
      <c r="Q143" t="n">
        <f t="shared" si="105"/>
        <v>0</v>
      </c>
      <c r="R143" t="n">
        <f t="shared" si="106"/>
        <v>0</v>
      </c>
      <c r="S143" t="e">
        <f t="shared" si="107"/>
        <v>#N/A</v>
      </c>
      <c r="T143" t="e">
        <f t="shared" si="108"/>
        <v>#N/A</v>
      </c>
      <c r="U143" t="e">
        <f t="shared" si="109"/>
        <v>#N/A</v>
      </c>
      <c r="V143" t="e">
        <f t="shared" si="110"/>
        <v>#N/A</v>
      </c>
      <c r="W143" t="e">
        <f t="shared" si="111"/>
        <v>#N/A</v>
      </c>
      <c r="X143" t="e">
        <f t="shared" si="112"/>
        <v>#N/A</v>
      </c>
      <c r="Y143" t="e">
        <f t="shared" si="113"/>
        <v>#N/A</v>
      </c>
      <c r="Z143" t="e">
        <f t="shared" si="114"/>
        <v>#N/A</v>
      </c>
      <c r="AA143" t="e">
        <f t="shared" si="115"/>
        <v>#N/A</v>
      </c>
      <c r="AB143" t="e">
        <f t="shared" si="116"/>
        <v>#N/A</v>
      </c>
      <c r="AC143" t="e">
        <f t="shared" si="117"/>
        <v>#N/A</v>
      </c>
      <c r="AD143" t="e">
        <f t="shared" si="118"/>
        <v>#N/A</v>
      </c>
      <c r="AE143" t="e">
        <f t="shared" si="119"/>
        <v>#N/A</v>
      </c>
      <c r="AF143" t="e">
        <f t="shared" si="120"/>
        <v>#N/A</v>
      </c>
      <c r="AG143" t="e">
        <f t="shared" si="121"/>
        <v>#N/A</v>
      </c>
      <c r="AH143" t="e">
        <f t="shared" si="122"/>
        <v>#N/A</v>
      </c>
      <c r="AI143" t="e">
        <f t="shared" si="123"/>
        <v>#N/A</v>
      </c>
      <c r="AJ143" t="e">
        <f t="shared" si="124"/>
        <v>#N/A</v>
      </c>
    </row>
    <row r="144">
      <c r="A144" s="2"/>
      <c r="L144" t="e">
        <f t="shared" si="100"/>
        <v>#N/A</v>
      </c>
      <c r="M144" t="e">
        <f t="shared" si="101"/>
        <v>#N/A</v>
      </c>
      <c r="N144" t="e">
        <f t="shared" si="102"/>
        <v>#N/A</v>
      </c>
      <c r="O144" t="n">
        <f t="shared" si="103"/>
        <v>0</v>
      </c>
      <c r="P144" t="n">
        <f t="shared" si="104"/>
        <v>0</v>
      </c>
      <c r="Q144" t="n">
        <f t="shared" si="105"/>
        <v>0</v>
      </c>
      <c r="R144" t="n">
        <f t="shared" si="106"/>
        <v>0</v>
      </c>
      <c r="S144" t="e">
        <f t="shared" si="107"/>
        <v>#N/A</v>
      </c>
      <c r="T144" t="e">
        <f t="shared" si="108"/>
        <v>#N/A</v>
      </c>
      <c r="U144" t="e">
        <f t="shared" si="109"/>
        <v>#N/A</v>
      </c>
      <c r="V144" t="e">
        <f t="shared" si="110"/>
        <v>#N/A</v>
      </c>
      <c r="W144" t="e">
        <f t="shared" si="111"/>
        <v>#N/A</v>
      </c>
      <c r="X144" t="e">
        <f t="shared" si="112"/>
        <v>#N/A</v>
      </c>
      <c r="Y144" t="e">
        <f t="shared" si="113"/>
        <v>#N/A</v>
      </c>
      <c r="Z144" t="e">
        <f t="shared" si="114"/>
        <v>#N/A</v>
      </c>
      <c r="AA144" t="e">
        <f t="shared" si="115"/>
        <v>#N/A</v>
      </c>
      <c r="AB144" t="e">
        <f t="shared" si="116"/>
        <v>#N/A</v>
      </c>
      <c r="AC144" t="e">
        <f t="shared" si="117"/>
        <v>#N/A</v>
      </c>
      <c r="AD144" t="e">
        <f t="shared" si="118"/>
        <v>#N/A</v>
      </c>
      <c r="AE144" t="e">
        <f t="shared" si="119"/>
        <v>#N/A</v>
      </c>
      <c r="AF144" t="e">
        <f t="shared" si="120"/>
        <v>#N/A</v>
      </c>
      <c r="AG144" t="e">
        <f t="shared" si="121"/>
        <v>#N/A</v>
      </c>
      <c r="AH144" t="e">
        <f t="shared" si="122"/>
        <v>#N/A</v>
      </c>
      <c r="AI144" t="e">
        <f t="shared" si="123"/>
        <v>#N/A</v>
      </c>
      <c r="AJ144" t="e">
        <f t="shared" si="124"/>
        <v>#N/A</v>
      </c>
    </row>
    <row r="145">
      <c r="A145" s="2"/>
      <c r="L145" t="e">
        <f t="shared" si="100"/>
        <v>#N/A</v>
      </c>
      <c r="M145" t="e">
        <f t="shared" si="101"/>
        <v>#N/A</v>
      </c>
      <c r="N145" t="e">
        <f t="shared" si="102"/>
        <v>#N/A</v>
      </c>
      <c r="O145" t="n">
        <f t="shared" si="103"/>
        <v>0</v>
      </c>
      <c r="P145" t="n">
        <f t="shared" si="104"/>
        <v>0</v>
      </c>
      <c r="Q145" t="n">
        <f t="shared" si="105"/>
        <v>0</v>
      </c>
      <c r="R145" t="n">
        <f t="shared" si="106"/>
        <v>0</v>
      </c>
      <c r="S145" t="e">
        <f t="shared" si="107"/>
        <v>#N/A</v>
      </c>
      <c r="T145" t="e">
        <f t="shared" si="108"/>
        <v>#N/A</v>
      </c>
      <c r="U145" t="e">
        <f t="shared" si="109"/>
        <v>#N/A</v>
      </c>
      <c r="V145" t="e">
        <f t="shared" si="110"/>
        <v>#N/A</v>
      </c>
      <c r="W145" t="e">
        <f t="shared" si="111"/>
        <v>#N/A</v>
      </c>
      <c r="X145" t="e">
        <f t="shared" si="112"/>
        <v>#N/A</v>
      </c>
      <c r="Y145" t="e">
        <f t="shared" si="113"/>
        <v>#N/A</v>
      </c>
      <c r="Z145" t="e">
        <f t="shared" si="114"/>
        <v>#N/A</v>
      </c>
      <c r="AA145" t="e">
        <f t="shared" si="115"/>
        <v>#N/A</v>
      </c>
      <c r="AB145" t="e">
        <f t="shared" si="116"/>
        <v>#N/A</v>
      </c>
      <c r="AC145" t="e">
        <f t="shared" si="117"/>
        <v>#N/A</v>
      </c>
      <c r="AD145" t="e">
        <f t="shared" si="118"/>
        <v>#N/A</v>
      </c>
      <c r="AE145" t="e">
        <f t="shared" si="119"/>
        <v>#N/A</v>
      </c>
      <c r="AF145" t="e">
        <f t="shared" si="120"/>
        <v>#N/A</v>
      </c>
      <c r="AG145" t="e">
        <f t="shared" si="121"/>
        <v>#N/A</v>
      </c>
      <c r="AH145" t="e">
        <f t="shared" si="122"/>
        <v>#N/A</v>
      </c>
      <c r="AI145" t="e">
        <f t="shared" si="123"/>
        <v>#N/A</v>
      </c>
      <c r="AJ145" t="e">
        <f t="shared" si="124"/>
        <v>#N/A</v>
      </c>
    </row>
    <row r="146">
      <c r="A146" s="2"/>
      <c r="L146" t="e">
        <f t="shared" si="100"/>
        <v>#N/A</v>
      </c>
      <c r="M146" t="e">
        <f t="shared" si="101"/>
        <v>#N/A</v>
      </c>
      <c r="N146" t="e">
        <f t="shared" si="102"/>
        <v>#N/A</v>
      </c>
      <c r="O146" t="n">
        <f t="shared" si="103"/>
        <v>0</v>
      </c>
      <c r="P146" t="n">
        <f t="shared" si="104"/>
        <v>0</v>
      </c>
      <c r="Q146" t="n">
        <f t="shared" si="105"/>
        <v>0</v>
      </c>
      <c r="R146" t="n">
        <f t="shared" si="106"/>
        <v>0</v>
      </c>
      <c r="S146" t="e">
        <f t="shared" si="107"/>
        <v>#N/A</v>
      </c>
      <c r="T146" t="e">
        <f t="shared" si="108"/>
        <v>#N/A</v>
      </c>
      <c r="U146" t="e">
        <f t="shared" si="109"/>
        <v>#N/A</v>
      </c>
      <c r="V146" t="e">
        <f t="shared" si="110"/>
        <v>#N/A</v>
      </c>
      <c r="W146" t="e">
        <f t="shared" si="111"/>
        <v>#N/A</v>
      </c>
      <c r="X146" t="e">
        <f t="shared" si="112"/>
        <v>#N/A</v>
      </c>
      <c r="Y146" t="e">
        <f t="shared" si="113"/>
        <v>#N/A</v>
      </c>
      <c r="Z146" t="e">
        <f t="shared" si="114"/>
        <v>#N/A</v>
      </c>
      <c r="AA146" t="e">
        <f t="shared" si="115"/>
        <v>#N/A</v>
      </c>
      <c r="AB146" t="e">
        <f t="shared" si="116"/>
        <v>#N/A</v>
      </c>
      <c r="AC146" t="e">
        <f t="shared" si="117"/>
        <v>#N/A</v>
      </c>
      <c r="AD146" t="e">
        <f t="shared" si="118"/>
        <v>#N/A</v>
      </c>
      <c r="AE146" t="e">
        <f t="shared" si="119"/>
        <v>#N/A</v>
      </c>
      <c r="AF146" t="e">
        <f t="shared" si="120"/>
        <v>#N/A</v>
      </c>
      <c r="AG146" t="e">
        <f t="shared" si="121"/>
        <v>#N/A</v>
      </c>
      <c r="AH146" t="e">
        <f t="shared" si="122"/>
        <v>#N/A</v>
      </c>
      <c r="AI146" t="e">
        <f t="shared" si="123"/>
        <v>#N/A</v>
      </c>
      <c r="AJ146" t="e">
        <f t="shared" si="124"/>
        <v>#N/A</v>
      </c>
    </row>
    <row r="147">
      <c r="A147" s="2"/>
      <c r="L147" t="e">
        <f t="shared" si="100"/>
        <v>#N/A</v>
      </c>
      <c r="M147" t="e">
        <f t="shared" si="101"/>
        <v>#N/A</v>
      </c>
      <c r="N147" t="e">
        <f t="shared" si="102"/>
        <v>#N/A</v>
      </c>
      <c r="O147" t="n">
        <f t="shared" si="103"/>
        <v>0</v>
      </c>
      <c r="P147" t="n">
        <f t="shared" si="104"/>
        <v>0</v>
      </c>
      <c r="Q147" t="n">
        <f t="shared" si="105"/>
        <v>0</v>
      </c>
      <c r="R147" t="n">
        <f t="shared" si="106"/>
        <v>0</v>
      </c>
      <c r="S147" t="e">
        <f t="shared" si="107"/>
        <v>#N/A</v>
      </c>
      <c r="T147" t="e">
        <f t="shared" si="108"/>
        <v>#N/A</v>
      </c>
      <c r="U147" t="e">
        <f t="shared" si="109"/>
        <v>#N/A</v>
      </c>
      <c r="V147" t="e">
        <f t="shared" si="110"/>
        <v>#N/A</v>
      </c>
      <c r="W147" t="e">
        <f t="shared" si="111"/>
        <v>#N/A</v>
      </c>
      <c r="X147" t="e">
        <f t="shared" si="112"/>
        <v>#N/A</v>
      </c>
      <c r="Y147" t="e">
        <f t="shared" si="113"/>
        <v>#N/A</v>
      </c>
      <c r="Z147" t="e">
        <f t="shared" si="114"/>
        <v>#N/A</v>
      </c>
      <c r="AA147" t="e">
        <f t="shared" si="115"/>
        <v>#N/A</v>
      </c>
      <c r="AB147" t="e">
        <f t="shared" si="116"/>
        <v>#N/A</v>
      </c>
      <c r="AC147" t="e">
        <f t="shared" si="117"/>
        <v>#N/A</v>
      </c>
      <c r="AD147" t="e">
        <f t="shared" si="118"/>
        <v>#N/A</v>
      </c>
      <c r="AE147" t="e">
        <f t="shared" si="119"/>
        <v>#N/A</v>
      </c>
      <c r="AF147" t="e">
        <f t="shared" si="120"/>
        <v>#N/A</v>
      </c>
      <c r="AG147" t="e">
        <f t="shared" si="121"/>
        <v>#N/A</v>
      </c>
      <c r="AH147" t="e">
        <f t="shared" si="122"/>
        <v>#N/A</v>
      </c>
      <c r="AI147" t="e">
        <f t="shared" si="123"/>
        <v>#N/A</v>
      </c>
      <c r="AJ147" t="e">
        <f t="shared" si="124"/>
        <v>#N/A</v>
      </c>
    </row>
    <row r="148">
      <c r="A148" s="2"/>
      <c r="L148" t="e">
        <f t="shared" si="100"/>
        <v>#N/A</v>
      </c>
      <c r="M148" t="e">
        <f t="shared" si="101"/>
        <v>#N/A</v>
      </c>
      <c r="N148" t="e">
        <f t="shared" si="102"/>
        <v>#N/A</v>
      </c>
      <c r="O148" t="n">
        <f t="shared" si="103"/>
        <v>0</v>
      </c>
      <c r="P148" t="n">
        <f t="shared" si="104"/>
        <v>0</v>
      </c>
      <c r="Q148" t="n">
        <f t="shared" si="105"/>
        <v>0</v>
      </c>
      <c r="R148" t="n">
        <f t="shared" si="106"/>
        <v>0</v>
      </c>
      <c r="S148" t="e">
        <f t="shared" si="107"/>
        <v>#N/A</v>
      </c>
      <c r="T148" t="e">
        <f t="shared" si="108"/>
        <v>#N/A</v>
      </c>
      <c r="U148" t="e">
        <f t="shared" si="109"/>
        <v>#N/A</v>
      </c>
      <c r="V148" t="e">
        <f t="shared" si="110"/>
        <v>#N/A</v>
      </c>
      <c r="W148" t="e">
        <f t="shared" si="111"/>
        <v>#N/A</v>
      </c>
      <c r="X148" t="e">
        <f t="shared" si="112"/>
        <v>#N/A</v>
      </c>
      <c r="Y148" t="e">
        <f t="shared" si="113"/>
        <v>#N/A</v>
      </c>
      <c r="Z148" t="e">
        <f t="shared" si="114"/>
        <v>#N/A</v>
      </c>
      <c r="AA148" t="e">
        <f t="shared" si="115"/>
        <v>#N/A</v>
      </c>
      <c r="AB148" t="e">
        <f t="shared" si="116"/>
        <v>#N/A</v>
      </c>
      <c r="AC148" t="e">
        <f t="shared" si="117"/>
        <v>#N/A</v>
      </c>
      <c r="AD148" t="e">
        <f t="shared" si="118"/>
        <v>#N/A</v>
      </c>
      <c r="AE148" t="e">
        <f t="shared" si="119"/>
        <v>#N/A</v>
      </c>
      <c r="AF148" t="e">
        <f t="shared" si="120"/>
        <v>#N/A</v>
      </c>
      <c r="AG148" t="e">
        <f t="shared" si="121"/>
        <v>#N/A</v>
      </c>
      <c r="AH148" t="e">
        <f t="shared" si="122"/>
        <v>#N/A</v>
      </c>
      <c r="AI148" t="e">
        <f t="shared" si="123"/>
        <v>#N/A</v>
      </c>
      <c r="AJ148" t="e">
        <f t="shared" si="124"/>
        <v>#N/A</v>
      </c>
    </row>
    <row r="149">
      <c r="A149" s="2"/>
      <c r="L149" t="e">
        <f t="shared" si="100"/>
        <v>#N/A</v>
      </c>
      <c r="M149" t="e">
        <f t="shared" si="101"/>
        <v>#N/A</v>
      </c>
      <c r="N149" t="e">
        <f t="shared" si="102"/>
        <v>#N/A</v>
      </c>
      <c r="O149" t="n">
        <f t="shared" si="103"/>
        <v>0</v>
      </c>
      <c r="P149" t="n">
        <f t="shared" si="104"/>
        <v>0</v>
      </c>
      <c r="Q149" t="n">
        <f t="shared" si="105"/>
        <v>0</v>
      </c>
      <c r="R149" t="n">
        <f t="shared" si="106"/>
        <v>0</v>
      </c>
      <c r="S149" t="e">
        <f t="shared" si="107"/>
        <v>#N/A</v>
      </c>
      <c r="T149" t="e">
        <f t="shared" si="108"/>
        <v>#N/A</v>
      </c>
      <c r="U149" t="e">
        <f t="shared" si="109"/>
        <v>#N/A</v>
      </c>
      <c r="V149" t="e">
        <f t="shared" si="110"/>
        <v>#N/A</v>
      </c>
      <c r="W149" t="e">
        <f t="shared" si="111"/>
        <v>#N/A</v>
      </c>
      <c r="X149" t="e">
        <f t="shared" si="112"/>
        <v>#N/A</v>
      </c>
      <c r="Y149" t="e">
        <f t="shared" si="113"/>
        <v>#N/A</v>
      </c>
      <c r="Z149" t="e">
        <f t="shared" si="114"/>
        <v>#N/A</v>
      </c>
      <c r="AA149" t="e">
        <f t="shared" si="115"/>
        <v>#N/A</v>
      </c>
      <c r="AB149" t="e">
        <f t="shared" si="116"/>
        <v>#N/A</v>
      </c>
      <c r="AC149" t="e">
        <f t="shared" si="117"/>
        <v>#N/A</v>
      </c>
      <c r="AD149" t="e">
        <f t="shared" si="118"/>
        <v>#N/A</v>
      </c>
      <c r="AE149" t="e">
        <f t="shared" si="119"/>
        <v>#N/A</v>
      </c>
      <c r="AF149" t="e">
        <f t="shared" si="120"/>
        <v>#N/A</v>
      </c>
      <c r="AG149" t="e">
        <f t="shared" si="121"/>
        <v>#N/A</v>
      </c>
      <c r="AH149" t="e">
        <f t="shared" si="122"/>
        <v>#N/A</v>
      </c>
      <c r="AI149" t="e">
        <f t="shared" si="123"/>
        <v>#N/A</v>
      </c>
      <c r="AJ149" t="e">
        <f t="shared" si="124"/>
        <v>#N/A</v>
      </c>
    </row>
    <row r="150">
      <c r="A150" s="2"/>
      <c r="L150" t="e">
        <f t="shared" si="100"/>
        <v>#N/A</v>
      </c>
      <c r="M150" t="e">
        <f t="shared" si="101"/>
        <v>#N/A</v>
      </c>
      <c r="N150" t="e">
        <f t="shared" si="102"/>
        <v>#N/A</v>
      </c>
      <c r="O150" t="n">
        <f t="shared" si="103"/>
        <v>0</v>
      </c>
      <c r="P150" t="n">
        <f t="shared" si="104"/>
        <v>0</v>
      </c>
      <c r="Q150" t="n">
        <f t="shared" si="105"/>
        <v>0</v>
      </c>
      <c r="R150" t="n">
        <f t="shared" si="106"/>
        <v>0</v>
      </c>
      <c r="S150" t="e">
        <f t="shared" si="107"/>
        <v>#N/A</v>
      </c>
      <c r="T150" t="e">
        <f t="shared" si="108"/>
        <v>#N/A</v>
      </c>
      <c r="U150" t="e">
        <f t="shared" si="109"/>
        <v>#N/A</v>
      </c>
      <c r="V150" t="e">
        <f t="shared" si="110"/>
        <v>#N/A</v>
      </c>
      <c r="W150" t="e">
        <f t="shared" si="111"/>
        <v>#N/A</v>
      </c>
      <c r="X150" t="e">
        <f t="shared" si="112"/>
        <v>#N/A</v>
      </c>
      <c r="Y150" t="e">
        <f t="shared" si="113"/>
        <v>#N/A</v>
      </c>
      <c r="Z150" t="e">
        <f t="shared" si="114"/>
        <v>#N/A</v>
      </c>
      <c r="AA150" t="e">
        <f t="shared" si="115"/>
        <v>#N/A</v>
      </c>
      <c r="AB150" t="e">
        <f t="shared" si="116"/>
        <v>#N/A</v>
      </c>
      <c r="AC150" t="e">
        <f t="shared" si="117"/>
        <v>#N/A</v>
      </c>
      <c r="AD150" t="e">
        <f t="shared" si="118"/>
        <v>#N/A</v>
      </c>
      <c r="AE150" t="e">
        <f t="shared" si="119"/>
        <v>#N/A</v>
      </c>
      <c r="AF150" t="e">
        <f t="shared" si="120"/>
        <v>#N/A</v>
      </c>
      <c r="AG150" t="e">
        <f t="shared" si="121"/>
        <v>#N/A</v>
      </c>
      <c r="AH150" t="e">
        <f t="shared" si="122"/>
        <v>#N/A</v>
      </c>
      <c r="AI150" t="e">
        <f t="shared" si="123"/>
        <v>#N/A</v>
      </c>
      <c r="AJ150" t="e">
        <f t="shared" si="124"/>
        <v>#N/A</v>
      </c>
    </row>
    <row r="151">
      <c r="A151" s="2"/>
      <c r="L151" t="e">
        <f t="shared" si="100"/>
        <v>#N/A</v>
      </c>
      <c r="M151" t="e">
        <f t="shared" si="101"/>
        <v>#N/A</v>
      </c>
      <c r="N151" t="e">
        <f t="shared" si="102"/>
        <v>#N/A</v>
      </c>
      <c r="O151" t="n">
        <f t="shared" si="103"/>
        <v>0</v>
      </c>
      <c r="P151" t="n">
        <f t="shared" si="104"/>
        <v>0</v>
      </c>
      <c r="Q151" t="n">
        <f t="shared" si="105"/>
        <v>0</v>
      </c>
      <c r="R151" t="n">
        <f t="shared" si="106"/>
        <v>0</v>
      </c>
      <c r="S151" t="e">
        <f t="shared" si="107"/>
        <v>#N/A</v>
      </c>
      <c r="T151" t="e">
        <f t="shared" si="108"/>
        <v>#N/A</v>
      </c>
      <c r="U151" t="e">
        <f t="shared" si="109"/>
        <v>#N/A</v>
      </c>
      <c r="V151" t="e">
        <f t="shared" si="110"/>
        <v>#N/A</v>
      </c>
      <c r="W151" t="e">
        <f t="shared" si="111"/>
        <v>#N/A</v>
      </c>
      <c r="X151" t="e">
        <f t="shared" si="112"/>
        <v>#N/A</v>
      </c>
      <c r="Y151" t="e">
        <f t="shared" si="113"/>
        <v>#N/A</v>
      </c>
      <c r="Z151" t="e">
        <f t="shared" si="114"/>
        <v>#N/A</v>
      </c>
      <c r="AA151" t="e">
        <f t="shared" si="115"/>
        <v>#N/A</v>
      </c>
      <c r="AB151" t="e">
        <f t="shared" si="116"/>
        <v>#N/A</v>
      </c>
      <c r="AC151" t="e">
        <f t="shared" si="117"/>
        <v>#N/A</v>
      </c>
      <c r="AD151" t="e">
        <f t="shared" si="118"/>
        <v>#N/A</v>
      </c>
      <c r="AE151" t="e">
        <f t="shared" si="119"/>
        <v>#N/A</v>
      </c>
      <c r="AF151" t="e">
        <f t="shared" si="120"/>
        <v>#N/A</v>
      </c>
      <c r="AG151" t="e">
        <f t="shared" si="121"/>
        <v>#N/A</v>
      </c>
      <c r="AH151" t="e">
        <f t="shared" si="122"/>
        <v>#N/A</v>
      </c>
      <c r="AI151" t="e">
        <f t="shared" si="123"/>
        <v>#N/A</v>
      </c>
      <c r="AJ151" t="e">
        <f t="shared" si="124"/>
        <v>#N/A</v>
      </c>
    </row>
    <row r="152">
      <c r="A152" s="2"/>
      <c r="L152" t="e">
        <f t="shared" si="100"/>
        <v>#N/A</v>
      </c>
      <c r="M152" t="e">
        <f t="shared" si="101"/>
        <v>#N/A</v>
      </c>
      <c r="N152" t="e">
        <f t="shared" si="102"/>
        <v>#N/A</v>
      </c>
      <c r="O152" t="n">
        <f t="shared" si="103"/>
        <v>0</v>
      </c>
      <c r="P152" t="n">
        <f t="shared" si="104"/>
        <v>0</v>
      </c>
      <c r="Q152" t="n">
        <f t="shared" si="105"/>
        <v>0</v>
      </c>
      <c r="R152" t="n">
        <f t="shared" si="106"/>
        <v>0</v>
      </c>
      <c r="S152" t="e">
        <f t="shared" si="107"/>
        <v>#N/A</v>
      </c>
      <c r="T152" t="e">
        <f t="shared" si="108"/>
        <v>#N/A</v>
      </c>
      <c r="U152" t="e">
        <f t="shared" si="109"/>
        <v>#N/A</v>
      </c>
      <c r="V152" t="e">
        <f t="shared" si="110"/>
        <v>#N/A</v>
      </c>
      <c r="W152" t="e">
        <f t="shared" si="111"/>
        <v>#N/A</v>
      </c>
      <c r="X152" t="e">
        <f t="shared" si="112"/>
        <v>#N/A</v>
      </c>
      <c r="Y152" t="e">
        <f t="shared" si="113"/>
        <v>#N/A</v>
      </c>
      <c r="Z152" t="e">
        <f t="shared" si="114"/>
        <v>#N/A</v>
      </c>
      <c r="AA152" t="e">
        <f t="shared" si="115"/>
        <v>#N/A</v>
      </c>
      <c r="AB152" t="e">
        <f t="shared" si="116"/>
        <v>#N/A</v>
      </c>
      <c r="AC152" t="e">
        <f t="shared" si="117"/>
        <v>#N/A</v>
      </c>
      <c r="AD152" t="e">
        <f t="shared" si="118"/>
        <v>#N/A</v>
      </c>
      <c r="AE152" t="e">
        <f t="shared" si="119"/>
        <v>#N/A</v>
      </c>
      <c r="AF152" t="e">
        <f t="shared" si="120"/>
        <v>#N/A</v>
      </c>
      <c r="AG152" t="e">
        <f t="shared" si="121"/>
        <v>#N/A</v>
      </c>
      <c r="AH152" t="e">
        <f t="shared" si="122"/>
        <v>#N/A</v>
      </c>
      <c r="AI152" t="e">
        <f t="shared" si="123"/>
        <v>#N/A</v>
      </c>
      <c r="AJ152" t="e">
        <f t="shared" si="124"/>
        <v>#N/A</v>
      </c>
    </row>
    <row r="153">
      <c r="A153" s="2"/>
      <c r="L153" t="e">
        <f t="shared" si="100"/>
        <v>#N/A</v>
      </c>
      <c r="M153" t="e">
        <f t="shared" si="101"/>
        <v>#N/A</v>
      </c>
      <c r="N153" t="e">
        <f t="shared" si="102"/>
        <v>#N/A</v>
      </c>
      <c r="O153" t="n">
        <f t="shared" si="103"/>
        <v>0</v>
      </c>
      <c r="P153" t="n">
        <f t="shared" si="104"/>
        <v>0</v>
      </c>
      <c r="Q153" t="n">
        <f t="shared" si="105"/>
        <v>0</v>
      </c>
      <c r="R153" t="n">
        <f t="shared" si="106"/>
        <v>0</v>
      </c>
      <c r="S153" t="e">
        <f t="shared" si="107"/>
        <v>#N/A</v>
      </c>
      <c r="T153" t="e">
        <f t="shared" si="108"/>
        <v>#N/A</v>
      </c>
      <c r="U153" t="e">
        <f t="shared" si="109"/>
        <v>#N/A</v>
      </c>
      <c r="V153" t="e">
        <f t="shared" si="110"/>
        <v>#N/A</v>
      </c>
      <c r="W153" t="e">
        <f t="shared" si="111"/>
        <v>#N/A</v>
      </c>
      <c r="X153" t="e">
        <f t="shared" si="112"/>
        <v>#N/A</v>
      </c>
      <c r="Y153" t="e">
        <f t="shared" si="113"/>
        <v>#N/A</v>
      </c>
      <c r="Z153" t="e">
        <f t="shared" si="114"/>
        <v>#N/A</v>
      </c>
      <c r="AA153" t="e">
        <f t="shared" si="115"/>
        <v>#N/A</v>
      </c>
      <c r="AB153" t="e">
        <f t="shared" si="116"/>
        <v>#N/A</v>
      </c>
      <c r="AC153" t="e">
        <f t="shared" si="117"/>
        <v>#N/A</v>
      </c>
      <c r="AD153" t="e">
        <f t="shared" si="118"/>
        <v>#N/A</v>
      </c>
      <c r="AE153" t="e">
        <f t="shared" si="119"/>
        <v>#N/A</v>
      </c>
      <c r="AF153" t="e">
        <f t="shared" si="120"/>
        <v>#N/A</v>
      </c>
      <c r="AG153" t="e">
        <f t="shared" si="121"/>
        <v>#N/A</v>
      </c>
      <c r="AH153" t="e">
        <f t="shared" si="122"/>
        <v>#N/A</v>
      </c>
      <c r="AI153" t="e">
        <f t="shared" si="123"/>
        <v>#N/A</v>
      </c>
      <c r="AJ153" t="e">
        <f t="shared" si="124"/>
        <v>#N/A</v>
      </c>
    </row>
    <row r="154">
      <c r="A154" s="2"/>
      <c r="L154" t="e">
        <f t="shared" si="100"/>
        <v>#N/A</v>
      </c>
      <c r="M154" t="e">
        <f t="shared" si="101"/>
        <v>#N/A</v>
      </c>
      <c r="N154" t="e">
        <f t="shared" si="102"/>
        <v>#N/A</v>
      </c>
      <c r="O154" t="n">
        <f t="shared" si="103"/>
        <v>0</v>
      </c>
      <c r="P154" t="n">
        <f t="shared" si="104"/>
        <v>0</v>
      </c>
      <c r="Q154" t="n">
        <f t="shared" si="105"/>
        <v>0</v>
      </c>
      <c r="R154" t="n">
        <f t="shared" si="106"/>
        <v>0</v>
      </c>
      <c r="S154" t="e">
        <f t="shared" si="107"/>
        <v>#N/A</v>
      </c>
      <c r="T154" t="e">
        <f t="shared" si="108"/>
        <v>#N/A</v>
      </c>
      <c r="U154" t="e">
        <f t="shared" si="109"/>
        <v>#N/A</v>
      </c>
      <c r="V154" t="e">
        <f t="shared" si="110"/>
        <v>#N/A</v>
      </c>
      <c r="W154" t="e">
        <f t="shared" si="111"/>
        <v>#N/A</v>
      </c>
      <c r="X154" t="e">
        <f t="shared" si="112"/>
        <v>#N/A</v>
      </c>
      <c r="Y154" t="e">
        <f t="shared" si="113"/>
        <v>#N/A</v>
      </c>
      <c r="Z154" t="e">
        <f t="shared" si="114"/>
        <v>#N/A</v>
      </c>
      <c r="AA154" t="e">
        <f t="shared" si="115"/>
        <v>#N/A</v>
      </c>
      <c r="AB154" t="e">
        <f t="shared" si="116"/>
        <v>#N/A</v>
      </c>
      <c r="AC154" t="e">
        <f t="shared" si="117"/>
        <v>#N/A</v>
      </c>
      <c r="AD154" t="e">
        <f t="shared" si="118"/>
        <v>#N/A</v>
      </c>
      <c r="AE154" t="e">
        <f t="shared" si="119"/>
        <v>#N/A</v>
      </c>
      <c r="AF154" t="e">
        <f t="shared" si="120"/>
        <v>#N/A</v>
      </c>
      <c r="AG154" t="e">
        <f t="shared" si="121"/>
        <v>#N/A</v>
      </c>
      <c r="AH154" t="e">
        <f t="shared" si="122"/>
        <v>#N/A</v>
      </c>
      <c r="AI154" t="e">
        <f t="shared" si="123"/>
        <v>#N/A</v>
      </c>
      <c r="AJ154" t="e">
        <f t="shared" si="124"/>
        <v>#N/A</v>
      </c>
    </row>
    <row r="155">
      <c r="A155" s="2"/>
      <c r="L155" t="e">
        <f t="shared" si="100"/>
        <v>#N/A</v>
      </c>
      <c r="M155" t="e">
        <f t="shared" si="101"/>
        <v>#N/A</v>
      </c>
      <c r="N155" t="e">
        <f t="shared" si="102"/>
        <v>#N/A</v>
      </c>
      <c r="O155" t="n">
        <f t="shared" si="103"/>
        <v>0</v>
      </c>
      <c r="P155" t="n">
        <f t="shared" si="104"/>
        <v>0</v>
      </c>
      <c r="Q155" t="n">
        <f t="shared" si="105"/>
        <v>0</v>
      </c>
      <c r="R155" t="n">
        <f t="shared" si="106"/>
        <v>0</v>
      </c>
      <c r="S155" t="e">
        <f t="shared" si="107"/>
        <v>#N/A</v>
      </c>
      <c r="T155" t="e">
        <f t="shared" si="108"/>
        <v>#N/A</v>
      </c>
      <c r="U155" t="e">
        <f t="shared" si="109"/>
        <v>#N/A</v>
      </c>
      <c r="V155" t="e">
        <f t="shared" si="110"/>
        <v>#N/A</v>
      </c>
      <c r="W155" t="e">
        <f t="shared" si="111"/>
        <v>#N/A</v>
      </c>
      <c r="X155" t="e">
        <f t="shared" si="112"/>
        <v>#N/A</v>
      </c>
      <c r="Y155" t="e">
        <f t="shared" si="113"/>
        <v>#N/A</v>
      </c>
      <c r="Z155" t="e">
        <f t="shared" si="114"/>
        <v>#N/A</v>
      </c>
      <c r="AA155" t="e">
        <f t="shared" si="115"/>
        <v>#N/A</v>
      </c>
      <c r="AB155" t="e">
        <f t="shared" si="116"/>
        <v>#N/A</v>
      </c>
      <c r="AC155" t="e">
        <f t="shared" si="117"/>
        <v>#N/A</v>
      </c>
      <c r="AD155" t="e">
        <f t="shared" si="118"/>
        <v>#N/A</v>
      </c>
      <c r="AE155" t="e">
        <f t="shared" si="119"/>
        <v>#N/A</v>
      </c>
      <c r="AF155" t="e">
        <f t="shared" si="120"/>
        <v>#N/A</v>
      </c>
      <c r="AG155" t="e">
        <f t="shared" si="121"/>
        <v>#N/A</v>
      </c>
      <c r="AH155" t="e">
        <f t="shared" si="122"/>
        <v>#N/A</v>
      </c>
      <c r="AI155" t="e">
        <f t="shared" si="123"/>
        <v>#N/A</v>
      </c>
      <c r="AJ155" t="e">
        <f t="shared" si="124"/>
        <v>#N/A</v>
      </c>
    </row>
    <row r="156">
      <c r="A156" s="2"/>
      <c r="L156" t="e">
        <f t="shared" si="100"/>
        <v>#N/A</v>
      </c>
      <c r="M156" t="e">
        <f t="shared" si="101"/>
        <v>#N/A</v>
      </c>
      <c r="N156" t="e">
        <f t="shared" si="102"/>
        <v>#N/A</v>
      </c>
      <c r="O156" t="n">
        <f t="shared" si="103"/>
        <v>0</v>
      </c>
      <c r="P156" t="n">
        <f t="shared" si="104"/>
        <v>0</v>
      </c>
      <c r="Q156" t="n">
        <f t="shared" si="105"/>
        <v>0</v>
      </c>
      <c r="R156" t="n">
        <f t="shared" si="106"/>
        <v>0</v>
      </c>
      <c r="S156" t="e">
        <f t="shared" si="107"/>
        <v>#N/A</v>
      </c>
      <c r="T156" t="e">
        <f t="shared" si="108"/>
        <v>#N/A</v>
      </c>
      <c r="U156" t="e">
        <f t="shared" si="109"/>
        <v>#N/A</v>
      </c>
      <c r="V156" t="e">
        <f t="shared" si="110"/>
        <v>#N/A</v>
      </c>
      <c r="W156" t="e">
        <f t="shared" si="111"/>
        <v>#N/A</v>
      </c>
      <c r="X156" t="e">
        <f t="shared" si="112"/>
        <v>#N/A</v>
      </c>
      <c r="Y156" t="e">
        <f t="shared" si="113"/>
        <v>#N/A</v>
      </c>
      <c r="Z156" t="e">
        <f t="shared" si="114"/>
        <v>#N/A</v>
      </c>
      <c r="AA156" t="e">
        <f t="shared" si="115"/>
        <v>#N/A</v>
      </c>
      <c r="AB156" t="e">
        <f t="shared" si="116"/>
        <v>#N/A</v>
      </c>
      <c r="AC156" t="e">
        <f t="shared" si="117"/>
        <v>#N/A</v>
      </c>
      <c r="AD156" t="e">
        <f t="shared" si="118"/>
        <v>#N/A</v>
      </c>
      <c r="AE156" t="e">
        <f t="shared" si="119"/>
        <v>#N/A</v>
      </c>
      <c r="AF156" t="e">
        <f t="shared" si="120"/>
        <v>#N/A</v>
      </c>
      <c r="AG156" t="e">
        <f t="shared" si="121"/>
        <v>#N/A</v>
      </c>
      <c r="AH156" t="e">
        <f t="shared" si="122"/>
        <v>#N/A</v>
      </c>
      <c r="AI156" t="e">
        <f t="shared" si="123"/>
        <v>#N/A</v>
      </c>
      <c r="AJ156" t="e">
        <f t="shared" si="124"/>
        <v>#N/A</v>
      </c>
    </row>
    <row r="157">
      <c r="A157" s="2"/>
      <c r="L157" t="e">
        <f t="shared" si="100"/>
        <v>#N/A</v>
      </c>
      <c r="M157" t="e">
        <f t="shared" si="101"/>
        <v>#N/A</v>
      </c>
      <c r="N157" t="e">
        <f t="shared" si="102"/>
        <v>#N/A</v>
      </c>
      <c r="O157" t="n">
        <f t="shared" si="103"/>
        <v>0</v>
      </c>
      <c r="P157" t="n">
        <f t="shared" si="104"/>
        <v>0</v>
      </c>
      <c r="Q157" t="n">
        <f t="shared" si="105"/>
        <v>0</v>
      </c>
      <c r="R157" t="n">
        <f t="shared" si="106"/>
        <v>0</v>
      </c>
      <c r="S157" t="e">
        <f t="shared" si="107"/>
        <v>#N/A</v>
      </c>
      <c r="T157" t="e">
        <f t="shared" si="108"/>
        <v>#N/A</v>
      </c>
      <c r="U157" t="e">
        <f t="shared" si="109"/>
        <v>#N/A</v>
      </c>
      <c r="V157" t="e">
        <f t="shared" si="110"/>
        <v>#N/A</v>
      </c>
      <c r="W157" t="e">
        <f t="shared" si="111"/>
        <v>#N/A</v>
      </c>
      <c r="X157" t="e">
        <f t="shared" si="112"/>
        <v>#N/A</v>
      </c>
      <c r="Y157" t="e">
        <f t="shared" si="113"/>
        <v>#N/A</v>
      </c>
      <c r="Z157" t="e">
        <f t="shared" si="114"/>
        <v>#N/A</v>
      </c>
      <c r="AA157" t="e">
        <f t="shared" si="115"/>
        <v>#N/A</v>
      </c>
      <c r="AB157" t="e">
        <f t="shared" si="116"/>
        <v>#N/A</v>
      </c>
      <c r="AC157" t="e">
        <f t="shared" si="117"/>
        <v>#N/A</v>
      </c>
      <c r="AD157" t="e">
        <f t="shared" si="118"/>
        <v>#N/A</v>
      </c>
      <c r="AE157" t="e">
        <f t="shared" si="119"/>
        <v>#N/A</v>
      </c>
      <c r="AF157" t="e">
        <f t="shared" si="120"/>
        <v>#N/A</v>
      </c>
      <c r="AG157" t="e">
        <f t="shared" si="121"/>
        <v>#N/A</v>
      </c>
      <c r="AH157" t="e">
        <f t="shared" si="122"/>
        <v>#N/A</v>
      </c>
      <c r="AI157" t="e">
        <f t="shared" si="123"/>
        <v>#N/A</v>
      </c>
      <c r="AJ157" t="e">
        <f t="shared" si="124"/>
        <v>#N/A</v>
      </c>
    </row>
    <row r="158">
      <c r="A158" s="2"/>
      <c r="L158" t="e">
        <f t="shared" si="100"/>
        <v>#N/A</v>
      </c>
      <c r="M158" t="e">
        <f t="shared" si="101"/>
        <v>#N/A</v>
      </c>
      <c r="N158" t="e">
        <f t="shared" si="102"/>
        <v>#N/A</v>
      </c>
      <c r="O158" t="n">
        <f t="shared" si="103"/>
        <v>0</v>
      </c>
      <c r="P158" t="n">
        <f t="shared" si="104"/>
        <v>0</v>
      </c>
      <c r="Q158" t="n">
        <f t="shared" si="105"/>
        <v>0</v>
      </c>
      <c r="R158" t="n">
        <f t="shared" si="106"/>
        <v>0</v>
      </c>
      <c r="S158" t="e">
        <f t="shared" si="107"/>
        <v>#N/A</v>
      </c>
      <c r="T158" t="e">
        <f t="shared" si="108"/>
        <v>#N/A</v>
      </c>
      <c r="U158" t="e">
        <f t="shared" si="109"/>
        <v>#N/A</v>
      </c>
      <c r="V158" t="e">
        <f t="shared" si="110"/>
        <v>#N/A</v>
      </c>
      <c r="W158" t="e">
        <f t="shared" si="111"/>
        <v>#N/A</v>
      </c>
      <c r="X158" t="e">
        <f t="shared" si="112"/>
        <v>#N/A</v>
      </c>
      <c r="Y158" t="e">
        <f t="shared" si="113"/>
        <v>#N/A</v>
      </c>
      <c r="Z158" t="e">
        <f t="shared" si="114"/>
        <v>#N/A</v>
      </c>
      <c r="AA158" t="e">
        <f t="shared" si="115"/>
        <v>#N/A</v>
      </c>
      <c r="AB158" t="e">
        <f t="shared" si="116"/>
        <v>#N/A</v>
      </c>
      <c r="AC158" t="e">
        <f t="shared" si="117"/>
        <v>#N/A</v>
      </c>
      <c r="AD158" t="e">
        <f t="shared" si="118"/>
        <v>#N/A</v>
      </c>
      <c r="AE158" t="e">
        <f t="shared" si="119"/>
        <v>#N/A</v>
      </c>
      <c r="AF158" t="e">
        <f t="shared" si="120"/>
        <v>#N/A</v>
      </c>
      <c r="AG158" t="e">
        <f t="shared" si="121"/>
        <v>#N/A</v>
      </c>
      <c r="AH158" t="e">
        <f t="shared" si="122"/>
        <v>#N/A</v>
      </c>
      <c r="AI158" t="e">
        <f t="shared" si="123"/>
        <v>#N/A</v>
      </c>
      <c r="AJ158" t="e">
        <f t="shared" si="124"/>
        <v>#N/A</v>
      </c>
    </row>
    <row r="159">
      <c r="A159" s="2"/>
      <c r="L159" t="e">
        <f t="shared" si="100"/>
        <v>#N/A</v>
      </c>
      <c r="M159" t="e">
        <f t="shared" si="101"/>
        <v>#N/A</v>
      </c>
      <c r="N159" t="e">
        <f t="shared" si="102"/>
        <v>#N/A</v>
      </c>
      <c r="O159" t="n">
        <f t="shared" si="103"/>
        <v>0</v>
      </c>
      <c r="P159" t="n">
        <f t="shared" si="104"/>
        <v>0</v>
      </c>
      <c r="Q159" t="n">
        <f t="shared" si="105"/>
        <v>0</v>
      </c>
      <c r="R159" t="n">
        <f t="shared" si="106"/>
        <v>0</v>
      </c>
      <c r="S159" t="e">
        <f t="shared" si="107"/>
        <v>#N/A</v>
      </c>
      <c r="T159" t="e">
        <f t="shared" si="108"/>
        <v>#N/A</v>
      </c>
      <c r="U159" t="e">
        <f t="shared" si="109"/>
        <v>#N/A</v>
      </c>
      <c r="V159" t="e">
        <f t="shared" si="110"/>
        <v>#N/A</v>
      </c>
      <c r="W159" t="e">
        <f t="shared" si="111"/>
        <v>#N/A</v>
      </c>
      <c r="X159" t="e">
        <f t="shared" si="112"/>
        <v>#N/A</v>
      </c>
      <c r="Y159" t="e">
        <f t="shared" si="113"/>
        <v>#N/A</v>
      </c>
      <c r="Z159" t="e">
        <f t="shared" si="114"/>
        <v>#N/A</v>
      </c>
      <c r="AA159" t="e">
        <f t="shared" si="115"/>
        <v>#N/A</v>
      </c>
      <c r="AB159" t="e">
        <f t="shared" si="116"/>
        <v>#N/A</v>
      </c>
      <c r="AC159" t="e">
        <f t="shared" si="117"/>
        <v>#N/A</v>
      </c>
      <c r="AD159" t="e">
        <f t="shared" si="118"/>
        <v>#N/A</v>
      </c>
      <c r="AE159" t="e">
        <f t="shared" si="119"/>
        <v>#N/A</v>
      </c>
      <c r="AF159" t="e">
        <f t="shared" si="120"/>
        <v>#N/A</v>
      </c>
      <c r="AG159" t="e">
        <f t="shared" si="121"/>
        <v>#N/A</v>
      </c>
      <c r="AH159" t="e">
        <f t="shared" si="122"/>
        <v>#N/A</v>
      </c>
      <c r="AI159" t="e">
        <f t="shared" si="123"/>
        <v>#N/A</v>
      </c>
      <c r="AJ159" t="e">
        <f t="shared" si="124"/>
        <v>#N/A</v>
      </c>
    </row>
    <row r="160">
      <c r="A160" s="2"/>
      <c r="L160" t="e">
        <f t="shared" si="100"/>
        <v>#N/A</v>
      </c>
      <c r="M160" t="e">
        <f t="shared" si="101"/>
        <v>#N/A</v>
      </c>
      <c r="N160" t="e">
        <f t="shared" si="102"/>
        <v>#N/A</v>
      </c>
      <c r="O160" t="n">
        <f t="shared" si="103"/>
        <v>0</v>
      </c>
      <c r="P160" t="n">
        <f t="shared" si="104"/>
        <v>0</v>
      </c>
      <c r="Q160" t="n">
        <f t="shared" si="105"/>
        <v>0</v>
      </c>
      <c r="R160" t="n">
        <f t="shared" si="106"/>
        <v>0</v>
      </c>
      <c r="S160" t="e">
        <f t="shared" si="107"/>
        <v>#N/A</v>
      </c>
      <c r="T160" t="e">
        <f t="shared" si="108"/>
        <v>#N/A</v>
      </c>
      <c r="U160" t="e">
        <f t="shared" si="109"/>
        <v>#N/A</v>
      </c>
      <c r="V160" t="e">
        <f t="shared" si="110"/>
        <v>#N/A</v>
      </c>
      <c r="W160" t="e">
        <f t="shared" si="111"/>
        <v>#N/A</v>
      </c>
      <c r="X160" t="e">
        <f t="shared" si="112"/>
        <v>#N/A</v>
      </c>
      <c r="Y160" t="e">
        <f t="shared" si="113"/>
        <v>#N/A</v>
      </c>
      <c r="Z160" t="e">
        <f t="shared" si="114"/>
        <v>#N/A</v>
      </c>
      <c r="AA160" t="e">
        <f t="shared" si="115"/>
        <v>#N/A</v>
      </c>
      <c r="AB160" t="e">
        <f t="shared" si="116"/>
        <v>#N/A</v>
      </c>
      <c r="AC160" t="e">
        <f t="shared" si="117"/>
        <v>#N/A</v>
      </c>
      <c r="AD160" t="e">
        <f t="shared" si="118"/>
        <v>#N/A</v>
      </c>
      <c r="AE160" t="e">
        <f t="shared" si="119"/>
        <v>#N/A</v>
      </c>
      <c r="AF160" t="e">
        <f t="shared" si="120"/>
        <v>#N/A</v>
      </c>
      <c r="AG160" t="e">
        <f t="shared" si="121"/>
        <v>#N/A</v>
      </c>
      <c r="AH160" t="e">
        <f t="shared" si="122"/>
        <v>#N/A</v>
      </c>
      <c r="AI160" t="e">
        <f t="shared" si="123"/>
        <v>#N/A</v>
      </c>
      <c r="AJ160" t="e">
        <f t="shared" si="124"/>
        <v>#N/A</v>
      </c>
    </row>
    <row r="161">
      <c r="A161" s="2"/>
      <c r="L161" t="e">
        <f t="shared" si="100"/>
        <v>#N/A</v>
      </c>
      <c r="M161" t="e">
        <f t="shared" si="101"/>
        <v>#N/A</v>
      </c>
      <c r="N161" t="e">
        <f t="shared" si="102"/>
        <v>#N/A</v>
      </c>
      <c r="O161" t="n">
        <f t="shared" si="103"/>
        <v>0</v>
      </c>
      <c r="P161" t="n">
        <f t="shared" si="104"/>
        <v>0</v>
      </c>
      <c r="Q161" t="n">
        <f t="shared" si="105"/>
        <v>0</v>
      </c>
      <c r="R161" t="n">
        <f t="shared" si="106"/>
        <v>0</v>
      </c>
      <c r="S161" t="e">
        <f t="shared" si="107"/>
        <v>#N/A</v>
      </c>
      <c r="T161" t="e">
        <f t="shared" si="108"/>
        <v>#N/A</v>
      </c>
      <c r="U161" t="e">
        <f t="shared" si="109"/>
        <v>#N/A</v>
      </c>
      <c r="V161" t="e">
        <f t="shared" si="110"/>
        <v>#N/A</v>
      </c>
      <c r="W161" t="e">
        <f t="shared" si="111"/>
        <v>#N/A</v>
      </c>
      <c r="X161" t="e">
        <f t="shared" si="112"/>
        <v>#N/A</v>
      </c>
      <c r="Y161" t="e">
        <f t="shared" si="113"/>
        <v>#N/A</v>
      </c>
      <c r="Z161" t="e">
        <f t="shared" si="114"/>
        <v>#N/A</v>
      </c>
      <c r="AA161" t="e">
        <f t="shared" si="115"/>
        <v>#N/A</v>
      </c>
      <c r="AB161" t="e">
        <f t="shared" si="116"/>
        <v>#N/A</v>
      </c>
      <c r="AC161" t="e">
        <f t="shared" si="117"/>
        <v>#N/A</v>
      </c>
      <c r="AD161" t="e">
        <f t="shared" si="118"/>
        <v>#N/A</v>
      </c>
      <c r="AE161" t="e">
        <f t="shared" si="119"/>
        <v>#N/A</v>
      </c>
      <c r="AF161" t="e">
        <f t="shared" si="120"/>
        <v>#N/A</v>
      </c>
      <c r="AG161" t="e">
        <f t="shared" si="121"/>
        <v>#N/A</v>
      </c>
      <c r="AH161" t="e">
        <f t="shared" si="122"/>
        <v>#N/A</v>
      </c>
      <c r="AI161" t="e">
        <f t="shared" si="123"/>
        <v>#N/A</v>
      </c>
      <c r="AJ161" t="e">
        <f t="shared" si="124"/>
        <v>#N/A</v>
      </c>
    </row>
    <row r="162">
      <c r="A162" s="2"/>
      <c r="L162" t="e">
        <f t="shared" ref="L162:L193" si="125">IF(ROW()&lt;=5,NA(),IFERROR(100*(B162/INDEX(B:B,ROW()-4)-1),NA()))</f>
        <v>#N/A</v>
      </c>
      <c r="M162" t="e">
        <f t="shared" ref="M162:M193" si="126">IF(ROW()&lt;=5,NA(),IFERROR(100*(C162/INDEX(C:C,ROW()-4)-1),NA()))</f>
        <v>#N/A</v>
      </c>
      <c r="N162" t="e">
        <f t="shared" ref="N162:N193" si="127">IF(ROW()&lt;=5,NA(),IFERROR(100*(D162/INDEX(D:D,ROW()-4)-1),NA()))</f>
        <v>#N/A</v>
      </c>
      <c r="O162" t="n">
        <f t="shared" ref="O162:O193" si="128">100*G162</f>
        <v>0</v>
      </c>
      <c r="P162" t="n">
        <f t="shared" ref="P162:P193" si="129">100*H162</f>
        <v>0</v>
      </c>
      <c r="Q162" t="n">
        <f t="shared" ref="Q162:Q193" si="130">100*I162</f>
        <v>0</v>
      </c>
      <c r="R162" t="n">
        <f t="shared" ref="R162:R193" si="131">100*J162</f>
        <v>0</v>
      </c>
      <c r="S162" t="e">
        <f t="shared" ref="S162:S193" si="132">IFERROR(100*E162/INDEX(E:E,MATCH(DATE(2024,12,1),A:A,0)),NA())</f>
        <v>#N/A</v>
      </c>
      <c r="T162" t="e">
        <f t="shared" ref="T162:T193" si="133">IFERROR(100*F162/INDEX(F:F,MATCH(DATE(2024,12,1),A:A,0)),NA())</f>
        <v>#N/A</v>
      </c>
      <c r="U162" t="e">
        <f t="shared" ref="U162:U193" si="134">IF($K162="Actual",L162,NA())</f>
        <v>#N/A</v>
      </c>
      <c r="V162" t="e">
        <f t="shared" ref="V162:V193" si="135">IF($A162&gt;=DATE(2024,12,1),L162,NA())</f>
        <v>#N/A</v>
      </c>
      <c r="W162" t="e">
        <f t="shared" ref="W162:W193" si="136">IF($K162="Actual",M162,NA())</f>
        <v>#N/A</v>
      </c>
      <c r="X162" t="e">
        <f t="shared" ref="X162:X193" si="137">IF($A162&gt;=DATE(2024,12,1),M162,NA())</f>
        <v>#N/A</v>
      </c>
      <c r="Y162" t="e">
        <f t="shared" ref="Y162:Y193" si="138">IF($K162="Actual",S162,NA())</f>
        <v>#N/A</v>
      </c>
      <c r="Z162" t="e">
        <f t="shared" ref="Z162:Z193" si="139">IF($A162&gt;=DATE(2024,12,1),S162,NA())</f>
        <v>#N/A</v>
      </c>
      <c r="AA162" t="e">
        <f t="shared" ref="AA162:AA193" si="140">IF($K162="Actual",T162,NA())</f>
        <v>#N/A</v>
      </c>
      <c r="AB162" t="e">
        <f t="shared" ref="AB162:AB193" si="141">IF($A162&gt;=DATE(2024,12,1),T162,NA())</f>
        <v>#N/A</v>
      </c>
      <c r="AC162" t="e">
        <f t="shared" ref="AC162:AC193" si="142">IF($K162="Actual",O162,NA())</f>
        <v>#N/A</v>
      </c>
      <c r="AD162" t="e">
        <f t="shared" ref="AD162:AD193" si="143">IF($A162&gt;=DATE(2024,12,1),O162,NA())</f>
        <v>#N/A</v>
      </c>
      <c r="AE162" t="e">
        <f t="shared" ref="AE162:AE193" si="144">IF($K162="Actual",Q162,NA())</f>
        <v>#N/A</v>
      </c>
      <c r="AF162" t="e">
        <f t="shared" ref="AF162:AF193" si="145">IF($A162&gt;=DATE(2024,12,1),Q162,NA())</f>
        <v>#N/A</v>
      </c>
      <c r="AG162" t="e">
        <f t="shared" ref="AG162:AG193" si="146">IF($K162="Actual",R162,NA())</f>
        <v>#N/A</v>
      </c>
      <c r="AH162" t="e">
        <f t="shared" ref="AH162:AH193" si="147">IF($A162&gt;=DATE(2024,12,1),R162,NA())</f>
        <v>#N/A</v>
      </c>
      <c r="AI162" t="e">
        <f t="shared" ref="AI162:AI193" si="148">IF($K162="Actual",N162,NA())</f>
        <v>#N/A</v>
      </c>
      <c r="AJ162" t="e">
        <f t="shared" ref="AJ162:AJ193" si="149">IF($A162&gt;=DATE(2024,12,1),N162,NA())</f>
        <v>#N/A</v>
      </c>
    </row>
    <row r="163">
      <c r="A163" s="2"/>
      <c r="L163" t="e">
        <f t="shared" si="125"/>
        <v>#N/A</v>
      </c>
      <c r="M163" t="e">
        <f t="shared" si="126"/>
        <v>#N/A</v>
      </c>
      <c r="N163" t="e">
        <f t="shared" si="127"/>
        <v>#N/A</v>
      </c>
      <c r="O163" t="n">
        <f t="shared" si="128"/>
        <v>0</v>
      </c>
      <c r="P163" t="n">
        <f t="shared" si="129"/>
        <v>0</v>
      </c>
      <c r="Q163" t="n">
        <f t="shared" si="130"/>
        <v>0</v>
      </c>
      <c r="R163" t="n">
        <f t="shared" si="131"/>
        <v>0</v>
      </c>
      <c r="S163" t="e">
        <f t="shared" si="132"/>
        <v>#N/A</v>
      </c>
      <c r="T163" t="e">
        <f t="shared" si="133"/>
        <v>#N/A</v>
      </c>
      <c r="U163" t="e">
        <f t="shared" si="134"/>
        <v>#N/A</v>
      </c>
      <c r="V163" t="e">
        <f t="shared" si="135"/>
        <v>#N/A</v>
      </c>
      <c r="W163" t="e">
        <f t="shared" si="136"/>
        <v>#N/A</v>
      </c>
      <c r="X163" t="e">
        <f t="shared" si="137"/>
        <v>#N/A</v>
      </c>
      <c r="Y163" t="e">
        <f t="shared" si="138"/>
        <v>#N/A</v>
      </c>
      <c r="Z163" t="e">
        <f t="shared" si="139"/>
        <v>#N/A</v>
      </c>
      <c r="AA163" t="e">
        <f t="shared" si="140"/>
        <v>#N/A</v>
      </c>
      <c r="AB163" t="e">
        <f t="shared" si="141"/>
        <v>#N/A</v>
      </c>
      <c r="AC163" t="e">
        <f t="shared" si="142"/>
        <v>#N/A</v>
      </c>
      <c r="AD163" t="e">
        <f t="shared" si="143"/>
        <v>#N/A</v>
      </c>
      <c r="AE163" t="e">
        <f t="shared" si="144"/>
        <v>#N/A</v>
      </c>
      <c r="AF163" t="e">
        <f t="shared" si="145"/>
        <v>#N/A</v>
      </c>
      <c r="AG163" t="e">
        <f t="shared" si="146"/>
        <v>#N/A</v>
      </c>
      <c r="AH163" t="e">
        <f t="shared" si="147"/>
        <v>#N/A</v>
      </c>
      <c r="AI163" t="e">
        <f t="shared" si="148"/>
        <v>#N/A</v>
      </c>
      <c r="AJ163" t="e">
        <f t="shared" si="149"/>
        <v>#N/A</v>
      </c>
    </row>
    <row r="164">
      <c r="A164" s="2"/>
      <c r="L164" t="e">
        <f t="shared" si="125"/>
        <v>#N/A</v>
      </c>
      <c r="M164" t="e">
        <f t="shared" si="126"/>
        <v>#N/A</v>
      </c>
      <c r="N164" t="e">
        <f t="shared" si="127"/>
        <v>#N/A</v>
      </c>
      <c r="O164" t="n">
        <f t="shared" si="128"/>
        <v>0</v>
      </c>
      <c r="P164" t="n">
        <f t="shared" si="129"/>
        <v>0</v>
      </c>
      <c r="Q164" t="n">
        <f t="shared" si="130"/>
        <v>0</v>
      </c>
      <c r="R164" t="n">
        <f t="shared" si="131"/>
        <v>0</v>
      </c>
      <c r="S164" t="e">
        <f t="shared" si="132"/>
        <v>#N/A</v>
      </c>
      <c r="T164" t="e">
        <f t="shared" si="133"/>
        <v>#N/A</v>
      </c>
      <c r="U164" t="e">
        <f t="shared" si="134"/>
        <v>#N/A</v>
      </c>
      <c r="V164" t="e">
        <f t="shared" si="135"/>
        <v>#N/A</v>
      </c>
      <c r="W164" t="e">
        <f t="shared" si="136"/>
        <v>#N/A</v>
      </c>
      <c r="X164" t="e">
        <f t="shared" si="137"/>
        <v>#N/A</v>
      </c>
      <c r="Y164" t="e">
        <f t="shared" si="138"/>
        <v>#N/A</v>
      </c>
      <c r="Z164" t="e">
        <f t="shared" si="139"/>
        <v>#N/A</v>
      </c>
      <c r="AA164" t="e">
        <f t="shared" si="140"/>
        <v>#N/A</v>
      </c>
      <c r="AB164" t="e">
        <f t="shared" si="141"/>
        <v>#N/A</v>
      </c>
      <c r="AC164" t="e">
        <f t="shared" si="142"/>
        <v>#N/A</v>
      </c>
      <c r="AD164" t="e">
        <f t="shared" si="143"/>
        <v>#N/A</v>
      </c>
      <c r="AE164" t="e">
        <f t="shared" si="144"/>
        <v>#N/A</v>
      </c>
      <c r="AF164" t="e">
        <f t="shared" si="145"/>
        <v>#N/A</v>
      </c>
      <c r="AG164" t="e">
        <f t="shared" si="146"/>
        <v>#N/A</v>
      </c>
      <c r="AH164" t="e">
        <f t="shared" si="147"/>
        <v>#N/A</v>
      </c>
      <c r="AI164" t="e">
        <f t="shared" si="148"/>
        <v>#N/A</v>
      </c>
      <c r="AJ164" t="e">
        <f t="shared" si="149"/>
        <v>#N/A</v>
      </c>
    </row>
    <row r="165">
      <c r="A165" s="2"/>
      <c r="L165" t="e">
        <f t="shared" si="125"/>
        <v>#N/A</v>
      </c>
      <c r="M165" t="e">
        <f t="shared" si="126"/>
        <v>#N/A</v>
      </c>
      <c r="N165" t="e">
        <f t="shared" si="127"/>
        <v>#N/A</v>
      </c>
      <c r="O165" t="n">
        <f t="shared" si="128"/>
        <v>0</v>
      </c>
      <c r="P165" t="n">
        <f t="shared" si="129"/>
        <v>0</v>
      </c>
      <c r="Q165" t="n">
        <f t="shared" si="130"/>
        <v>0</v>
      </c>
      <c r="R165" t="n">
        <f t="shared" si="131"/>
        <v>0</v>
      </c>
      <c r="S165" t="e">
        <f t="shared" si="132"/>
        <v>#N/A</v>
      </c>
      <c r="T165" t="e">
        <f t="shared" si="133"/>
        <v>#N/A</v>
      </c>
      <c r="U165" t="e">
        <f t="shared" si="134"/>
        <v>#N/A</v>
      </c>
      <c r="V165" t="e">
        <f t="shared" si="135"/>
        <v>#N/A</v>
      </c>
      <c r="W165" t="e">
        <f t="shared" si="136"/>
        <v>#N/A</v>
      </c>
      <c r="X165" t="e">
        <f t="shared" si="137"/>
        <v>#N/A</v>
      </c>
      <c r="Y165" t="e">
        <f t="shared" si="138"/>
        <v>#N/A</v>
      </c>
      <c r="Z165" t="e">
        <f t="shared" si="139"/>
        <v>#N/A</v>
      </c>
      <c r="AA165" t="e">
        <f t="shared" si="140"/>
        <v>#N/A</v>
      </c>
      <c r="AB165" t="e">
        <f t="shared" si="141"/>
        <v>#N/A</v>
      </c>
      <c r="AC165" t="e">
        <f t="shared" si="142"/>
        <v>#N/A</v>
      </c>
      <c r="AD165" t="e">
        <f t="shared" si="143"/>
        <v>#N/A</v>
      </c>
      <c r="AE165" t="e">
        <f t="shared" si="144"/>
        <v>#N/A</v>
      </c>
      <c r="AF165" t="e">
        <f t="shared" si="145"/>
        <v>#N/A</v>
      </c>
      <c r="AG165" t="e">
        <f t="shared" si="146"/>
        <v>#N/A</v>
      </c>
      <c r="AH165" t="e">
        <f t="shared" si="147"/>
        <v>#N/A</v>
      </c>
      <c r="AI165" t="e">
        <f t="shared" si="148"/>
        <v>#N/A</v>
      </c>
      <c r="AJ165" t="e">
        <f t="shared" si="149"/>
        <v>#N/A</v>
      </c>
    </row>
    <row r="166">
      <c r="A166" s="2"/>
      <c r="L166" t="e">
        <f t="shared" si="125"/>
        <v>#N/A</v>
      </c>
      <c r="M166" t="e">
        <f t="shared" si="126"/>
        <v>#N/A</v>
      </c>
      <c r="N166" t="e">
        <f t="shared" si="127"/>
        <v>#N/A</v>
      </c>
      <c r="O166" t="n">
        <f t="shared" si="128"/>
        <v>0</v>
      </c>
      <c r="P166" t="n">
        <f t="shared" si="129"/>
        <v>0</v>
      </c>
      <c r="Q166" t="n">
        <f t="shared" si="130"/>
        <v>0</v>
      </c>
      <c r="R166" t="n">
        <f t="shared" si="131"/>
        <v>0</v>
      </c>
      <c r="S166" t="e">
        <f t="shared" si="132"/>
        <v>#N/A</v>
      </c>
      <c r="T166" t="e">
        <f t="shared" si="133"/>
        <v>#N/A</v>
      </c>
      <c r="U166" t="e">
        <f t="shared" si="134"/>
        <v>#N/A</v>
      </c>
      <c r="V166" t="e">
        <f t="shared" si="135"/>
        <v>#N/A</v>
      </c>
      <c r="W166" t="e">
        <f t="shared" si="136"/>
        <v>#N/A</v>
      </c>
      <c r="X166" t="e">
        <f t="shared" si="137"/>
        <v>#N/A</v>
      </c>
      <c r="Y166" t="e">
        <f t="shared" si="138"/>
        <v>#N/A</v>
      </c>
      <c r="Z166" t="e">
        <f t="shared" si="139"/>
        <v>#N/A</v>
      </c>
      <c r="AA166" t="e">
        <f t="shared" si="140"/>
        <v>#N/A</v>
      </c>
      <c r="AB166" t="e">
        <f t="shared" si="141"/>
        <v>#N/A</v>
      </c>
      <c r="AC166" t="e">
        <f t="shared" si="142"/>
        <v>#N/A</v>
      </c>
      <c r="AD166" t="e">
        <f t="shared" si="143"/>
        <v>#N/A</v>
      </c>
      <c r="AE166" t="e">
        <f t="shared" si="144"/>
        <v>#N/A</v>
      </c>
      <c r="AF166" t="e">
        <f t="shared" si="145"/>
        <v>#N/A</v>
      </c>
      <c r="AG166" t="e">
        <f t="shared" si="146"/>
        <v>#N/A</v>
      </c>
      <c r="AH166" t="e">
        <f t="shared" si="147"/>
        <v>#N/A</v>
      </c>
      <c r="AI166" t="e">
        <f t="shared" si="148"/>
        <v>#N/A</v>
      </c>
      <c r="AJ166" t="e">
        <f t="shared" si="149"/>
        <v>#N/A</v>
      </c>
    </row>
    <row r="167">
      <c r="A167" s="2"/>
      <c r="L167" t="e">
        <f t="shared" si="125"/>
        <v>#N/A</v>
      </c>
      <c r="M167" t="e">
        <f t="shared" si="126"/>
        <v>#N/A</v>
      </c>
      <c r="N167" t="e">
        <f t="shared" si="127"/>
        <v>#N/A</v>
      </c>
      <c r="O167" t="n">
        <f t="shared" si="128"/>
        <v>0</v>
      </c>
      <c r="P167" t="n">
        <f t="shared" si="129"/>
        <v>0</v>
      </c>
      <c r="Q167" t="n">
        <f t="shared" si="130"/>
        <v>0</v>
      </c>
      <c r="R167" t="n">
        <f t="shared" si="131"/>
        <v>0</v>
      </c>
      <c r="S167" t="e">
        <f t="shared" si="132"/>
        <v>#N/A</v>
      </c>
      <c r="T167" t="e">
        <f t="shared" si="133"/>
        <v>#N/A</v>
      </c>
      <c r="U167" t="e">
        <f t="shared" si="134"/>
        <v>#N/A</v>
      </c>
      <c r="V167" t="e">
        <f t="shared" si="135"/>
        <v>#N/A</v>
      </c>
      <c r="W167" t="e">
        <f t="shared" si="136"/>
        <v>#N/A</v>
      </c>
      <c r="X167" t="e">
        <f t="shared" si="137"/>
        <v>#N/A</v>
      </c>
      <c r="Y167" t="e">
        <f t="shared" si="138"/>
        <v>#N/A</v>
      </c>
      <c r="Z167" t="e">
        <f t="shared" si="139"/>
        <v>#N/A</v>
      </c>
      <c r="AA167" t="e">
        <f t="shared" si="140"/>
        <v>#N/A</v>
      </c>
      <c r="AB167" t="e">
        <f t="shared" si="141"/>
        <v>#N/A</v>
      </c>
      <c r="AC167" t="e">
        <f t="shared" si="142"/>
        <v>#N/A</v>
      </c>
      <c r="AD167" t="e">
        <f t="shared" si="143"/>
        <v>#N/A</v>
      </c>
      <c r="AE167" t="e">
        <f t="shared" si="144"/>
        <v>#N/A</v>
      </c>
      <c r="AF167" t="e">
        <f t="shared" si="145"/>
        <v>#N/A</v>
      </c>
      <c r="AG167" t="e">
        <f t="shared" si="146"/>
        <v>#N/A</v>
      </c>
      <c r="AH167" t="e">
        <f t="shared" si="147"/>
        <v>#N/A</v>
      </c>
      <c r="AI167" t="e">
        <f t="shared" si="148"/>
        <v>#N/A</v>
      </c>
      <c r="AJ167" t="e">
        <f t="shared" si="149"/>
        <v>#N/A</v>
      </c>
    </row>
    <row r="168">
      <c r="A168" s="2"/>
      <c r="L168" t="e">
        <f t="shared" si="125"/>
        <v>#N/A</v>
      </c>
      <c r="M168" t="e">
        <f t="shared" si="126"/>
        <v>#N/A</v>
      </c>
      <c r="N168" t="e">
        <f t="shared" si="127"/>
        <v>#N/A</v>
      </c>
      <c r="O168" t="n">
        <f t="shared" si="128"/>
        <v>0</v>
      </c>
      <c r="P168" t="n">
        <f t="shared" si="129"/>
        <v>0</v>
      </c>
      <c r="Q168" t="n">
        <f t="shared" si="130"/>
        <v>0</v>
      </c>
      <c r="R168" t="n">
        <f t="shared" si="131"/>
        <v>0</v>
      </c>
      <c r="S168" t="e">
        <f t="shared" si="132"/>
        <v>#N/A</v>
      </c>
      <c r="T168" t="e">
        <f t="shared" si="133"/>
        <v>#N/A</v>
      </c>
      <c r="U168" t="e">
        <f t="shared" si="134"/>
        <v>#N/A</v>
      </c>
      <c r="V168" t="e">
        <f t="shared" si="135"/>
        <v>#N/A</v>
      </c>
      <c r="W168" t="e">
        <f t="shared" si="136"/>
        <v>#N/A</v>
      </c>
      <c r="X168" t="e">
        <f t="shared" si="137"/>
        <v>#N/A</v>
      </c>
      <c r="Y168" t="e">
        <f t="shared" si="138"/>
        <v>#N/A</v>
      </c>
      <c r="Z168" t="e">
        <f t="shared" si="139"/>
        <v>#N/A</v>
      </c>
      <c r="AA168" t="e">
        <f t="shared" si="140"/>
        <v>#N/A</v>
      </c>
      <c r="AB168" t="e">
        <f t="shared" si="141"/>
        <v>#N/A</v>
      </c>
      <c r="AC168" t="e">
        <f t="shared" si="142"/>
        <v>#N/A</v>
      </c>
      <c r="AD168" t="e">
        <f t="shared" si="143"/>
        <v>#N/A</v>
      </c>
      <c r="AE168" t="e">
        <f t="shared" si="144"/>
        <v>#N/A</v>
      </c>
      <c r="AF168" t="e">
        <f t="shared" si="145"/>
        <v>#N/A</v>
      </c>
      <c r="AG168" t="e">
        <f t="shared" si="146"/>
        <v>#N/A</v>
      </c>
      <c r="AH168" t="e">
        <f t="shared" si="147"/>
        <v>#N/A</v>
      </c>
      <c r="AI168" t="e">
        <f t="shared" si="148"/>
        <v>#N/A</v>
      </c>
      <c r="AJ168" t="e">
        <f t="shared" si="149"/>
        <v>#N/A</v>
      </c>
    </row>
    <row r="169">
      <c r="A169" s="2"/>
      <c r="L169" t="e">
        <f t="shared" si="125"/>
        <v>#N/A</v>
      </c>
      <c r="M169" t="e">
        <f t="shared" si="126"/>
        <v>#N/A</v>
      </c>
      <c r="N169" t="e">
        <f t="shared" si="127"/>
        <v>#N/A</v>
      </c>
      <c r="O169" t="n">
        <f t="shared" si="128"/>
        <v>0</v>
      </c>
      <c r="P169" t="n">
        <f t="shared" si="129"/>
        <v>0</v>
      </c>
      <c r="Q169" t="n">
        <f t="shared" si="130"/>
        <v>0</v>
      </c>
      <c r="R169" t="n">
        <f t="shared" si="131"/>
        <v>0</v>
      </c>
      <c r="S169" t="e">
        <f t="shared" si="132"/>
        <v>#N/A</v>
      </c>
      <c r="T169" t="e">
        <f t="shared" si="133"/>
        <v>#N/A</v>
      </c>
      <c r="U169" t="e">
        <f t="shared" si="134"/>
        <v>#N/A</v>
      </c>
      <c r="V169" t="e">
        <f t="shared" si="135"/>
        <v>#N/A</v>
      </c>
      <c r="W169" t="e">
        <f t="shared" si="136"/>
        <v>#N/A</v>
      </c>
      <c r="X169" t="e">
        <f t="shared" si="137"/>
        <v>#N/A</v>
      </c>
      <c r="Y169" t="e">
        <f t="shared" si="138"/>
        <v>#N/A</v>
      </c>
      <c r="Z169" t="e">
        <f t="shared" si="139"/>
        <v>#N/A</v>
      </c>
      <c r="AA169" t="e">
        <f t="shared" si="140"/>
        <v>#N/A</v>
      </c>
      <c r="AB169" t="e">
        <f t="shared" si="141"/>
        <v>#N/A</v>
      </c>
      <c r="AC169" t="e">
        <f t="shared" si="142"/>
        <v>#N/A</v>
      </c>
      <c r="AD169" t="e">
        <f t="shared" si="143"/>
        <v>#N/A</v>
      </c>
      <c r="AE169" t="e">
        <f t="shared" si="144"/>
        <v>#N/A</v>
      </c>
      <c r="AF169" t="e">
        <f t="shared" si="145"/>
        <v>#N/A</v>
      </c>
      <c r="AG169" t="e">
        <f t="shared" si="146"/>
        <v>#N/A</v>
      </c>
      <c r="AH169" t="e">
        <f t="shared" si="147"/>
        <v>#N/A</v>
      </c>
      <c r="AI169" t="e">
        <f t="shared" si="148"/>
        <v>#N/A</v>
      </c>
      <c r="AJ169" t="e">
        <f t="shared" si="149"/>
        <v>#N/A</v>
      </c>
    </row>
    <row r="170">
      <c r="A170" s="2"/>
      <c r="L170" t="e">
        <f t="shared" si="125"/>
        <v>#N/A</v>
      </c>
      <c r="M170" t="e">
        <f t="shared" si="126"/>
        <v>#N/A</v>
      </c>
      <c r="N170" t="e">
        <f t="shared" si="127"/>
        <v>#N/A</v>
      </c>
      <c r="O170" t="n">
        <f t="shared" si="128"/>
        <v>0</v>
      </c>
      <c r="P170" t="n">
        <f t="shared" si="129"/>
        <v>0</v>
      </c>
      <c r="Q170" t="n">
        <f t="shared" si="130"/>
        <v>0</v>
      </c>
      <c r="R170" t="n">
        <f t="shared" si="131"/>
        <v>0</v>
      </c>
      <c r="S170" t="e">
        <f t="shared" si="132"/>
        <v>#N/A</v>
      </c>
      <c r="T170" t="e">
        <f t="shared" si="133"/>
        <v>#N/A</v>
      </c>
      <c r="U170" t="e">
        <f t="shared" si="134"/>
        <v>#N/A</v>
      </c>
      <c r="V170" t="e">
        <f t="shared" si="135"/>
        <v>#N/A</v>
      </c>
      <c r="W170" t="e">
        <f t="shared" si="136"/>
        <v>#N/A</v>
      </c>
      <c r="X170" t="e">
        <f t="shared" si="137"/>
        <v>#N/A</v>
      </c>
      <c r="Y170" t="e">
        <f t="shared" si="138"/>
        <v>#N/A</v>
      </c>
      <c r="Z170" t="e">
        <f t="shared" si="139"/>
        <v>#N/A</v>
      </c>
      <c r="AA170" t="e">
        <f t="shared" si="140"/>
        <v>#N/A</v>
      </c>
      <c r="AB170" t="e">
        <f t="shared" si="141"/>
        <v>#N/A</v>
      </c>
      <c r="AC170" t="e">
        <f t="shared" si="142"/>
        <v>#N/A</v>
      </c>
      <c r="AD170" t="e">
        <f t="shared" si="143"/>
        <v>#N/A</v>
      </c>
      <c r="AE170" t="e">
        <f t="shared" si="144"/>
        <v>#N/A</v>
      </c>
      <c r="AF170" t="e">
        <f t="shared" si="145"/>
        <v>#N/A</v>
      </c>
      <c r="AG170" t="e">
        <f t="shared" si="146"/>
        <v>#N/A</v>
      </c>
      <c r="AH170" t="e">
        <f t="shared" si="147"/>
        <v>#N/A</v>
      </c>
      <c r="AI170" t="e">
        <f t="shared" si="148"/>
        <v>#N/A</v>
      </c>
      <c r="AJ170" t="e">
        <f t="shared" si="149"/>
        <v>#N/A</v>
      </c>
    </row>
    <row r="171">
      <c r="A171" s="2"/>
      <c r="L171" t="e">
        <f t="shared" si="125"/>
        <v>#N/A</v>
      </c>
      <c r="M171" t="e">
        <f t="shared" si="126"/>
        <v>#N/A</v>
      </c>
      <c r="N171" t="e">
        <f t="shared" si="127"/>
        <v>#N/A</v>
      </c>
      <c r="O171" t="n">
        <f t="shared" si="128"/>
        <v>0</v>
      </c>
      <c r="P171" t="n">
        <f t="shared" si="129"/>
        <v>0</v>
      </c>
      <c r="Q171" t="n">
        <f t="shared" si="130"/>
        <v>0</v>
      </c>
      <c r="R171" t="n">
        <f t="shared" si="131"/>
        <v>0</v>
      </c>
      <c r="S171" t="e">
        <f t="shared" si="132"/>
        <v>#N/A</v>
      </c>
      <c r="T171" t="e">
        <f t="shared" si="133"/>
        <v>#N/A</v>
      </c>
      <c r="U171" t="e">
        <f t="shared" si="134"/>
        <v>#N/A</v>
      </c>
      <c r="V171" t="e">
        <f t="shared" si="135"/>
        <v>#N/A</v>
      </c>
      <c r="W171" t="e">
        <f t="shared" si="136"/>
        <v>#N/A</v>
      </c>
      <c r="X171" t="e">
        <f t="shared" si="137"/>
        <v>#N/A</v>
      </c>
      <c r="Y171" t="e">
        <f t="shared" si="138"/>
        <v>#N/A</v>
      </c>
      <c r="Z171" t="e">
        <f t="shared" si="139"/>
        <v>#N/A</v>
      </c>
      <c r="AA171" t="e">
        <f t="shared" si="140"/>
        <v>#N/A</v>
      </c>
      <c r="AB171" t="e">
        <f t="shared" si="141"/>
        <v>#N/A</v>
      </c>
      <c r="AC171" t="e">
        <f t="shared" si="142"/>
        <v>#N/A</v>
      </c>
      <c r="AD171" t="e">
        <f t="shared" si="143"/>
        <v>#N/A</v>
      </c>
      <c r="AE171" t="e">
        <f t="shared" si="144"/>
        <v>#N/A</v>
      </c>
      <c r="AF171" t="e">
        <f t="shared" si="145"/>
        <v>#N/A</v>
      </c>
      <c r="AG171" t="e">
        <f t="shared" si="146"/>
        <v>#N/A</v>
      </c>
      <c r="AH171" t="e">
        <f t="shared" si="147"/>
        <v>#N/A</v>
      </c>
      <c r="AI171" t="e">
        <f t="shared" si="148"/>
        <v>#N/A</v>
      </c>
      <c r="AJ171" t="e">
        <f t="shared" si="149"/>
        <v>#N/A</v>
      </c>
    </row>
    <row r="172">
      <c r="A172" s="2"/>
      <c r="L172" t="e">
        <f t="shared" si="125"/>
        <v>#N/A</v>
      </c>
      <c r="M172" t="e">
        <f t="shared" si="126"/>
        <v>#N/A</v>
      </c>
      <c r="N172" t="e">
        <f t="shared" si="127"/>
        <v>#N/A</v>
      </c>
      <c r="O172" t="n">
        <f t="shared" si="128"/>
        <v>0</v>
      </c>
      <c r="P172" t="n">
        <f t="shared" si="129"/>
        <v>0</v>
      </c>
      <c r="Q172" t="n">
        <f t="shared" si="130"/>
        <v>0</v>
      </c>
      <c r="R172" t="n">
        <f t="shared" si="131"/>
        <v>0</v>
      </c>
      <c r="S172" t="e">
        <f t="shared" si="132"/>
        <v>#N/A</v>
      </c>
      <c r="T172" t="e">
        <f t="shared" si="133"/>
        <v>#N/A</v>
      </c>
      <c r="U172" t="e">
        <f t="shared" si="134"/>
        <v>#N/A</v>
      </c>
      <c r="V172" t="e">
        <f t="shared" si="135"/>
        <v>#N/A</v>
      </c>
      <c r="W172" t="e">
        <f t="shared" si="136"/>
        <v>#N/A</v>
      </c>
      <c r="X172" t="e">
        <f t="shared" si="137"/>
        <v>#N/A</v>
      </c>
      <c r="Y172" t="e">
        <f t="shared" si="138"/>
        <v>#N/A</v>
      </c>
      <c r="Z172" t="e">
        <f t="shared" si="139"/>
        <v>#N/A</v>
      </c>
      <c r="AA172" t="e">
        <f t="shared" si="140"/>
        <v>#N/A</v>
      </c>
      <c r="AB172" t="e">
        <f t="shared" si="141"/>
        <v>#N/A</v>
      </c>
      <c r="AC172" t="e">
        <f t="shared" si="142"/>
        <v>#N/A</v>
      </c>
      <c r="AD172" t="e">
        <f t="shared" si="143"/>
        <v>#N/A</v>
      </c>
      <c r="AE172" t="e">
        <f t="shared" si="144"/>
        <v>#N/A</v>
      </c>
      <c r="AF172" t="e">
        <f t="shared" si="145"/>
        <v>#N/A</v>
      </c>
      <c r="AG172" t="e">
        <f t="shared" si="146"/>
        <v>#N/A</v>
      </c>
      <c r="AH172" t="e">
        <f t="shared" si="147"/>
        <v>#N/A</v>
      </c>
      <c r="AI172" t="e">
        <f t="shared" si="148"/>
        <v>#N/A</v>
      </c>
      <c r="AJ172" t="e">
        <f t="shared" si="149"/>
        <v>#N/A</v>
      </c>
    </row>
    <row r="173">
      <c r="A173" s="2"/>
      <c r="L173" t="e">
        <f t="shared" si="125"/>
        <v>#N/A</v>
      </c>
      <c r="M173" t="e">
        <f t="shared" si="126"/>
        <v>#N/A</v>
      </c>
      <c r="N173" t="e">
        <f t="shared" si="127"/>
        <v>#N/A</v>
      </c>
      <c r="O173" t="n">
        <f t="shared" si="128"/>
        <v>0</v>
      </c>
      <c r="P173" t="n">
        <f t="shared" si="129"/>
        <v>0</v>
      </c>
      <c r="Q173" t="n">
        <f t="shared" si="130"/>
        <v>0</v>
      </c>
      <c r="R173" t="n">
        <f t="shared" si="131"/>
        <v>0</v>
      </c>
      <c r="S173" t="e">
        <f t="shared" si="132"/>
        <v>#N/A</v>
      </c>
      <c r="T173" t="e">
        <f t="shared" si="133"/>
        <v>#N/A</v>
      </c>
      <c r="U173" t="e">
        <f t="shared" si="134"/>
        <v>#N/A</v>
      </c>
      <c r="V173" t="e">
        <f t="shared" si="135"/>
        <v>#N/A</v>
      </c>
      <c r="W173" t="e">
        <f t="shared" si="136"/>
        <v>#N/A</v>
      </c>
      <c r="X173" t="e">
        <f t="shared" si="137"/>
        <v>#N/A</v>
      </c>
      <c r="Y173" t="e">
        <f t="shared" si="138"/>
        <v>#N/A</v>
      </c>
      <c r="Z173" t="e">
        <f t="shared" si="139"/>
        <v>#N/A</v>
      </c>
      <c r="AA173" t="e">
        <f t="shared" si="140"/>
        <v>#N/A</v>
      </c>
      <c r="AB173" t="e">
        <f t="shared" si="141"/>
        <v>#N/A</v>
      </c>
      <c r="AC173" t="e">
        <f t="shared" si="142"/>
        <v>#N/A</v>
      </c>
      <c r="AD173" t="e">
        <f t="shared" si="143"/>
        <v>#N/A</v>
      </c>
      <c r="AE173" t="e">
        <f t="shared" si="144"/>
        <v>#N/A</v>
      </c>
      <c r="AF173" t="e">
        <f t="shared" si="145"/>
        <v>#N/A</v>
      </c>
      <c r="AG173" t="e">
        <f t="shared" si="146"/>
        <v>#N/A</v>
      </c>
      <c r="AH173" t="e">
        <f t="shared" si="147"/>
        <v>#N/A</v>
      </c>
      <c r="AI173" t="e">
        <f t="shared" si="148"/>
        <v>#N/A</v>
      </c>
      <c r="AJ173" t="e">
        <f t="shared" si="149"/>
        <v>#N/A</v>
      </c>
    </row>
    <row r="174">
      <c r="A174" s="2"/>
      <c r="L174" t="e">
        <f t="shared" si="125"/>
        <v>#N/A</v>
      </c>
      <c r="M174" t="e">
        <f t="shared" si="126"/>
        <v>#N/A</v>
      </c>
      <c r="N174" t="e">
        <f t="shared" si="127"/>
        <v>#N/A</v>
      </c>
      <c r="O174" t="n">
        <f t="shared" si="128"/>
        <v>0</v>
      </c>
      <c r="P174" t="n">
        <f t="shared" si="129"/>
        <v>0</v>
      </c>
      <c r="Q174" t="n">
        <f t="shared" si="130"/>
        <v>0</v>
      </c>
      <c r="R174" t="n">
        <f t="shared" si="131"/>
        <v>0</v>
      </c>
      <c r="S174" t="e">
        <f t="shared" si="132"/>
        <v>#N/A</v>
      </c>
      <c r="T174" t="e">
        <f t="shared" si="133"/>
        <v>#N/A</v>
      </c>
      <c r="U174" t="e">
        <f t="shared" si="134"/>
        <v>#N/A</v>
      </c>
      <c r="V174" t="e">
        <f t="shared" si="135"/>
        <v>#N/A</v>
      </c>
      <c r="W174" t="e">
        <f t="shared" si="136"/>
        <v>#N/A</v>
      </c>
      <c r="X174" t="e">
        <f t="shared" si="137"/>
        <v>#N/A</v>
      </c>
      <c r="Y174" t="e">
        <f t="shared" si="138"/>
        <v>#N/A</v>
      </c>
      <c r="Z174" t="e">
        <f t="shared" si="139"/>
        <v>#N/A</v>
      </c>
      <c r="AA174" t="e">
        <f t="shared" si="140"/>
        <v>#N/A</v>
      </c>
      <c r="AB174" t="e">
        <f t="shared" si="141"/>
        <v>#N/A</v>
      </c>
      <c r="AC174" t="e">
        <f t="shared" si="142"/>
        <v>#N/A</v>
      </c>
      <c r="AD174" t="e">
        <f t="shared" si="143"/>
        <v>#N/A</v>
      </c>
      <c r="AE174" t="e">
        <f t="shared" si="144"/>
        <v>#N/A</v>
      </c>
      <c r="AF174" t="e">
        <f t="shared" si="145"/>
        <v>#N/A</v>
      </c>
      <c r="AG174" t="e">
        <f t="shared" si="146"/>
        <v>#N/A</v>
      </c>
      <c r="AH174" t="e">
        <f t="shared" si="147"/>
        <v>#N/A</v>
      </c>
      <c r="AI174" t="e">
        <f t="shared" si="148"/>
        <v>#N/A</v>
      </c>
      <c r="AJ174" t="e">
        <f t="shared" si="149"/>
        <v>#N/A</v>
      </c>
    </row>
    <row r="175">
      <c r="A175" s="2"/>
      <c r="L175" t="e">
        <f t="shared" si="125"/>
        <v>#N/A</v>
      </c>
      <c r="M175" t="e">
        <f t="shared" si="126"/>
        <v>#N/A</v>
      </c>
      <c r="N175" t="e">
        <f t="shared" si="127"/>
        <v>#N/A</v>
      </c>
      <c r="O175" t="n">
        <f t="shared" si="128"/>
        <v>0</v>
      </c>
      <c r="P175" t="n">
        <f t="shared" si="129"/>
        <v>0</v>
      </c>
      <c r="Q175" t="n">
        <f t="shared" si="130"/>
        <v>0</v>
      </c>
      <c r="R175" t="n">
        <f t="shared" si="131"/>
        <v>0</v>
      </c>
      <c r="S175" t="e">
        <f t="shared" si="132"/>
        <v>#N/A</v>
      </c>
      <c r="T175" t="e">
        <f t="shared" si="133"/>
        <v>#N/A</v>
      </c>
      <c r="U175" t="e">
        <f t="shared" si="134"/>
        <v>#N/A</v>
      </c>
      <c r="V175" t="e">
        <f t="shared" si="135"/>
        <v>#N/A</v>
      </c>
      <c r="W175" t="e">
        <f t="shared" si="136"/>
        <v>#N/A</v>
      </c>
      <c r="X175" t="e">
        <f t="shared" si="137"/>
        <v>#N/A</v>
      </c>
      <c r="Y175" t="e">
        <f t="shared" si="138"/>
        <v>#N/A</v>
      </c>
      <c r="Z175" t="e">
        <f t="shared" si="139"/>
        <v>#N/A</v>
      </c>
      <c r="AA175" t="e">
        <f t="shared" si="140"/>
        <v>#N/A</v>
      </c>
      <c r="AB175" t="e">
        <f t="shared" si="141"/>
        <v>#N/A</v>
      </c>
      <c r="AC175" t="e">
        <f t="shared" si="142"/>
        <v>#N/A</v>
      </c>
      <c r="AD175" t="e">
        <f t="shared" si="143"/>
        <v>#N/A</v>
      </c>
      <c r="AE175" t="e">
        <f t="shared" si="144"/>
        <v>#N/A</v>
      </c>
      <c r="AF175" t="e">
        <f t="shared" si="145"/>
        <v>#N/A</v>
      </c>
      <c r="AG175" t="e">
        <f t="shared" si="146"/>
        <v>#N/A</v>
      </c>
      <c r="AH175" t="e">
        <f t="shared" si="147"/>
        <v>#N/A</v>
      </c>
      <c r="AI175" t="e">
        <f t="shared" si="148"/>
        <v>#N/A</v>
      </c>
      <c r="AJ175" t="e">
        <f t="shared" si="149"/>
        <v>#N/A</v>
      </c>
    </row>
    <row r="176">
      <c r="A176" s="2"/>
      <c r="L176" t="e">
        <f t="shared" si="125"/>
        <v>#N/A</v>
      </c>
      <c r="M176" t="e">
        <f t="shared" si="126"/>
        <v>#N/A</v>
      </c>
      <c r="N176" t="e">
        <f t="shared" si="127"/>
        <v>#N/A</v>
      </c>
      <c r="O176" t="n">
        <f t="shared" si="128"/>
        <v>0</v>
      </c>
      <c r="P176" t="n">
        <f t="shared" si="129"/>
        <v>0</v>
      </c>
      <c r="Q176" t="n">
        <f t="shared" si="130"/>
        <v>0</v>
      </c>
      <c r="R176" t="n">
        <f t="shared" si="131"/>
        <v>0</v>
      </c>
      <c r="S176" t="e">
        <f t="shared" si="132"/>
        <v>#N/A</v>
      </c>
      <c r="T176" t="e">
        <f t="shared" si="133"/>
        <v>#N/A</v>
      </c>
      <c r="U176" t="e">
        <f t="shared" si="134"/>
        <v>#N/A</v>
      </c>
      <c r="V176" t="e">
        <f t="shared" si="135"/>
        <v>#N/A</v>
      </c>
      <c r="W176" t="e">
        <f t="shared" si="136"/>
        <v>#N/A</v>
      </c>
      <c r="X176" t="e">
        <f t="shared" si="137"/>
        <v>#N/A</v>
      </c>
      <c r="Y176" t="e">
        <f t="shared" si="138"/>
        <v>#N/A</v>
      </c>
      <c r="Z176" t="e">
        <f t="shared" si="139"/>
        <v>#N/A</v>
      </c>
      <c r="AA176" t="e">
        <f t="shared" si="140"/>
        <v>#N/A</v>
      </c>
      <c r="AB176" t="e">
        <f t="shared" si="141"/>
        <v>#N/A</v>
      </c>
      <c r="AC176" t="e">
        <f t="shared" si="142"/>
        <v>#N/A</v>
      </c>
      <c r="AD176" t="e">
        <f t="shared" si="143"/>
        <v>#N/A</v>
      </c>
      <c r="AE176" t="e">
        <f t="shared" si="144"/>
        <v>#N/A</v>
      </c>
      <c r="AF176" t="e">
        <f t="shared" si="145"/>
        <v>#N/A</v>
      </c>
      <c r="AG176" t="e">
        <f t="shared" si="146"/>
        <v>#N/A</v>
      </c>
      <c r="AH176" t="e">
        <f t="shared" si="147"/>
        <v>#N/A</v>
      </c>
      <c r="AI176" t="e">
        <f t="shared" si="148"/>
        <v>#N/A</v>
      </c>
      <c r="AJ176" t="e">
        <f t="shared" si="149"/>
        <v>#N/A</v>
      </c>
    </row>
    <row r="177">
      <c r="A177" s="2"/>
      <c r="L177" t="e">
        <f t="shared" si="125"/>
        <v>#N/A</v>
      </c>
      <c r="M177" t="e">
        <f t="shared" si="126"/>
        <v>#N/A</v>
      </c>
      <c r="N177" t="e">
        <f t="shared" si="127"/>
        <v>#N/A</v>
      </c>
      <c r="O177" t="n">
        <f t="shared" si="128"/>
        <v>0</v>
      </c>
      <c r="P177" t="n">
        <f t="shared" si="129"/>
        <v>0</v>
      </c>
      <c r="Q177" t="n">
        <f t="shared" si="130"/>
        <v>0</v>
      </c>
      <c r="R177" t="n">
        <f t="shared" si="131"/>
        <v>0</v>
      </c>
      <c r="S177" t="e">
        <f t="shared" si="132"/>
        <v>#N/A</v>
      </c>
      <c r="T177" t="e">
        <f t="shared" si="133"/>
        <v>#N/A</v>
      </c>
      <c r="U177" t="e">
        <f t="shared" si="134"/>
        <v>#N/A</v>
      </c>
      <c r="V177" t="e">
        <f t="shared" si="135"/>
        <v>#N/A</v>
      </c>
      <c r="W177" t="e">
        <f t="shared" si="136"/>
        <v>#N/A</v>
      </c>
      <c r="X177" t="e">
        <f t="shared" si="137"/>
        <v>#N/A</v>
      </c>
      <c r="Y177" t="e">
        <f t="shared" si="138"/>
        <v>#N/A</v>
      </c>
      <c r="Z177" t="e">
        <f t="shared" si="139"/>
        <v>#N/A</v>
      </c>
      <c r="AA177" t="e">
        <f t="shared" si="140"/>
        <v>#N/A</v>
      </c>
      <c r="AB177" t="e">
        <f t="shared" si="141"/>
        <v>#N/A</v>
      </c>
      <c r="AC177" t="e">
        <f t="shared" si="142"/>
        <v>#N/A</v>
      </c>
      <c r="AD177" t="e">
        <f t="shared" si="143"/>
        <v>#N/A</v>
      </c>
      <c r="AE177" t="e">
        <f t="shared" si="144"/>
        <v>#N/A</v>
      </c>
      <c r="AF177" t="e">
        <f t="shared" si="145"/>
        <v>#N/A</v>
      </c>
      <c r="AG177" t="e">
        <f t="shared" si="146"/>
        <v>#N/A</v>
      </c>
      <c r="AH177" t="e">
        <f t="shared" si="147"/>
        <v>#N/A</v>
      </c>
      <c r="AI177" t="e">
        <f t="shared" si="148"/>
        <v>#N/A</v>
      </c>
      <c r="AJ177" t="e">
        <f t="shared" si="149"/>
        <v>#N/A</v>
      </c>
    </row>
    <row r="178">
      <c r="A178" s="2"/>
      <c r="L178" t="e">
        <f t="shared" si="125"/>
        <v>#N/A</v>
      </c>
      <c r="M178" t="e">
        <f t="shared" si="126"/>
        <v>#N/A</v>
      </c>
      <c r="N178" t="e">
        <f t="shared" si="127"/>
        <v>#N/A</v>
      </c>
      <c r="O178" t="n">
        <f t="shared" si="128"/>
        <v>0</v>
      </c>
      <c r="P178" t="n">
        <f t="shared" si="129"/>
        <v>0</v>
      </c>
      <c r="Q178" t="n">
        <f t="shared" si="130"/>
        <v>0</v>
      </c>
      <c r="R178" t="n">
        <f t="shared" si="131"/>
        <v>0</v>
      </c>
      <c r="S178" t="e">
        <f t="shared" si="132"/>
        <v>#N/A</v>
      </c>
      <c r="T178" t="e">
        <f t="shared" si="133"/>
        <v>#N/A</v>
      </c>
      <c r="U178" t="e">
        <f t="shared" si="134"/>
        <v>#N/A</v>
      </c>
      <c r="V178" t="e">
        <f t="shared" si="135"/>
        <v>#N/A</v>
      </c>
      <c r="W178" t="e">
        <f t="shared" si="136"/>
        <v>#N/A</v>
      </c>
      <c r="X178" t="e">
        <f t="shared" si="137"/>
        <v>#N/A</v>
      </c>
      <c r="Y178" t="e">
        <f t="shared" si="138"/>
        <v>#N/A</v>
      </c>
      <c r="Z178" t="e">
        <f t="shared" si="139"/>
        <v>#N/A</v>
      </c>
      <c r="AA178" t="e">
        <f t="shared" si="140"/>
        <v>#N/A</v>
      </c>
      <c r="AB178" t="e">
        <f t="shared" si="141"/>
        <v>#N/A</v>
      </c>
      <c r="AC178" t="e">
        <f t="shared" si="142"/>
        <v>#N/A</v>
      </c>
      <c r="AD178" t="e">
        <f t="shared" si="143"/>
        <v>#N/A</v>
      </c>
      <c r="AE178" t="e">
        <f t="shared" si="144"/>
        <v>#N/A</v>
      </c>
      <c r="AF178" t="e">
        <f t="shared" si="145"/>
        <v>#N/A</v>
      </c>
      <c r="AG178" t="e">
        <f t="shared" si="146"/>
        <v>#N/A</v>
      </c>
      <c r="AH178" t="e">
        <f t="shared" si="147"/>
        <v>#N/A</v>
      </c>
      <c r="AI178" t="e">
        <f t="shared" si="148"/>
        <v>#N/A</v>
      </c>
      <c r="AJ178" t="e">
        <f t="shared" si="149"/>
        <v>#N/A</v>
      </c>
    </row>
    <row r="179">
      <c r="A179" s="2"/>
      <c r="L179" t="e">
        <f t="shared" si="125"/>
        <v>#N/A</v>
      </c>
      <c r="M179" t="e">
        <f t="shared" si="126"/>
        <v>#N/A</v>
      </c>
      <c r="N179" t="e">
        <f t="shared" si="127"/>
        <v>#N/A</v>
      </c>
      <c r="O179" t="n">
        <f t="shared" si="128"/>
        <v>0</v>
      </c>
      <c r="P179" t="n">
        <f t="shared" si="129"/>
        <v>0</v>
      </c>
      <c r="Q179" t="n">
        <f t="shared" si="130"/>
        <v>0</v>
      </c>
      <c r="R179" t="n">
        <f t="shared" si="131"/>
        <v>0</v>
      </c>
      <c r="S179" t="e">
        <f t="shared" si="132"/>
        <v>#N/A</v>
      </c>
      <c r="T179" t="e">
        <f t="shared" si="133"/>
        <v>#N/A</v>
      </c>
      <c r="U179" t="e">
        <f t="shared" si="134"/>
        <v>#N/A</v>
      </c>
      <c r="V179" t="e">
        <f t="shared" si="135"/>
        <v>#N/A</v>
      </c>
      <c r="W179" t="e">
        <f t="shared" si="136"/>
        <v>#N/A</v>
      </c>
      <c r="X179" t="e">
        <f t="shared" si="137"/>
        <v>#N/A</v>
      </c>
      <c r="Y179" t="e">
        <f t="shared" si="138"/>
        <v>#N/A</v>
      </c>
      <c r="Z179" t="e">
        <f t="shared" si="139"/>
        <v>#N/A</v>
      </c>
      <c r="AA179" t="e">
        <f t="shared" si="140"/>
        <v>#N/A</v>
      </c>
      <c r="AB179" t="e">
        <f t="shared" si="141"/>
        <v>#N/A</v>
      </c>
      <c r="AC179" t="e">
        <f t="shared" si="142"/>
        <v>#N/A</v>
      </c>
      <c r="AD179" t="e">
        <f t="shared" si="143"/>
        <v>#N/A</v>
      </c>
      <c r="AE179" t="e">
        <f t="shared" si="144"/>
        <v>#N/A</v>
      </c>
      <c r="AF179" t="e">
        <f t="shared" si="145"/>
        <v>#N/A</v>
      </c>
      <c r="AG179" t="e">
        <f t="shared" si="146"/>
        <v>#N/A</v>
      </c>
      <c r="AH179" t="e">
        <f t="shared" si="147"/>
        <v>#N/A</v>
      </c>
      <c r="AI179" t="e">
        <f t="shared" si="148"/>
        <v>#N/A</v>
      </c>
      <c r="AJ179" t="e">
        <f t="shared" si="149"/>
        <v>#N/A</v>
      </c>
    </row>
    <row r="180">
      <c r="A180" s="2"/>
      <c r="L180" t="e">
        <f t="shared" si="125"/>
        <v>#N/A</v>
      </c>
      <c r="M180" t="e">
        <f t="shared" si="126"/>
        <v>#N/A</v>
      </c>
      <c r="N180" t="e">
        <f t="shared" si="127"/>
        <v>#N/A</v>
      </c>
      <c r="O180" t="n">
        <f t="shared" si="128"/>
        <v>0</v>
      </c>
      <c r="P180" t="n">
        <f t="shared" si="129"/>
        <v>0</v>
      </c>
      <c r="Q180" t="n">
        <f t="shared" si="130"/>
        <v>0</v>
      </c>
      <c r="R180" t="n">
        <f t="shared" si="131"/>
        <v>0</v>
      </c>
      <c r="S180" t="e">
        <f t="shared" si="132"/>
        <v>#N/A</v>
      </c>
      <c r="T180" t="e">
        <f t="shared" si="133"/>
        <v>#N/A</v>
      </c>
      <c r="U180" t="e">
        <f t="shared" si="134"/>
        <v>#N/A</v>
      </c>
      <c r="V180" t="e">
        <f t="shared" si="135"/>
        <v>#N/A</v>
      </c>
      <c r="W180" t="e">
        <f t="shared" si="136"/>
        <v>#N/A</v>
      </c>
      <c r="X180" t="e">
        <f t="shared" si="137"/>
        <v>#N/A</v>
      </c>
      <c r="Y180" t="e">
        <f t="shared" si="138"/>
        <v>#N/A</v>
      </c>
      <c r="Z180" t="e">
        <f t="shared" si="139"/>
        <v>#N/A</v>
      </c>
      <c r="AA180" t="e">
        <f t="shared" si="140"/>
        <v>#N/A</v>
      </c>
      <c r="AB180" t="e">
        <f t="shared" si="141"/>
        <v>#N/A</v>
      </c>
      <c r="AC180" t="e">
        <f t="shared" si="142"/>
        <v>#N/A</v>
      </c>
      <c r="AD180" t="e">
        <f t="shared" si="143"/>
        <v>#N/A</v>
      </c>
      <c r="AE180" t="e">
        <f t="shared" si="144"/>
        <v>#N/A</v>
      </c>
      <c r="AF180" t="e">
        <f t="shared" si="145"/>
        <v>#N/A</v>
      </c>
      <c r="AG180" t="e">
        <f t="shared" si="146"/>
        <v>#N/A</v>
      </c>
      <c r="AH180" t="e">
        <f t="shared" si="147"/>
        <v>#N/A</v>
      </c>
      <c r="AI180" t="e">
        <f t="shared" si="148"/>
        <v>#N/A</v>
      </c>
      <c r="AJ180" t="e">
        <f t="shared" si="149"/>
        <v>#N/A</v>
      </c>
    </row>
    <row r="181">
      <c r="A181" s="2"/>
      <c r="L181" t="e">
        <f t="shared" si="125"/>
        <v>#N/A</v>
      </c>
      <c r="M181" t="e">
        <f t="shared" si="126"/>
        <v>#N/A</v>
      </c>
      <c r="N181" t="e">
        <f t="shared" si="127"/>
        <v>#N/A</v>
      </c>
      <c r="O181" t="n">
        <f t="shared" si="128"/>
        <v>0</v>
      </c>
      <c r="P181" t="n">
        <f t="shared" si="129"/>
        <v>0</v>
      </c>
      <c r="Q181" t="n">
        <f t="shared" si="130"/>
        <v>0</v>
      </c>
      <c r="R181" t="n">
        <f t="shared" si="131"/>
        <v>0</v>
      </c>
      <c r="S181" t="e">
        <f t="shared" si="132"/>
        <v>#N/A</v>
      </c>
      <c r="T181" t="e">
        <f t="shared" si="133"/>
        <v>#N/A</v>
      </c>
      <c r="U181" t="e">
        <f t="shared" si="134"/>
        <v>#N/A</v>
      </c>
      <c r="V181" t="e">
        <f t="shared" si="135"/>
        <v>#N/A</v>
      </c>
      <c r="W181" t="e">
        <f t="shared" si="136"/>
        <v>#N/A</v>
      </c>
      <c r="X181" t="e">
        <f t="shared" si="137"/>
        <v>#N/A</v>
      </c>
      <c r="Y181" t="e">
        <f t="shared" si="138"/>
        <v>#N/A</v>
      </c>
      <c r="Z181" t="e">
        <f t="shared" si="139"/>
        <v>#N/A</v>
      </c>
      <c r="AA181" t="e">
        <f t="shared" si="140"/>
        <v>#N/A</v>
      </c>
      <c r="AB181" t="e">
        <f t="shared" si="141"/>
        <v>#N/A</v>
      </c>
      <c r="AC181" t="e">
        <f t="shared" si="142"/>
        <v>#N/A</v>
      </c>
      <c r="AD181" t="e">
        <f t="shared" si="143"/>
        <v>#N/A</v>
      </c>
      <c r="AE181" t="e">
        <f t="shared" si="144"/>
        <v>#N/A</v>
      </c>
      <c r="AF181" t="e">
        <f t="shared" si="145"/>
        <v>#N/A</v>
      </c>
      <c r="AG181" t="e">
        <f t="shared" si="146"/>
        <v>#N/A</v>
      </c>
      <c r="AH181" t="e">
        <f t="shared" si="147"/>
        <v>#N/A</v>
      </c>
      <c r="AI181" t="e">
        <f t="shared" si="148"/>
        <v>#N/A</v>
      </c>
      <c r="AJ181" t="e">
        <f t="shared" si="149"/>
        <v>#N/A</v>
      </c>
    </row>
    <row r="182">
      <c r="A182" s="2"/>
      <c r="L182" t="e">
        <f t="shared" si="125"/>
        <v>#N/A</v>
      </c>
      <c r="M182" t="e">
        <f t="shared" si="126"/>
        <v>#N/A</v>
      </c>
      <c r="N182" t="e">
        <f t="shared" si="127"/>
        <v>#N/A</v>
      </c>
      <c r="O182" t="n">
        <f t="shared" si="128"/>
        <v>0</v>
      </c>
      <c r="P182" t="n">
        <f t="shared" si="129"/>
        <v>0</v>
      </c>
      <c r="Q182" t="n">
        <f t="shared" si="130"/>
        <v>0</v>
      </c>
      <c r="R182" t="n">
        <f t="shared" si="131"/>
        <v>0</v>
      </c>
      <c r="S182" t="e">
        <f t="shared" si="132"/>
        <v>#N/A</v>
      </c>
      <c r="T182" t="e">
        <f t="shared" si="133"/>
        <v>#N/A</v>
      </c>
      <c r="U182" t="e">
        <f t="shared" si="134"/>
        <v>#N/A</v>
      </c>
      <c r="V182" t="e">
        <f t="shared" si="135"/>
        <v>#N/A</v>
      </c>
      <c r="W182" t="e">
        <f t="shared" si="136"/>
        <v>#N/A</v>
      </c>
      <c r="X182" t="e">
        <f t="shared" si="137"/>
        <v>#N/A</v>
      </c>
      <c r="Y182" t="e">
        <f t="shared" si="138"/>
        <v>#N/A</v>
      </c>
      <c r="Z182" t="e">
        <f t="shared" si="139"/>
        <v>#N/A</v>
      </c>
      <c r="AA182" t="e">
        <f t="shared" si="140"/>
        <v>#N/A</v>
      </c>
      <c r="AB182" t="e">
        <f t="shared" si="141"/>
        <v>#N/A</v>
      </c>
      <c r="AC182" t="e">
        <f t="shared" si="142"/>
        <v>#N/A</v>
      </c>
      <c r="AD182" t="e">
        <f t="shared" si="143"/>
        <v>#N/A</v>
      </c>
      <c r="AE182" t="e">
        <f t="shared" si="144"/>
        <v>#N/A</v>
      </c>
      <c r="AF182" t="e">
        <f t="shared" si="145"/>
        <v>#N/A</v>
      </c>
      <c r="AG182" t="e">
        <f t="shared" si="146"/>
        <v>#N/A</v>
      </c>
      <c r="AH182" t="e">
        <f t="shared" si="147"/>
        <v>#N/A</v>
      </c>
      <c r="AI182" t="e">
        <f t="shared" si="148"/>
        <v>#N/A</v>
      </c>
      <c r="AJ182" t="e">
        <f t="shared" si="149"/>
        <v>#N/A</v>
      </c>
    </row>
    <row r="183">
      <c r="A183" s="2"/>
      <c r="L183" t="e">
        <f t="shared" si="125"/>
        <v>#N/A</v>
      </c>
      <c r="M183" t="e">
        <f t="shared" si="126"/>
        <v>#N/A</v>
      </c>
      <c r="N183" t="e">
        <f t="shared" si="127"/>
        <v>#N/A</v>
      </c>
      <c r="O183" t="n">
        <f t="shared" si="128"/>
        <v>0</v>
      </c>
      <c r="P183" t="n">
        <f t="shared" si="129"/>
        <v>0</v>
      </c>
      <c r="Q183" t="n">
        <f t="shared" si="130"/>
        <v>0</v>
      </c>
      <c r="R183" t="n">
        <f t="shared" si="131"/>
        <v>0</v>
      </c>
      <c r="S183" t="e">
        <f t="shared" si="132"/>
        <v>#N/A</v>
      </c>
      <c r="T183" t="e">
        <f t="shared" si="133"/>
        <v>#N/A</v>
      </c>
      <c r="U183" t="e">
        <f t="shared" si="134"/>
        <v>#N/A</v>
      </c>
      <c r="V183" t="e">
        <f t="shared" si="135"/>
        <v>#N/A</v>
      </c>
      <c r="W183" t="e">
        <f t="shared" si="136"/>
        <v>#N/A</v>
      </c>
      <c r="X183" t="e">
        <f t="shared" si="137"/>
        <v>#N/A</v>
      </c>
      <c r="Y183" t="e">
        <f t="shared" si="138"/>
        <v>#N/A</v>
      </c>
      <c r="Z183" t="e">
        <f t="shared" si="139"/>
        <v>#N/A</v>
      </c>
      <c r="AA183" t="e">
        <f t="shared" si="140"/>
        <v>#N/A</v>
      </c>
      <c r="AB183" t="e">
        <f t="shared" si="141"/>
        <v>#N/A</v>
      </c>
      <c r="AC183" t="e">
        <f t="shared" si="142"/>
        <v>#N/A</v>
      </c>
      <c r="AD183" t="e">
        <f t="shared" si="143"/>
        <v>#N/A</v>
      </c>
      <c r="AE183" t="e">
        <f t="shared" si="144"/>
        <v>#N/A</v>
      </c>
      <c r="AF183" t="e">
        <f t="shared" si="145"/>
        <v>#N/A</v>
      </c>
      <c r="AG183" t="e">
        <f t="shared" si="146"/>
        <v>#N/A</v>
      </c>
      <c r="AH183" t="e">
        <f t="shared" si="147"/>
        <v>#N/A</v>
      </c>
      <c r="AI183" t="e">
        <f t="shared" si="148"/>
        <v>#N/A</v>
      </c>
      <c r="AJ183" t="e">
        <f t="shared" si="149"/>
        <v>#N/A</v>
      </c>
    </row>
    <row r="184">
      <c r="A184" s="2"/>
      <c r="L184" t="e">
        <f t="shared" si="125"/>
        <v>#N/A</v>
      </c>
      <c r="M184" t="e">
        <f t="shared" si="126"/>
        <v>#N/A</v>
      </c>
      <c r="N184" t="e">
        <f t="shared" si="127"/>
        <v>#N/A</v>
      </c>
      <c r="O184" t="n">
        <f t="shared" si="128"/>
        <v>0</v>
      </c>
      <c r="P184" t="n">
        <f t="shared" si="129"/>
        <v>0</v>
      </c>
      <c r="Q184" t="n">
        <f t="shared" si="130"/>
        <v>0</v>
      </c>
      <c r="R184" t="n">
        <f t="shared" si="131"/>
        <v>0</v>
      </c>
      <c r="S184" t="e">
        <f t="shared" si="132"/>
        <v>#N/A</v>
      </c>
      <c r="T184" t="e">
        <f t="shared" si="133"/>
        <v>#N/A</v>
      </c>
      <c r="U184" t="e">
        <f t="shared" si="134"/>
        <v>#N/A</v>
      </c>
      <c r="V184" t="e">
        <f t="shared" si="135"/>
        <v>#N/A</v>
      </c>
      <c r="W184" t="e">
        <f t="shared" si="136"/>
        <v>#N/A</v>
      </c>
      <c r="X184" t="e">
        <f t="shared" si="137"/>
        <v>#N/A</v>
      </c>
      <c r="Y184" t="e">
        <f t="shared" si="138"/>
        <v>#N/A</v>
      </c>
      <c r="Z184" t="e">
        <f t="shared" si="139"/>
        <v>#N/A</v>
      </c>
      <c r="AA184" t="e">
        <f t="shared" si="140"/>
        <v>#N/A</v>
      </c>
      <c r="AB184" t="e">
        <f t="shared" si="141"/>
        <v>#N/A</v>
      </c>
      <c r="AC184" t="e">
        <f t="shared" si="142"/>
        <v>#N/A</v>
      </c>
      <c r="AD184" t="e">
        <f t="shared" si="143"/>
        <v>#N/A</v>
      </c>
      <c r="AE184" t="e">
        <f t="shared" si="144"/>
        <v>#N/A</v>
      </c>
      <c r="AF184" t="e">
        <f t="shared" si="145"/>
        <v>#N/A</v>
      </c>
      <c r="AG184" t="e">
        <f t="shared" si="146"/>
        <v>#N/A</v>
      </c>
      <c r="AH184" t="e">
        <f t="shared" si="147"/>
        <v>#N/A</v>
      </c>
      <c r="AI184" t="e">
        <f t="shared" si="148"/>
        <v>#N/A</v>
      </c>
      <c r="AJ184" t="e">
        <f t="shared" si="149"/>
        <v>#N/A</v>
      </c>
    </row>
    <row r="185">
      <c r="A185" s="2"/>
      <c r="L185" t="e">
        <f t="shared" si="125"/>
        <v>#N/A</v>
      </c>
      <c r="M185" t="e">
        <f t="shared" si="126"/>
        <v>#N/A</v>
      </c>
      <c r="N185" t="e">
        <f t="shared" si="127"/>
        <v>#N/A</v>
      </c>
      <c r="O185" t="n">
        <f t="shared" si="128"/>
        <v>0</v>
      </c>
      <c r="P185" t="n">
        <f t="shared" si="129"/>
        <v>0</v>
      </c>
      <c r="Q185" t="n">
        <f t="shared" si="130"/>
        <v>0</v>
      </c>
      <c r="R185" t="n">
        <f t="shared" si="131"/>
        <v>0</v>
      </c>
      <c r="S185" t="e">
        <f t="shared" si="132"/>
        <v>#N/A</v>
      </c>
      <c r="T185" t="e">
        <f t="shared" si="133"/>
        <v>#N/A</v>
      </c>
      <c r="U185" t="e">
        <f t="shared" si="134"/>
        <v>#N/A</v>
      </c>
      <c r="V185" t="e">
        <f t="shared" si="135"/>
        <v>#N/A</v>
      </c>
      <c r="W185" t="e">
        <f t="shared" si="136"/>
        <v>#N/A</v>
      </c>
      <c r="X185" t="e">
        <f t="shared" si="137"/>
        <v>#N/A</v>
      </c>
      <c r="Y185" t="e">
        <f t="shared" si="138"/>
        <v>#N/A</v>
      </c>
      <c r="Z185" t="e">
        <f t="shared" si="139"/>
        <v>#N/A</v>
      </c>
      <c r="AA185" t="e">
        <f t="shared" si="140"/>
        <v>#N/A</v>
      </c>
      <c r="AB185" t="e">
        <f t="shared" si="141"/>
        <v>#N/A</v>
      </c>
      <c r="AC185" t="e">
        <f t="shared" si="142"/>
        <v>#N/A</v>
      </c>
      <c r="AD185" t="e">
        <f t="shared" si="143"/>
        <v>#N/A</v>
      </c>
      <c r="AE185" t="e">
        <f t="shared" si="144"/>
        <v>#N/A</v>
      </c>
      <c r="AF185" t="e">
        <f t="shared" si="145"/>
        <v>#N/A</v>
      </c>
      <c r="AG185" t="e">
        <f t="shared" si="146"/>
        <v>#N/A</v>
      </c>
      <c r="AH185" t="e">
        <f t="shared" si="147"/>
        <v>#N/A</v>
      </c>
      <c r="AI185" t="e">
        <f t="shared" si="148"/>
        <v>#N/A</v>
      </c>
      <c r="AJ185" t="e">
        <f t="shared" si="149"/>
        <v>#N/A</v>
      </c>
    </row>
    <row r="186">
      <c r="A186" s="2"/>
      <c r="L186" t="e">
        <f t="shared" si="125"/>
        <v>#N/A</v>
      </c>
      <c r="M186" t="e">
        <f t="shared" si="126"/>
        <v>#N/A</v>
      </c>
      <c r="N186" t="e">
        <f t="shared" si="127"/>
        <v>#N/A</v>
      </c>
      <c r="O186" t="n">
        <f t="shared" si="128"/>
        <v>0</v>
      </c>
      <c r="P186" t="n">
        <f t="shared" si="129"/>
        <v>0</v>
      </c>
      <c r="Q186" t="n">
        <f t="shared" si="130"/>
        <v>0</v>
      </c>
      <c r="R186" t="n">
        <f t="shared" si="131"/>
        <v>0</v>
      </c>
      <c r="S186" t="e">
        <f t="shared" si="132"/>
        <v>#N/A</v>
      </c>
      <c r="T186" t="e">
        <f t="shared" si="133"/>
        <v>#N/A</v>
      </c>
      <c r="U186" t="e">
        <f t="shared" si="134"/>
        <v>#N/A</v>
      </c>
      <c r="V186" t="e">
        <f t="shared" si="135"/>
        <v>#N/A</v>
      </c>
      <c r="W186" t="e">
        <f t="shared" si="136"/>
        <v>#N/A</v>
      </c>
      <c r="X186" t="e">
        <f t="shared" si="137"/>
        <v>#N/A</v>
      </c>
      <c r="Y186" t="e">
        <f t="shared" si="138"/>
        <v>#N/A</v>
      </c>
      <c r="Z186" t="e">
        <f t="shared" si="139"/>
        <v>#N/A</v>
      </c>
      <c r="AA186" t="e">
        <f t="shared" si="140"/>
        <v>#N/A</v>
      </c>
      <c r="AB186" t="e">
        <f t="shared" si="141"/>
        <v>#N/A</v>
      </c>
      <c r="AC186" t="e">
        <f t="shared" si="142"/>
        <v>#N/A</v>
      </c>
      <c r="AD186" t="e">
        <f t="shared" si="143"/>
        <v>#N/A</v>
      </c>
      <c r="AE186" t="e">
        <f t="shared" si="144"/>
        <v>#N/A</v>
      </c>
      <c r="AF186" t="e">
        <f t="shared" si="145"/>
        <v>#N/A</v>
      </c>
      <c r="AG186" t="e">
        <f t="shared" si="146"/>
        <v>#N/A</v>
      </c>
      <c r="AH186" t="e">
        <f t="shared" si="147"/>
        <v>#N/A</v>
      </c>
      <c r="AI186" t="e">
        <f t="shared" si="148"/>
        <v>#N/A</v>
      </c>
      <c r="AJ186" t="e">
        <f t="shared" si="149"/>
        <v>#N/A</v>
      </c>
    </row>
    <row r="187">
      <c r="A187" s="2"/>
      <c r="L187" t="e">
        <f t="shared" si="125"/>
        <v>#N/A</v>
      </c>
      <c r="M187" t="e">
        <f t="shared" si="126"/>
        <v>#N/A</v>
      </c>
      <c r="N187" t="e">
        <f t="shared" si="127"/>
        <v>#N/A</v>
      </c>
      <c r="O187" t="n">
        <f t="shared" si="128"/>
        <v>0</v>
      </c>
      <c r="P187" t="n">
        <f t="shared" si="129"/>
        <v>0</v>
      </c>
      <c r="Q187" t="n">
        <f t="shared" si="130"/>
        <v>0</v>
      </c>
      <c r="R187" t="n">
        <f t="shared" si="131"/>
        <v>0</v>
      </c>
      <c r="S187" t="e">
        <f t="shared" si="132"/>
        <v>#N/A</v>
      </c>
      <c r="T187" t="e">
        <f t="shared" si="133"/>
        <v>#N/A</v>
      </c>
      <c r="U187" t="e">
        <f t="shared" si="134"/>
        <v>#N/A</v>
      </c>
      <c r="V187" t="e">
        <f t="shared" si="135"/>
        <v>#N/A</v>
      </c>
      <c r="W187" t="e">
        <f t="shared" si="136"/>
        <v>#N/A</v>
      </c>
      <c r="X187" t="e">
        <f t="shared" si="137"/>
        <v>#N/A</v>
      </c>
      <c r="Y187" t="e">
        <f t="shared" si="138"/>
        <v>#N/A</v>
      </c>
      <c r="Z187" t="e">
        <f t="shared" si="139"/>
        <v>#N/A</v>
      </c>
      <c r="AA187" t="e">
        <f t="shared" si="140"/>
        <v>#N/A</v>
      </c>
      <c r="AB187" t="e">
        <f t="shared" si="141"/>
        <v>#N/A</v>
      </c>
      <c r="AC187" t="e">
        <f t="shared" si="142"/>
        <v>#N/A</v>
      </c>
      <c r="AD187" t="e">
        <f t="shared" si="143"/>
        <v>#N/A</v>
      </c>
      <c r="AE187" t="e">
        <f t="shared" si="144"/>
        <v>#N/A</v>
      </c>
      <c r="AF187" t="e">
        <f t="shared" si="145"/>
        <v>#N/A</v>
      </c>
      <c r="AG187" t="e">
        <f t="shared" si="146"/>
        <v>#N/A</v>
      </c>
      <c r="AH187" t="e">
        <f t="shared" si="147"/>
        <v>#N/A</v>
      </c>
      <c r="AI187" t="e">
        <f t="shared" si="148"/>
        <v>#N/A</v>
      </c>
      <c r="AJ187" t="e">
        <f t="shared" si="149"/>
        <v>#N/A</v>
      </c>
    </row>
    <row r="188">
      <c r="A188" s="2"/>
      <c r="L188" t="e">
        <f t="shared" si="125"/>
        <v>#N/A</v>
      </c>
      <c r="M188" t="e">
        <f t="shared" si="126"/>
        <v>#N/A</v>
      </c>
      <c r="N188" t="e">
        <f t="shared" si="127"/>
        <v>#N/A</v>
      </c>
      <c r="O188" t="n">
        <f t="shared" si="128"/>
        <v>0</v>
      </c>
      <c r="P188" t="n">
        <f t="shared" si="129"/>
        <v>0</v>
      </c>
      <c r="Q188" t="n">
        <f t="shared" si="130"/>
        <v>0</v>
      </c>
      <c r="R188" t="n">
        <f t="shared" si="131"/>
        <v>0</v>
      </c>
      <c r="S188" t="e">
        <f t="shared" si="132"/>
        <v>#N/A</v>
      </c>
      <c r="T188" t="e">
        <f t="shared" si="133"/>
        <v>#N/A</v>
      </c>
      <c r="U188" t="e">
        <f t="shared" si="134"/>
        <v>#N/A</v>
      </c>
      <c r="V188" t="e">
        <f t="shared" si="135"/>
        <v>#N/A</v>
      </c>
      <c r="W188" t="e">
        <f t="shared" si="136"/>
        <v>#N/A</v>
      </c>
      <c r="X188" t="e">
        <f t="shared" si="137"/>
        <v>#N/A</v>
      </c>
      <c r="Y188" t="e">
        <f t="shared" si="138"/>
        <v>#N/A</v>
      </c>
      <c r="Z188" t="e">
        <f t="shared" si="139"/>
        <v>#N/A</v>
      </c>
      <c r="AA188" t="e">
        <f t="shared" si="140"/>
        <v>#N/A</v>
      </c>
      <c r="AB188" t="e">
        <f t="shared" si="141"/>
        <v>#N/A</v>
      </c>
      <c r="AC188" t="e">
        <f t="shared" si="142"/>
        <v>#N/A</v>
      </c>
      <c r="AD188" t="e">
        <f t="shared" si="143"/>
        <v>#N/A</v>
      </c>
      <c r="AE188" t="e">
        <f t="shared" si="144"/>
        <v>#N/A</v>
      </c>
      <c r="AF188" t="e">
        <f t="shared" si="145"/>
        <v>#N/A</v>
      </c>
      <c r="AG188" t="e">
        <f t="shared" si="146"/>
        <v>#N/A</v>
      </c>
      <c r="AH188" t="e">
        <f t="shared" si="147"/>
        <v>#N/A</v>
      </c>
      <c r="AI188" t="e">
        <f t="shared" si="148"/>
        <v>#N/A</v>
      </c>
      <c r="AJ188" t="e">
        <f t="shared" si="149"/>
        <v>#N/A</v>
      </c>
    </row>
    <row r="189">
      <c r="A189" s="2"/>
      <c r="L189" t="e">
        <f t="shared" si="125"/>
        <v>#N/A</v>
      </c>
      <c r="M189" t="e">
        <f t="shared" si="126"/>
        <v>#N/A</v>
      </c>
      <c r="N189" t="e">
        <f t="shared" si="127"/>
        <v>#N/A</v>
      </c>
      <c r="O189" t="n">
        <f t="shared" si="128"/>
        <v>0</v>
      </c>
      <c r="P189" t="n">
        <f t="shared" si="129"/>
        <v>0</v>
      </c>
      <c r="Q189" t="n">
        <f t="shared" si="130"/>
        <v>0</v>
      </c>
      <c r="R189" t="n">
        <f t="shared" si="131"/>
        <v>0</v>
      </c>
      <c r="S189" t="e">
        <f t="shared" si="132"/>
        <v>#N/A</v>
      </c>
      <c r="T189" t="e">
        <f t="shared" si="133"/>
        <v>#N/A</v>
      </c>
      <c r="U189" t="e">
        <f t="shared" si="134"/>
        <v>#N/A</v>
      </c>
      <c r="V189" t="e">
        <f t="shared" si="135"/>
        <v>#N/A</v>
      </c>
      <c r="W189" t="e">
        <f t="shared" si="136"/>
        <v>#N/A</v>
      </c>
      <c r="X189" t="e">
        <f t="shared" si="137"/>
        <v>#N/A</v>
      </c>
      <c r="Y189" t="e">
        <f t="shared" si="138"/>
        <v>#N/A</v>
      </c>
      <c r="Z189" t="e">
        <f t="shared" si="139"/>
        <v>#N/A</v>
      </c>
      <c r="AA189" t="e">
        <f t="shared" si="140"/>
        <v>#N/A</v>
      </c>
      <c r="AB189" t="e">
        <f t="shared" si="141"/>
        <v>#N/A</v>
      </c>
      <c r="AC189" t="e">
        <f t="shared" si="142"/>
        <v>#N/A</v>
      </c>
      <c r="AD189" t="e">
        <f t="shared" si="143"/>
        <v>#N/A</v>
      </c>
      <c r="AE189" t="e">
        <f t="shared" si="144"/>
        <v>#N/A</v>
      </c>
      <c r="AF189" t="e">
        <f t="shared" si="145"/>
        <v>#N/A</v>
      </c>
      <c r="AG189" t="e">
        <f t="shared" si="146"/>
        <v>#N/A</v>
      </c>
      <c r="AH189" t="e">
        <f t="shared" si="147"/>
        <v>#N/A</v>
      </c>
      <c r="AI189" t="e">
        <f t="shared" si="148"/>
        <v>#N/A</v>
      </c>
      <c r="AJ189" t="e">
        <f t="shared" si="149"/>
        <v>#N/A</v>
      </c>
    </row>
    <row r="190">
      <c r="A190" s="2"/>
      <c r="L190" t="e">
        <f t="shared" si="125"/>
        <v>#N/A</v>
      </c>
      <c r="M190" t="e">
        <f t="shared" si="126"/>
        <v>#N/A</v>
      </c>
      <c r="N190" t="e">
        <f t="shared" si="127"/>
        <v>#N/A</v>
      </c>
      <c r="O190" t="n">
        <f t="shared" si="128"/>
        <v>0</v>
      </c>
      <c r="P190" t="n">
        <f t="shared" si="129"/>
        <v>0</v>
      </c>
      <c r="Q190" t="n">
        <f t="shared" si="130"/>
        <v>0</v>
      </c>
      <c r="R190" t="n">
        <f t="shared" si="131"/>
        <v>0</v>
      </c>
      <c r="S190" t="e">
        <f t="shared" si="132"/>
        <v>#N/A</v>
      </c>
      <c r="T190" t="e">
        <f t="shared" si="133"/>
        <v>#N/A</v>
      </c>
      <c r="U190" t="e">
        <f t="shared" si="134"/>
        <v>#N/A</v>
      </c>
      <c r="V190" t="e">
        <f t="shared" si="135"/>
        <v>#N/A</v>
      </c>
      <c r="W190" t="e">
        <f t="shared" si="136"/>
        <v>#N/A</v>
      </c>
      <c r="X190" t="e">
        <f t="shared" si="137"/>
        <v>#N/A</v>
      </c>
      <c r="Y190" t="e">
        <f t="shared" si="138"/>
        <v>#N/A</v>
      </c>
      <c r="Z190" t="e">
        <f t="shared" si="139"/>
        <v>#N/A</v>
      </c>
      <c r="AA190" t="e">
        <f t="shared" si="140"/>
        <v>#N/A</v>
      </c>
      <c r="AB190" t="e">
        <f t="shared" si="141"/>
        <v>#N/A</v>
      </c>
      <c r="AC190" t="e">
        <f t="shared" si="142"/>
        <v>#N/A</v>
      </c>
      <c r="AD190" t="e">
        <f t="shared" si="143"/>
        <v>#N/A</v>
      </c>
      <c r="AE190" t="e">
        <f t="shared" si="144"/>
        <v>#N/A</v>
      </c>
      <c r="AF190" t="e">
        <f t="shared" si="145"/>
        <v>#N/A</v>
      </c>
      <c r="AG190" t="e">
        <f t="shared" si="146"/>
        <v>#N/A</v>
      </c>
      <c r="AH190" t="e">
        <f t="shared" si="147"/>
        <v>#N/A</v>
      </c>
      <c r="AI190" t="e">
        <f t="shared" si="148"/>
        <v>#N/A</v>
      </c>
      <c r="AJ190" t="e">
        <f t="shared" si="149"/>
        <v>#N/A</v>
      </c>
    </row>
    <row r="191">
      <c r="A191" s="2"/>
      <c r="L191" t="e">
        <f t="shared" si="125"/>
        <v>#N/A</v>
      </c>
      <c r="M191" t="e">
        <f t="shared" si="126"/>
        <v>#N/A</v>
      </c>
      <c r="N191" t="e">
        <f t="shared" si="127"/>
        <v>#N/A</v>
      </c>
      <c r="O191" t="n">
        <f t="shared" si="128"/>
        <v>0</v>
      </c>
      <c r="P191" t="n">
        <f t="shared" si="129"/>
        <v>0</v>
      </c>
      <c r="Q191" t="n">
        <f t="shared" si="130"/>
        <v>0</v>
      </c>
      <c r="R191" t="n">
        <f t="shared" si="131"/>
        <v>0</v>
      </c>
      <c r="S191" t="e">
        <f t="shared" si="132"/>
        <v>#N/A</v>
      </c>
      <c r="T191" t="e">
        <f t="shared" si="133"/>
        <v>#N/A</v>
      </c>
      <c r="U191" t="e">
        <f t="shared" si="134"/>
        <v>#N/A</v>
      </c>
      <c r="V191" t="e">
        <f t="shared" si="135"/>
        <v>#N/A</v>
      </c>
      <c r="W191" t="e">
        <f t="shared" si="136"/>
        <v>#N/A</v>
      </c>
      <c r="X191" t="e">
        <f t="shared" si="137"/>
        <v>#N/A</v>
      </c>
      <c r="Y191" t="e">
        <f t="shared" si="138"/>
        <v>#N/A</v>
      </c>
      <c r="Z191" t="e">
        <f t="shared" si="139"/>
        <v>#N/A</v>
      </c>
      <c r="AA191" t="e">
        <f t="shared" si="140"/>
        <v>#N/A</v>
      </c>
      <c r="AB191" t="e">
        <f t="shared" si="141"/>
        <v>#N/A</v>
      </c>
      <c r="AC191" t="e">
        <f t="shared" si="142"/>
        <v>#N/A</v>
      </c>
      <c r="AD191" t="e">
        <f t="shared" si="143"/>
        <v>#N/A</v>
      </c>
      <c r="AE191" t="e">
        <f t="shared" si="144"/>
        <v>#N/A</v>
      </c>
      <c r="AF191" t="e">
        <f t="shared" si="145"/>
        <v>#N/A</v>
      </c>
      <c r="AG191" t="e">
        <f t="shared" si="146"/>
        <v>#N/A</v>
      </c>
      <c r="AH191" t="e">
        <f t="shared" si="147"/>
        <v>#N/A</v>
      </c>
      <c r="AI191" t="e">
        <f t="shared" si="148"/>
        <v>#N/A</v>
      </c>
      <c r="AJ191" t="e">
        <f t="shared" si="149"/>
        <v>#N/A</v>
      </c>
    </row>
    <row r="192">
      <c r="A192" s="2"/>
      <c r="L192" t="e">
        <f t="shared" si="125"/>
        <v>#N/A</v>
      </c>
      <c r="M192" t="e">
        <f t="shared" si="126"/>
        <v>#N/A</v>
      </c>
      <c r="N192" t="e">
        <f t="shared" si="127"/>
        <v>#N/A</v>
      </c>
      <c r="O192" t="n">
        <f t="shared" si="128"/>
        <v>0</v>
      </c>
      <c r="P192" t="n">
        <f t="shared" si="129"/>
        <v>0</v>
      </c>
      <c r="Q192" t="n">
        <f t="shared" si="130"/>
        <v>0</v>
      </c>
      <c r="R192" t="n">
        <f t="shared" si="131"/>
        <v>0</v>
      </c>
      <c r="S192" t="e">
        <f t="shared" si="132"/>
        <v>#N/A</v>
      </c>
      <c r="T192" t="e">
        <f t="shared" si="133"/>
        <v>#N/A</v>
      </c>
      <c r="U192" t="e">
        <f t="shared" si="134"/>
        <v>#N/A</v>
      </c>
      <c r="V192" t="e">
        <f t="shared" si="135"/>
        <v>#N/A</v>
      </c>
      <c r="W192" t="e">
        <f t="shared" si="136"/>
        <v>#N/A</v>
      </c>
      <c r="X192" t="e">
        <f t="shared" si="137"/>
        <v>#N/A</v>
      </c>
      <c r="Y192" t="e">
        <f t="shared" si="138"/>
        <v>#N/A</v>
      </c>
      <c r="Z192" t="e">
        <f t="shared" si="139"/>
        <v>#N/A</v>
      </c>
      <c r="AA192" t="e">
        <f t="shared" si="140"/>
        <v>#N/A</v>
      </c>
      <c r="AB192" t="e">
        <f t="shared" si="141"/>
        <v>#N/A</v>
      </c>
      <c r="AC192" t="e">
        <f t="shared" si="142"/>
        <v>#N/A</v>
      </c>
      <c r="AD192" t="e">
        <f t="shared" si="143"/>
        <v>#N/A</v>
      </c>
      <c r="AE192" t="e">
        <f t="shared" si="144"/>
        <v>#N/A</v>
      </c>
      <c r="AF192" t="e">
        <f t="shared" si="145"/>
        <v>#N/A</v>
      </c>
      <c r="AG192" t="e">
        <f t="shared" si="146"/>
        <v>#N/A</v>
      </c>
      <c r="AH192" t="e">
        <f t="shared" si="147"/>
        <v>#N/A</v>
      </c>
      <c r="AI192" t="e">
        <f t="shared" si="148"/>
        <v>#N/A</v>
      </c>
      <c r="AJ192" t="e">
        <f t="shared" si="149"/>
        <v>#N/A</v>
      </c>
    </row>
    <row r="193">
      <c r="A193" s="2"/>
      <c r="L193" t="e">
        <f t="shared" si="125"/>
        <v>#N/A</v>
      </c>
      <c r="M193" t="e">
        <f t="shared" si="126"/>
        <v>#N/A</v>
      </c>
      <c r="N193" t="e">
        <f t="shared" si="127"/>
        <v>#N/A</v>
      </c>
      <c r="O193" t="n">
        <f t="shared" si="128"/>
        <v>0</v>
      </c>
      <c r="P193" t="n">
        <f t="shared" si="129"/>
        <v>0</v>
      </c>
      <c r="Q193" t="n">
        <f t="shared" si="130"/>
        <v>0</v>
      </c>
      <c r="R193" t="n">
        <f t="shared" si="131"/>
        <v>0</v>
      </c>
      <c r="S193" t="e">
        <f t="shared" si="132"/>
        <v>#N/A</v>
      </c>
      <c r="T193" t="e">
        <f t="shared" si="133"/>
        <v>#N/A</v>
      </c>
      <c r="U193" t="e">
        <f t="shared" si="134"/>
        <v>#N/A</v>
      </c>
      <c r="V193" t="e">
        <f t="shared" si="135"/>
        <v>#N/A</v>
      </c>
      <c r="W193" t="e">
        <f t="shared" si="136"/>
        <v>#N/A</v>
      </c>
      <c r="X193" t="e">
        <f t="shared" si="137"/>
        <v>#N/A</v>
      </c>
      <c r="Y193" t="e">
        <f t="shared" si="138"/>
        <v>#N/A</v>
      </c>
      <c r="Z193" t="e">
        <f t="shared" si="139"/>
        <v>#N/A</v>
      </c>
      <c r="AA193" t="e">
        <f t="shared" si="140"/>
        <v>#N/A</v>
      </c>
      <c r="AB193" t="e">
        <f t="shared" si="141"/>
        <v>#N/A</v>
      </c>
      <c r="AC193" t="e">
        <f t="shared" si="142"/>
        <v>#N/A</v>
      </c>
      <c r="AD193" t="e">
        <f t="shared" si="143"/>
        <v>#N/A</v>
      </c>
      <c r="AE193" t="e">
        <f t="shared" si="144"/>
        <v>#N/A</v>
      </c>
      <c r="AF193" t="e">
        <f t="shared" si="145"/>
        <v>#N/A</v>
      </c>
      <c r="AG193" t="e">
        <f t="shared" si="146"/>
        <v>#N/A</v>
      </c>
      <c r="AH193" t="e">
        <f t="shared" si="147"/>
        <v>#N/A</v>
      </c>
      <c r="AI193" t="e">
        <f t="shared" si="148"/>
        <v>#N/A</v>
      </c>
      <c r="AJ193" t="e">
        <f t="shared" si="149"/>
        <v>#N/A</v>
      </c>
    </row>
    <row r="194">
      <c r="A194" s="2"/>
      <c r="L194" t="e">
        <f t="shared" ref="L194:L201" si="150">IF(ROW()&lt;=5,NA(),IFERROR(100*(B194/INDEX(B:B,ROW()-4)-1),NA()))</f>
        <v>#N/A</v>
      </c>
      <c r="M194" t="e">
        <f t="shared" ref="M194:M201" si="151">IF(ROW()&lt;=5,NA(),IFERROR(100*(C194/INDEX(C:C,ROW()-4)-1),NA()))</f>
        <v>#N/A</v>
      </c>
      <c r="N194" t="e">
        <f t="shared" ref="N194:N201" si="152">IF(ROW()&lt;=5,NA(),IFERROR(100*(D194/INDEX(D:D,ROW()-4)-1),NA()))</f>
        <v>#N/A</v>
      </c>
      <c r="O194" t="n">
        <f t="shared" ref="O194:O201" si="153">100*G194</f>
        <v>0</v>
      </c>
      <c r="P194" t="n">
        <f t="shared" ref="P194:P201" si="154">100*H194</f>
        <v>0</v>
      </c>
      <c r="Q194" t="n">
        <f t="shared" ref="Q194:Q201" si="155">100*I194</f>
        <v>0</v>
      </c>
      <c r="R194" t="n">
        <f t="shared" ref="R194:R201" si="156">100*J194</f>
        <v>0</v>
      </c>
      <c r="S194" t="e">
        <f t="shared" ref="S194:S201" si="157">IFERROR(100*E194/INDEX(E:E,MATCH(DATE(2024,12,1),A:A,0)),NA())</f>
        <v>#N/A</v>
      </c>
      <c r="T194" t="e">
        <f t="shared" ref="T194:T201" si="158">IFERROR(100*F194/INDEX(F:F,MATCH(DATE(2024,12,1),A:A,0)),NA())</f>
        <v>#N/A</v>
      </c>
      <c r="U194" t="e">
        <f t="shared" ref="U194:U201" si="159">IF($K194="Actual",L194,NA())</f>
        <v>#N/A</v>
      </c>
      <c r="V194" t="e">
        <f t="shared" ref="V194:V201" si="160">IF($A194&gt;=DATE(2024,12,1),L194,NA())</f>
        <v>#N/A</v>
      </c>
      <c r="W194" t="e">
        <f t="shared" ref="W194:W201" si="161">IF($K194="Actual",M194,NA())</f>
        <v>#N/A</v>
      </c>
      <c r="X194" t="e">
        <f t="shared" ref="X194:X201" si="162">IF($A194&gt;=DATE(2024,12,1),M194,NA())</f>
        <v>#N/A</v>
      </c>
      <c r="Y194" t="e">
        <f t="shared" ref="Y194:Y201" si="163">IF($K194="Actual",S194,NA())</f>
        <v>#N/A</v>
      </c>
      <c r="Z194" t="e">
        <f t="shared" ref="Z194:Z201" si="164">IF($A194&gt;=DATE(2024,12,1),S194,NA())</f>
        <v>#N/A</v>
      </c>
      <c r="AA194" t="e">
        <f t="shared" ref="AA194:AA201" si="165">IF($K194="Actual",T194,NA())</f>
        <v>#N/A</v>
      </c>
      <c r="AB194" t="e">
        <f t="shared" ref="AB194:AB201" si="166">IF($A194&gt;=DATE(2024,12,1),T194,NA())</f>
        <v>#N/A</v>
      </c>
      <c r="AC194" t="e">
        <f t="shared" ref="AC194:AC201" si="167">IF($K194="Actual",O194,NA())</f>
        <v>#N/A</v>
      </c>
      <c r="AD194" t="e">
        <f t="shared" ref="AD194:AD201" si="168">IF($A194&gt;=DATE(2024,12,1),O194,NA())</f>
        <v>#N/A</v>
      </c>
      <c r="AE194" t="e">
        <f t="shared" ref="AE194:AE201" si="169">IF($K194="Actual",Q194,NA())</f>
        <v>#N/A</v>
      </c>
      <c r="AF194" t="e">
        <f t="shared" ref="AF194:AF201" si="170">IF($A194&gt;=DATE(2024,12,1),Q194,NA())</f>
        <v>#N/A</v>
      </c>
      <c r="AG194" t="e">
        <f t="shared" ref="AG194:AG201" si="171">IF($K194="Actual",R194,NA())</f>
        <v>#N/A</v>
      </c>
      <c r="AH194" t="e">
        <f t="shared" ref="AH194:AH201" si="172">IF($A194&gt;=DATE(2024,12,1),R194,NA())</f>
        <v>#N/A</v>
      </c>
      <c r="AI194" t="e">
        <f t="shared" ref="AI194:AI201" si="173">IF($K194="Actual",N194,NA())</f>
        <v>#N/A</v>
      </c>
      <c r="AJ194" t="e">
        <f t="shared" ref="AJ194:AJ201" si="174">IF($A194&gt;=DATE(2024,12,1),N194,NA())</f>
        <v>#N/A</v>
      </c>
    </row>
    <row r="195">
      <c r="A195" s="2"/>
      <c r="L195" t="e">
        <f t="shared" si="150"/>
        <v>#N/A</v>
      </c>
      <c r="M195" t="e">
        <f t="shared" si="151"/>
        <v>#N/A</v>
      </c>
      <c r="N195" t="e">
        <f t="shared" si="152"/>
        <v>#N/A</v>
      </c>
      <c r="O195" t="n">
        <f t="shared" si="153"/>
        <v>0</v>
      </c>
      <c r="P195" t="n">
        <f t="shared" si="154"/>
        <v>0</v>
      </c>
      <c r="Q195" t="n">
        <f t="shared" si="155"/>
        <v>0</v>
      </c>
      <c r="R195" t="n">
        <f t="shared" si="156"/>
        <v>0</v>
      </c>
      <c r="S195" t="e">
        <f t="shared" si="157"/>
        <v>#N/A</v>
      </c>
      <c r="T195" t="e">
        <f t="shared" si="158"/>
        <v>#N/A</v>
      </c>
      <c r="U195" t="e">
        <f t="shared" si="159"/>
        <v>#N/A</v>
      </c>
      <c r="V195" t="e">
        <f t="shared" si="160"/>
        <v>#N/A</v>
      </c>
      <c r="W195" t="e">
        <f t="shared" si="161"/>
        <v>#N/A</v>
      </c>
      <c r="X195" t="e">
        <f t="shared" si="162"/>
        <v>#N/A</v>
      </c>
      <c r="Y195" t="e">
        <f t="shared" si="163"/>
        <v>#N/A</v>
      </c>
      <c r="Z195" t="e">
        <f t="shared" si="164"/>
        <v>#N/A</v>
      </c>
      <c r="AA195" t="e">
        <f t="shared" si="165"/>
        <v>#N/A</v>
      </c>
      <c r="AB195" t="e">
        <f t="shared" si="166"/>
        <v>#N/A</v>
      </c>
      <c r="AC195" t="e">
        <f t="shared" si="167"/>
        <v>#N/A</v>
      </c>
      <c r="AD195" t="e">
        <f t="shared" si="168"/>
        <v>#N/A</v>
      </c>
      <c r="AE195" t="e">
        <f t="shared" si="169"/>
        <v>#N/A</v>
      </c>
      <c r="AF195" t="e">
        <f t="shared" si="170"/>
        <v>#N/A</v>
      </c>
      <c r="AG195" t="e">
        <f t="shared" si="171"/>
        <v>#N/A</v>
      </c>
      <c r="AH195" t="e">
        <f t="shared" si="172"/>
        <v>#N/A</v>
      </c>
      <c r="AI195" t="e">
        <f t="shared" si="173"/>
        <v>#N/A</v>
      </c>
      <c r="AJ195" t="e">
        <f t="shared" si="174"/>
        <v>#N/A</v>
      </c>
    </row>
    <row r="196">
      <c r="A196" s="2"/>
      <c r="L196" t="e">
        <f t="shared" si="150"/>
        <v>#N/A</v>
      </c>
      <c r="M196" t="e">
        <f t="shared" si="151"/>
        <v>#N/A</v>
      </c>
      <c r="N196" t="e">
        <f t="shared" si="152"/>
        <v>#N/A</v>
      </c>
      <c r="O196" t="n">
        <f t="shared" si="153"/>
        <v>0</v>
      </c>
      <c r="P196" t="n">
        <f t="shared" si="154"/>
        <v>0</v>
      </c>
      <c r="Q196" t="n">
        <f t="shared" si="155"/>
        <v>0</v>
      </c>
      <c r="R196" t="n">
        <f t="shared" si="156"/>
        <v>0</v>
      </c>
      <c r="S196" t="e">
        <f t="shared" si="157"/>
        <v>#N/A</v>
      </c>
      <c r="T196" t="e">
        <f t="shared" si="158"/>
        <v>#N/A</v>
      </c>
      <c r="U196" t="e">
        <f t="shared" si="159"/>
        <v>#N/A</v>
      </c>
      <c r="V196" t="e">
        <f t="shared" si="160"/>
        <v>#N/A</v>
      </c>
      <c r="W196" t="e">
        <f t="shared" si="161"/>
        <v>#N/A</v>
      </c>
      <c r="X196" t="e">
        <f t="shared" si="162"/>
        <v>#N/A</v>
      </c>
      <c r="Y196" t="e">
        <f t="shared" si="163"/>
        <v>#N/A</v>
      </c>
      <c r="Z196" t="e">
        <f t="shared" si="164"/>
        <v>#N/A</v>
      </c>
      <c r="AA196" t="e">
        <f t="shared" si="165"/>
        <v>#N/A</v>
      </c>
      <c r="AB196" t="e">
        <f t="shared" si="166"/>
        <v>#N/A</v>
      </c>
      <c r="AC196" t="e">
        <f t="shared" si="167"/>
        <v>#N/A</v>
      </c>
      <c r="AD196" t="e">
        <f t="shared" si="168"/>
        <v>#N/A</v>
      </c>
      <c r="AE196" t="e">
        <f t="shared" si="169"/>
        <v>#N/A</v>
      </c>
      <c r="AF196" t="e">
        <f t="shared" si="170"/>
        <v>#N/A</v>
      </c>
      <c r="AG196" t="e">
        <f t="shared" si="171"/>
        <v>#N/A</v>
      </c>
      <c r="AH196" t="e">
        <f t="shared" si="172"/>
        <v>#N/A</v>
      </c>
      <c r="AI196" t="e">
        <f t="shared" si="173"/>
        <v>#N/A</v>
      </c>
      <c r="AJ196" t="e">
        <f t="shared" si="174"/>
        <v>#N/A</v>
      </c>
    </row>
    <row r="197">
      <c r="A197" s="2"/>
      <c r="L197" t="e">
        <f t="shared" si="150"/>
        <v>#N/A</v>
      </c>
      <c r="M197" t="e">
        <f t="shared" si="151"/>
        <v>#N/A</v>
      </c>
      <c r="N197" t="e">
        <f t="shared" si="152"/>
        <v>#N/A</v>
      </c>
      <c r="O197" t="n">
        <f t="shared" si="153"/>
        <v>0</v>
      </c>
      <c r="P197" t="n">
        <f t="shared" si="154"/>
        <v>0</v>
      </c>
      <c r="Q197" t="n">
        <f t="shared" si="155"/>
        <v>0</v>
      </c>
      <c r="R197" t="n">
        <f t="shared" si="156"/>
        <v>0</v>
      </c>
      <c r="S197" t="e">
        <f t="shared" si="157"/>
        <v>#N/A</v>
      </c>
      <c r="T197" t="e">
        <f t="shared" si="158"/>
        <v>#N/A</v>
      </c>
      <c r="U197" t="e">
        <f t="shared" si="159"/>
        <v>#N/A</v>
      </c>
      <c r="V197" t="e">
        <f t="shared" si="160"/>
        <v>#N/A</v>
      </c>
      <c r="W197" t="e">
        <f t="shared" si="161"/>
        <v>#N/A</v>
      </c>
      <c r="X197" t="e">
        <f t="shared" si="162"/>
        <v>#N/A</v>
      </c>
      <c r="Y197" t="e">
        <f t="shared" si="163"/>
        <v>#N/A</v>
      </c>
      <c r="Z197" t="e">
        <f t="shared" si="164"/>
        <v>#N/A</v>
      </c>
      <c r="AA197" t="e">
        <f t="shared" si="165"/>
        <v>#N/A</v>
      </c>
      <c r="AB197" t="e">
        <f t="shared" si="166"/>
        <v>#N/A</v>
      </c>
      <c r="AC197" t="e">
        <f t="shared" si="167"/>
        <v>#N/A</v>
      </c>
      <c r="AD197" t="e">
        <f t="shared" si="168"/>
        <v>#N/A</v>
      </c>
      <c r="AE197" t="e">
        <f t="shared" si="169"/>
        <v>#N/A</v>
      </c>
      <c r="AF197" t="e">
        <f t="shared" si="170"/>
        <v>#N/A</v>
      </c>
      <c r="AG197" t="e">
        <f t="shared" si="171"/>
        <v>#N/A</v>
      </c>
      <c r="AH197" t="e">
        <f t="shared" si="172"/>
        <v>#N/A</v>
      </c>
      <c r="AI197" t="e">
        <f t="shared" si="173"/>
        <v>#N/A</v>
      </c>
      <c r="AJ197" t="e">
        <f t="shared" si="174"/>
        <v>#N/A</v>
      </c>
    </row>
    <row r="198">
      <c r="A198" s="2"/>
      <c r="L198" t="e">
        <f t="shared" si="150"/>
        <v>#N/A</v>
      </c>
      <c r="M198" t="e">
        <f t="shared" si="151"/>
        <v>#N/A</v>
      </c>
      <c r="N198" t="e">
        <f t="shared" si="152"/>
        <v>#N/A</v>
      </c>
      <c r="O198" t="n">
        <f t="shared" si="153"/>
        <v>0</v>
      </c>
      <c r="P198" t="n">
        <f t="shared" si="154"/>
        <v>0</v>
      </c>
      <c r="Q198" t="n">
        <f t="shared" si="155"/>
        <v>0</v>
      </c>
      <c r="R198" t="n">
        <f t="shared" si="156"/>
        <v>0</v>
      </c>
      <c r="S198" t="e">
        <f t="shared" si="157"/>
        <v>#N/A</v>
      </c>
      <c r="T198" t="e">
        <f t="shared" si="158"/>
        <v>#N/A</v>
      </c>
      <c r="U198" t="e">
        <f t="shared" si="159"/>
        <v>#N/A</v>
      </c>
      <c r="V198" t="e">
        <f t="shared" si="160"/>
        <v>#N/A</v>
      </c>
      <c r="W198" t="e">
        <f t="shared" si="161"/>
        <v>#N/A</v>
      </c>
      <c r="X198" t="e">
        <f t="shared" si="162"/>
        <v>#N/A</v>
      </c>
      <c r="Y198" t="e">
        <f t="shared" si="163"/>
        <v>#N/A</v>
      </c>
      <c r="Z198" t="e">
        <f t="shared" si="164"/>
        <v>#N/A</v>
      </c>
      <c r="AA198" t="e">
        <f t="shared" si="165"/>
        <v>#N/A</v>
      </c>
      <c r="AB198" t="e">
        <f t="shared" si="166"/>
        <v>#N/A</v>
      </c>
      <c r="AC198" t="e">
        <f t="shared" si="167"/>
        <v>#N/A</v>
      </c>
      <c r="AD198" t="e">
        <f t="shared" si="168"/>
        <v>#N/A</v>
      </c>
      <c r="AE198" t="e">
        <f t="shared" si="169"/>
        <v>#N/A</v>
      </c>
      <c r="AF198" t="e">
        <f t="shared" si="170"/>
        <v>#N/A</v>
      </c>
      <c r="AG198" t="e">
        <f t="shared" si="171"/>
        <v>#N/A</v>
      </c>
      <c r="AH198" t="e">
        <f t="shared" si="172"/>
        <v>#N/A</v>
      </c>
      <c r="AI198" t="e">
        <f t="shared" si="173"/>
        <v>#N/A</v>
      </c>
      <c r="AJ198" t="e">
        <f t="shared" si="174"/>
        <v>#N/A</v>
      </c>
    </row>
    <row r="199">
      <c r="A199" s="2"/>
      <c r="L199" t="e">
        <f t="shared" si="150"/>
        <v>#N/A</v>
      </c>
      <c r="M199" t="e">
        <f t="shared" si="151"/>
        <v>#N/A</v>
      </c>
      <c r="N199" t="e">
        <f t="shared" si="152"/>
        <v>#N/A</v>
      </c>
      <c r="O199" t="n">
        <f t="shared" si="153"/>
        <v>0</v>
      </c>
      <c r="P199" t="n">
        <f t="shared" si="154"/>
        <v>0</v>
      </c>
      <c r="Q199" t="n">
        <f t="shared" si="155"/>
        <v>0</v>
      </c>
      <c r="R199" t="n">
        <f t="shared" si="156"/>
        <v>0</v>
      </c>
      <c r="S199" t="e">
        <f t="shared" si="157"/>
        <v>#N/A</v>
      </c>
      <c r="T199" t="e">
        <f t="shared" si="158"/>
        <v>#N/A</v>
      </c>
      <c r="U199" t="e">
        <f t="shared" si="159"/>
        <v>#N/A</v>
      </c>
      <c r="V199" t="e">
        <f t="shared" si="160"/>
        <v>#N/A</v>
      </c>
      <c r="W199" t="e">
        <f t="shared" si="161"/>
        <v>#N/A</v>
      </c>
      <c r="X199" t="e">
        <f t="shared" si="162"/>
        <v>#N/A</v>
      </c>
      <c r="Y199" t="e">
        <f t="shared" si="163"/>
        <v>#N/A</v>
      </c>
      <c r="Z199" t="e">
        <f t="shared" si="164"/>
        <v>#N/A</v>
      </c>
      <c r="AA199" t="e">
        <f t="shared" si="165"/>
        <v>#N/A</v>
      </c>
      <c r="AB199" t="e">
        <f t="shared" si="166"/>
        <v>#N/A</v>
      </c>
      <c r="AC199" t="e">
        <f t="shared" si="167"/>
        <v>#N/A</v>
      </c>
      <c r="AD199" t="e">
        <f t="shared" si="168"/>
        <v>#N/A</v>
      </c>
      <c r="AE199" t="e">
        <f t="shared" si="169"/>
        <v>#N/A</v>
      </c>
      <c r="AF199" t="e">
        <f t="shared" si="170"/>
        <v>#N/A</v>
      </c>
      <c r="AG199" t="e">
        <f t="shared" si="171"/>
        <v>#N/A</v>
      </c>
      <c r="AH199" t="e">
        <f t="shared" si="172"/>
        <v>#N/A</v>
      </c>
      <c r="AI199" t="e">
        <f t="shared" si="173"/>
        <v>#N/A</v>
      </c>
      <c r="AJ199" t="e">
        <f t="shared" si="174"/>
        <v>#N/A</v>
      </c>
    </row>
    <row r="200">
      <c r="A200" s="2"/>
      <c r="L200" t="e">
        <f t="shared" si="150"/>
        <v>#N/A</v>
      </c>
      <c r="M200" t="e">
        <f t="shared" si="151"/>
        <v>#N/A</v>
      </c>
      <c r="N200" t="e">
        <f t="shared" si="152"/>
        <v>#N/A</v>
      </c>
      <c r="O200" t="n">
        <f t="shared" si="153"/>
        <v>0</v>
      </c>
      <c r="P200" t="n">
        <f t="shared" si="154"/>
        <v>0</v>
      </c>
      <c r="Q200" t="n">
        <f t="shared" si="155"/>
        <v>0</v>
      </c>
      <c r="R200" t="n">
        <f t="shared" si="156"/>
        <v>0</v>
      </c>
      <c r="S200" t="e">
        <f t="shared" si="157"/>
        <v>#N/A</v>
      </c>
      <c r="T200" t="e">
        <f t="shared" si="158"/>
        <v>#N/A</v>
      </c>
      <c r="U200" t="e">
        <f t="shared" si="159"/>
        <v>#N/A</v>
      </c>
      <c r="V200" t="e">
        <f t="shared" si="160"/>
        <v>#N/A</v>
      </c>
      <c r="W200" t="e">
        <f t="shared" si="161"/>
        <v>#N/A</v>
      </c>
      <c r="X200" t="e">
        <f t="shared" si="162"/>
        <v>#N/A</v>
      </c>
      <c r="Y200" t="e">
        <f t="shared" si="163"/>
        <v>#N/A</v>
      </c>
      <c r="Z200" t="e">
        <f t="shared" si="164"/>
        <v>#N/A</v>
      </c>
      <c r="AA200" t="e">
        <f t="shared" si="165"/>
        <v>#N/A</v>
      </c>
      <c r="AB200" t="e">
        <f t="shared" si="166"/>
        <v>#N/A</v>
      </c>
      <c r="AC200" t="e">
        <f t="shared" si="167"/>
        <v>#N/A</v>
      </c>
      <c r="AD200" t="e">
        <f t="shared" si="168"/>
        <v>#N/A</v>
      </c>
      <c r="AE200" t="e">
        <f t="shared" si="169"/>
        <v>#N/A</v>
      </c>
      <c r="AF200" t="e">
        <f t="shared" si="170"/>
        <v>#N/A</v>
      </c>
      <c r="AG200" t="e">
        <f t="shared" si="171"/>
        <v>#N/A</v>
      </c>
      <c r="AH200" t="e">
        <f t="shared" si="172"/>
        <v>#N/A</v>
      </c>
      <c r="AI200" t="e">
        <f t="shared" si="173"/>
        <v>#N/A</v>
      </c>
      <c r="AJ200" t="e">
        <f t="shared" si="174"/>
        <v>#N/A</v>
      </c>
    </row>
    <row r="201">
      <c r="A201" s="2"/>
      <c r="L201" t="e">
        <f t="shared" si="150"/>
        <v>#N/A</v>
      </c>
      <c r="M201" t="e">
        <f t="shared" si="151"/>
        <v>#N/A</v>
      </c>
      <c r="N201" t="e">
        <f t="shared" si="152"/>
        <v>#N/A</v>
      </c>
      <c r="O201" t="n">
        <f t="shared" si="153"/>
        <v>0</v>
      </c>
      <c r="P201" t="n">
        <f t="shared" si="154"/>
        <v>0</v>
      </c>
      <c r="Q201" t="n">
        <f t="shared" si="155"/>
        <v>0</v>
      </c>
      <c r="R201" t="n">
        <f t="shared" si="156"/>
        <v>0</v>
      </c>
      <c r="S201" t="e">
        <f t="shared" si="157"/>
        <v>#N/A</v>
      </c>
      <c r="T201" t="e">
        <f t="shared" si="158"/>
        <v>#N/A</v>
      </c>
      <c r="U201" t="e">
        <f t="shared" si="159"/>
        <v>#N/A</v>
      </c>
      <c r="V201" t="e">
        <f t="shared" si="160"/>
        <v>#N/A</v>
      </c>
      <c r="W201" t="e">
        <f t="shared" si="161"/>
        <v>#N/A</v>
      </c>
      <c r="X201" t="e">
        <f t="shared" si="162"/>
        <v>#N/A</v>
      </c>
      <c r="Y201" t="e">
        <f t="shared" si="163"/>
        <v>#N/A</v>
      </c>
      <c r="Z201" t="e">
        <f t="shared" si="164"/>
        <v>#N/A</v>
      </c>
      <c r="AA201" t="e">
        <f t="shared" si="165"/>
        <v>#N/A</v>
      </c>
      <c r="AB201" t="e">
        <f t="shared" si="166"/>
        <v>#N/A</v>
      </c>
      <c r="AC201" t="e">
        <f t="shared" si="167"/>
        <v>#N/A</v>
      </c>
      <c r="AD201" t="e">
        <f t="shared" si="168"/>
        <v>#N/A</v>
      </c>
      <c r="AE201" t="e">
        <f t="shared" si="169"/>
        <v>#N/A</v>
      </c>
      <c r="AF201" t="e">
        <f t="shared" si="170"/>
        <v>#N/A</v>
      </c>
      <c r="AG201" t="e">
        <f t="shared" si="171"/>
        <v>#N/A</v>
      </c>
      <c r="AH201" t="e">
        <f t="shared" si="172"/>
        <v>#N/A</v>
      </c>
      <c r="AI201" t="e">
        <f t="shared" si="173"/>
        <v>#N/A</v>
      </c>
      <c r="AJ201" t="e">
        <f t="shared" si="174"/>
        <v>#N/A</v>
      </c>
    </row>
  </sheetData>
  <pageMargins left="0.7" right="0.7" top="0.75" bottom="0.75" header="0.3" footer="0.3"/>
  <pageSetup paperSize="9" orientation="portrait" horizontalDpi="300" verticalDpi="300"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showGridLines="0"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.0" baseColWidth="10"/>
  <cols>
    <col min="1" max="1" width="13.7109375" hidden="0" customWidth="1"/>
    <col min="2" max="2" width="15.7109375" hidden="0" customWidth="1"/>
    <col min="3" max="3" width="15.7109375" hidden="0" customWidth="1"/>
    <col min="4" max="4" width="15.7109375" hidden="0" customWidth="1"/>
    <col min="5" max="5" width="15.7109375" hidden="0" customWidth="1"/>
    <col min="6" max="6" width="15.7109375" hidden="0" customWidth="1"/>
    <col min="7" max="7" width="15.7109375" hidden="0" customWidth="1"/>
    <col min="8" max="8" width="15.7109375" hidden="0" customWidth="1"/>
    <col min="9" max="9" width="15.7109375" hidden="0" customWidth="1"/>
    <col min="10" max="10" width="15.7109375" hidden="0" customWidth="1"/>
    <col min="11" max="11" width="15.7109375" hidden="0" customWidth="1"/>
    <col min="12" max="12" width="15.7109375" hidden="0" customWidth="1"/>
    <col min="13" max="13" width="15.7109375" hidden="0" customWidth="1"/>
    <col min="14" max="14" width="15.7109375" hidden="0" customWidth="1"/>
    <col min="15" max="15" width="15.7109375" hidden="0" customWidth="1"/>
    <col min="16" max="16" width="15.7109375" hidden="0" customWidth="1"/>
    <col min="17" max="17" width="15.7109375" hidden="0" customWidth="1"/>
    <col min="18" max="18" width="15.7109375" hidden="0" customWidth="1"/>
    <col min="19" max="19" width="15.7109375" hidden="0" customWidth="1"/>
    <col min="20" max="20" width="15.7109375" hidden="0" customWidth="1"/>
    <col min="21" max="21" width="15.7109375" hidden="0" customWidth="1"/>
    <col min="22" max="22" width="15.7109375" hidden="0" customWidth="1"/>
    <col min="23" max="23" width="15.7109375" hidden="0" customWidth="1"/>
    <col min="24" max="24" width="15.7109375" hidden="0" customWidth="1"/>
    <col min="25" max="25" width="15.7109375" hidden="0" customWidth="1"/>
    <col min="26" max="26" width="15.7109375" hidden="0" customWidth="1"/>
    <col min="27" max="27" width="15.7109375" hidden="0" customWidth="1"/>
    <col min="28" max="28" width="15.7109375" hidden="0" customWidth="1"/>
    <col min="29" max="29" width="15.7109375" hidden="0" customWidth="1"/>
    <col min="30" max="30" width="15.7109375" hidden="0" customWidth="1"/>
    <col min="31" max="31" width="15.7109375" hidden="0" customWidth="1"/>
    <col min="32" max="32" width="15.7109375" hidden="0" customWidth="1"/>
    <col min="33" max="33" width="15.7109375" hidden="0" customWidth="1"/>
    <col min="34" max="34" width="15.7109375" hidden="0" customWidth="1"/>
    <col min="35" max="35" width="15.7109375" hidden="0" customWidth="1"/>
    <col min="36" max="36" width="15.7109375" hidden="0" customWidth="1"/>
    <col min="37" max="37" width="15.7109375" hidden="0" customWidth="1"/>
    <col min="38" max="38" width="15.7109375" hidden="0" customWidth="1"/>
    <col min="39" max="39" width="15.7109375" hidden="0" customWidth="1"/>
    <col min="40" max="40" width="15.7109375" hidden="0" customWidth="1"/>
    <col min="41" max="41" width="15.7109375" hidden="0" customWidth="1"/>
    <col min="42" max="42" width="15.7109375" hidden="0" customWidth="1"/>
    <col min="43" max="43" width="15.7109375" hidden="0" customWidth="1"/>
    <col min="44" max="44" width="15.7109375" hidden="0" customWidth="1"/>
    <col min="45" max="45" width="15.7109375" hidden="0" customWidth="1"/>
    <col min="46" max="46" width="15.7109375" hidden="0" customWidth="1"/>
    <col min="47" max="47" width="15.7109375" hidden="0" customWidth="1"/>
    <col min="48" max="48" width="15.7109375" hidden="0" customWidth="1"/>
    <col min="49" max="49" width="15.7109375" hidden="0" customWidth="1"/>
    <col min="50" max="50" width="15.7109375" hidden="0" customWidth="1"/>
    <col min="51" max="51" width="15.7109375" hidden="0" customWidth="1"/>
    <col min="52" max="52" width="15.7109375" hidden="0" customWidth="1"/>
    <col min="53" max="53" width="15.7109375" hidden="0" customWidth="1"/>
    <col min="54" max="54" width="15.7109375" hidden="0" customWidth="1"/>
    <col min="55" max="55" width="15.7109375" hidden="0" customWidth="1"/>
    <col min="56" max="56" width="15.7109375" hidden="0" customWidth="1"/>
    <col min="57" max="57" width="15.7109375" hidden="0" customWidth="1"/>
    <col min="58" max="58" width="15.7109375" hidden="0" customWidth="1"/>
    <col min="59" max="59" width="15.7109375" hidden="0" customWidth="1"/>
    <col min="60" max="60" width="15.7109375" hidden="0" customWidth="1"/>
    <col min="61" max="61" width="15.7109375" hidden="0" customWidth="1"/>
    <col min="62" max="62" width="15.7109375" hidden="0" customWidth="1"/>
    <col min="63" max="63" width="15.7109375" hidden="0" customWidth="1"/>
    <col min="64" max="64" width="15.7109375" hidden="0" customWidth="1"/>
    <col min="65" max="65" width="15.7109375" hidden="0" customWidth="1"/>
    <col min="66" max="66" width="15.7109375" hidden="0" customWidth="1"/>
    <col min="67" max="67" width="15.7109375" hidden="0" customWidth="1"/>
    <col min="68" max="68" width="15.7109375" hidden="0" customWidth="1"/>
    <col min="69" max="69" width="15.7109375" hidden="0" customWidth="1"/>
    <col min="70" max="70" width="15.7109375" hidden="0" customWidth="1"/>
    <col min="71" max="71" width="15.7109375" hidden="0" customWidth="1"/>
    <col min="72" max="72" width="15.7109375" hidden="0" customWidth="1"/>
    <col min="73" max="73" width="15.7109375" hidden="0" customWidth="1"/>
    <col min="74" max="74" width="15.7109375" hidden="0" customWidth="1"/>
    <col min="75" max="75" width="15.7109375" hidden="0" customWidth="1"/>
    <col min="76" max="76" width="15.7109375" hidden="0" customWidth="1"/>
    <col min="77" max="77" width="15.7109375" hidden="0" customWidth="1"/>
    <col min="78" max="78" width="15.7109375" hidden="0" customWidth="1"/>
    <col min="79" max="79" width="15.7109375" hidden="0" customWidth="1"/>
    <col min="80" max="80" width="15.7109375" hidden="0" customWidth="1"/>
    <col min="81" max="81" width="15.7109375" hidden="0" customWidth="1"/>
    <col min="82" max="82" width="15.7109375" hidden="0" customWidth="1"/>
    <col min="83" max="83" width="15.7109375" hidden="0" customWidth="1"/>
    <col min="84" max="84" width="15.7109375" hidden="0" customWidth="1"/>
    <col min="85" max="85" width="15.7109375" hidden="0" customWidth="1"/>
    <col min="86" max="86" width="15.7109375" hidden="0" customWidth="1"/>
    <col min="87" max="87" width="15.7109375" hidden="0" customWidth="1"/>
    <col min="88" max="88" width="15.7109375" hidden="0" customWidth="1"/>
    <col min="89" max="89" width="15.7109375" hidden="0" customWidth="1"/>
    <col min="90" max="90" width="15.7109375" hidden="0" customWidth="1"/>
    <col min="91" max="91" width="15.7109375" hidden="0" customWidth="1"/>
    <col min="92" max="92" width="15.7109375" hidden="0" customWidth="1"/>
    <col min="93" max="93" width="15.7109375" hidden="0" customWidth="1"/>
    <col min="94" max="94" width="15.7109375" hidden="0" customWidth="1"/>
    <col min="95" max="95" width="15.7109375" hidden="0" customWidth="1"/>
    <col min="96" max="96" width="15.7109375" hidden="0" customWidth="1"/>
    <col min="97" max="97" width="15.7109375" hidden="0" customWidth="1"/>
    <col min="98" max="98" width="15.7109375" hidden="0" customWidth="1"/>
    <col min="99" max="99" width="15.7109375" hidden="0" customWidth="1"/>
    <col min="100" max="100" width="15.7109375" hidden="0" customWidth="1"/>
    <col min="101" max="101" width="15.7109375" hidden="0" customWidth="1"/>
    <col min="102" max="102" width="15.7109375" hidden="0" customWidth="1"/>
    <col min="103" max="103" width="15.7109375" hidden="0" customWidth="1"/>
    <col min="104" max="104" width="15.7109375" hidden="0" customWidth="1"/>
    <col min="105" max="105" width="15.7109375" hidden="0" customWidth="1"/>
    <col min="106" max="106" width="15.7109375" hidden="0" customWidth="1"/>
    <col min="107" max="107" width="15.7109375" hidden="0" customWidth="1"/>
    <col min="108" max="108" width="15.7109375" hidden="0" customWidth="1"/>
    <col min="109" max="109" width="15.7109375" hidden="0" customWidth="1"/>
    <col min="110" max="110" width="15.7109375" hidden="0" customWidth="1"/>
    <col min="111" max="111" width="15.7109375" hidden="0" customWidth="1"/>
    <col min="112" max="112" width="15.7109375" hidden="0" customWidth="1"/>
    <col min="113" max="113" width="15.7109375" hidden="0" customWidth="1"/>
    <col min="114" max="114" width="15.7109375" hidden="0" customWidth="1"/>
    <col min="115" max="115" width="15.7109375" hidden="0" customWidth="1"/>
    <col min="116" max="116" width="15.7109375" hidden="0" customWidth="1"/>
    <col min="117" max="117" width="15.7109375" hidden="0" customWidth="1"/>
    <col min="118" max="118" width="15.7109375" hidden="0" customWidth="1"/>
    <col min="119" max="119" width="15.7109375" hidden="0" customWidth="1"/>
    <col min="120" max="120" width="15.7109375" hidden="0" customWidth="1"/>
    <col min="121" max="121" width="15.7109375" hidden="0" customWidth="1"/>
    <col min="122" max="122" width="15.7109375" hidden="0" customWidth="1"/>
    <col min="123" max="123" width="15.7109375" hidden="0" customWidth="1"/>
    <col min="124" max="124" width="15.7109375" hidden="0" customWidth="1"/>
    <col min="125" max="125" width="15.7109375" hidden="0" customWidth="1"/>
    <col min="126" max="126" width="15.7109375" hidden="0" customWidth="1"/>
    <col min="127" max="127" width="15.7109375" hidden="0" customWidth="1"/>
    <col min="128" max="128" width="15.7109375" hidden="0" customWidth="1"/>
    <col min="129" max="129" width="15.7109375" hidden="0" customWidth="1"/>
    <col min="130" max="130" width="15.7109375" hidden="0" customWidth="1"/>
    <col min="131" max="131" width="15.7109375" hidden="0" customWidth="1"/>
    <col min="132" max="132" width="15.7109375" hidden="0" customWidth="1"/>
    <col min="133" max="133" width="15.7109375" hidden="0" customWidth="1"/>
    <col min="134" max="134" width="15.7109375" hidden="0" customWidth="1"/>
    <col min="135" max="135" width="15.7109375" hidden="0" customWidth="1"/>
    <col min="136" max="136" width="15.7109375" hidden="0" customWidth="1"/>
    <col min="137" max="137" width="15.7109375" hidden="0" customWidth="1"/>
    <col min="138" max="138" width="15.7109375" hidden="0" customWidth="1"/>
    <col min="139" max="139" width="15.7109375" hidden="0" customWidth="1"/>
  </cols>
  <sheetData>
    <row r="1">
      <c r="A1" s="1" t="s">
        <v>0</v>
      </c>
      <c r="B1" t="s">
        <v>2</v>
      </c>
      <c r="C1" t="s">
        <v>36</v>
      </c>
      <c r="D1" t="s">
        <v>37</v>
      </c>
      <c r="E1" t="s">
        <v>38</v>
      </c>
      <c r="F1" t="s">
        <v>39</v>
      </c>
      <c r="G1" t="s">
        <v>40</v>
      </c>
      <c r="H1" t="s">
        <v>41</v>
      </c>
      <c r="I1" t="s">
        <v>42</v>
      </c>
      <c r="J1" t="s">
        <v>43</v>
      </c>
      <c r="K1" t="s">
        <v>44</v>
      </c>
      <c r="L1" t="s">
        <v>45</v>
      </c>
      <c r="M1" t="s">
        <v>7</v>
      </c>
      <c r="N1" t="s">
        <v>46</v>
      </c>
      <c r="O1" t="s">
        <v>3</v>
      </c>
      <c r="P1" t="s">
        <v>47</v>
      </c>
      <c r="Q1" t="s">
        <v>48</v>
      </c>
      <c r="R1" t="s">
        <v>49</v>
      </c>
      <c r="S1" t="s">
        <v>50</v>
      </c>
      <c r="T1" t="s">
        <v>51</v>
      </c>
      <c r="U1" t="s">
        <v>52</v>
      </c>
      <c r="V1" t="s">
        <v>53</v>
      </c>
      <c r="W1" t="s">
        <v>54</v>
      </c>
      <c r="X1" t="s">
        <v>55</v>
      </c>
      <c r="Y1" t="s">
        <v>5</v>
      </c>
      <c r="Z1" t="s">
        <v>56</v>
      </c>
      <c r="AA1" t="s">
        <v>57</v>
      </c>
      <c r="AB1" t="s">
        <v>58</v>
      </c>
      <c r="AC1" t="s">
        <v>59</v>
      </c>
      <c r="AD1" t="s">
        <v>60</v>
      </c>
      <c r="AE1" t="s">
        <v>61</v>
      </c>
      <c r="AF1" t="s">
        <v>62</v>
      </c>
      <c r="AG1" t="s">
        <v>63</v>
      </c>
      <c r="AH1" t="s">
        <v>64</v>
      </c>
      <c r="AI1" t="s">
        <v>65</v>
      </c>
      <c r="AJ1" t="s">
        <v>66</v>
      </c>
      <c r="AK1" t="s">
        <v>67</v>
      </c>
      <c r="AL1" t="s">
        <v>68</v>
      </c>
      <c r="AM1" t="s">
        <v>69</v>
      </c>
      <c r="AN1" t="s">
        <v>70</v>
      </c>
      <c r="AO1" t="s">
        <v>71</v>
      </c>
      <c r="AP1" t="s">
        <v>72</v>
      </c>
      <c r="AQ1" t="s">
        <v>73</v>
      </c>
      <c r="AR1" t="s">
        <v>74</v>
      </c>
      <c r="AS1" t="s">
        <v>75</v>
      </c>
      <c r="AT1" t="s">
        <v>8</v>
      </c>
      <c r="AU1" t="s">
        <v>9</v>
      </c>
      <c r="AV1" t="s">
        <v>76</v>
      </c>
      <c r="AW1" t="s">
        <v>77</v>
      </c>
      <c r="AX1" t="s">
        <v>78</v>
      </c>
      <c r="AY1" t="s">
        <v>79</v>
      </c>
      <c r="AZ1" t="s">
        <v>80</v>
      </c>
      <c r="BA1" t="s">
        <v>81</v>
      </c>
      <c r="BB1" t="s">
        <v>82</v>
      </c>
      <c r="BC1" t="s">
        <v>83</v>
      </c>
      <c r="BD1" t="s">
        <v>84</v>
      </c>
      <c r="BE1" t="s">
        <v>85</v>
      </c>
      <c r="BF1" t="s">
        <v>86</v>
      </c>
      <c r="BG1" t="s">
        <v>87</v>
      </c>
      <c r="BH1" t="s">
        <v>88</v>
      </c>
      <c r="BI1" t="s">
        <v>89</v>
      </c>
      <c r="BJ1" t="s">
        <v>90</v>
      </c>
      <c r="BK1" t="s">
        <v>91</v>
      </c>
      <c r="BL1" t="s">
        <v>92</v>
      </c>
      <c r="BM1" t="s">
        <v>93</v>
      </c>
      <c r="BN1" t="s">
        <v>94</v>
      </c>
      <c r="BO1" t="s">
        <v>1</v>
      </c>
      <c r="BP1" t="s">
        <v>95</v>
      </c>
      <c r="BQ1" t="s">
        <v>96</v>
      </c>
      <c r="BR1" t="s">
        <v>97</v>
      </c>
      <c r="BS1" t="s">
        <v>98</v>
      </c>
      <c r="BT1" t="s">
        <v>99</v>
      </c>
      <c r="BU1" t="s">
        <v>100</v>
      </c>
      <c r="BV1" t="s">
        <v>101</v>
      </c>
      <c r="BW1" t="s">
        <v>102</v>
      </c>
      <c r="BX1" t="s">
        <v>103</v>
      </c>
      <c r="BY1" t="s">
        <v>4</v>
      </c>
      <c r="BZ1" t="s">
        <v>104</v>
      </c>
      <c r="CA1" t="s">
        <v>105</v>
      </c>
      <c r="CB1" t="s">
        <v>6</v>
      </c>
      <c r="CC1" t="s">
        <v>106</v>
      </c>
      <c r="CD1" t="s">
        <v>107</v>
      </c>
      <c r="CE1" t="s">
        <v>108</v>
      </c>
      <c r="CF1" t="s">
        <v>109</v>
      </c>
      <c r="CG1" t="s">
        <v>110</v>
      </c>
      <c r="CH1" t="s">
        <v>111</v>
      </c>
      <c r="CI1" t="s">
        <v>112</v>
      </c>
      <c r="CJ1" t="s">
        <v>113</v>
      </c>
      <c r="CK1" t="s">
        <v>114</v>
      </c>
      <c r="CL1" t="s">
        <v>115</v>
      </c>
      <c r="CM1" t="s">
        <v>116</v>
      </c>
      <c r="CN1" t="s">
        <v>117</v>
      </c>
      <c r="CO1" t="s">
        <v>118</v>
      </c>
      <c r="CP1" t="s">
        <v>119</v>
      </c>
      <c r="CQ1" t="s">
        <v>120</v>
      </c>
      <c r="CR1" t="s">
        <v>121</v>
      </c>
      <c r="CS1" t="s">
        <v>122</v>
      </c>
      <c r="CT1" t="s">
        <v>123</v>
      </c>
      <c r="CU1" t="s">
        <v>124</v>
      </c>
      <c r="CV1" t="s">
        <v>125</v>
      </c>
      <c r="CW1" t="s">
        <v>126</v>
      </c>
      <c r="CX1" t="s">
        <v>127</v>
      </c>
      <c r="CY1" t="s">
        <v>128</v>
      </c>
      <c r="CZ1" t="s">
        <v>129</v>
      </c>
      <c r="DA1" t="s">
        <v>130</v>
      </c>
      <c r="DB1" t="s">
        <v>131</v>
      </c>
      <c r="DC1" t="s">
        <v>132</v>
      </c>
      <c r="DD1" t="s">
        <v>133</v>
      </c>
      <c r="DE1" t="s">
        <v>134</v>
      </c>
      <c r="DF1" t="s">
        <v>135</v>
      </c>
      <c r="DG1" t="s">
        <v>136</v>
      </c>
      <c r="DH1" t="s">
        <v>137</v>
      </c>
      <c r="DI1" t="s">
        <v>138</v>
      </c>
      <c r="DJ1" t="s">
        <v>139</v>
      </c>
      <c r="DK1" t="s">
        <v>140</v>
      </c>
      <c r="DL1" t="s">
        <v>141</v>
      </c>
      <c r="DM1" t="s">
        <v>142</v>
      </c>
      <c r="DN1" t="s">
        <v>143</v>
      </c>
      <c r="DO1" t="s">
        <v>144</v>
      </c>
      <c r="DP1" t="s">
        <v>145</v>
      </c>
      <c r="DQ1" t="s">
        <v>146</v>
      </c>
      <c r="DR1" t="s">
        <v>147</v>
      </c>
      <c r="DS1" t="s">
        <v>148</v>
      </c>
      <c r="DT1" t="s">
        <v>149</v>
      </c>
      <c r="DU1" t="s">
        <v>150</v>
      </c>
      <c r="DV1" t="s">
        <v>151</v>
      </c>
      <c r="DW1" t="s">
        <v>152</v>
      </c>
      <c r="DX1" t="s">
        <v>153</v>
      </c>
      <c r="DY1" t="s">
        <v>154</v>
      </c>
      <c r="DZ1" t="s">
        <v>155</v>
      </c>
      <c r="EA1" t="s">
        <v>156</v>
      </c>
      <c r="EB1" t="s">
        <v>157</v>
      </c>
      <c r="EC1" t="s">
        <v>158</v>
      </c>
      <c r="ED1" t="s">
        <v>159</v>
      </c>
      <c r="EE1" t="s">
        <v>160</v>
      </c>
      <c r="EF1" t="s">
        <v>161</v>
      </c>
      <c r="EG1" t="s">
        <v>162</v>
      </c>
      <c r="EH1" t="s">
        <v>163</v>
      </c>
      <c r="EI1" t="s">
        <v>164</v>
      </c>
    </row>
    <row r="2">
      <c r="A2" s="2" t="n">
        <v>45992</v>
      </c>
      <c r="B2" t="n">
        <v>355093.061230489</v>
      </c>
      <c r="C2" t="n">
        <v>36864.8957689682</v>
      </c>
      <c r="D2" t="n">
        <v>18802.8174934291</v>
      </c>
      <c r="E2" t="n">
        <v>216966.642649534</v>
      </c>
      <c r="F2" t="n">
        <v>37847.8472827271</v>
      </c>
      <c r="G2" t="n">
        <v>11695.7605422432</v>
      </c>
      <c r="H2" t="n">
        <v>46434.288678109</v>
      </c>
      <c r="I2" t="n">
        <v>46718.3016864746</v>
      </c>
      <c r="J2" t="n">
        <v>89267.9715934165</v>
      </c>
      <c r="K2" t="n">
        <v>412.722945515696</v>
      </c>
      <c r="L2" t="n">
        <v>4620.06068185716</v>
      </c>
      <c r="M2" t="n">
        <v>0.668738443493437</v>
      </c>
      <c r="N2" t="n">
        <v>26415.8365048095</v>
      </c>
      <c r="O2" t="n">
        <v>144.861825036032</v>
      </c>
      <c r="P2" t="n">
        <v>1.26523400503335</v>
      </c>
      <c r="Q2" t="n">
        <v>1.07533708024716</v>
      </c>
      <c r="R2" t="n">
        <v>1.02337931717621</v>
      </c>
      <c r="S2" t="n">
        <v>0.0780910771144146</v>
      </c>
      <c r="T2" t="n">
        <v>8914.80863593364</v>
      </c>
      <c r="U2" t="n">
        <v>0.41105536552998</v>
      </c>
      <c r="V2" t="n">
        <v>0.667386928644671</v>
      </c>
      <c r="W2" t="n">
        <v>18750358.1018365</v>
      </c>
      <c r="X2" t="n">
        <v>59738.9827122411</v>
      </c>
      <c r="Y2" t="n">
        <v>4306620.46796513</v>
      </c>
      <c r="Z2" t="n">
        <v>858.352314370077</v>
      </c>
      <c r="AA2" t="n">
        <v>1.04881593459621</v>
      </c>
      <c r="AB2" t="n">
        <v>1.03444713769938</v>
      </c>
      <c r="AC2" t="n">
        <v>1.07054831952144</v>
      </c>
      <c r="AD2" t="n">
        <v>1.06183181758524</v>
      </c>
      <c r="AE2" t="n">
        <v>107.380525852434</v>
      </c>
      <c r="AF2" t="n">
        <v>90281.0884405956</v>
      </c>
      <c r="AG2" t="n">
        <v>844.856861071567</v>
      </c>
      <c r="AH2" t="n">
        <v>100.784547643008</v>
      </c>
      <c r="AI2" t="n">
        <v>63898.5997334344</v>
      </c>
      <c r="AJ2" t="n">
        <v>86615.030867036</v>
      </c>
      <c r="AK2" t="n">
        <v>494.240509736477</v>
      </c>
      <c r="AL2" t="n">
        <v>24146.1713547209</v>
      </c>
      <c r="AM2" t="n">
        <v>19189.1903573759</v>
      </c>
      <c r="AN2" t="n">
        <v>0.790671200029928</v>
      </c>
      <c r="AO2" t="n">
        <v>1.00015194294129</v>
      </c>
      <c r="AP2" t="n">
        <v>1.03012455442464</v>
      </c>
      <c r="AQ2" t="n">
        <v>1.06486065846252</v>
      </c>
      <c r="AR2" t="n">
        <v>32153.1070131347</v>
      </c>
      <c r="AS2" t="n">
        <v>164121.412084132</v>
      </c>
      <c r="AT2" t="n">
        <v>0.0314049553003385</v>
      </c>
      <c r="AU2" t="n">
        <v>0.0420180185621423</v>
      </c>
      <c r="AV2" t="n">
        <v>0.162034773055045</v>
      </c>
      <c r="AW2" t="n">
        <v>-20.3573504657543</v>
      </c>
      <c r="AX2" t="n">
        <v>11150.4565404427</v>
      </c>
      <c r="AY2" t="n">
        <v>17416.571691245</v>
      </c>
      <c r="AZ2" t="n">
        <v>167287.840655172</v>
      </c>
      <c r="BA2" t="n">
        <v>378124.627742215</v>
      </c>
      <c r="BB2" t="n">
        <v>171174.170729606</v>
      </c>
      <c r="BC2" t="n">
        <v>210405.156298396</v>
      </c>
      <c r="BD2" t="n">
        <v>49163.1607442823</v>
      </c>
      <c r="BE2" t="n">
        <v>14.9825957301002</v>
      </c>
      <c r="BF2" t="n">
        <v>39144.319279454</v>
      </c>
      <c r="BG2" t="n">
        <v>14107.9367866147</v>
      </c>
      <c r="BH2" t="n">
        <v>19720.6946024129</v>
      </c>
      <c r="BI2" t="n">
        <v>66099.7229507418</v>
      </c>
      <c r="BJ2" t="n">
        <v>41683.5068148933</v>
      </c>
      <c r="BK2" t="n">
        <v>70581.6142240041</v>
      </c>
      <c r="BL2" t="n">
        <v>18728.6853503788</v>
      </c>
      <c r="BM2" t="n">
        <v>19192.1060193997</v>
      </c>
      <c r="BN2" t="n">
        <v>34526.1753885998</v>
      </c>
      <c r="BO2" t="n">
        <v>160369.428982382</v>
      </c>
      <c r="BP2" t="n">
        <v>167958.458632655</v>
      </c>
      <c r="BQ2" t="n">
        <v>722465.949255665</v>
      </c>
      <c r="BR2" t="n">
        <v>688866.834207019</v>
      </c>
      <c r="BS2" t="n">
        <v>686130.388232023</v>
      </c>
      <c r="BT2" t="n">
        <v>106.46199073882</v>
      </c>
      <c r="BU2" t="n">
        <v>1.04877443833457</v>
      </c>
      <c r="BV2" t="n">
        <v>0.958643666833798</v>
      </c>
      <c r="BW2" t="n">
        <v>93.6743249295834</v>
      </c>
      <c r="BX2" t="n">
        <v>75552.2164794019</v>
      </c>
      <c r="BY2" t="n">
        <v>1.07759469179137</v>
      </c>
      <c r="BZ2" t="n">
        <v>81414.6674312757</v>
      </c>
      <c r="CA2" t="n">
        <v>10040.0776089566</v>
      </c>
      <c r="CB2" t="n">
        <v>14660.1382908138</v>
      </c>
      <c r="CC2" t="n">
        <v>15393.4114614626</v>
      </c>
      <c r="CD2" t="n">
        <v>733.273170648825</v>
      </c>
      <c r="CE2" t="n">
        <v>0.0476355452146825</v>
      </c>
      <c r="CF2" t="n">
        <v>10930997.3576278</v>
      </c>
      <c r="CG2" t="n">
        <v>356430.608774592</v>
      </c>
      <c r="CH2" t="n">
        <v>450774.168479599</v>
      </c>
      <c r="CI2" t="n">
        <v>249624.543667212</v>
      </c>
      <c r="CJ2" t="n">
        <v>19624.5909218291</v>
      </c>
      <c r="CK2" t="n">
        <v>716258.656413555</v>
      </c>
      <c r="CL2" t="n">
        <v>0.0554403947320083</v>
      </c>
      <c r="CM2" t="n">
        <v>18.0373896115616</v>
      </c>
      <c r="CN2" t="n">
        <v>1138776.53851023</v>
      </c>
      <c r="CO2" t="n">
        <v>2602621.14978424</v>
      </c>
      <c r="CP2" t="n">
        <v>3135175.83877908</v>
      </c>
      <c r="CQ2" t="n">
        <v>3741397.68829447</v>
      </c>
      <c r="CR2" t="n">
        <v>8964050.02139075</v>
      </c>
      <c r="CS2" t="n">
        <v>-0.00628720111823125</v>
      </c>
      <c r="CT2" t="n">
        <v>0.00432586214357262</v>
      </c>
      <c r="CU2" t="n">
        <v>0.0403989206958449</v>
      </c>
      <c r="CV2" t="n">
        <v>1.36098706976141</v>
      </c>
      <c r="CW2" t="n">
        <v>0.0686010071769073</v>
      </c>
      <c r="CX2" t="n">
        <v>0.0359883333333333</v>
      </c>
      <c r="CY2" t="n">
        <v>0.0315806717244602</v>
      </c>
      <c r="CZ2" t="n">
        <v>-0.0272548095808876</v>
      </c>
      <c r="DA2" t="n">
        <v>0.606593443590656</v>
      </c>
      <c r="DB2" t="n">
        <v>5.92531755109791</v>
      </c>
      <c r="DC2" t="n">
        <v>0.0491344465503385</v>
      </c>
      <c r="DD2" t="n">
        <v>0.0341189972562926</v>
      </c>
      <c r="DE2" t="n">
        <v>0.00709662243622386</v>
      </c>
      <c r="DF2" t="n">
        <v>0.113580878259474</v>
      </c>
      <c r="DG2" t="n">
        <v>200181.960215847</v>
      </c>
      <c r="DH2" t="n">
        <v>109.334864179179</v>
      </c>
      <c r="DI2" t="n">
        <v>4.72994386888981</v>
      </c>
      <c r="DJ2" t="n">
        <v>4.12779532125685</v>
      </c>
      <c r="DK2" t="n">
        <v>0.0484267358713257</v>
      </c>
      <c r="DL2" t="n">
        <v>0.669440030437354</v>
      </c>
      <c r="DM2" t="n">
        <v>1.06520055236338</v>
      </c>
      <c r="DN2" t="n">
        <v>0.0399169327369503</v>
      </c>
      <c r="DO2" t="n">
        <v>0.0374213819593254</v>
      </c>
      <c r="DP2" t="n">
        <v>27807.5</v>
      </c>
      <c r="DQ2" t="n">
        <v>23018.5831414875</v>
      </c>
      <c r="DR2" t="n">
        <v>159893.923149704</v>
      </c>
      <c r="DS2" t="n">
        <v>28230.3912902088</v>
      </c>
      <c r="DT2" t="n">
        <v>12057.6457759338</v>
      </c>
      <c r="DU2" t="n">
        <v>0</v>
      </c>
      <c r="DV2" t="n">
        <v>73.75</v>
      </c>
      <c r="DW2" t="n">
        <v>221584</v>
      </c>
      <c r="DX2" t="n">
        <v>2.04023770383496</v>
      </c>
      <c r="DY2" t="n">
        <v>67.737</v>
      </c>
      <c r="DZ2" t="n">
        <v>1.01739329913342</v>
      </c>
      <c r="EA2" t="n">
        <v>1.16441566706905</v>
      </c>
      <c r="EB2" t="n">
        <v>140094950.85763</v>
      </c>
      <c r="EC2" t="n">
        <v>3.30177570093458</v>
      </c>
      <c r="ED2" t="n">
        <v>0.0429</v>
      </c>
      <c r="EE2" t="n">
        <v>0.0151</v>
      </c>
      <c r="EF2" t="n">
        <v>0.0261</v>
      </c>
      <c r="EG2" t="n">
        <v>0.0458</v>
      </c>
      <c r="EH2" t="n">
        <v>693275.909520931</v>
      </c>
      <c r="EI2" t="n">
        <v>357111.739345877</v>
      </c>
      <c r="EJ2" t="n">
        <v>840.953074550515</v>
      </c>
      <c r="EK2" t="n">
        <v>1.74128410904808</v>
      </c>
      <c r="EL2" t="n">
        <v>3.76921564185697</v>
      </c>
    </row>
    <row r="3">
      <c r="A3" s="2" t="n">
        <v>46082</v>
      </c>
      <c r="B3" t="n">
        <v>360057.783987501</v>
      </c>
      <c r="C3" t="n">
        <v>37067.0424609753</v>
      </c>
      <c r="D3" t="n">
        <v>18872.2646886191</v>
      </c>
      <c r="E3" t="n">
        <v>216876.566698862</v>
      </c>
      <c r="F3" t="n">
        <v>40938.1691439177</v>
      </c>
      <c r="G3" t="n">
        <v>11625.7870962321</v>
      </c>
      <c r="H3" t="n">
        <v>47918.6218670103</v>
      </c>
      <c r="I3" t="n">
        <v>47984.3155193521</v>
      </c>
      <c r="J3" t="n">
        <v>96493.4965053367</v>
      </c>
      <c r="K3" t="n">
        <v>412.688544165687</v>
      </c>
      <c r="L3" t="n">
        <v>4662.14411005516</v>
      </c>
      <c r="M3" t="n">
        <v>0.668207338782978</v>
      </c>
      <c r="N3" t="n">
        <v>26494.6807937833</v>
      </c>
      <c r="O3" t="n">
        <v>146.567278204913</v>
      </c>
      <c r="P3" t="n">
        <v>1.28971190722577</v>
      </c>
      <c r="Q3" t="n">
        <v>1.0972649349012</v>
      </c>
      <c r="R3" t="n">
        <v>1.03399671427162</v>
      </c>
      <c r="S3" t="n">
        <v>0.0842381097914281</v>
      </c>
      <c r="T3" t="n">
        <v>9182.41885547983</v>
      </c>
      <c r="U3" t="n">
        <v>0.397564508381742</v>
      </c>
      <c r="V3" t="n">
        <v>0.642265810530617</v>
      </c>
      <c r="W3" t="n">
        <v>19187021.9233117</v>
      </c>
      <c r="X3" t="n">
        <v>60515.6220170361</v>
      </c>
      <c r="Y3" t="n">
        <v>4341504.405242</v>
      </c>
      <c r="Z3" t="n">
        <v>878.981568792328</v>
      </c>
      <c r="AA3" t="n">
        <v>1.05382616074384</v>
      </c>
      <c r="AB3" t="n">
        <v>1.03977785373815</v>
      </c>
      <c r="AC3" t="n">
        <v>1.07839824644848</v>
      </c>
      <c r="AD3" t="n">
        <v>1.07448083660855</v>
      </c>
      <c r="AE3" t="n">
        <v>108.27256055103</v>
      </c>
      <c r="AF3" t="n">
        <v>91558.6523118303</v>
      </c>
      <c r="AG3" t="n">
        <v>864.352810381144</v>
      </c>
      <c r="AH3" t="n">
        <v>101.887247645536</v>
      </c>
      <c r="AI3" t="n">
        <v>65302.0856077189</v>
      </c>
      <c r="AJ3" t="n">
        <v>89233.9261713937</v>
      </c>
      <c r="AK3" t="n">
        <v>488.230905225378</v>
      </c>
      <c r="AL3" t="n">
        <v>24310.9092508171</v>
      </c>
      <c r="AM3" t="n">
        <v>19489.0947505137</v>
      </c>
      <c r="AN3" t="n">
        <v>0.836191952468968</v>
      </c>
      <c r="AO3" t="n">
        <v>0.995975538317465</v>
      </c>
      <c r="AP3" t="n">
        <v>1.04094967630496</v>
      </c>
      <c r="AQ3" t="n">
        <v>1.07614291091215</v>
      </c>
      <c r="AR3" t="n">
        <v>32995.825623294</v>
      </c>
      <c r="AS3" t="n">
        <v>166117.728578113</v>
      </c>
      <c r="AT3" t="n">
        <v>0.0418909243457843</v>
      </c>
      <c r="AU3" t="n">
        <v>0.041851576986759</v>
      </c>
      <c r="AV3" t="n">
        <v>0.0705531915456412</v>
      </c>
      <c r="AW3" t="n">
        <v>-90.0759506726754</v>
      </c>
      <c r="AX3" t="n">
        <v>11211.5994748524</v>
      </c>
      <c r="AY3" t="n">
        <v>17789.1916084219</v>
      </c>
      <c r="AZ3" t="n">
        <v>176028.608487566</v>
      </c>
      <c r="BA3" t="n">
        <v>387473.63277867</v>
      </c>
      <c r="BB3" t="n">
        <v>173602.745467246</v>
      </c>
      <c r="BC3" t="n">
        <v>216352.139669807</v>
      </c>
      <c r="BD3" t="n">
        <v>47410.6047457715</v>
      </c>
      <c r="BE3" t="n">
        <v>14.7999523106963</v>
      </c>
      <c r="BF3" t="n">
        <v>39827.8267940734</v>
      </c>
      <c r="BG3" t="n">
        <v>14459.7333417633</v>
      </c>
      <c r="BH3" t="n">
        <v>19888.086241349</v>
      </c>
      <c r="BI3" t="n">
        <v>67899.6617756743</v>
      </c>
      <c r="BJ3" t="n">
        <v>42111.0398205432</v>
      </c>
      <c r="BK3" t="n">
        <v>80687.0852433551</v>
      </c>
      <c r="BL3" t="n">
        <v>19519.45617216</v>
      </c>
      <c r="BM3" t="n">
        <v>19410.6616354629</v>
      </c>
      <c r="BN3" t="n">
        <v>35725.4252772932</v>
      </c>
      <c r="BO3" t="n">
        <v>172683.476328271</v>
      </c>
      <c r="BP3" t="n">
        <v>171765.185532034</v>
      </c>
      <c r="BQ3" t="n">
        <v>746181.017015557</v>
      </c>
      <c r="BR3" t="n">
        <v>703604.833724565</v>
      </c>
      <c r="BS3" t="n">
        <v>694123.93185288</v>
      </c>
      <c r="BT3" t="n">
        <v>107.427534775307</v>
      </c>
      <c r="BU3" t="n">
        <v>1.0605114964338</v>
      </c>
      <c r="BV3" t="n">
        <v>0.980996656236527</v>
      </c>
      <c r="BW3" t="n">
        <v>94.87425276081</v>
      </c>
      <c r="BX3" t="n">
        <v>76608.5474795013</v>
      </c>
      <c r="BY3" t="n">
        <v>1.08938482923954</v>
      </c>
      <c r="BZ3" t="n">
        <v>83456.1894142459</v>
      </c>
      <c r="CA3" t="n">
        <v>10122.2466749106</v>
      </c>
      <c r="CB3" t="n">
        <v>14784.3907849657</v>
      </c>
      <c r="CC3" t="n">
        <v>15447.8284722887</v>
      </c>
      <c r="CD3" t="n">
        <v>663.437687322963</v>
      </c>
      <c r="CE3" t="n">
        <v>0.0429469799590524</v>
      </c>
      <c r="CF3" t="n">
        <v>10969736.8987441</v>
      </c>
      <c r="CG3" t="n">
        <v>360524.416214168</v>
      </c>
      <c r="CH3" t="n">
        <v>458335.710900949</v>
      </c>
      <c r="CI3" t="n">
        <v>264982.479869416</v>
      </c>
      <c r="CJ3" t="n">
        <v>19953.7849775967</v>
      </c>
      <c r="CK3" t="n">
        <v>739769.968729322</v>
      </c>
      <c r="CL3" t="n">
        <v>0.0531701845569825</v>
      </c>
      <c r="CM3" t="n">
        <v>18.80753298737</v>
      </c>
      <c r="CN3" t="n">
        <v>1139065.42490175</v>
      </c>
      <c r="CO3" t="n">
        <v>2624811.88015637</v>
      </c>
      <c r="CP3" t="n">
        <v>3146915.54132478</v>
      </c>
      <c r="CQ3" t="n">
        <v>3763877.30505812</v>
      </c>
      <c r="CR3" t="n">
        <v>8998269.34070011</v>
      </c>
      <c r="CS3" t="n">
        <v>0.00166893566649006</v>
      </c>
      <c r="CT3" t="n">
        <v>0.00162958830746474</v>
      </c>
      <c r="CU3" t="n">
        <v>0.0440161211121338</v>
      </c>
      <c r="CV3" t="n">
        <v>1.37700992264451</v>
      </c>
      <c r="CW3" t="n">
        <v>0.0628633487815845</v>
      </c>
      <c r="CX3" t="n">
        <v>0.0383713858586026</v>
      </c>
      <c r="CY3" t="n">
        <v>0.0267515743493295</v>
      </c>
      <c r="CZ3" t="n">
        <v>-0.0251219860418648</v>
      </c>
      <c r="DA3" t="n">
        <v>0.595983693154336</v>
      </c>
      <c r="DB3" t="n">
        <v>5.99712009090762</v>
      </c>
      <c r="DC3" t="n">
        <v>0.0596204155957843</v>
      </c>
      <c r="DD3" t="n">
        <v>0.0409699273910175</v>
      </c>
      <c r="DE3" t="n">
        <v>0.00708436502857855</v>
      </c>
      <c r="DF3" t="n">
        <v>0.113777283303119</v>
      </c>
      <c r="DG3" t="n">
        <v>201544.242059355</v>
      </c>
      <c r="DH3" t="n">
        <v>108.274159335077</v>
      </c>
      <c r="DI3" t="n">
        <v>4.72036838052736</v>
      </c>
      <c r="DJ3" t="n">
        <v>4.11528252290594</v>
      </c>
      <c r="DK3" t="n">
        <v>0.0484267358713257</v>
      </c>
      <c r="DL3" t="n">
        <v>0.669440030437354</v>
      </c>
      <c r="DM3" t="n">
        <v>1.07591023942306</v>
      </c>
      <c r="DN3" t="n">
        <v>0.0399169327369503</v>
      </c>
      <c r="DO3" t="n">
        <v>0.0374213819593254</v>
      </c>
      <c r="DP3" t="n">
        <v>27906.05</v>
      </c>
      <c r="DQ3" t="n">
        <v>23118.3160909669</v>
      </c>
      <c r="DR3" t="n">
        <v>160982.036125316</v>
      </c>
      <c r="DS3" t="n">
        <v>28422.5052521678</v>
      </c>
      <c r="DT3" t="n">
        <v>12139.7006818719</v>
      </c>
      <c r="DU3" t="n">
        <v>0</v>
      </c>
      <c r="DV3" t="n">
        <v>73.75</v>
      </c>
      <c r="DW3" t="n">
        <v>218260.24</v>
      </c>
      <c r="DX3" t="n">
        <v>2.05476139373589</v>
      </c>
      <c r="DY3" t="n">
        <v>71.0986240015636</v>
      </c>
      <c r="DZ3" t="n">
        <v>1.05870195663977</v>
      </c>
      <c r="EA3" t="n">
        <v>1.16820274370124</v>
      </c>
      <c r="EB3" t="n">
        <v>141615609.792121</v>
      </c>
      <c r="EC3" t="n">
        <v>3.27572706201137</v>
      </c>
      <c r="ED3" t="n">
        <v>0.0431166666666667</v>
      </c>
      <c r="EE3" t="n">
        <v>0.0255759818181819</v>
      </c>
      <c r="EF3" t="n">
        <v>0.0299805555556667</v>
      </c>
      <c r="EG3" t="n">
        <v>0.0448996666666666</v>
      </c>
      <c r="EH3" t="n">
        <v>698089.235151887</v>
      </c>
      <c r="EI3" t="n">
        <v>359354.904869537</v>
      </c>
      <c r="EJ3" t="n">
        <v>858.134465103359</v>
      </c>
      <c r="EK3" t="n">
        <v>3.54454161319473</v>
      </c>
      <c r="EL3" t="n">
        <v>4.02219886792943</v>
      </c>
    </row>
    <row r="4">
      <c r="A4" s="2" t="n">
        <v>46174</v>
      </c>
      <c r="B4" t="n">
        <v>362937.789666279</v>
      </c>
      <c r="C4" t="n">
        <v>37241.2523083342</v>
      </c>
      <c r="D4" t="n">
        <v>19181.4181356048</v>
      </c>
      <c r="E4" t="n">
        <v>218160.428496281</v>
      </c>
      <c r="F4" t="n">
        <v>41522.9466147084</v>
      </c>
      <c r="G4" t="n">
        <v>11649.5497075339</v>
      </c>
      <c r="H4" t="n">
        <v>48688.6799576843</v>
      </c>
      <c r="I4" t="n">
        <v>49086.0469036233</v>
      </c>
      <c r="J4" t="n">
        <v>91567.2522741383</v>
      </c>
      <c r="K4" t="n">
        <v>411.690077311625</v>
      </c>
      <c r="L4" t="n">
        <v>4698.50432745125</v>
      </c>
      <c r="M4" t="n">
        <v>0.668874023193749</v>
      </c>
      <c r="N4" t="n">
        <v>26905.6263101691</v>
      </c>
      <c r="O4" t="n">
        <v>148.241631055667</v>
      </c>
      <c r="P4" t="n">
        <v>1.31952838120081</v>
      </c>
      <c r="Q4" t="n">
        <v>1.13801758689124</v>
      </c>
      <c r="R4" t="n">
        <v>1.05555307172615</v>
      </c>
      <c r="S4" t="n">
        <v>0.0918212978017442</v>
      </c>
      <c r="T4" t="n">
        <v>9452.76837177565</v>
      </c>
      <c r="U4" t="n">
        <v>0.385801468224219</v>
      </c>
      <c r="V4" t="n">
        <v>0.61953491733582</v>
      </c>
      <c r="W4" t="n">
        <v>19446292.1901953</v>
      </c>
      <c r="X4" t="n">
        <v>61319.4911216404</v>
      </c>
      <c r="Y4" t="n">
        <v>4353656.0388599</v>
      </c>
      <c r="Z4" t="n">
        <v>882.66038886426</v>
      </c>
      <c r="AA4" t="n">
        <v>1.06213210472566</v>
      </c>
      <c r="AB4" t="n">
        <v>1.04685811805332</v>
      </c>
      <c r="AC4" t="n">
        <v>1.09125773739622</v>
      </c>
      <c r="AD4" t="n">
        <v>1.08850583645838</v>
      </c>
      <c r="AE4" t="n">
        <v>109.169699638122</v>
      </c>
      <c r="AF4" t="n">
        <v>93104.3570889849</v>
      </c>
      <c r="AG4" t="n">
        <v>884.235347270203</v>
      </c>
      <c r="AH4" t="n">
        <v>102.862085785375</v>
      </c>
      <c r="AI4" t="n">
        <v>66346.8004780536</v>
      </c>
      <c r="AJ4" t="n">
        <v>87031.3934548286</v>
      </c>
      <c r="AK4" t="n">
        <v>506.857619569178</v>
      </c>
      <c r="AL4" t="n">
        <v>24366.4976578351</v>
      </c>
      <c r="AM4" t="n">
        <v>19365.1011922561</v>
      </c>
      <c r="AN4" t="n">
        <v>0.883596228367034</v>
      </c>
      <c r="AO4" t="n">
        <v>1.01574107751405</v>
      </c>
      <c r="AP4" t="n">
        <v>1.05169966439575</v>
      </c>
      <c r="AQ4" t="n">
        <v>1.0870929112094</v>
      </c>
      <c r="AR4" t="n">
        <v>32902.6271563375</v>
      </c>
      <c r="AS4" t="n">
        <v>167790.445143048</v>
      </c>
      <c r="AT4" t="n">
        <v>0.048564260801248</v>
      </c>
      <c r="AU4" t="n">
        <v>0.04210182293627</v>
      </c>
      <c r="AV4" t="n">
        <v>0.0554952473326308</v>
      </c>
      <c r="AW4" t="n">
        <v>1283.86179741978</v>
      </c>
      <c r="AX4" t="n">
        <v>11264.2924037587</v>
      </c>
      <c r="AY4" t="n">
        <v>17799.3106052761</v>
      </c>
      <c r="AZ4" t="n">
        <v>170895.291228008</v>
      </c>
      <c r="BA4" t="n">
        <v>394547.099173029</v>
      </c>
      <c r="BB4" t="n">
        <v>176868.384802636</v>
      </c>
      <c r="BC4" t="n">
        <v>219332.031026747</v>
      </c>
      <c r="BD4" t="n">
        <v>49374.2443585413</v>
      </c>
      <c r="BE4" t="n">
        <v>15.0045939048353</v>
      </c>
      <c r="BF4" t="n">
        <v>40537.3204946409</v>
      </c>
      <c r="BG4" t="n">
        <v>14863.5535209043</v>
      </c>
      <c r="BH4" t="n">
        <v>20373.2000159928</v>
      </c>
      <c r="BI4" t="n">
        <v>69455.6860016461</v>
      </c>
      <c r="BJ4" t="n">
        <v>44126.2687283966</v>
      </c>
      <c r="BK4" t="n">
        <v>80908.4787513614</v>
      </c>
      <c r="BL4" t="n">
        <v>20255.928503344</v>
      </c>
      <c r="BM4" t="n">
        <v>19669.9287511907</v>
      </c>
      <c r="BN4" t="n">
        <v>35919.6992396249</v>
      </c>
      <c r="BO4" t="n">
        <v>174094.883245521</v>
      </c>
      <c r="BP4" t="n">
        <v>177111.719777042</v>
      </c>
      <c r="BQ4" t="n">
        <v>757754.676205725</v>
      </c>
      <c r="BR4" t="n">
        <v>704005.064389124</v>
      </c>
      <c r="BS4" t="n">
        <v>701330.195724649</v>
      </c>
      <c r="BT4" t="n">
        <v>108.535656938896</v>
      </c>
      <c r="BU4" t="n">
        <v>1.07634833142797</v>
      </c>
      <c r="BV4" t="n">
        <v>1.01872252883343</v>
      </c>
      <c r="BW4" t="n">
        <v>96.5107824628378</v>
      </c>
      <c r="BX4" t="n">
        <v>77221.3187112198</v>
      </c>
      <c r="BY4" t="n">
        <v>1.09980785964859</v>
      </c>
      <c r="BZ4" t="n">
        <v>84928.6132510285</v>
      </c>
      <c r="CA4" t="n">
        <v>10175.1963623095</v>
      </c>
      <c r="CB4" t="n">
        <v>14873.7006897608</v>
      </c>
      <c r="CC4" t="n">
        <v>15530.0356406641</v>
      </c>
      <c r="CD4" t="n">
        <v>656.334950903321</v>
      </c>
      <c r="CE4" t="n">
        <v>0.0422622895429496</v>
      </c>
      <c r="CF4" t="n">
        <v>11008476.4398605</v>
      </c>
      <c r="CG4" t="n">
        <v>368327.971388829</v>
      </c>
      <c r="CH4" t="n">
        <v>464154.895597806</v>
      </c>
      <c r="CI4" t="n">
        <v>267399.893649447</v>
      </c>
      <c r="CJ4" t="n">
        <v>20207.124958367</v>
      </c>
      <c r="CK4" t="n">
        <v>751244.189195876</v>
      </c>
      <c r="CL4" t="n">
        <v>0.0536200189864557</v>
      </c>
      <c r="CM4" t="n">
        <v>18.6497509494094</v>
      </c>
      <c r="CN4" t="n">
        <v>1139419.06184907</v>
      </c>
      <c r="CO4" t="n">
        <v>2648050.48256961</v>
      </c>
      <c r="CP4" t="n">
        <v>3158763.30898302</v>
      </c>
      <c r="CQ4" t="n">
        <v>3787469.54441868</v>
      </c>
      <c r="CR4" t="n">
        <v>9033709.3477189</v>
      </c>
      <c r="CS4" t="n">
        <v>0.00387341474298977</v>
      </c>
      <c r="CT4" t="n">
        <v>-0.00258902312198823</v>
      </c>
      <c r="CU4" t="n">
        <v>0.047130451743486</v>
      </c>
      <c r="CV4" t="n">
        <v>1.39274058584392</v>
      </c>
      <c r="CW4" t="n">
        <v>0.0587785726751461</v>
      </c>
      <c r="CX4" t="n">
        <v>0.0383713858586026</v>
      </c>
      <c r="CY4" t="n">
        <v>0.0109746581389376</v>
      </c>
      <c r="CZ4" t="n">
        <v>-0.0135636812609258</v>
      </c>
      <c r="DA4" t="n">
        <v>0.57568936132545</v>
      </c>
      <c r="DB4" t="n">
        <v>5.95420046702541</v>
      </c>
      <c r="DC4" t="n">
        <v>0.066293752051248</v>
      </c>
      <c r="DD4" t="n">
        <v>0.045090058006568</v>
      </c>
      <c r="DE4" t="n">
        <v>0.00710279546293889</v>
      </c>
      <c r="DF4" t="n">
        <v>0.115215965614774</v>
      </c>
      <c r="DG4" t="n">
        <v>202915.794527545</v>
      </c>
      <c r="DH4" t="n">
        <v>110.554867814329</v>
      </c>
      <c r="DI4" t="n">
        <v>4.74138710663798</v>
      </c>
      <c r="DJ4" t="n">
        <v>4.13336393902811</v>
      </c>
      <c r="DK4" t="n">
        <v>0.0484267358713257</v>
      </c>
      <c r="DL4" t="n">
        <v>0.669440030437354</v>
      </c>
      <c r="DM4" t="n">
        <v>1.08672760329221</v>
      </c>
      <c r="DN4" t="n">
        <v>0.0399169327369503</v>
      </c>
      <c r="DO4" t="n">
        <v>0.0374213819593254</v>
      </c>
      <c r="DP4" t="n">
        <v>28004.6</v>
      </c>
      <c r="DQ4" t="n">
        <v>23218.177268286</v>
      </c>
      <c r="DR4" t="n">
        <v>162077.553946742</v>
      </c>
      <c r="DS4" t="n">
        <v>28615.9265914848</v>
      </c>
      <c r="DT4" t="n">
        <v>12222.3139893183</v>
      </c>
      <c r="DU4" t="n">
        <v>0</v>
      </c>
      <c r="DV4" t="n">
        <v>73.75</v>
      </c>
      <c r="DW4" t="n">
        <v>214936.48</v>
      </c>
      <c r="DX4" t="n">
        <v>2.06938847235861</v>
      </c>
      <c r="DY4" t="n">
        <v>74.6270772977208</v>
      </c>
      <c r="DZ4" t="n">
        <v>1.10168784672316</v>
      </c>
      <c r="EA4" t="n">
        <v>1.17200213719743</v>
      </c>
      <c r="EB4" t="n">
        <v>143152774.700459</v>
      </c>
      <c r="EC4" t="n">
        <v>3.24988392814095</v>
      </c>
      <c r="ED4" t="n">
        <v>0.0431166666666667</v>
      </c>
      <c r="EE4" t="n">
        <v>0.0255759818181819</v>
      </c>
      <c r="EF4" t="n">
        <v>0.0299805555556667</v>
      </c>
      <c r="EG4" t="n">
        <v>0.0448996666666666</v>
      </c>
      <c r="EH4" t="n">
        <v>702140.776803757</v>
      </c>
      <c r="EI4" t="n">
        <v>361741.504035512</v>
      </c>
      <c r="EJ4" t="n">
        <v>873.073824534607</v>
      </c>
      <c r="EK4" t="n">
        <v>2.80117525271157</v>
      </c>
      <c r="EL4" t="n">
        <v>4.46908460582582</v>
      </c>
    </row>
    <row r="5">
      <c r="A5" s="2" t="n">
        <v>46266</v>
      </c>
      <c r="B5" t="n">
        <v>366473.809550388</v>
      </c>
      <c r="C5" t="n">
        <v>37366.4033790698</v>
      </c>
      <c r="D5" t="n">
        <v>19717.888642704</v>
      </c>
      <c r="E5" t="n">
        <v>218910.666567515</v>
      </c>
      <c r="F5" t="n">
        <v>43713.145027304</v>
      </c>
      <c r="G5" t="n">
        <v>11771.3719911201</v>
      </c>
      <c r="H5" t="n">
        <v>49981.3127248056</v>
      </c>
      <c r="I5" t="n">
        <v>52341.6609024459</v>
      </c>
      <c r="J5" t="n">
        <v>96388.5585925102</v>
      </c>
      <c r="K5" t="n">
        <v>411.908231713123</v>
      </c>
      <c r="L5" t="n">
        <v>4737.87802719056</v>
      </c>
      <c r="M5" t="n">
        <v>0.669265864313209</v>
      </c>
      <c r="N5" t="n">
        <v>27192.0542864247</v>
      </c>
      <c r="O5" t="n">
        <v>150.062869922578</v>
      </c>
      <c r="P5" t="n">
        <v>1.34581699163721</v>
      </c>
      <c r="Q5" t="n">
        <v>1.17314547695349</v>
      </c>
      <c r="R5" t="n">
        <v>1.06748353338905</v>
      </c>
      <c r="S5" t="n">
        <v>0.0999467589946971</v>
      </c>
      <c r="T5" t="n">
        <v>9574.72414136196</v>
      </c>
      <c r="U5" t="n">
        <v>0.381070276743108</v>
      </c>
      <c r="V5" t="n">
        <v>0.608953736628208</v>
      </c>
      <c r="W5" t="n">
        <v>19662239.3524013</v>
      </c>
      <c r="X5" t="n">
        <v>62195.9769935021</v>
      </c>
      <c r="Y5" t="n">
        <v>4384452.67298778</v>
      </c>
      <c r="Z5" t="n">
        <v>886.365561320997</v>
      </c>
      <c r="AA5" t="n">
        <v>1.06789171347998</v>
      </c>
      <c r="AB5" t="n">
        <v>1.05533367860245</v>
      </c>
      <c r="AC5" t="n">
        <v>1.1003114043631</v>
      </c>
      <c r="AD5" t="n">
        <v>1.1041791360385</v>
      </c>
      <c r="AE5" t="n">
        <v>110.153478596337</v>
      </c>
      <c r="AF5" t="n">
        <v>95078.4067360971</v>
      </c>
      <c r="AG5" t="n">
        <v>904.134263036259</v>
      </c>
      <c r="AH5" t="n">
        <v>103.950651716397</v>
      </c>
      <c r="AI5" t="n">
        <v>67380.2104013568</v>
      </c>
      <c r="AJ5" t="n">
        <v>87085.1311264134</v>
      </c>
      <c r="AK5" t="n">
        <v>526.555481701655</v>
      </c>
      <c r="AL5" t="n">
        <v>24486.6140663586</v>
      </c>
      <c r="AM5" t="n">
        <v>19534.238027542</v>
      </c>
      <c r="AN5" t="n">
        <v>0.915979204394837</v>
      </c>
      <c r="AO5" t="n">
        <v>1.01970493714764</v>
      </c>
      <c r="AP5" t="n">
        <v>1.06328878203878</v>
      </c>
      <c r="AQ5" t="n">
        <v>1.09897711525905</v>
      </c>
      <c r="AR5" t="n">
        <v>33426.5633817062</v>
      </c>
      <c r="AS5" t="n">
        <v>169139.805344906</v>
      </c>
      <c r="AT5" t="n">
        <v>0.0574900449324341</v>
      </c>
      <c r="AU5" t="n">
        <v>0.042877278420556</v>
      </c>
      <c r="AV5" t="n">
        <v>-0.00535349707625314</v>
      </c>
      <c r="AW5" t="n">
        <v>750.23807123382</v>
      </c>
      <c r="AX5" t="n">
        <v>11302.1466156347</v>
      </c>
      <c r="AY5" t="n">
        <v>18065.9917074043</v>
      </c>
      <c r="AZ5" t="n">
        <v>176676.351709163</v>
      </c>
      <c r="BA5" t="n">
        <v>402746.331098604</v>
      </c>
      <c r="BB5" t="n">
        <v>179549.394834213</v>
      </c>
      <c r="BC5" t="n">
        <v>225030.850545685</v>
      </c>
      <c r="BD5" t="n">
        <v>50251.4669288342</v>
      </c>
      <c r="BE5" t="n">
        <v>15.096014053437</v>
      </c>
      <c r="BF5" t="n">
        <v>41259.2029999676</v>
      </c>
      <c r="BG5" t="n">
        <v>15210.6209572962</v>
      </c>
      <c r="BH5" t="n">
        <v>21056.5698888645</v>
      </c>
      <c r="BI5" t="n">
        <v>71108.6046235807</v>
      </c>
      <c r="BJ5" t="n">
        <v>44213.4772341338</v>
      </c>
      <c r="BK5" t="n">
        <v>88289.9152123326</v>
      </c>
      <c r="BL5" t="n">
        <v>21194.0364582207</v>
      </c>
      <c r="BM5" t="n">
        <v>19919.1589601018</v>
      </c>
      <c r="BN5" t="n">
        <v>36820.5223401587</v>
      </c>
      <c r="BO5" t="n">
        <v>183564.480970814</v>
      </c>
      <c r="BP5" t="n">
        <v>180553.957046316</v>
      </c>
      <c r="BQ5" t="n">
        <v>778154.725561157</v>
      </c>
      <c r="BR5" t="n">
        <v>714552.93586156</v>
      </c>
      <c r="BS5" t="n">
        <v>707446.366603154</v>
      </c>
      <c r="BT5" t="n">
        <v>109.62950366657</v>
      </c>
      <c r="BU5" t="n">
        <v>1.08900919969795</v>
      </c>
      <c r="BV5" t="n">
        <v>1.03898727359386</v>
      </c>
      <c r="BW5" t="n">
        <v>97.3305199655195</v>
      </c>
      <c r="BX5" t="n">
        <v>77973.668359602</v>
      </c>
      <c r="BY5" t="n">
        <v>1.11144687471953</v>
      </c>
      <c r="BZ5" t="n">
        <v>86663.5900086969</v>
      </c>
      <c r="CA5" t="n">
        <v>10241.7459664968</v>
      </c>
      <c r="CB5" t="n">
        <v>14979.6239936873</v>
      </c>
      <c r="CC5" t="n">
        <v>15598.9715217901</v>
      </c>
      <c r="CD5" t="n">
        <v>619.347528102749</v>
      </c>
      <c r="CE5" t="n">
        <v>0.0397043761566259</v>
      </c>
      <c r="CF5" t="n">
        <v>11042891.9327549</v>
      </c>
      <c r="CG5" t="n">
        <v>374900.041188217</v>
      </c>
      <c r="CH5" t="n">
        <v>473077.528778342</v>
      </c>
      <c r="CI5" t="n">
        <v>277955.065523749</v>
      </c>
      <c r="CJ5" t="n">
        <v>20595.5745155015</v>
      </c>
      <c r="CK5" t="n">
        <v>771468.965127733</v>
      </c>
      <c r="CL5" t="n">
        <v>0.0549943240063681</v>
      </c>
      <c r="CM5" t="n">
        <v>18.1836947370097</v>
      </c>
      <c r="CN5" t="n">
        <v>1140076.10290638</v>
      </c>
      <c r="CO5" t="n">
        <v>2671961.3935221</v>
      </c>
      <c r="CP5" t="n">
        <v>3170690.33887898</v>
      </c>
      <c r="CQ5" t="n">
        <v>3812037.49642848</v>
      </c>
      <c r="CR5" t="n">
        <v>9070204.32962466</v>
      </c>
      <c r="CS5" t="n">
        <v>0.0117557597576762</v>
      </c>
      <c r="CT5" t="n">
        <v>-0.00285700675420195</v>
      </c>
      <c r="CU5" t="n">
        <v>0.0542124738199391</v>
      </c>
      <c r="CV5" t="n">
        <v>1.40985125353154</v>
      </c>
      <c r="CW5" t="n">
        <v>0.0542124738199393</v>
      </c>
      <c r="CX5" t="n">
        <v>0.0383713858586026</v>
      </c>
      <c r="CY5" t="n">
        <v>0.00872664663310529</v>
      </c>
      <c r="CZ5" t="n">
        <v>-0.0115836533873072</v>
      </c>
      <c r="DA5" t="n">
        <v>0.566209132115606</v>
      </c>
      <c r="DB5" t="n">
        <v>5.90662808047255</v>
      </c>
      <c r="DC5" t="n">
        <v>0.0752195361824341</v>
      </c>
      <c r="DD5" t="n">
        <v>0.0506033593553994</v>
      </c>
      <c r="DE5" t="n">
        <v>0.00715995822511268</v>
      </c>
      <c r="DF5" t="n">
        <v>0.11770223592791</v>
      </c>
      <c r="DG5" t="n">
        <v>204296.680709037</v>
      </c>
      <c r="DH5" t="n">
        <v>110.866421868472</v>
      </c>
      <c r="DI5" t="n">
        <v>4.74437454764516</v>
      </c>
      <c r="DJ5" t="n">
        <v>4.13341407004683</v>
      </c>
      <c r="DK5" t="n">
        <v>0.0484267358713257</v>
      </c>
      <c r="DL5" t="n">
        <v>0.669440030437354</v>
      </c>
      <c r="DM5" t="n">
        <v>1.0976537265697</v>
      </c>
      <c r="DN5" t="n">
        <v>0.0399169327369503</v>
      </c>
      <c r="DO5" t="n">
        <v>0.0374213819593254</v>
      </c>
      <c r="DP5" t="n">
        <v>28092.15</v>
      </c>
      <c r="DQ5" t="n">
        <v>23307.5857496445</v>
      </c>
      <c r="DR5" t="n">
        <v>163180.527005572</v>
      </c>
      <c r="DS5" t="n">
        <v>28810.6642051475</v>
      </c>
      <c r="DT5" t="n">
        <v>12305.489498317</v>
      </c>
      <c r="DU5" t="n">
        <v>0</v>
      </c>
      <c r="DV5" t="n">
        <v>61.25</v>
      </c>
      <c r="DW5" t="n">
        <v>211612.72</v>
      </c>
      <c r="DX5" t="n">
        <v>2.08411967568879</v>
      </c>
      <c r="DY5" t="n">
        <v>78.3306392241504</v>
      </c>
      <c r="DZ5" t="n">
        <v>1.14641906913042</v>
      </c>
      <c r="EA5" t="n">
        <v>1.17581388761627</v>
      </c>
      <c r="EB5" t="n">
        <v>144706624.746536</v>
      </c>
      <c r="EC5" t="n">
        <v>3.22424467803606</v>
      </c>
      <c r="ED5" t="n">
        <v>0.0431166666666667</v>
      </c>
      <c r="EE5" t="n">
        <v>0.0255759818181819</v>
      </c>
      <c r="EF5" t="n">
        <v>0.0299805555556667</v>
      </c>
      <c r="EG5" t="n">
        <v>0.0448996666666666</v>
      </c>
      <c r="EH5" t="n">
        <v>707536.870030215</v>
      </c>
      <c r="EI5" t="n">
        <v>364385.367131263</v>
      </c>
      <c r="EJ5" t="n">
        <v>885.974385491253</v>
      </c>
      <c r="EK5" t="n">
        <v>3.81854471008654</v>
      </c>
      <c r="EL5" t="n">
        <v>4.5734285174758</v>
      </c>
    </row>
    <row r="6">
      <c r="A6" s="2" t="n">
        <v>46357</v>
      </c>
      <c r="B6" t="n">
        <v>369339.814282417</v>
      </c>
      <c r="C6" t="n">
        <v>37327.7724162639</v>
      </c>
      <c r="D6" t="n">
        <v>20284.2805053401</v>
      </c>
      <c r="E6" t="n">
        <v>220523.668349769</v>
      </c>
      <c r="F6" t="n">
        <v>44971.2059175723</v>
      </c>
      <c r="G6" t="n">
        <v>11887.9844191653</v>
      </c>
      <c r="H6" t="n">
        <v>51007.1858003113</v>
      </c>
      <c r="I6" t="n">
        <v>52559.5513129932</v>
      </c>
      <c r="J6" t="n">
        <v>95689.1874073864</v>
      </c>
      <c r="K6" t="n">
        <v>411.81146543464</v>
      </c>
      <c r="L6" t="n">
        <v>4775.42055983604</v>
      </c>
      <c r="M6" t="n">
        <v>0.669992092008903</v>
      </c>
      <c r="N6" t="n">
        <v>27574.8384154166</v>
      </c>
      <c r="O6" t="n">
        <v>151.913210100911</v>
      </c>
      <c r="P6" t="n">
        <v>1.37508505206593</v>
      </c>
      <c r="Q6" t="n">
        <v>1.202378548155</v>
      </c>
      <c r="R6" t="n">
        <v>1.07733326512163</v>
      </c>
      <c r="S6" t="n">
        <v>0.107910022904505</v>
      </c>
      <c r="T6" t="n">
        <v>9788.38618109506</v>
      </c>
      <c r="U6" t="n">
        <v>0.378539116755105</v>
      </c>
      <c r="V6" t="n">
        <v>0.60169903174749</v>
      </c>
      <c r="W6" t="n">
        <v>19884820.717019</v>
      </c>
      <c r="X6" t="n">
        <v>63111.3744073068</v>
      </c>
      <c r="Y6" t="n">
        <v>4407585.69186157</v>
      </c>
      <c r="Z6" t="n">
        <v>887.175771328944</v>
      </c>
      <c r="AA6" t="n">
        <v>1.07567387905977</v>
      </c>
      <c r="AB6" t="n">
        <v>1.06296233158288</v>
      </c>
      <c r="AC6" t="n">
        <v>1.11205382396021</v>
      </c>
      <c r="AD6" t="n">
        <v>1.12112445641616</v>
      </c>
      <c r="AE6" t="n">
        <v>111.106065280538</v>
      </c>
      <c r="AF6" t="n">
        <v>96607.9313534636</v>
      </c>
      <c r="AG6" t="n">
        <v>924.152847533199</v>
      </c>
      <c r="AH6" t="n">
        <v>105.048841748409</v>
      </c>
      <c r="AI6" t="n">
        <v>68388.2342389744</v>
      </c>
      <c r="AJ6" t="n">
        <v>84941.5015031461</v>
      </c>
      <c r="AK6" t="n">
        <v>557.516213175705</v>
      </c>
      <c r="AL6" t="n">
        <v>24568.7095539308</v>
      </c>
      <c r="AM6" t="n">
        <v>19546.1617840718</v>
      </c>
      <c r="AN6" t="n">
        <v>0.945629022016316</v>
      </c>
      <c r="AO6" t="n">
        <v>1.02836297821175</v>
      </c>
      <c r="AP6" t="n">
        <v>1.07501232585359</v>
      </c>
      <c r="AQ6" t="n">
        <v>1.11099278568581</v>
      </c>
      <c r="AR6" t="n">
        <v>33566.1598600121</v>
      </c>
      <c r="AS6" t="n">
        <v>170571.029190531</v>
      </c>
      <c r="AT6" t="n">
        <v>0.0652008442306751</v>
      </c>
      <c r="AU6" t="n">
        <v>0.0440684594932849</v>
      </c>
      <c r="AV6" t="n">
        <v>-0.0389941923298047</v>
      </c>
      <c r="AW6" t="n">
        <v>1613.0017822542</v>
      </c>
      <c r="AX6" t="n">
        <v>11290.4619800784</v>
      </c>
      <c r="AY6" t="n">
        <v>18186.971957667</v>
      </c>
      <c r="AZ6" t="n">
        <v>176249.481009137</v>
      </c>
      <c r="BA6" t="n">
        <v>410333.870125137</v>
      </c>
      <c r="BB6" t="n">
        <v>182700.441504961</v>
      </c>
      <c r="BC6" t="n">
        <v>229043.017044443</v>
      </c>
      <c r="BD6" t="n">
        <v>50219.3198981404</v>
      </c>
      <c r="BE6" t="n">
        <v>15.0926638360319</v>
      </c>
      <c r="BF6" t="n">
        <v>41849.0785594101</v>
      </c>
      <c r="BG6" t="n">
        <v>15525.3454997245</v>
      </c>
      <c r="BH6" t="n">
        <v>21819.2706951158</v>
      </c>
      <c r="BI6" t="n">
        <v>72694.1162387213</v>
      </c>
      <c r="BJ6" t="n">
        <v>45748.4258637628</v>
      </c>
      <c r="BK6" t="n">
        <v>90486.4727055828</v>
      </c>
      <c r="BL6" t="n">
        <v>21867.6249377952</v>
      </c>
      <c r="BM6" t="n">
        <v>20100.5491448767</v>
      </c>
      <c r="BN6" t="n">
        <v>37294.0394862348</v>
      </c>
      <c r="BO6" t="n">
        <v>187089.534274489</v>
      </c>
      <c r="BP6" t="n">
        <v>183761.843812992</v>
      </c>
      <c r="BQ6" t="n">
        <v>793998.23894833</v>
      </c>
      <c r="BR6" t="n">
        <v>719337.992559658</v>
      </c>
      <c r="BS6" t="n">
        <v>714089.518326989</v>
      </c>
      <c r="BT6" t="n">
        <v>110.784497560724</v>
      </c>
      <c r="BU6" t="n">
        <v>1.10379020914826</v>
      </c>
      <c r="BV6" t="n">
        <v>1.0615040294206</v>
      </c>
      <c r="BW6" t="n">
        <v>98.5307020386827</v>
      </c>
      <c r="BX6" t="n">
        <v>78583.4606467136</v>
      </c>
      <c r="BY6" t="n">
        <v>1.12318879128065</v>
      </c>
      <c r="BZ6" t="n">
        <v>88264.0621784326</v>
      </c>
      <c r="CA6" t="n">
        <v>10298.2022021362</v>
      </c>
      <c r="CB6" t="n">
        <v>15073.6227619722</v>
      </c>
      <c r="CC6" t="n">
        <v>15675.8713624867</v>
      </c>
      <c r="CD6" t="n">
        <v>602.248600514517</v>
      </c>
      <c r="CE6" t="n">
        <v>0.0384188223965749</v>
      </c>
      <c r="CF6" t="n">
        <v>11077307.4256493</v>
      </c>
      <c r="CG6" t="n">
        <v>382563.186179956</v>
      </c>
      <c r="CH6" t="n">
        <v>477825.677836542</v>
      </c>
      <c r="CI6" t="n">
        <v>283875.851129086</v>
      </c>
      <c r="CJ6" t="n">
        <v>20802.286633051</v>
      </c>
      <c r="CK6" t="n">
        <v>787176.353999497</v>
      </c>
      <c r="CL6" t="n">
        <v>0.0569569082033637</v>
      </c>
      <c r="CM6" t="n">
        <v>17.5571327788636</v>
      </c>
      <c r="CN6" t="n">
        <v>1141258.93246914</v>
      </c>
      <c r="CO6" t="n">
        <v>2696522.5340989</v>
      </c>
      <c r="CP6" t="n">
        <v>3182646.93703114</v>
      </c>
      <c r="CQ6" t="n">
        <v>3837781.46656804</v>
      </c>
      <c r="CR6" t="n">
        <v>9107904.8979164</v>
      </c>
      <c r="CS6" t="n">
        <v>0.0165242169472325</v>
      </c>
      <c r="CT6" t="n">
        <v>-0.00460816779015774</v>
      </c>
      <c r="CU6" t="n">
        <v>0.0592333956210624</v>
      </c>
      <c r="CV6" t="n">
        <v>1.42723533009377</v>
      </c>
      <c r="CW6" t="n">
        <v>0.0592333956210627</v>
      </c>
      <c r="CX6" t="n">
        <v>0.0383713858586026</v>
      </c>
      <c r="CY6" t="n">
        <v>0.00775489285005937</v>
      </c>
      <c r="CZ6" t="n">
        <v>-0.0123630606402171</v>
      </c>
      <c r="DA6" t="n">
        <v>0.559577345326429</v>
      </c>
      <c r="DB6" t="n">
        <v>5.84001727525621</v>
      </c>
      <c r="DC6" t="n">
        <v>0.0829303354806751</v>
      </c>
      <c r="DD6" t="n">
        <v>0.0556272714103429</v>
      </c>
      <c r="DE6" t="n">
        <v>0.00724791650791126</v>
      </c>
      <c r="DF6" t="n">
        <v>0.120483509640119</v>
      </c>
      <c r="DG6" t="n">
        <v>205686.964121783</v>
      </c>
      <c r="DH6" t="n">
        <v>112.380025788612</v>
      </c>
      <c r="DI6" t="n">
        <v>4.75810800274769</v>
      </c>
      <c r="DJ6" t="n">
        <v>4.14421021516091</v>
      </c>
      <c r="DK6" t="n">
        <v>0.0484267358713257</v>
      </c>
      <c r="DL6" t="n">
        <v>0.669440030437354</v>
      </c>
      <c r="DM6" t="n">
        <v>1.10868970273905</v>
      </c>
      <c r="DN6" t="n">
        <v>0.0399169327369503</v>
      </c>
      <c r="DO6" t="n">
        <v>0.0374213819593254</v>
      </c>
      <c r="DP6" t="n">
        <v>28179.7</v>
      </c>
      <c r="DQ6" t="n">
        <v>23397.099084385</v>
      </c>
      <c r="DR6" t="n">
        <v>164291.006036321</v>
      </c>
      <c r="DS6" t="n">
        <v>29006.7270506895</v>
      </c>
      <c r="DT6" t="n">
        <v>12389.231034772</v>
      </c>
      <c r="DU6" t="n">
        <v>0</v>
      </c>
      <c r="DV6" t="n">
        <v>61.25</v>
      </c>
      <c r="DW6" t="n">
        <v>208288.96</v>
      </c>
      <c r="DX6" t="n">
        <v>2.09895574495133</v>
      </c>
      <c r="DY6" t="n">
        <v>82.218</v>
      </c>
      <c r="DZ6" t="n">
        <v>1.19296648862472</v>
      </c>
      <c r="EA6" t="n">
        <v>1.17963803514669</v>
      </c>
      <c r="EB6" t="n">
        <v>146277341.038978</v>
      </c>
      <c r="EC6" t="n">
        <v>3.19880770320023</v>
      </c>
      <c r="ED6" t="n">
        <v>0.0431166666666667</v>
      </c>
      <c r="EE6" t="n">
        <v>0.0255759818181819</v>
      </c>
      <c r="EF6" t="n">
        <v>0.0299805555556667</v>
      </c>
      <c r="EG6" t="n">
        <v>0.0448996666666666</v>
      </c>
      <c r="EH6" t="n">
        <v>712967.245535559</v>
      </c>
      <c r="EI6" t="n">
        <v>367120.46486819</v>
      </c>
      <c r="EJ6" t="n">
        <v>896.458895319334</v>
      </c>
      <c r="EK6" t="n">
        <v>4.42337427780435</v>
      </c>
      <c r="EL6" t="n">
        <v>4.86766272834427</v>
      </c>
    </row>
    <row r="7">
      <c r="A7" s="2" t="n">
        <v>46447</v>
      </c>
      <c r="B7" t="n">
        <v>371785.376433554</v>
      </c>
      <c r="C7" t="n">
        <v>37204.0844795898</v>
      </c>
      <c r="D7" t="n">
        <v>20750.5077477862</v>
      </c>
      <c r="E7" t="n">
        <v>221910.748913998</v>
      </c>
      <c r="F7" t="n">
        <v>45593.3312308858</v>
      </c>
      <c r="G7" t="n">
        <v>12077.021869513</v>
      </c>
      <c r="H7" t="n">
        <v>51955.0901772261</v>
      </c>
      <c r="I7" t="n">
        <v>52939.8920094692</v>
      </c>
      <c r="J7" t="n">
        <v>96488.3151233445</v>
      </c>
      <c r="K7" t="n">
        <v>411.553961699133</v>
      </c>
      <c r="L7" t="n">
        <v>4810.95976635251</v>
      </c>
      <c r="M7" t="n">
        <v>0.670563620862076</v>
      </c>
      <c r="N7" t="n">
        <v>27944.2033868636</v>
      </c>
      <c r="O7" t="n">
        <v>153.807079270962</v>
      </c>
      <c r="P7" t="n">
        <v>1.40188438880658</v>
      </c>
      <c r="Q7" t="n">
        <v>1.23104105666982</v>
      </c>
      <c r="R7" t="n">
        <v>1.08459662968134</v>
      </c>
      <c r="S7" t="n">
        <v>0.114379603947938</v>
      </c>
      <c r="T7" t="n">
        <v>9720.94235356522</v>
      </c>
      <c r="U7" t="n">
        <v>0.376143073808586</v>
      </c>
      <c r="V7" t="n">
        <v>0.594806084628679</v>
      </c>
      <c r="W7" t="n">
        <v>20077710.5894754</v>
      </c>
      <c r="X7" t="n">
        <v>64060.3310220983</v>
      </c>
      <c r="Y7" t="n">
        <v>4424330.47025098</v>
      </c>
      <c r="Z7" t="n">
        <v>891.824842753355</v>
      </c>
      <c r="AA7" t="n">
        <v>1.08263425585586</v>
      </c>
      <c r="AB7" t="n">
        <v>1.06994216002391</v>
      </c>
      <c r="AC7" t="n">
        <v>1.12310828834711</v>
      </c>
      <c r="AD7" t="n">
        <v>1.13924680161054</v>
      </c>
      <c r="AE7" t="n">
        <v>112.124001595459</v>
      </c>
      <c r="AF7" t="n">
        <v>97842.8709609802</v>
      </c>
      <c r="AG7" t="n">
        <v>944.283035602267</v>
      </c>
      <c r="AH7" t="n">
        <v>106.236599672593</v>
      </c>
      <c r="AI7" t="n">
        <v>69173.4566660399</v>
      </c>
      <c r="AJ7" t="n">
        <v>82386.2901970227</v>
      </c>
      <c r="AK7" t="n">
        <v>590.194527782749</v>
      </c>
      <c r="AL7" t="n">
        <v>24621.662274306</v>
      </c>
      <c r="AM7" t="n">
        <v>19561.0531913269</v>
      </c>
      <c r="AN7" t="n">
        <v>0.957442075395653</v>
      </c>
      <c r="AO7" t="n">
        <v>1.03478689008184</v>
      </c>
      <c r="AP7" t="n">
        <v>1.0868060866751</v>
      </c>
      <c r="AQ7" t="n">
        <v>1.12325590030134</v>
      </c>
      <c r="AR7" t="n">
        <v>33815.2660752254</v>
      </c>
      <c r="AS7" t="n">
        <v>171549.477686434</v>
      </c>
      <c r="AT7" t="n">
        <v>0.0709882041567446</v>
      </c>
      <c r="AU7" t="n">
        <v>0.0455302835228866</v>
      </c>
      <c r="AV7" t="n">
        <v>-0.0573186650033165</v>
      </c>
      <c r="AW7" t="n">
        <v>1387.08056422888</v>
      </c>
      <c r="AX7" t="n">
        <v>11253.0503196439</v>
      </c>
      <c r="AY7" t="n">
        <v>18311.332956189</v>
      </c>
      <c r="AZ7" t="n">
        <v>177436.967346086</v>
      </c>
      <c r="BA7" t="n">
        <v>417610.118707606</v>
      </c>
      <c r="BB7" t="n">
        <v>185772.266171138</v>
      </c>
      <c r="BC7" t="n">
        <v>232089.976512911</v>
      </c>
      <c r="BD7" t="n">
        <v>51214.8742914881</v>
      </c>
      <c r="BE7" t="n">
        <v>15.1964159893201</v>
      </c>
      <c r="BF7" t="n">
        <v>42384.6342502211</v>
      </c>
      <c r="BG7" t="n">
        <v>15775.4755695637</v>
      </c>
      <c r="BH7" t="n">
        <v>22465.2105141558</v>
      </c>
      <c r="BI7" t="n">
        <v>74011.5969425905</v>
      </c>
      <c r="BJ7" t="n">
        <v>46108.5583412954</v>
      </c>
      <c r="BK7" t="n">
        <v>92381.9726831247</v>
      </c>
      <c r="BL7" t="n">
        <v>22542.0026714198</v>
      </c>
      <c r="BM7" t="n">
        <v>20241.5213985786</v>
      </c>
      <c r="BN7" t="n">
        <v>37915.0294736945</v>
      </c>
      <c r="BO7" t="n">
        <v>190421.374226818</v>
      </c>
      <c r="BP7" t="n">
        <v>186061.9853223</v>
      </c>
      <c r="BQ7" t="n">
        <v>808487.249401088</v>
      </c>
      <c r="BR7" t="n">
        <v>724256.765829046</v>
      </c>
      <c r="BS7" t="n">
        <v>718799.253491191</v>
      </c>
      <c r="BT7" t="n">
        <v>111.931292393745</v>
      </c>
      <c r="BU7" t="n">
        <v>1.11629919321191</v>
      </c>
      <c r="BV7" t="n">
        <v>1.07317757440819</v>
      </c>
      <c r="BW7" t="n">
        <v>98.9471610955952</v>
      </c>
      <c r="BX7" t="n">
        <v>79103.7964719654</v>
      </c>
      <c r="BY7" t="n">
        <v>1.13588837335118</v>
      </c>
      <c r="BZ7" t="n">
        <v>89853.0827004438</v>
      </c>
      <c r="CA7" t="n">
        <v>10343.7938389498</v>
      </c>
      <c r="CB7" t="n">
        <v>15154.7536053024</v>
      </c>
      <c r="CC7" t="n">
        <v>15749.3381764165</v>
      </c>
      <c r="CD7" t="n">
        <v>594.584571114145</v>
      </c>
      <c r="CE7" t="n">
        <v>0.0377529827519163</v>
      </c>
      <c r="CF7" t="n">
        <v>11111722.9185437</v>
      </c>
      <c r="CG7" t="n">
        <v>389774.273436507</v>
      </c>
      <c r="CH7" t="n">
        <v>482115.017126588</v>
      </c>
      <c r="CI7" t="n">
        <v>289033.814502465</v>
      </c>
      <c r="CJ7" t="n">
        <v>20989.0243273959</v>
      </c>
      <c r="CK7" t="n">
        <v>801540.877573717</v>
      </c>
      <c r="CL7" t="n">
        <v>0.0607137154317443</v>
      </c>
      <c r="CM7" t="n">
        <v>16.470742943153</v>
      </c>
      <c r="CN7" t="n">
        <v>1142988.92376089</v>
      </c>
      <c r="CO7" t="n">
        <v>2721698.0980684</v>
      </c>
      <c r="CP7" t="n">
        <v>3194469.08444697</v>
      </c>
      <c r="CQ7" t="n">
        <v>3864687.02182928</v>
      </c>
      <c r="CR7" t="n">
        <v>9146632.60059346</v>
      </c>
      <c r="CS7" t="n">
        <v>0.0215924511979705</v>
      </c>
      <c r="CT7" t="n">
        <v>-0.00386546943588748</v>
      </c>
      <c r="CU7" t="n">
        <v>0.0649838509891635</v>
      </c>
      <c r="CV7" t="n">
        <v>1.44502836460523</v>
      </c>
      <c r="CW7" t="n">
        <v>0.0649838509891635</v>
      </c>
      <c r="CX7" t="n">
        <v>0.039440022763365</v>
      </c>
      <c r="CY7" t="n">
        <v>0.00970026312287411</v>
      </c>
      <c r="CZ7" t="n">
        <v>-0.0135657325587616</v>
      </c>
      <c r="DA7" t="n">
        <v>0.553172731619061</v>
      </c>
      <c r="DB7" t="n">
        <v>5.79833416628519</v>
      </c>
      <c r="DC7" t="n">
        <v>0.0887176954067446</v>
      </c>
      <c r="DD7" t="n">
        <v>0.0594820549994278</v>
      </c>
      <c r="DE7" t="n">
        <v>0.00735610818445296</v>
      </c>
      <c r="DF7" t="n">
        <v>0.12425454421413</v>
      </c>
      <c r="DG7" t="n">
        <v>207086.708715988</v>
      </c>
      <c r="DH7" t="n">
        <v>113.720709118096</v>
      </c>
      <c r="DI7" t="n">
        <v>4.77014061998839</v>
      </c>
      <c r="DJ7" t="n">
        <v>4.15330552241316</v>
      </c>
      <c r="DK7" t="n">
        <v>0.0484267358713257</v>
      </c>
      <c r="DL7" t="n">
        <v>0.669440030437354</v>
      </c>
      <c r="DM7" t="n">
        <v>1.11983663627779</v>
      </c>
      <c r="DN7" t="n">
        <v>0.0399169327369503</v>
      </c>
      <c r="DO7" t="n">
        <v>0.0374213819593254</v>
      </c>
      <c r="DP7" t="n">
        <v>28267.25</v>
      </c>
      <c r="DQ7" t="n">
        <v>23486.7172725075</v>
      </c>
      <c r="DR7" t="n">
        <v>165409.042118762</v>
      </c>
      <c r="DS7" t="n">
        <v>29204.1241466024</v>
      </c>
      <c r="DT7" t="n">
        <v>12473.5424506234</v>
      </c>
      <c r="DU7" t="n">
        <v>0</v>
      </c>
      <c r="DV7" t="n">
        <v>61.25</v>
      </c>
      <c r="DW7" t="n">
        <v>208288.96</v>
      </c>
      <c r="DX7" t="n">
        <v>2.11030270909113</v>
      </c>
      <c r="DY7" t="n">
        <v>80.6083433839946</v>
      </c>
      <c r="DZ7" t="n">
        <v>1.18119551508904</v>
      </c>
      <c r="EA7" t="n">
        <v>1.18588501702756</v>
      </c>
      <c r="EB7" t="n">
        <v>147730387.822721</v>
      </c>
      <c r="EC7" t="n">
        <v>3.18782304357156</v>
      </c>
      <c r="ED7" t="n">
        <v>0.0435</v>
      </c>
      <c r="EE7" t="n">
        <v>0.0304926484848485</v>
      </c>
      <c r="EF7" t="n">
        <v>0.03050813492075</v>
      </c>
      <c r="EG7" t="n">
        <v>0.0441803333333333</v>
      </c>
      <c r="EH7" t="n">
        <v>718437.420735489</v>
      </c>
      <c r="EI7" t="n">
        <v>369847.103350232</v>
      </c>
      <c r="EJ7" t="n">
        <v>905.565566909423</v>
      </c>
      <c r="EK7" t="n">
        <v>2.93516063486372</v>
      </c>
      <c r="EL7" t="n">
        <v>4.93957529587741</v>
      </c>
    </row>
    <row r="8">
      <c r="A8" s="2" t="n">
        <v>46539</v>
      </c>
      <c r="B8" t="n">
        <v>373790.180930009</v>
      </c>
      <c r="C8" t="n">
        <v>37030.7397082828</v>
      </c>
      <c r="D8" t="n">
        <v>21244.3603914568</v>
      </c>
      <c r="E8" t="n">
        <v>223449.107999614</v>
      </c>
      <c r="F8" t="n">
        <v>46226.9203438835</v>
      </c>
      <c r="G8" t="n">
        <v>12265.4321216248</v>
      </c>
      <c r="H8" t="n">
        <v>52887.1272988148</v>
      </c>
      <c r="I8" t="n">
        <v>53470.3969593173</v>
      </c>
      <c r="J8" t="n">
        <v>96926.2328468652</v>
      </c>
      <c r="K8" t="n">
        <v>411.193472011441</v>
      </c>
      <c r="L8" t="n">
        <v>4844.55127582682</v>
      </c>
      <c r="M8" t="n">
        <v>0.670828879735494</v>
      </c>
      <c r="N8" t="n">
        <v>28315.8022620169</v>
      </c>
      <c r="O8" t="n">
        <v>155.737810677994</v>
      </c>
      <c r="P8" t="n">
        <v>1.42897520773504</v>
      </c>
      <c r="Q8" t="n">
        <v>1.26004886923783</v>
      </c>
      <c r="R8" t="n">
        <v>1.09259070435643</v>
      </c>
      <c r="S8" t="n">
        <v>0.119715622102782</v>
      </c>
      <c r="T8" t="n">
        <v>9694.52431271054</v>
      </c>
      <c r="U8" t="n">
        <v>0.373973401049868</v>
      </c>
      <c r="V8" t="n">
        <v>0.588355487553681</v>
      </c>
      <c r="W8" t="n">
        <v>20349421.4704306</v>
      </c>
      <c r="X8" t="n">
        <v>65033.6088818687</v>
      </c>
      <c r="Y8" t="n">
        <v>4435449.47915343</v>
      </c>
      <c r="Z8" t="n">
        <v>901.553105810821</v>
      </c>
      <c r="AA8" t="n">
        <v>1.08970810992139</v>
      </c>
      <c r="AB8" t="n">
        <v>1.07668360482854</v>
      </c>
      <c r="AC8" t="n">
        <v>1.13470321317473</v>
      </c>
      <c r="AD8" t="n">
        <v>1.15836672066259</v>
      </c>
      <c r="AE8" t="n">
        <v>113.153841096975</v>
      </c>
      <c r="AF8" t="n">
        <v>98529.0064535174</v>
      </c>
      <c r="AG8" t="n">
        <v>964.687442573011</v>
      </c>
      <c r="AH8" t="n">
        <v>107.497642957343</v>
      </c>
      <c r="AI8" t="n">
        <v>69787.3466632575</v>
      </c>
      <c r="AJ8" t="n">
        <v>79976.8403434137</v>
      </c>
      <c r="AK8" t="n">
        <v>605.14026885601</v>
      </c>
      <c r="AL8" t="n">
        <v>24701.8500671153</v>
      </c>
      <c r="AM8" t="n">
        <v>19564.6548173754</v>
      </c>
      <c r="AN8" t="n">
        <v>0.967918276760051</v>
      </c>
      <c r="AO8" t="n">
        <v>1.04193128095663</v>
      </c>
      <c r="AP8" t="n">
        <v>1.09867129896588</v>
      </c>
      <c r="AQ8" t="n">
        <v>1.13573294636241</v>
      </c>
      <c r="AR8" t="n">
        <v>34042.8777275482</v>
      </c>
      <c r="AS8" t="n">
        <v>172212.209700047</v>
      </c>
      <c r="AT8" t="n">
        <v>0.0757193581888692</v>
      </c>
      <c r="AU8" t="n">
        <v>0.0471802047779933</v>
      </c>
      <c r="AV8" t="n">
        <v>-0.0658274827519159</v>
      </c>
      <c r="AW8" t="n">
        <v>1538.35908561526</v>
      </c>
      <c r="AX8" t="n">
        <v>11200.619048684</v>
      </c>
      <c r="AY8" t="n">
        <v>18426.8567844543</v>
      </c>
      <c r="AZ8" t="n">
        <v>178221.622176243</v>
      </c>
      <c r="BA8" t="n">
        <v>424525.82447163</v>
      </c>
      <c r="BB8" t="n">
        <v>188967.444081158</v>
      </c>
      <c r="BC8" t="n">
        <v>234610.336284956</v>
      </c>
      <c r="BD8" t="n">
        <v>53006.540101207</v>
      </c>
      <c r="BE8" t="n">
        <v>15.3831352554629</v>
      </c>
      <c r="BF8" t="n">
        <v>42895.1765195934</v>
      </c>
      <c r="BG8" t="n">
        <v>16005.4069318542</v>
      </c>
      <c r="BH8" t="n">
        <v>23150.1518086633</v>
      </c>
      <c r="BI8" t="n">
        <v>75138.8912785621</v>
      </c>
      <c r="BJ8" t="n">
        <v>46867.6541265606</v>
      </c>
      <c r="BK8" t="n">
        <v>93816.6722699812</v>
      </c>
      <c r="BL8" t="n">
        <v>23218.7400548591</v>
      </c>
      <c r="BM8" t="n">
        <v>20385.0258553423</v>
      </c>
      <c r="BN8" t="n">
        <v>38520.8237686675</v>
      </c>
      <c r="BO8" t="n">
        <v>193282.10994885</v>
      </c>
      <c r="BP8" t="n">
        <v>188157.459494952</v>
      </c>
      <c r="BQ8" t="n">
        <v>822675.19967192</v>
      </c>
      <c r="BR8" t="n">
        <v>728826.008025022</v>
      </c>
      <c r="BS8" t="n">
        <v>723246.573208056</v>
      </c>
      <c r="BT8" t="n">
        <v>113.099384258792</v>
      </c>
      <c r="BU8" t="n">
        <v>1.12876761363586</v>
      </c>
      <c r="BV8" t="n">
        <v>1.08450426827399</v>
      </c>
      <c r="BW8" t="n">
        <v>99.2598842320185</v>
      </c>
      <c r="BX8" t="n">
        <v>79530.3534505507</v>
      </c>
      <c r="BY8" t="n">
        <v>1.14937152708402</v>
      </c>
      <c r="BZ8" t="n">
        <v>91409.9237949915</v>
      </c>
      <c r="CA8" t="n">
        <v>10378.8804537379</v>
      </c>
      <c r="CB8" t="n">
        <v>15223.4317295647</v>
      </c>
      <c r="CC8" t="n">
        <v>15815.7570439994</v>
      </c>
      <c r="CD8" t="n">
        <v>592.325314434715</v>
      </c>
      <c r="CE8" t="n">
        <v>0.0374515894401633</v>
      </c>
      <c r="CF8" t="n">
        <v>11146138.411438</v>
      </c>
      <c r="CG8" t="n">
        <v>396747.31116582</v>
      </c>
      <c r="CH8" t="n">
        <v>487088.930993281</v>
      </c>
      <c r="CI8" t="n">
        <v>294120.604370025</v>
      </c>
      <c r="CJ8" t="n">
        <v>21205.5651847469</v>
      </c>
      <c r="CK8" t="n">
        <v>815606.927619008</v>
      </c>
      <c r="CL8" t="n">
        <v>0.0624208315267834</v>
      </c>
      <c r="CM8" t="n">
        <v>16.0202928339864</v>
      </c>
      <c r="CN8" t="n">
        <v>1145157.01654916</v>
      </c>
      <c r="CO8" t="n">
        <v>2747255.43768085</v>
      </c>
      <c r="CP8" t="n">
        <v>3206072.80163624</v>
      </c>
      <c r="CQ8" t="n">
        <v>3892412.45423001</v>
      </c>
      <c r="CR8" t="n">
        <v>9185961.75018346</v>
      </c>
      <c r="CS8" t="n">
        <v>0.0251520541937306</v>
      </c>
      <c r="CT8" t="n">
        <v>-0.00338709921714538</v>
      </c>
      <c r="CU8" t="n">
        <v>0.0691483181076434</v>
      </c>
      <c r="CV8" t="n">
        <v>1.46316772243466</v>
      </c>
      <c r="CW8" t="n">
        <v>0.0691483181076436</v>
      </c>
      <c r="CX8" t="n">
        <v>0.039440022763365</v>
      </c>
      <c r="CY8" t="n">
        <v>0.012305022763365</v>
      </c>
      <c r="CZ8" t="n">
        <v>-0.0156921219805104</v>
      </c>
      <c r="DA8" t="n">
        <v>0.54614642951315</v>
      </c>
      <c r="DB8" t="n">
        <v>5.78891601137817</v>
      </c>
      <c r="DC8" t="n">
        <v>0.0934488494388692</v>
      </c>
      <c r="DD8" t="n">
        <v>0.0626175331783706</v>
      </c>
      <c r="DE8" t="n">
        <v>0.00747855055247671</v>
      </c>
      <c r="DF8" t="n">
        <v>0.126338658831411</v>
      </c>
      <c r="DG8" t="n">
        <v>208495.978877053</v>
      </c>
      <c r="DH8" t="n">
        <v>115.029459421225</v>
      </c>
      <c r="DI8" t="n">
        <v>4.7817566720015</v>
      </c>
      <c r="DJ8" t="n">
        <v>4.16198426443782</v>
      </c>
      <c r="DK8" t="n">
        <v>0.0484267358713257</v>
      </c>
      <c r="DL8" t="n">
        <v>0.669440030437354</v>
      </c>
      <c r="DM8" t="n">
        <v>1.13109564276806</v>
      </c>
      <c r="DN8" t="n">
        <v>0.0399169327369503</v>
      </c>
      <c r="DO8" t="n">
        <v>0.0374213819593254</v>
      </c>
      <c r="DP8" t="n">
        <v>28354.8</v>
      </c>
      <c r="DQ8" t="n">
        <v>23576.440314012</v>
      </c>
      <c r="DR8" t="n">
        <v>166534.686680277</v>
      </c>
      <c r="DS8" t="n">
        <v>29402.8645727506</v>
      </c>
      <c r="DT8" t="n">
        <v>12558.4276240246</v>
      </c>
      <c r="DU8" t="n">
        <v>0</v>
      </c>
      <c r="DV8" t="n">
        <v>61.25</v>
      </c>
      <c r="DW8" t="n">
        <v>208288.96</v>
      </c>
      <c r="DX8" t="n">
        <v>2.12171101496979</v>
      </c>
      <c r="DY8" t="n">
        <v>79.0302004805758</v>
      </c>
      <c r="DZ8" t="n">
        <v>1.16954068548472</v>
      </c>
      <c r="EA8" t="n">
        <v>1.19216508090601</v>
      </c>
      <c r="EB8" t="n">
        <v>149197868.454801</v>
      </c>
      <c r="EC8" t="n">
        <v>3.17687610510602</v>
      </c>
      <c r="ED8" t="n">
        <v>0.0435</v>
      </c>
      <c r="EE8" t="n">
        <v>0.0304926484848485</v>
      </c>
      <c r="EF8" t="n">
        <v>0.03050813492075</v>
      </c>
      <c r="EG8" t="n">
        <v>0.0441803333333333</v>
      </c>
      <c r="EH8" t="n">
        <v>723856.987489102</v>
      </c>
      <c r="EI8" t="n">
        <v>372472.299573293</v>
      </c>
      <c r="EJ8" t="n">
        <v>914.489757430077</v>
      </c>
      <c r="EK8" t="n">
        <v>3.52567685822476</v>
      </c>
      <c r="EL8" t="n">
        <v>5.05673039951386</v>
      </c>
    </row>
    <row r="9">
      <c r="A9" s="2" t="n">
        <v>46631</v>
      </c>
      <c r="B9" t="n">
        <v>375539.160539227</v>
      </c>
      <c r="C9" t="n">
        <v>36911.1636418051</v>
      </c>
      <c r="D9" t="n">
        <v>21641.3700399856</v>
      </c>
      <c r="E9" t="n">
        <v>224951.552624361</v>
      </c>
      <c r="F9" t="n">
        <v>46764.1443166885</v>
      </c>
      <c r="G9" t="n">
        <v>12461.8359878403</v>
      </c>
      <c r="H9" t="n">
        <v>53765.0496720328</v>
      </c>
      <c r="I9" t="n">
        <v>56690.743979063</v>
      </c>
      <c r="J9" t="n">
        <v>96828.6351294553</v>
      </c>
      <c r="K9" t="n">
        <v>410.554794331133</v>
      </c>
      <c r="L9" t="n">
        <v>4874.81585402018</v>
      </c>
      <c r="M9" t="n">
        <v>0.671058690849045</v>
      </c>
      <c r="N9" t="n">
        <v>28692.1529500277</v>
      </c>
      <c r="O9" t="n">
        <v>157.676999581605</v>
      </c>
      <c r="P9" t="n">
        <v>1.45679949222181</v>
      </c>
      <c r="Q9" t="n">
        <v>1.29054483500146</v>
      </c>
      <c r="R9" t="n">
        <v>1.10295826652818</v>
      </c>
      <c r="S9" t="n">
        <v>0.123536091045307</v>
      </c>
      <c r="T9" t="n">
        <v>9602.68914352483</v>
      </c>
      <c r="U9" t="n">
        <v>0.370467302998928</v>
      </c>
      <c r="V9" t="n">
        <v>0.579812852014796</v>
      </c>
      <c r="W9" t="n">
        <v>20675351.8732095</v>
      </c>
      <c r="X9" t="n">
        <v>66020.9913311473</v>
      </c>
      <c r="Y9" t="n">
        <v>4439349.12680686</v>
      </c>
      <c r="Z9" t="n">
        <v>917.041009226491</v>
      </c>
      <c r="AA9" t="n">
        <v>1.09722857278727</v>
      </c>
      <c r="AB9" t="n">
        <v>1.08369158886182</v>
      </c>
      <c r="AC9" t="n">
        <v>1.14657529765156</v>
      </c>
      <c r="AD9" t="n">
        <v>1.17830947074879</v>
      </c>
      <c r="AE9" t="n">
        <v>114.205775935667</v>
      </c>
      <c r="AF9" t="n">
        <v>98831.3550557587</v>
      </c>
      <c r="AG9" t="n">
        <v>985.747092872787</v>
      </c>
      <c r="AH9" t="n">
        <v>108.806321458751</v>
      </c>
      <c r="AI9" t="n">
        <v>70260.1951736132</v>
      </c>
      <c r="AJ9" t="n">
        <v>77380.8848553091</v>
      </c>
      <c r="AK9" t="n">
        <v>621.433109620733</v>
      </c>
      <c r="AL9" t="n">
        <v>24791.4886193693</v>
      </c>
      <c r="AM9" t="n">
        <v>19534.6506556382</v>
      </c>
      <c r="AN9" t="n">
        <v>0.981776429103674</v>
      </c>
      <c r="AO9" t="n">
        <v>1.05143707520806</v>
      </c>
      <c r="AP9" t="n">
        <v>1.11044778372348</v>
      </c>
      <c r="AQ9" t="n">
        <v>1.14823697756208</v>
      </c>
      <c r="AR9" t="n">
        <v>34200.7228348569</v>
      </c>
      <c r="AS9" t="n">
        <v>172604.147697744</v>
      </c>
      <c r="AT9" t="n">
        <v>0.078482052044651</v>
      </c>
      <c r="AU9" t="n">
        <v>0.0488858688062876</v>
      </c>
      <c r="AV9" t="n">
        <v>-0.057082741916143</v>
      </c>
      <c r="AW9" t="n">
        <v>1502.44462474791</v>
      </c>
      <c r="AX9" t="n">
        <v>11164.4510979893</v>
      </c>
      <c r="AY9" t="n">
        <v>18513.9212659223</v>
      </c>
      <c r="AZ9" t="n">
        <v>178338.929885873</v>
      </c>
      <c r="BA9" t="n">
        <v>431207.951631522</v>
      </c>
      <c r="BB9" t="n">
        <v>192126.933687113</v>
      </c>
      <c r="BC9" t="n">
        <v>236613.87365169</v>
      </c>
      <c r="BD9" t="n">
        <v>57958.4840586507</v>
      </c>
      <c r="BE9" t="n">
        <v>15.8992043441839</v>
      </c>
      <c r="BF9" t="n">
        <v>43492.7736954972</v>
      </c>
      <c r="BG9" t="n">
        <v>16264.366690486</v>
      </c>
      <c r="BH9" t="n">
        <v>23745.5295621346</v>
      </c>
      <c r="BI9" t="n">
        <v>76140.3818415857</v>
      </c>
      <c r="BJ9" t="n">
        <v>47415.5369242719</v>
      </c>
      <c r="BK9" t="n">
        <v>95064.0716323792</v>
      </c>
      <c r="BL9" t="n">
        <v>23893.0454653597</v>
      </c>
      <c r="BM9" t="n">
        <v>20539.4559505755</v>
      </c>
      <c r="BN9" t="n">
        <v>39059.2008891552</v>
      </c>
      <c r="BO9" t="n">
        <v>195896.62193747</v>
      </c>
      <c r="BP9" t="n">
        <v>190375.171540278</v>
      </c>
      <c r="BQ9" t="n">
        <v>835914.924429802</v>
      </c>
      <c r="BR9" t="n">
        <v>732269.61534342</v>
      </c>
      <c r="BS9" t="n">
        <v>726964.811057511</v>
      </c>
      <c r="BT9" t="n">
        <v>114.288001956843</v>
      </c>
      <c r="BU9" t="n">
        <v>1.14153981235997</v>
      </c>
      <c r="BV9" t="n">
        <v>1.09845125830256</v>
      </c>
      <c r="BW9" t="n">
        <v>99.5913709192454</v>
      </c>
      <c r="BX9" t="n">
        <v>79902.479240888</v>
      </c>
      <c r="BY9" t="n">
        <v>1.163363999535</v>
      </c>
      <c r="BZ9" t="n">
        <v>92955.6678224421</v>
      </c>
      <c r="CA9" t="n">
        <v>10404.1656196879</v>
      </c>
      <c r="CB9" t="n">
        <v>15278.9814737081</v>
      </c>
      <c r="CC9" t="n">
        <v>15878.5790612886</v>
      </c>
      <c r="CD9" t="n">
        <v>599.597587580534</v>
      </c>
      <c r="CE9" t="n">
        <v>0.0377614085617731</v>
      </c>
      <c r="CF9" t="n">
        <v>11179119.1065133</v>
      </c>
      <c r="CG9" t="n">
        <v>403487.51304475</v>
      </c>
      <c r="CH9" t="n">
        <v>495057.927680032</v>
      </c>
      <c r="CI9" t="n">
        <v>298612.87306499</v>
      </c>
      <c r="CJ9" t="n">
        <v>21552.4978862421</v>
      </c>
      <c r="CK9" t="n">
        <v>828732.899128303</v>
      </c>
      <c r="CL9" t="n">
        <v>0.0647144878202967</v>
      </c>
      <c r="CM9" t="n">
        <v>15.452490372432</v>
      </c>
      <c r="CN9" t="n">
        <v>1147783.71369564</v>
      </c>
      <c r="CO9" t="n">
        <v>2773017.10242478</v>
      </c>
      <c r="CP9" t="n">
        <v>3217410.18225678</v>
      </c>
      <c r="CQ9" t="n">
        <v>3920800.81612042</v>
      </c>
      <c r="CR9" t="n">
        <v>9225687.49269441</v>
      </c>
      <c r="CS9" t="n">
        <v>0.027742454281692</v>
      </c>
      <c r="CT9" t="n">
        <v>-0.00185372895667142</v>
      </c>
      <c r="CU9" t="n">
        <v>0.072796493282348</v>
      </c>
      <c r="CV9" t="n">
        <v>1.48138653904133</v>
      </c>
      <c r="CW9" t="n">
        <v>0.072796493282348</v>
      </c>
      <c r="CX9" t="n">
        <v>0.039440022763365</v>
      </c>
      <c r="CY9" t="n">
        <v>0.00952971139750516</v>
      </c>
      <c r="CZ9" t="n">
        <v>-0.0113834403541766</v>
      </c>
      <c r="DA9" t="n">
        <v>0.537207420525535</v>
      </c>
      <c r="DB9" t="n">
        <v>5.8159465975371</v>
      </c>
      <c r="DC9" t="n">
        <v>0.096211543294651</v>
      </c>
      <c r="DD9" t="n">
        <v>0.0644879113913568</v>
      </c>
      <c r="DE9" t="n">
        <v>0.00760549680479834</v>
      </c>
      <c r="DF9" t="n">
        <v>0.128508054339451</v>
      </c>
      <c r="DG9" t="n">
        <v>209787.037336164</v>
      </c>
      <c r="DH9" t="n">
        <v>116.43352151869</v>
      </c>
      <c r="DI9" t="n">
        <v>4.79406219694535</v>
      </c>
      <c r="DJ9" t="n">
        <v>4.17135247939321</v>
      </c>
      <c r="DK9" t="n">
        <v>0.0484267358713257</v>
      </c>
      <c r="DL9" t="n">
        <v>0.669440030437354</v>
      </c>
      <c r="DM9" t="n">
        <v>1.14246784900823</v>
      </c>
      <c r="DN9" t="n">
        <v>0.0399169327369503</v>
      </c>
      <c r="DO9" t="n">
        <v>0.0374213819593254</v>
      </c>
      <c r="DP9" t="n">
        <v>28438.7</v>
      </c>
      <c r="DQ9" t="n">
        <v>23661.9825923103</v>
      </c>
      <c r="DR9" t="n">
        <v>167565.910481964</v>
      </c>
      <c r="DS9" t="n">
        <v>29584.9343528644</v>
      </c>
      <c r="DT9" t="n">
        <v>12636.1925013352</v>
      </c>
      <c r="DU9" t="n">
        <v>0</v>
      </c>
      <c r="DV9" t="n">
        <v>56.25</v>
      </c>
      <c r="DW9" t="n">
        <v>208288.96</v>
      </c>
      <c r="DX9" t="n">
        <v>2.13318099420103</v>
      </c>
      <c r="DY9" t="n">
        <v>77.4829543171104</v>
      </c>
      <c r="DZ9" t="n">
        <v>1.15800085382221</v>
      </c>
      <c r="EA9" t="n">
        <v>1.1984784019736</v>
      </c>
      <c r="EB9" t="n">
        <v>150679926.313932</v>
      </c>
      <c r="EC9" t="n">
        <v>3.16596675826966</v>
      </c>
      <c r="ED9" t="n">
        <v>0.0435</v>
      </c>
      <c r="EE9" t="n">
        <v>0.0304926484848485</v>
      </c>
      <c r="EF9" t="n">
        <v>0.03050813492075</v>
      </c>
      <c r="EG9" t="n">
        <v>0.0441803333333333</v>
      </c>
      <c r="EH9" t="n">
        <v>728991.335338315</v>
      </c>
      <c r="EI9" t="n">
        <v>374951.223584117</v>
      </c>
      <c r="EJ9" t="n">
        <v>924.441169630842</v>
      </c>
      <c r="EK9" t="n">
        <v>2.4794075557885</v>
      </c>
      <c r="EL9" t="n">
        <v>5.0739597762959</v>
      </c>
    </row>
    <row r="10">
      <c r="A10" s="2" t="n">
        <v>46722</v>
      </c>
      <c r="B10" t="n">
        <v>377359.172118566</v>
      </c>
      <c r="C10" t="n">
        <v>36880.3200019542</v>
      </c>
      <c r="D10" t="n">
        <v>22030.4880795071</v>
      </c>
      <c r="E10" t="n">
        <v>226395.88395979</v>
      </c>
      <c r="F10" t="n">
        <v>47439.4459857855</v>
      </c>
      <c r="G10" t="n">
        <v>12656.7037546931</v>
      </c>
      <c r="H10" t="n">
        <v>54670.4886335472</v>
      </c>
      <c r="I10" t="n">
        <v>56804.6261658598</v>
      </c>
      <c r="J10" t="n">
        <v>97116.3839754029</v>
      </c>
      <c r="K10" t="n">
        <v>409.863846671817</v>
      </c>
      <c r="L10" t="n">
        <v>4904.02386917124</v>
      </c>
      <c r="M10" t="n">
        <v>0.671099902521527</v>
      </c>
      <c r="N10" t="n">
        <v>29056.995200083</v>
      </c>
      <c r="O10" t="n">
        <v>159.617705393002</v>
      </c>
      <c r="P10" t="n">
        <v>1.48471690368508</v>
      </c>
      <c r="Q10" t="n">
        <v>1.32047214839457</v>
      </c>
      <c r="R10" t="n">
        <v>1.1103572809152</v>
      </c>
      <c r="S10" t="n">
        <v>0.126107264415289</v>
      </c>
      <c r="T10" t="n">
        <v>9465.79922370947</v>
      </c>
      <c r="U10" t="n">
        <v>0.368712487630497</v>
      </c>
      <c r="V10" t="n">
        <v>0.574153122218484</v>
      </c>
      <c r="W10" t="n">
        <v>21053055.2761961</v>
      </c>
      <c r="X10" t="n">
        <v>67022.1720020027</v>
      </c>
      <c r="Y10" t="n">
        <v>4440127.33759172</v>
      </c>
      <c r="Z10" t="n">
        <v>937.824848020946</v>
      </c>
      <c r="AA10" t="n">
        <v>1.10447784290492</v>
      </c>
      <c r="AB10" t="n">
        <v>1.09064943933822</v>
      </c>
      <c r="AC10" t="n">
        <v>1.15842920170848</v>
      </c>
      <c r="AD10" t="n">
        <v>1.19895839139393</v>
      </c>
      <c r="AE10" t="n">
        <v>115.274249837851</v>
      </c>
      <c r="AF10" t="n">
        <v>98760.3328044099</v>
      </c>
      <c r="AG10" t="n">
        <v>1007.23015554507</v>
      </c>
      <c r="AH10" t="n">
        <v>110.170512381939</v>
      </c>
      <c r="AI10" t="n">
        <v>70620.8296970507</v>
      </c>
      <c r="AJ10" t="n">
        <v>75672.4967974193</v>
      </c>
      <c r="AK10" t="n">
        <v>627.308959450054</v>
      </c>
      <c r="AL10" t="n">
        <v>24918.0768687158</v>
      </c>
      <c r="AM10" t="n">
        <v>19520.3007106901</v>
      </c>
      <c r="AN10" t="n">
        <v>0.989808070559607</v>
      </c>
      <c r="AO10" t="n">
        <v>1.05832674929229</v>
      </c>
      <c r="AP10" t="n">
        <v>1.12206797046608</v>
      </c>
      <c r="AQ10" t="n">
        <v>1.16072827264361</v>
      </c>
      <c r="AR10" t="n">
        <v>34387.6855794595</v>
      </c>
      <c r="AS10" t="n">
        <v>173058.849559539</v>
      </c>
      <c r="AT10" t="n">
        <v>0.0800725952304393</v>
      </c>
      <c r="AU10" t="n">
        <v>0.050572285043336</v>
      </c>
      <c r="AV10" t="n">
        <v>-0.043790326560803</v>
      </c>
      <c r="AW10" t="n">
        <v>1444.33133542823</v>
      </c>
      <c r="AX10" t="n">
        <v>11155.1218795409</v>
      </c>
      <c r="AY10" t="n">
        <v>18611.8709014301</v>
      </c>
      <c r="AZ10" t="n">
        <v>178897.241166983</v>
      </c>
      <c r="BA10" t="n">
        <v>438011.461078676</v>
      </c>
      <c r="BB10" t="n">
        <v>195315.240934555</v>
      </c>
      <c r="BC10" t="n">
        <v>238445.048047152</v>
      </c>
      <c r="BD10" t="n">
        <v>60008.4107200077</v>
      </c>
      <c r="BE10" t="n">
        <v>16.1128383822835</v>
      </c>
      <c r="BF10" t="n">
        <v>44217.9691436365</v>
      </c>
      <c r="BG10" t="n">
        <v>16562.1980172216</v>
      </c>
      <c r="BH10" t="n">
        <v>24332.1859521966</v>
      </c>
      <c r="BI10" t="n">
        <v>77022.5675614625</v>
      </c>
      <c r="BJ10" t="n">
        <v>47941.8837692582</v>
      </c>
      <c r="BK10" t="n">
        <v>96126.5806424195</v>
      </c>
      <c r="BL10" t="n">
        <v>24576.4571548538</v>
      </c>
      <c r="BM10" t="n">
        <v>20658.8563963525</v>
      </c>
      <c r="BN10" t="n">
        <v>39640.1465883209</v>
      </c>
      <c r="BO10" t="n">
        <v>198342.888781947</v>
      </c>
      <c r="BP10" t="n">
        <v>192157.153635242</v>
      </c>
      <c r="BQ10" t="n">
        <v>849589.241603711</v>
      </c>
      <c r="BR10" t="n">
        <v>736143.756310264</v>
      </c>
      <c r="BS10" t="n">
        <v>730735.3412123</v>
      </c>
      <c r="BT10" t="n">
        <v>115.479131158978</v>
      </c>
      <c r="BU10" t="n">
        <v>1.15410778107853</v>
      </c>
      <c r="BV10" t="n">
        <v>1.10869730292159</v>
      </c>
      <c r="BW10" t="n">
        <v>99.8505005530976</v>
      </c>
      <c r="BX10" t="n">
        <v>80289.718316641</v>
      </c>
      <c r="BY10" t="n">
        <v>1.17795001427433</v>
      </c>
      <c r="BZ10" t="n">
        <v>94577.2748371691</v>
      </c>
      <c r="CA10" t="n">
        <v>10423.5318496102</v>
      </c>
      <c r="CB10" t="n">
        <v>15327.5557187814</v>
      </c>
      <c r="CC10" t="n">
        <v>15937.0241153654</v>
      </c>
      <c r="CD10" t="n">
        <v>609.468396583936</v>
      </c>
      <c r="CE10" t="n">
        <v>0.0382422909373827</v>
      </c>
      <c r="CF10" t="n">
        <v>11212099.8015885</v>
      </c>
      <c r="CG10" t="n">
        <v>409917.219799419</v>
      </c>
      <c r="CH10" t="n">
        <v>500594.081830418</v>
      </c>
      <c r="CI10" t="n">
        <v>303701.125870905</v>
      </c>
      <c r="CJ10" t="n">
        <v>21793.5160458407</v>
      </c>
      <c r="CK10" t="n">
        <v>842289.729116551</v>
      </c>
      <c r="CL10" t="n">
        <v>0.0662711034350699</v>
      </c>
      <c r="CM10" t="n">
        <v>15.0895329663518</v>
      </c>
      <c r="CN10" t="n">
        <v>1150764.71633549</v>
      </c>
      <c r="CO10" t="n">
        <v>2798838.77643515</v>
      </c>
      <c r="CP10" t="n">
        <v>3228537.12942568</v>
      </c>
      <c r="CQ10" t="n">
        <v>3949603.49277064</v>
      </c>
      <c r="CR10" t="n">
        <v>9265617.11651353</v>
      </c>
      <c r="CS10" t="n">
        <v>0.0293561678244618</v>
      </c>
      <c r="CT10" t="n">
        <v>-0.000144142362641438</v>
      </c>
      <c r="CU10" t="n">
        <v>0.0753908370093113</v>
      </c>
      <c r="CV10" t="n">
        <v>1.49961960710371</v>
      </c>
      <c r="CW10" t="n">
        <v>0.0753908370093113</v>
      </c>
      <c r="CX10" t="n">
        <v>0.039440022763365</v>
      </c>
      <c r="CY10" t="n">
        <v>0.0067269292695177</v>
      </c>
      <c r="CZ10" t="n">
        <v>-0.00687107163215914</v>
      </c>
      <c r="DA10" t="n">
        <v>0.530942094275815</v>
      </c>
      <c r="DB10" t="n">
        <v>5.87544374047906</v>
      </c>
      <c r="DC10" t="n">
        <v>0.0978020864804393</v>
      </c>
      <c r="DD10" t="n">
        <v>0.0655904239846533</v>
      </c>
      <c r="DE10" t="n">
        <v>0.00773137747548898</v>
      </c>
      <c r="DF10" t="n">
        <v>0.129933677957384</v>
      </c>
      <c r="DG10" t="n">
        <v>211086.090347275</v>
      </c>
      <c r="DH10" t="n">
        <v>117.666402796334</v>
      </c>
      <c r="DI10" t="n">
        <v>4.80476855327919</v>
      </c>
      <c r="DJ10" t="n">
        <v>4.1791215257386</v>
      </c>
      <c r="DK10" t="n">
        <v>0.0484267358713257</v>
      </c>
      <c r="DL10" t="n">
        <v>0.669440030437354</v>
      </c>
      <c r="DM10" t="n">
        <v>1.15395439312565</v>
      </c>
      <c r="DN10" t="n">
        <v>0.0399169327369503</v>
      </c>
      <c r="DO10" t="n">
        <v>0.0374213819593254</v>
      </c>
      <c r="DP10" t="n">
        <v>28522.6</v>
      </c>
      <c r="DQ10" t="n">
        <v>23747.617985765</v>
      </c>
      <c r="DR10" t="n">
        <v>168603.519875448</v>
      </c>
      <c r="DS10" t="n">
        <v>29768.1315539051</v>
      </c>
      <c r="DT10" t="n">
        <v>12714.4389179217</v>
      </c>
      <c r="DU10" t="n">
        <v>0</v>
      </c>
      <c r="DV10" t="n">
        <v>56.25</v>
      </c>
      <c r="DW10" t="n">
        <v>208288.96</v>
      </c>
      <c r="DX10" t="n">
        <v>2.14471298019127</v>
      </c>
      <c r="DY10" t="n">
        <v>75.966</v>
      </c>
      <c r="DZ10" t="n">
        <v>1.1465748854194</v>
      </c>
      <c r="EA10" t="n">
        <v>1.20482515634968</v>
      </c>
      <c r="EB10" t="n">
        <v>152176706.203079</v>
      </c>
      <c r="EC10" t="n">
        <v>3.15509487397338</v>
      </c>
      <c r="ED10" t="n">
        <v>0.0435</v>
      </c>
      <c r="EE10" t="n">
        <v>0.0304926484848485</v>
      </c>
      <c r="EF10" t="n">
        <v>0.03050813492075</v>
      </c>
      <c r="EG10" t="n">
        <v>0.0441803333333333</v>
      </c>
      <c r="EH10" t="n">
        <v>733946.219944823</v>
      </c>
      <c r="EI10" t="n">
        <v>377311.140709572</v>
      </c>
      <c r="EJ10" t="n">
        <v>936.3996772439</v>
      </c>
      <c r="EK10" t="n">
        <v>2.3362819598622</v>
      </c>
      <c r="EL10" t="n">
        <v>5.07164274059775</v>
      </c>
    </row>
    <row r="11">
      <c r="A11" s="2" t="n">
        <v>46813</v>
      </c>
      <c r="B11" t="n">
        <v>379195.880901556</v>
      </c>
      <c r="C11" t="n">
        <v>36961.5005011521</v>
      </c>
      <c r="D11" t="n">
        <v>22393.9719470252</v>
      </c>
      <c r="E11" t="n">
        <v>227830.508737886</v>
      </c>
      <c r="F11" t="n">
        <v>48100.3341630222</v>
      </c>
      <c r="G11" t="n">
        <v>12843.3375964688</v>
      </c>
      <c r="H11" t="n">
        <v>55560.8772326393</v>
      </c>
      <c r="I11" t="n">
        <v>57212.1175741619</v>
      </c>
      <c r="J11" t="n">
        <v>97302.8830321181</v>
      </c>
      <c r="K11" t="n">
        <v>409.101584664708</v>
      </c>
      <c r="L11" t="n">
        <v>4932.56022848538</v>
      </c>
      <c r="M11" t="n">
        <v>0.671073274359972</v>
      </c>
      <c r="N11" t="n">
        <v>29420.8575092684</v>
      </c>
      <c r="O11" t="n">
        <v>161.54507457248</v>
      </c>
      <c r="P11" t="n">
        <v>1.51261573665111</v>
      </c>
      <c r="Q11" t="n">
        <v>1.34537796837835</v>
      </c>
      <c r="R11" t="n">
        <v>1.1153735061906</v>
      </c>
      <c r="S11" t="n">
        <v>0.127594711099552</v>
      </c>
      <c r="T11" t="n">
        <v>9307.15681720489</v>
      </c>
      <c r="U11" t="n">
        <v>0.368447332140239</v>
      </c>
      <c r="V11" t="n">
        <v>0.570899825797015</v>
      </c>
      <c r="W11" t="n">
        <v>21470175.7425302</v>
      </c>
      <c r="X11" t="n">
        <v>68034.28222497</v>
      </c>
      <c r="Y11" t="n">
        <v>4438398.27222015</v>
      </c>
      <c r="Z11" t="n">
        <v>962.260394371646</v>
      </c>
      <c r="AA11" t="n">
        <v>1.11172054065154</v>
      </c>
      <c r="AB11" t="n">
        <v>1.09721546519128</v>
      </c>
      <c r="AC11" t="n">
        <v>1.17048295096307</v>
      </c>
      <c r="AD11" t="n">
        <v>1.22012301613887</v>
      </c>
      <c r="AE11" t="n">
        <v>116.350088264061</v>
      </c>
      <c r="AF11" t="n">
        <v>98495.4609324893</v>
      </c>
      <c r="AG11" t="n">
        <v>1029.25418742849</v>
      </c>
      <c r="AH11" t="n">
        <v>111.583820477165</v>
      </c>
      <c r="AI11" t="n">
        <v>70995.9737861501</v>
      </c>
      <c r="AJ11" t="n">
        <v>74304.2490309873</v>
      </c>
      <c r="AK11" t="n">
        <v>630.36928498278</v>
      </c>
      <c r="AL11" t="n">
        <v>25069.3558639235</v>
      </c>
      <c r="AM11" t="n">
        <v>19504.2906465182</v>
      </c>
      <c r="AN11" t="n">
        <v>0.992612116640541</v>
      </c>
      <c r="AO11" t="n">
        <v>1.06375263576478</v>
      </c>
      <c r="AP11" t="n">
        <v>1.13343285469423</v>
      </c>
      <c r="AQ11" t="n">
        <v>1.17311070011885</v>
      </c>
      <c r="AR11" t="n">
        <v>34564.9767965145</v>
      </c>
      <c r="AS11" t="n">
        <v>173751.073983909</v>
      </c>
      <c r="AT11" t="n">
        <v>0.0804565319409796</v>
      </c>
      <c r="AU11" t="n">
        <v>0.0521674640460337</v>
      </c>
      <c r="AV11" t="n">
        <v>-0.0256294231190103</v>
      </c>
      <c r="AW11" t="n">
        <v>1434.62477809589</v>
      </c>
      <c r="AX11" t="n">
        <v>11179.6763943267</v>
      </c>
      <c r="AY11" t="n">
        <v>18706.1327358152</v>
      </c>
      <c r="AZ11" t="n">
        <v>179339.283210966</v>
      </c>
      <c r="BA11" t="n">
        <v>444838.746394754</v>
      </c>
      <c r="BB11" t="n">
        <v>198569.570099988</v>
      </c>
      <c r="BC11" t="n">
        <v>240069.365788543</v>
      </c>
      <c r="BD11" t="n">
        <v>62613.4914965695</v>
      </c>
      <c r="BE11" t="n">
        <v>16.3843280586527</v>
      </c>
      <c r="BF11" t="n">
        <v>45097.5774724843</v>
      </c>
      <c r="BG11" t="n">
        <v>16910.5544447256</v>
      </c>
      <c r="BH11" t="n">
        <v>24895.8386002824</v>
      </c>
      <c r="BI11" t="n">
        <v>77897.8796622813</v>
      </c>
      <c r="BJ11" t="n">
        <v>48508.6855836236</v>
      </c>
      <c r="BK11" t="n">
        <v>96584.0206817378</v>
      </c>
      <c r="BL11" t="n">
        <v>25166.8188563268</v>
      </c>
      <c r="BM11" t="n">
        <v>20747.7405839561</v>
      </c>
      <c r="BN11" t="n">
        <v>40216.3810111967</v>
      </c>
      <c r="BO11" t="n">
        <v>200055.809133217</v>
      </c>
      <c r="BP11" t="n">
        <v>193797.344593814</v>
      </c>
      <c r="BQ11" t="n">
        <v>862977.316797541</v>
      </c>
      <c r="BR11" t="n">
        <v>739872.036054429</v>
      </c>
      <c r="BS11" t="n">
        <v>734713.803866633</v>
      </c>
      <c r="BT11" t="n">
        <v>116.666580519866</v>
      </c>
      <c r="BU11" t="n">
        <v>1.16638725430616</v>
      </c>
      <c r="BV11" t="n">
        <v>1.11551582872048</v>
      </c>
      <c r="BW11" t="n">
        <v>100.012760078045</v>
      </c>
      <c r="BX11" t="n">
        <v>80680.5100124889</v>
      </c>
      <c r="BY11" t="n">
        <v>1.19306119289147</v>
      </c>
      <c r="BZ11" t="n">
        <v>96256.7855185919</v>
      </c>
      <c r="CA11" t="n">
        <v>10438.886910204</v>
      </c>
      <c r="CB11" t="n">
        <v>15371.4471386894</v>
      </c>
      <c r="CC11" t="n">
        <v>15993.9218709368</v>
      </c>
      <c r="CD11" t="n">
        <v>622.474732247418</v>
      </c>
      <c r="CE11" t="n">
        <v>0.0389194502846442</v>
      </c>
      <c r="CF11" t="n">
        <v>11245080.4966638</v>
      </c>
      <c r="CG11" t="n">
        <v>416238.875771898</v>
      </c>
      <c r="CH11" t="n">
        <v>506942.170228829</v>
      </c>
      <c r="CI11" t="n">
        <v>308635.249580212</v>
      </c>
      <c r="CJ11" t="n">
        <v>22069.8820105866</v>
      </c>
      <c r="CK11" t="n">
        <v>855562.776462485</v>
      </c>
      <c r="CL11" t="n">
        <v>0.0677295222766099</v>
      </c>
      <c r="CM11" t="n">
        <v>14.7646102672327</v>
      </c>
      <c r="CN11" t="n">
        <v>1154086.37265366</v>
      </c>
      <c r="CO11" t="n">
        <v>2824607.2840566</v>
      </c>
      <c r="CP11" t="n">
        <v>3239544.06197614</v>
      </c>
      <c r="CQ11" t="n">
        <v>3978693.65671026</v>
      </c>
      <c r="CR11" t="n">
        <v>9305714.21300361</v>
      </c>
      <c r="CS11" t="n">
        <v>0.0301467845730745</v>
      </c>
      <c r="CT11" t="n">
        <v>0.00185771667812868</v>
      </c>
      <c r="CU11" t="n">
        <v>0.0772849637316471</v>
      </c>
      <c r="CV11" t="n">
        <v>1.51772737656798</v>
      </c>
      <c r="CW11" t="n">
        <v>0.0772849637316471</v>
      </c>
      <c r="CX11" t="n">
        <v>0.039440022763365</v>
      </c>
      <c r="CY11" t="n">
        <v>0.00389649394370375</v>
      </c>
      <c r="CZ11" t="n">
        <v>-0.00203877726557507</v>
      </c>
      <c r="DA11" t="n">
        <v>0.526942814386531</v>
      </c>
      <c r="DB11" t="n">
        <v>5.95660620986567</v>
      </c>
      <c r="DC11" t="n">
        <v>0.0981860231909796</v>
      </c>
      <c r="DD11" t="n">
        <v>0.0659028164146666</v>
      </c>
      <c r="DE11" t="n">
        <v>0.00785078364530019</v>
      </c>
      <c r="DF11" t="n">
        <v>0.131074808597653</v>
      </c>
      <c r="DG11" t="n">
        <v>212393.187414621</v>
      </c>
      <c r="DH11" t="n">
        <v>118.878953434518</v>
      </c>
      <c r="DI11" t="n">
        <v>4.8151941149143</v>
      </c>
      <c r="DJ11" t="n">
        <v>4.18660977738526</v>
      </c>
      <c r="DK11" t="n">
        <v>0.0484267358713257</v>
      </c>
      <c r="DL11" t="n">
        <v>0.669440030437354</v>
      </c>
      <c r="DM11" t="n">
        <v>1.1655564246906</v>
      </c>
      <c r="DN11" t="n">
        <v>0.0399169327369503</v>
      </c>
      <c r="DO11" t="n">
        <v>0.0374213819593254</v>
      </c>
      <c r="DP11" t="n">
        <v>28606.5</v>
      </c>
      <c r="DQ11" t="n">
        <v>23833.3464943762</v>
      </c>
      <c r="DR11" t="n">
        <v>169647.554401886</v>
      </c>
      <c r="DS11" t="n">
        <v>29952.4631571409</v>
      </c>
      <c r="DT11" t="n">
        <v>12793.1698555937</v>
      </c>
      <c r="DU11" t="n">
        <v>0</v>
      </c>
      <c r="DV11" t="n">
        <v>56.25</v>
      </c>
      <c r="DW11" t="n">
        <v>208288.96</v>
      </c>
      <c r="DX11" t="n">
        <v>2.15587456584291</v>
      </c>
      <c r="DY11" t="n">
        <v>75.5295022413614</v>
      </c>
      <c r="DZ11" t="n">
        <v>1.13495748489578</v>
      </c>
      <c r="EA11" t="n">
        <v>1.20489817214186</v>
      </c>
      <c r="EB11" t="n">
        <v>153676165.156582</v>
      </c>
      <c r="EC11" t="n">
        <v>3.15387992712949</v>
      </c>
      <c r="ED11" t="n">
        <v>0.0435</v>
      </c>
      <c r="EE11" t="n">
        <v>0.0304926484848485</v>
      </c>
      <c r="EF11" t="n">
        <v>0.03050813492075</v>
      </c>
      <c r="EG11" t="n">
        <v>0.0441803333333333</v>
      </c>
      <c r="EH11" t="n">
        <v>738704.222642458</v>
      </c>
      <c r="EI11" t="n">
        <v>379567.19879082</v>
      </c>
      <c r="EJ11" t="n">
        <v>950.892389248495</v>
      </c>
      <c r="EK11" t="n">
        <v>2.15604064223103</v>
      </c>
      <c r="EL11" t="n">
        <v>5.03097473679051</v>
      </c>
    </row>
    <row r="12">
      <c r="A12" s="2" t="n">
        <v>46905</v>
      </c>
      <c r="B12" t="n">
        <v>380837.882653327</v>
      </c>
      <c r="C12" t="n">
        <v>37139.7680324348</v>
      </c>
      <c r="D12" t="n">
        <v>22672.4631420325</v>
      </c>
      <c r="E12" t="n">
        <v>229229.097331169</v>
      </c>
      <c r="F12" t="n">
        <v>48717.4653794145</v>
      </c>
      <c r="G12" t="n">
        <v>13022.695510192</v>
      </c>
      <c r="H12" t="n">
        <v>56420.3586356095</v>
      </c>
      <c r="I12" t="n">
        <v>57847.4686013746</v>
      </c>
      <c r="J12" t="n">
        <v>97815.6054360922</v>
      </c>
      <c r="K12" t="n">
        <v>408.292731564546</v>
      </c>
      <c r="L12" t="n">
        <v>4960.48537847015</v>
      </c>
      <c r="M12" t="n">
        <v>0.670965270697196</v>
      </c>
      <c r="N12" t="n">
        <v>29779.9763309022</v>
      </c>
      <c r="O12" t="n">
        <v>163.438775844355</v>
      </c>
      <c r="P12" t="n">
        <v>1.53997698129864</v>
      </c>
      <c r="Q12" t="n">
        <v>1.36303214207151</v>
      </c>
      <c r="R12" t="n">
        <v>1.11402379713797</v>
      </c>
      <c r="S12" t="n">
        <v>0.128002752177674</v>
      </c>
      <c r="T12" t="n">
        <v>9128.65018168499</v>
      </c>
      <c r="U12" t="n">
        <v>0.371823423685883</v>
      </c>
      <c r="V12" t="n">
        <v>0.573462729094722</v>
      </c>
      <c r="W12" t="n">
        <v>21906760.6669006</v>
      </c>
      <c r="X12" t="n">
        <v>69049.3655787852</v>
      </c>
      <c r="Y12" t="n">
        <v>4434578.77341717</v>
      </c>
      <c r="Z12" t="n">
        <v>988.466495490246</v>
      </c>
      <c r="AA12" t="n">
        <v>1.11818067726814</v>
      </c>
      <c r="AB12" t="n">
        <v>1.10248525321236</v>
      </c>
      <c r="AC12" t="n">
        <v>1.18263488052323</v>
      </c>
      <c r="AD12" t="n">
        <v>1.24159762143203</v>
      </c>
      <c r="AE12" t="n">
        <v>117.43724133099</v>
      </c>
      <c r="AF12" t="n">
        <v>98068.9440332255</v>
      </c>
      <c r="AG12" t="n">
        <v>1051.91245802948</v>
      </c>
      <c r="AH12" t="n">
        <v>113.049210509857</v>
      </c>
      <c r="AI12" t="n">
        <v>71385.1723736253</v>
      </c>
      <c r="AJ12" t="n">
        <v>73500.1970206579</v>
      </c>
      <c r="AK12" t="n">
        <v>631.014963468879</v>
      </c>
      <c r="AL12" t="n">
        <v>25228.0493646418</v>
      </c>
      <c r="AM12" t="n">
        <v>19492.2663293537</v>
      </c>
      <c r="AN12" t="n">
        <v>0.983745224512235</v>
      </c>
      <c r="AO12" t="n">
        <v>1.06493097639476</v>
      </c>
      <c r="AP12" t="n">
        <v>1.14437271545369</v>
      </c>
      <c r="AQ12" t="n">
        <v>1.18524889196419</v>
      </c>
      <c r="AR12" t="n">
        <v>34730.6129666086</v>
      </c>
      <c r="AS12" t="n">
        <v>174719.031166794</v>
      </c>
      <c r="AT12" t="n">
        <v>0.0796686129262509</v>
      </c>
      <c r="AU12" t="n">
        <v>0.0536064176704616</v>
      </c>
      <c r="AV12" t="n">
        <v>-0.00430236534690391</v>
      </c>
      <c r="AW12" t="n">
        <v>1398.58859328352</v>
      </c>
      <c r="AX12" t="n">
        <v>11233.5966433516</v>
      </c>
      <c r="AY12" t="n">
        <v>18797.4218059667</v>
      </c>
      <c r="AZ12" t="n">
        <v>180096.906538021</v>
      </c>
      <c r="BA12" t="n">
        <v>451387.679484591</v>
      </c>
      <c r="BB12" t="n">
        <v>201873.472517232</v>
      </c>
      <c r="BC12" t="n">
        <v>241457.512923083</v>
      </c>
      <c r="BD12" t="n">
        <v>65681.6766945195</v>
      </c>
      <c r="BE12" t="n">
        <v>16.7040803726411</v>
      </c>
      <c r="BF12" t="n">
        <v>46112.6476496086</v>
      </c>
      <c r="BG12" t="n">
        <v>17299.4802479552</v>
      </c>
      <c r="BH12" t="n">
        <v>25351.9101914948</v>
      </c>
      <c r="BI12" t="n">
        <v>78701.0991070878</v>
      </c>
      <c r="BJ12" t="n">
        <v>48993.9296208849</v>
      </c>
      <c r="BK12" t="n">
        <v>96225.6347305288</v>
      </c>
      <c r="BL12" t="n">
        <v>25621.4901096086</v>
      </c>
      <c r="BM12" t="n">
        <v>20757.9182142654</v>
      </c>
      <c r="BN12" t="n">
        <v>40786.6737653284</v>
      </c>
      <c r="BO12" t="n">
        <v>200732.564819731</v>
      </c>
      <c r="BP12" t="n">
        <v>194641.158532699</v>
      </c>
      <c r="BQ12" t="n">
        <v>875811.625105886</v>
      </c>
      <c r="BR12" t="n">
        <v>743482.735925008</v>
      </c>
      <c r="BS12" t="n">
        <v>738534.838046901</v>
      </c>
      <c r="BT12" t="n">
        <v>117.823830605215</v>
      </c>
      <c r="BU12" t="n">
        <v>1.17798514865319</v>
      </c>
      <c r="BV12" t="n">
        <v>1.11458085915181</v>
      </c>
      <c r="BW12" t="n">
        <v>100.050004498582</v>
      </c>
      <c r="BX12" t="n">
        <v>81029.8744055285</v>
      </c>
      <c r="BY12" t="n">
        <v>1.20872923484395</v>
      </c>
      <c r="BZ12" t="n">
        <v>97943.1780896957</v>
      </c>
      <c r="CA12" t="n">
        <v>10450.5659261841</v>
      </c>
      <c r="CB12" t="n">
        <v>15411.0513046542</v>
      </c>
      <c r="CC12" t="n">
        <v>16048.9311112422</v>
      </c>
      <c r="CD12" t="n">
        <v>637.879806587987</v>
      </c>
      <c r="CE12" t="n">
        <v>0.0397459318085481</v>
      </c>
      <c r="CF12" t="n">
        <v>11278061.191739</v>
      </c>
      <c r="CG12" t="n">
        <v>422405.118205222</v>
      </c>
      <c r="CH12" t="n">
        <v>514191.040962118</v>
      </c>
      <c r="CI12" t="n">
        <v>313242.301366573</v>
      </c>
      <c r="CJ12" t="n">
        <v>22385.463809042</v>
      </c>
      <c r="CK12" t="n">
        <v>868286.814784849</v>
      </c>
      <c r="CL12" t="n">
        <v>0.0691246735179861</v>
      </c>
      <c r="CM12" t="n">
        <v>14.4666144389066</v>
      </c>
      <c r="CN12" t="n">
        <v>1157717.51021975</v>
      </c>
      <c r="CO12" t="n">
        <v>2850337.98686384</v>
      </c>
      <c r="CP12" t="n">
        <v>3250543.9658403</v>
      </c>
      <c r="CQ12" t="n">
        <v>4008055.4970836</v>
      </c>
      <c r="CR12" t="n">
        <v>9346075.9572411</v>
      </c>
      <c r="CS12" t="n">
        <v>0.0302203438589321</v>
      </c>
      <c r="CT12" t="n">
        <v>0.00415814860314276</v>
      </c>
      <c r="CU12" t="n">
        <v>0.078554483110355</v>
      </c>
      <c r="CV12" t="n">
        <v>1.53551883366422</v>
      </c>
      <c r="CW12" t="n">
        <v>0.078554483110355</v>
      </c>
      <c r="CX12" t="n">
        <v>0.039440022763365</v>
      </c>
      <c r="CY12" t="n">
        <v>0.014150022763365</v>
      </c>
      <c r="CZ12" t="n">
        <v>-0.00999187416022223</v>
      </c>
      <c r="DA12" t="n">
        <v>0.528161167135772</v>
      </c>
      <c r="DB12" t="n">
        <v>6.04793134544509</v>
      </c>
      <c r="DC12" t="n">
        <v>0.0973981041762509</v>
      </c>
      <c r="DD12" t="n">
        <v>0.0654559044714712</v>
      </c>
      <c r="DE12" t="n">
        <v>0.00795877572967556</v>
      </c>
      <c r="DF12" t="n">
        <v>0.131965415644086</v>
      </c>
      <c r="DG12" t="n">
        <v>213708.378348979</v>
      </c>
      <c r="DH12" t="n">
        <v>120.05416431819</v>
      </c>
      <c r="DI12" t="n">
        <v>4.82520465778131</v>
      </c>
      <c r="DJ12" t="n">
        <v>4.19368301026381</v>
      </c>
      <c r="DK12" t="n">
        <v>0.0484267358713257</v>
      </c>
      <c r="DL12" t="n">
        <v>0.669440030437354</v>
      </c>
      <c r="DM12" t="n">
        <v>1.1772751048313</v>
      </c>
      <c r="DN12" t="n">
        <v>0.0399169327369503</v>
      </c>
      <c r="DO12" t="n">
        <v>0.0374213819593254</v>
      </c>
      <c r="DP12" t="n">
        <v>28690.4</v>
      </c>
      <c r="DQ12" t="n">
        <v>23919.168118144</v>
      </c>
      <c r="DR12" t="n">
        <v>170698.053847284</v>
      </c>
      <c r="DS12" t="n">
        <v>30137.9361870694</v>
      </c>
      <c r="DT12" t="n">
        <v>12872.3883146252</v>
      </c>
      <c r="DU12" t="n">
        <v>0</v>
      </c>
      <c r="DV12" t="n">
        <v>56.25</v>
      </c>
      <c r="DW12" t="n">
        <v>208288.96</v>
      </c>
      <c r="DX12" t="n">
        <v>2.16709423898477</v>
      </c>
      <c r="DY12" t="n">
        <v>75.0955125823108</v>
      </c>
      <c r="DZ12" t="n">
        <v>1.12345779495229</v>
      </c>
      <c r="EA12" t="n">
        <v>1.204971192359</v>
      </c>
      <c r="EB12" t="n">
        <v>155190398.888756</v>
      </c>
      <c r="EC12" t="n">
        <v>3.15266544813075</v>
      </c>
      <c r="ED12" t="n">
        <v>0.0435</v>
      </c>
      <c r="EE12" t="n">
        <v>0.0304926484848485</v>
      </c>
      <c r="EF12" t="n">
        <v>0.03050813492075</v>
      </c>
      <c r="EG12" t="n">
        <v>0.0441803333333333</v>
      </c>
      <c r="EH12" t="n">
        <v>743258.230648144</v>
      </c>
      <c r="EI12" t="n">
        <v>381691.80402433</v>
      </c>
      <c r="EJ12" t="n">
        <v>967.988402197613</v>
      </c>
      <c r="EK12" t="n">
        <v>2.011005060001</v>
      </c>
      <c r="EL12" t="n">
        <v>4.94482690673188</v>
      </c>
    </row>
    <row r="13">
      <c r="A13" s="2" t="n">
        <v>46997</v>
      </c>
      <c r="B13" t="n">
        <v>382332.873153968</v>
      </c>
      <c r="C13" t="n">
        <v>37381.7643773445</v>
      </c>
      <c r="D13" t="n">
        <v>22998.8271723155</v>
      </c>
      <c r="E13" t="n">
        <v>230597.314188542</v>
      </c>
      <c r="F13" t="n">
        <v>49215.2199888001</v>
      </c>
      <c r="G13" t="n">
        <v>13182.9835857831</v>
      </c>
      <c r="H13" t="n">
        <v>57216.3218981832</v>
      </c>
      <c r="I13" t="n">
        <v>61457.1833469087</v>
      </c>
      <c r="J13" t="n">
        <v>97677.4890133579</v>
      </c>
      <c r="K13" t="n">
        <v>407.231779047689</v>
      </c>
      <c r="L13" t="n">
        <v>4979.69702909435</v>
      </c>
      <c r="M13" t="n">
        <v>0.670772055868517</v>
      </c>
      <c r="N13" t="n">
        <v>30140.613076668</v>
      </c>
      <c r="O13" t="n">
        <v>165.302610326867</v>
      </c>
      <c r="P13" t="n">
        <v>1.56818336410345</v>
      </c>
      <c r="Q13" t="n">
        <v>1.38189836072492</v>
      </c>
      <c r="R13" t="n">
        <v>1.1198443164312</v>
      </c>
      <c r="S13" t="n">
        <v>0.126941673379767</v>
      </c>
      <c r="T13" t="n">
        <v>8911.28028631141</v>
      </c>
      <c r="U13" t="n">
        <v>0.370877691097061</v>
      </c>
      <c r="V13" t="n">
        <v>0.569234008542803</v>
      </c>
      <c r="W13" t="n">
        <v>22342018.3292146</v>
      </c>
      <c r="X13" t="n">
        <v>70065.0538930375</v>
      </c>
      <c r="Y13" t="n">
        <v>4426401.69076955</v>
      </c>
      <c r="Z13" t="n">
        <v>1014.88617312136</v>
      </c>
      <c r="AA13" t="n">
        <v>1.12515436359744</v>
      </c>
      <c r="AB13" t="n">
        <v>1.10804149274548</v>
      </c>
      <c r="AC13" t="n">
        <v>1.19517098230716</v>
      </c>
      <c r="AD13" t="n">
        <v>1.26311549829188</v>
      </c>
      <c r="AE13" t="n">
        <v>118.540442140376</v>
      </c>
      <c r="AF13" t="n">
        <v>97387.5644198526</v>
      </c>
      <c r="AG13" t="n">
        <v>1075.52694569371</v>
      </c>
      <c r="AH13" t="n">
        <v>114.565703747033</v>
      </c>
      <c r="AI13" t="n">
        <v>71696.8431979466</v>
      </c>
      <c r="AJ13" t="n">
        <v>73234.0065269718</v>
      </c>
      <c r="AK13" t="n">
        <v>627.812810307883</v>
      </c>
      <c r="AL13" t="n">
        <v>25391.9032442295</v>
      </c>
      <c r="AM13" t="n">
        <v>19438.0956300755</v>
      </c>
      <c r="AN13" t="n">
        <v>0.98739578691872</v>
      </c>
      <c r="AO13" t="n">
        <v>1.07185975686701</v>
      </c>
      <c r="AP13" t="n">
        <v>1.15492864010456</v>
      </c>
      <c r="AQ13" t="n">
        <v>1.19717332784117</v>
      </c>
      <c r="AR13" t="n">
        <v>34819.0095880294</v>
      </c>
      <c r="AS13" t="n">
        <v>175355.66161808</v>
      </c>
      <c r="AT13" t="n">
        <v>0.0771015656263362</v>
      </c>
      <c r="AU13" t="n">
        <v>0.0547916828797798</v>
      </c>
      <c r="AV13" t="n">
        <v>0.0305354772524348</v>
      </c>
      <c r="AW13" t="n">
        <v>1368.21685737261</v>
      </c>
      <c r="AX13" t="n">
        <v>11306.7928282472</v>
      </c>
      <c r="AY13" t="n">
        <v>18857.4394622277</v>
      </c>
      <c r="AZ13" t="n">
        <v>180053.03369369</v>
      </c>
      <c r="BA13" t="n">
        <v>457718.719202896</v>
      </c>
      <c r="BB13" t="n">
        <v>204620.983511666</v>
      </c>
      <c r="BC13" t="n">
        <v>242393.993136848</v>
      </c>
      <c r="BD13" t="n">
        <v>71483.33769187</v>
      </c>
      <c r="BE13" t="n">
        <v>17.3087031086214</v>
      </c>
      <c r="BF13" t="n">
        <v>47217.4859385191</v>
      </c>
      <c r="BG13" t="n">
        <v>17731.1244146214</v>
      </c>
      <c r="BH13" t="n">
        <v>25877.2307505541</v>
      </c>
      <c r="BI13" t="n">
        <v>79443.0764253738</v>
      </c>
      <c r="BJ13" t="n">
        <v>49349.2076355079</v>
      </c>
      <c r="BK13" t="n">
        <v>96446.3411285892</v>
      </c>
      <c r="BL13" t="n">
        <v>26059.0646803219</v>
      </c>
      <c r="BM13" t="n">
        <v>20834.9124560104</v>
      </c>
      <c r="BN13" t="n">
        <v>41274.60791455</v>
      </c>
      <c r="BO13" t="n">
        <v>201955.774179471</v>
      </c>
      <c r="BP13" t="n">
        <v>196371.041017039</v>
      </c>
      <c r="BQ13" t="n">
        <v>887542.561041571</v>
      </c>
      <c r="BR13" t="n">
        <v>745856.57694317</v>
      </c>
      <c r="BS13" t="n">
        <v>741589.182394796</v>
      </c>
      <c r="BT13" t="n">
        <v>118.989139177978</v>
      </c>
      <c r="BU13" t="n">
        <v>1.18996411027693</v>
      </c>
      <c r="BV13" t="n">
        <v>1.12164605081324</v>
      </c>
      <c r="BW13" t="n">
        <v>100.160891505686</v>
      </c>
      <c r="BX13" t="n">
        <v>81347.959601414</v>
      </c>
      <c r="BY13" t="n">
        <v>1.22494367545748</v>
      </c>
      <c r="BZ13" t="n">
        <v>99646.6686251224</v>
      </c>
      <c r="CA13" t="n">
        <v>10458.4721825897</v>
      </c>
      <c r="CB13" t="n">
        <v>15438.1692116841</v>
      </c>
      <c r="CC13" t="n">
        <v>16101.1201661428</v>
      </c>
      <c r="CD13" t="n">
        <v>662.950954458693</v>
      </c>
      <c r="CE13" t="n">
        <v>0.0411742074325166</v>
      </c>
      <c r="CF13" t="n">
        <v>11311651.1845183</v>
      </c>
      <c r="CG13" t="n">
        <v>428272.743903161</v>
      </c>
      <c r="CH13" t="n">
        <v>525353.71479345</v>
      </c>
      <c r="CI13" t="n">
        <v>317193.002639478</v>
      </c>
      <c r="CJ13" t="n">
        <v>22871.4342191757</v>
      </c>
      <c r="CK13" t="n">
        <v>879916.960704424</v>
      </c>
      <c r="CL13" t="n">
        <v>0.0704514716333481</v>
      </c>
      <c r="CM13" t="n">
        <v>14.1941676563453</v>
      </c>
      <c r="CN13" t="n">
        <v>1161568.10489607</v>
      </c>
      <c r="CO13" t="n">
        <v>2876045.54518998</v>
      </c>
      <c r="CP13" t="n">
        <v>3261633.9843779</v>
      </c>
      <c r="CQ13" t="n">
        <v>4037613.65008605</v>
      </c>
      <c r="CR13" t="n">
        <v>9386724.12878116</v>
      </c>
      <c r="CS13" t="n">
        <v>0.0287393392680408</v>
      </c>
      <c r="CT13" t="n">
        <v>0.00642945652148438</v>
      </c>
      <c r="CU13" t="n">
        <v>0.0785794470214713</v>
      </c>
      <c r="CV13" t="n">
        <v>1.55302969016658</v>
      </c>
      <c r="CW13" t="n">
        <v>0.0785794470214711</v>
      </c>
      <c r="CX13" t="n">
        <v>0.039440022763365</v>
      </c>
      <c r="CY13" t="n">
        <v>0.0151272823316509</v>
      </c>
      <c r="CZ13" t="n">
        <v>-0.00869782581016648</v>
      </c>
      <c r="DA13" t="n">
        <v>0.52342367322896</v>
      </c>
      <c r="DB13" t="n">
        <v>6.13956531669125</v>
      </c>
      <c r="DC13" t="n">
        <v>0.0948310568763363</v>
      </c>
      <c r="DD13" t="n">
        <v>0.0638251172374292</v>
      </c>
      <c r="DE13" t="n">
        <v>0.00804792827057389</v>
      </c>
      <c r="DF13" t="n">
        <v>0.132487588805133</v>
      </c>
      <c r="DG13" t="n">
        <v>214344.876304041</v>
      </c>
      <c r="DH13" t="n">
        <v>121.334430801251</v>
      </c>
      <c r="DI13" t="n">
        <v>4.83598558149893</v>
      </c>
      <c r="DJ13" t="n">
        <v>4.20152662399298</v>
      </c>
      <c r="DK13" t="n">
        <v>0.0484267358713257</v>
      </c>
      <c r="DL13" t="n">
        <v>0.669440030437354</v>
      </c>
      <c r="DM13" t="n">
        <v>1.18911160635012</v>
      </c>
      <c r="DN13" t="n">
        <v>0.0399169327369503</v>
      </c>
      <c r="DO13" t="n">
        <v>0.0374213819593254</v>
      </c>
      <c r="DP13" t="n">
        <v>28775.85</v>
      </c>
      <c r="DQ13" t="n">
        <v>24003.8624526405</v>
      </c>
      <c r="DR13" t="n">
        <v>171206.452081581</v>
      </c>
      <c r="DS13" t="n">
        <v>30227.6974538062</v>
      </c>
      <c r="DT13" t="n">
        <v>12910.7267686546</v>
      </c>
      <c r="DU13" t="n">
        <v>0</v>
      </c>
      <c r="DV13" t="n">
        <v>56.25</v>
      </c>
      <c r="DW13" t="n">
        <v>208288.96</v>
      </c>
      <c r="DX13" t="n">
        <v>2.17837230191767</v>
      </c>
      <c r="DY13" t="n">
        <v>74.6640166114029</v>
      </c>
      <c r="DZ13" t="n">
        <v>1.11207462291414</v>
      </c>
      <c r="EA13" t="n">
        <v>1.20504421700137</v>
      </c>
      <c r="EB13" t="n">
        <v>156719552.981504</v>
      </c>
      <c r="EC13" t="n">
        <v>3.15145143679701</v>
      </c>
      <c r="ED13" t="n">
        <v>0.0435</v>
      </c>
      <c r="EE13" t="n">
        <v>0.0304926484848485</v>
      </c>
      <c r="EF13" t="n">
        <v>0.03050813492075</v>
      </c>
      <c r="EG13" t="n">
        <v>0.0441803333333333</v>
      </c>
      <c r="EH13" t="n">
        <v>747380.010956111</v>
      </c>
      <c r="EI13" t="n">
        <v>383671.048485657</v>
      </c>
      <c r="EJ13" t="n">
        <v>987.412078935936</v>
      </c>
      <c r="EK13" t="n">
        <v>1.85545887949734</v>
      </c>
      <c r="EL13" t="n">
        <v>4.83622263582955</v>
      </c>
    </row>
    <row r="14">
      <c r="A14" s="2" t="n">
        <v>47088</v>
      </c>
      <c r="B14" t="n">
        <v>384044.25336919</v>
      </c>
      <c r="C14" t="n">
        <v>37649.0512300486</v>
      </c>
      <c r="D14" t="n">
        <v>23206.6169507034</v>
      </c>
      <c r="E14" t="n">
        <v>231849.931116787</v>
      </c>
      <c r="F14" t="n">
        <v>49862.6320592664</v>
      </c>
      <c r="G14" t="n">
        <v>13327.2575866086</v>
      </c>
      <c r="H14" t="n">
        <v>58041.8304424276</v>
      </c>
      <c r="I14" t="n">
        <v>61729.6531001213</v>
      </c>
      <c r="J14" t="n">
        <v>97944.7058988585</v>
      </c>
      <c r="K14" t="n">
        <v>406.233100288431</v>
      </c>
      <c r="L14" t="n">
        <v>4998.46821587996</v>
      </c>
      <c r="M14" t="n">
        <v>0.67044649759709</v>
      </c>
      <c r="N14" t="n">
        <v>30476.8631330847</v>
      </c>
      <c r="O14" t="n">
        <v>167.147037406829</v>
      </c>
      <c r="P14" t="n">
        <v>1.59645934872235</v>
      </c>
      <c r="Q14" t="n">
        <v>1.40305589896378</v>
      </c>
      <c r="R14" t="n">
        <v>1.12457597550066</v>
      </c>
      <c r="S14" t="n">
        <v>0.124956801224733</v>
      </c>
      <c r="T14" t="n">
        <v>8675.52820795395</v>
      </c>
      <c r="U14" t="n">
        <v>0.37048075138471</v>
      </c>
      <c r="V14" t="n">
        <v>0.565926514487328</v>
      </c>
      <c r="W14" t="n">
        <v>22773142.3455708</v>
      </c>
      <c r="X14" t="n">
        <v>71087.2772884774</v>
      </c>
      <c r="Y14" t="n">
        <v>4417903.81265247</v>
      </c>
      <c r="Z14" t="n">
        <v>1040.97791864813</v>
      </c>
      <c r="AA14" t="n">
        <v>1.13164786536184</v>
      </c>
      <c r="AB14" t="n">
        <v>1.11356625155782</v>
      </c>
      <c r="AC14" t="n">
        <v>1.2075085135914</v>
      </c>
      <c r="AD14" t="n">
        <v>1.28456765360323</v>
      </c>
      <c r="AE14" t="n">
        <v>119.653302816903</v>
      </c>
      <c r="AF14" t="n">
        <v>96615.743281325</v>
      </c>
      <c r="AG14" t="n">
        <v>1099.76086553808</v>
      </c>
      <c r="AH14" t="n">
        <v>116.141934194566</v>
      </c>
      <c r="AI14" t="n">
        <v>71983.6611692365</v>
      </c>
      <c r="AJ14" t="n">
        <v>73805.2566281529</v>
      </c>
      <c r="AK14" t="n">
        <v>627.163571951165</v>
      </c>
      <c r="AL14" t="n">
        <v>25577.2728326077</v>
      </c>
      <c r="AM14" t="n">
        <v>19398.2069004761</v>
      </c>
      <c r="AN14" t="n">
        <v>0.988833681951337</v>
      </c>
      <c r="AO14" t="n">
        <v>1.07728966514646</v>
      </c>
      <c r="AP14" t="n">
        <v>1.16517217661524</v>
      </c>
      <c r="AQ14" t="n">
        <v>1.20895963293144</v>
      </c>
      <c r="AR14" t="n">
        <v>34939.2684244856</v>
      </c>
      <c r="AS14" t="n">
        <v>175999.038328654</v>
      </c>
      <c r="AT14" t="n">
        <v>0.0738597386672685</v>
      </c>
      <c r="AU14" t="n">
        <v>0.0556995025740107</v>
      </c>
      <c r="AV14" t="n">
        <v>0.0624680527378626</v>
      </c>
      <c r="AW14" t="n">
        <v>1252.61692824503</v>
      </c>
      <c r="AX14" t="n">
        <v>11387.6385860539</v>
      </c>
      <c r="AY14" t="n">
        <v>18929.5291536474</v>
      </c>
      <c r="AZ14" t="n">
        <v>180472.710377468</v>
      </c>
      <c r="BA14" t="n">
        <v>464294.000735535</v>
      </c>
      <c r="BB14" t="n">
        <v>207347.143666494</v>
      </c>
      <c r="BC14" t="n">
        <v>243424.736202235</v>
      </c>
      <c r="BD14" t="n">
        <v>73832.2014497757</v>
      </c>
      <c r="BE14" t="n">
        <v>17.5534910120164</v>
      </c>
      <c r="BF14" t="n">
        <v>48362.7533989713</v>
      </c>
      <c r="BG14" t="n">
        <v>18179.9020805771</v>
      </c>
      <c r="BH14" t="n">
        <v>26261.7185345334</v>
      </c>
      <c r="BI14" t="n">
        <v>80158.5750048406</v>
      </c>
      <c r="BJ14" t="n">
        <v>49609.1945754758</v>
      </c>
      <c r="BK14" t="n">
        <v>96851.0241616092</v>
      </c>
      <c r="BL14" t="n">
        <v>26559.187543632</v>
      </c>
      <c r="BM14" t="n">
        <v>20897.4878162557</v>
      </c>
      <c r="BN14" t="n">
        <v>41805.9886499601</v>
      </c>
      <c r="BO14" t="n">
        <v>203454.536171457</v>
      </c>
      <c r="BP14" t="n">
        <v>197924.290215625</v>
      </c>
      <c r="BQ14" t="n">
        <v>899743.533952259</v>
      </c>
      <c r="BR14" t="n">
        <v>748707.895668934</v>
      </c>
      <c r="BS14" t="n">
        <v>744664.201288273</v>
      </c>
      <c r="BT14" t="n">
        <v>120.1439484304</v>
      </c>
      <c r="BU14" t="n">
        <v>1.20172838677248</v>
      </c>
      <c r="BV14" t="n">
        <v>1.12734238736661</v>
      </c>
      <c r="BW14" t="n">
        <v>100.245995995487</v>
      </c>
      <c r="BX14" t="n">
        <v>81712.0854676052</v>
      </c>
      <c r="BY14" t="n">
        <v>1.24179683006326</v>
      </c>
      <c r="BZ14" t="n">
        <v>101469.808711531</v>
      </c>
      <c r="CA14" t="n">
        <v>10464.0554640004</v>
      </c>
      <c r="CB14" t="n">
        <v>15462.5236798803</v>
      </c>
      <c r="CC14" t="n">
        <v>16150.1421039509</v>
      </c>
      <c r="CD14" t="n">
        <v>687.618424070593</v>
      </c>
      <c r="CE14" t="n">
        <v>0.042576611386634</v>
      </c>
      <c r="CF14" t="n">
        <v>11345241.1772976</v>
      </c>
      <c r="CG14" t="n">
        <v>433733.732693723</v>
      </c>
      <c r="CH14" t="n">
        <v>533338.830564538</v>
      </c>
      <c r="CI14" t="n">
        <v>321852.84718381</v>
      </c>
      <c r="CJ14" t="n">
        <v>23219.0686699242</v>
      </c>
      <c r="CK14" t="n">
        <v>892013.105128879</v>
      </c>
      <c r="CL14" t="n">
        <v>0.0722911109177382</v>
      </c>
      <c r="CM14" t="n">
        <v>13.8329593681016</v>
      </c>
      <c r="CN14" t="n">
        <v>1165682.46164159</v>
      </c>
      <c r="CO14" t="n">
        <v>2901652.80216987</v>
      </c>
      <c r="CP14" t="n">
        <v>3272877.12422662</v>
      </c>
      <c r="CQ14" t="n">
        <v>4067335.26381146</v>
      </c>
      <c r="CR14" t="n">
        <v>9427688.88235529</v>
      </c>
      <c r="CS14" t="n">
        <v>0.0266887058843561</v>
      </c>
      <c r="CT14" t="n">
        <v>0.0085284697910982</v>
      </c>
      <c r="CU14" t="n">
        <v>0.077785768441821</v>
      </c>
      <c r="CV14" t="n">
        <v>1.5703582127523</v>
      </c>
      <c r="CW14" t="n">
        <v>0.077785768441821</v>
      </c>
      <c r="CX14" t="n">
        <v>0.039440022763365</v>
      </c>
      <c r="CY14" t="n">
        <v>0.0161030338327086</v>
      </c>
      <c r="CZ14" t="n">
        <v>-0.00757456404161044</v>
      </c>
      <c r="DA14" t="n">
        <v>0.519658453920511</v>
      </c>
      <c r="DB14" t="n">
        <v>6.22791725655558</v>
      </c>
      <c r="DC14" t="n">
        <v>0.0915892299172685</v>
      </c>
      <c r="DD14" t="n">
        <v>0.0617406941005506</v>
      </c>
      <c r="DE14" t="n">
        <v>0.00811633397916469</v>
      </c>
      <c r="DF14" t="n">
        <v>0.13326142979526</v>
      </c>
      <c r="DG14" t="n">
        <v>214981.374259104</v>
      </c>
      <c r="DH14" t="n">
        <v>122.413617109481</v>
      </c>
      <c r="DI14" t="n">
        <v>4.84501388227916</v>
      </c>
      <c r="DJ14" t="n">
        <v>4.20761761478475</v>
      </c>
      <c r="DK14" t="n">
        <v>0.0484267358713257</v>
      </c>
      <c r="DL14" t="n">
        <v>0.669440030437354</v>
      </c>
      <c r="DM14" t="n">
        <v>1.20106711384098</v>
      </c>
      <c r="DN14" t="n">
        <v>0.0399169327369503</v>
      </c>
      <c r="DO14" t="n">
        <v>0.0374213819593254</v>
      </c>
      <c r="DP14" t="n">
        <v>28861.3</v>
      </c>
      <c r="DQ14" t="n">
        <v>24088.63669485</v>
      </c>
      <c r="DR14" t="n">
        <v>171714.850315877</v>
      </c>
      <c r="DS14" t="n">
        <v>30317.458720543</v>
      </c>
      <c r="DT14" t="n">
        <v>12949.065222684</v>
      </c>
      <c r="DU14" t="n">
        <v>0</v>
      </c>
      <c r="DV14" t="n">
        <v>56.25</v>
      </c>
      <c r="DW14" t="n">
        <v>208288.96</v>
      </c>
      <c r="DX14" t="n">
        <v>2.18970905851568</v>
      </c>
      <c r="DY14" t="n">
        <v>74.235</v>
      </c>
      <c r="DZ14" t="n">
        <v>1.10080678819105</v>
      </c>
      <c r="EA14" t="n">
        <v>1.20511724606925</v>
      </c>
      <c r="EB14" t="n">
        <v>158263774.451203</v>
      </c>
      <c r="EC14" t="n">
        <v>3.15023789294817</v>
      </c>
      <c r="ED14" t="n">
        <v>0.0435</v>
      </c>
      <c r="EE14" t="n">
        <v>0.0304926484848485</v>
      </c>
      <c r="EF14" t="n">
        <v>0.03050813492075</v>
      </c>
      <c r="EG14" t="n">
        <v>0.0441803333333333</v>
      </c>
      <c r="EH14" t="n">
        <v>751212.939119814</v>
      </c>
      <c r="EI14" t="n">
        <v>385566.659001036</v>
      </c>
      <c r="EJ14" t="n">
        <v>1008.78720414184</v>
      </c>
      <c r="EK14" t="n">
        <v>1.70675078759674</v>
      </c>
      <c r="EL14" t="n">
        <v>4.71710327829125</v>
      </c>
    </row>
    <row r="15">
      <c r="A15" s="2" t="n">
        <v>47178</v>
      </c>
      <c r="B15" t="n">
        <v>385944.148580009</v>
      </c>
      <c r="C15" t="n">
        <v>37912.0090017895</v>
      </c>
      <c r="D15" t="n">
        <v>23504.6018342835</v>
      </c>
      <c r="E15" t="n">
        <v>233075.304510778</v>
      </c>
      <c r="F15" t="n">
        <v>50581.6353570014</v>
      </c>
      <c r="G15" t="n">
        <v>13451.6866634817</v>
      </c>
      <c r="H15" t="n">
        <v>58878.0367720006</v>
      </c>
      <c r="I15" t="n">
        <v>62315.8987846565</v>
      </c>
      <c r="J15" t="n">
        <v>98111.0131267739</v>
      </c>
      <c r="K15" t="n">
        <v>405.306815902674</v>
      </c>
      <c r="L15" t="n">
        <v>5017.24506666282</v>
      </c>
      <c r="M15" t="n">
        <v>0.670067618904415</v>
      </c>
      <c r="N15" t="n">
        <v>30805.4303632754</v>
      </c>
      <c r="O15" t="n">
        <v>168.97076524576</v>
      </c>
      <c r="P15" t="n">
        <v>1.62516601069979</v>
      </c>
      <c r="Q15" t="n">
        <v>1.42272912787969</v>
      </c>
      <c r="R15" t="n">
        <v>1.1285534267284</v>
      </c>
      <c r="S15" t="n">
        <v>0.122497740647468</v>
      </c>
      <c r="T15" t="n">
        <v>8455.49265141382</v>
      </c>
      <c r="U15" t="n">
        <v>0.370535688999875</v>
      </c>
      <c r="V15" t="n">
        <v>0.563343470418823</v>
      </c>
      <c r="W15" t="n">
        <v>23197316.8647988</v>
      </c>
      <c r="X15" t="n">
        <v>72119.2621547181</v>
      </c>
      <c r="Y15" t="n">
        <v>4410098.30789943</v>
      </c>
      <c r="Z15" t="n">
        <v>1065.44698673183</v>
      </c>
      <c r="AA15" t="n">
        <v>1.13849044202798</v>
      </c>
      <c r="AB15" t="n">
        <v>1.11935212350481</v>
      </c>
      <c r="AC15" t="n">
        <v>1.21993758950262</v>
      </c>
      <c r="AD15" t="n">
        <v>1.30580612419127</v>
      </c>
      <c r="AE15" t="n">
        <v>120.7647309</v>
      </c>
      <c r="AF15" t="n">
        <v>95920.6687726336</v>
      </c>
      <c r="AG15" t="n">
        <v>1124.64603307865</v>
      </c>
      <c r="AH15" t="n">
        <v>117.765329041963</v>
      </c>
      <c r="AI15" t="n">
        <v>72264.428924113</v>
      </c>
      <c r="AJ15" t="n">
        <v>75056.1169655882</v>
      </c>
      <c r="AK15" t="n">
        <v>626.012418233012</v>
      </c>
      <c r="AL15" t="n">
        <v>25783.6111428337</v>
      </c>
      <c r="AM15" t="n">
        <v>19360.0367514859</v>
      </c>
      <c r="AN15" t="n">
        <v>0.989430614366528</v>
      </c>
      <c r="AO15" t="n">
        <v>1.08219078391961</v>
      </c>
      <c r="AP15" t="n">
        <v>1.17512970238161</v>
      </c>
      <c r="AQ15" t="n">
        <v>1.22060163430393</v>
      </c>
      <c r="AR15" t="n">
        <v>35064.1505904512</v>
      </c>
      <c r="AS15" t="n">
        <v>176870.399670533</v>
      </c>
      <c r="AT15" t="n">
        <v>0.0702196339544976</v>
      </c>
      <c r="AU15" t="n">
        <v>0.0563245299850348</v>
      </c>
      <c r="AV15" t="n">
        <v>0.0908605238876715</v>
      </c>
      <c r="AW15" t="n">
        <v>1225.37339399132</v>
      </c>
      <c r="AX15" t="n">
        <v>11467.1749347837</v>
      </c>
      <c r="AY15" t="n">
        <v>19002.4703096008</v>
      </c>
      <c r="AZ15" t="n">
        <v>180798.670778312</v>
      </c>
      <c r="BA15" t="n">
        <v>471084.05976341</v>
      </c>
      <c r="BB15" t="n">
        <v>210101.614692609</v>
      </c>
      <c r="BC15" t="n">
        <v>244615.638707951</v>
      </c>
      <c r="BD15" t="n">
        <v>76375.738916297</v>
      </c>
      <c r="BE15" t="n">
        <v>17.8185669243765</v>
      </c>
      <c r="BF15" t="n">
        <v>49505.7335349312</v>
      </c>
      <c r="BG15" t="n">
        <v>18636.0629427591</v>
      </c>
      <c r="BH15" t="n">
        <v>26759.7645320052</v>
      </c>
      <c r="BI15" t="n">
        <v>80889.3411713795</v>
      </c>
      <c r="BJ15" t="n">
        <v>49979.9256516057</v>
      </c>
      <c r="BK15" t="n">
        <v>97074.0399941465</v>
      </c>
      <c r="BL15" t="n">
        <v>27035.368011138</v>
      </c>
      <c r="BM15" t="n">
        <v>20951.253348803</v>
      </c>
      <c r="BN15" t="n">
        <v>42345.1271029292</v>
      </c>
      <c r="BO15" t="n">
        <v>204746.636457017</v>
      </c>
      <c r="BP15" t="n">
        <v>199607.695635001</v>
      </c>
      <c r="BQ15" t="n">
        <v>912095.443110715</v>
      </c>
      <c r="BR15" t="n">
        <v>751592.891779237</v>
      </c>
      <c r="BS15" t="n">
        <v>748094.596661641</v>
      </c>
      <c r="BT15" t="n">
        <v>121.296857852483</v>
      </c>
      <c r="BU15" t="n">
        <v>1.21354985097721</v>
      </c>
      <c r="BV15" t="n">
        <v>1.13245653618808</v>
      </c>
      <c r="BW15" t="n">
        <v>100.345850658661</v>
      </c>
      <c r="BX15" t="n">
        <v>82116.321173475</v>
      </c>
      <c r="BY15" t="n">
        <v>1.25915426938455</v>
      </c>
      <c r="BZ15" t="n">
        <v>103397.116391734</v>
      </c>
      <c r="CA15" t="n">
        <v>10469.4398859537</v>
      </c>
      <c r="CB15" t="n">
        <v>15486.6849526166</v>
      </c>
      <c r="CC15" t="n">
        <v>16197.8734509644</v>
      </c>
      <c r="CD15" t="n">
        <v>711.188498347827</v>
      </c>
      <c r="CE15" t="n">
        <v>0.0439062811463092</v>
      </c>
      <c r="CF15" t="n">
        <v>11378831.1700768</v>
      </c>
      <c r="CG15" t="n">
        <v>439094.807400362</v>
      </c>
      <c r="CH15" t="n">
        <v>542245.534670792</v>
      </c>
      <c r="CI15" t="n">
        <v>326709.173649512</v>
      </c>
      <c r="CJ15" t="n">
        <v>23606.8247499511</v>
      </c>
      <c r="CK15" t="n">
        <v>904258.888984981</v>
      </c>
      <c r="CL15" t="n">
        <v>0.0740361850031694</v>
      </c>
      <c r="CM15" t="n">
        <v>13.5069088170493</v>
      </c>
      <c r="CN15" t="n">
        <v>1169937.71802969</v>
      </c>
      <c r="CO15" t="n">
        <v>2927136.51231289</v>
      </c>
      <c r="CP15" t="n">
        <v>3284297.44878524</v>
      </c>
      <c r="CQ15" t="n">
        <v>4097074.23034258</v>
      </c>
      <c r="CR15" t="n">
        <v>9468848.17344503</v>
      </c>
      <c r="CS15" t="n">
        <v>0.0242529544198116</v>
      </c>
      <c r="CT15" t="n">
        <v>0.0103578504503488</v>
      </c>
      <c r="CU15" t="n">
        <v>0.0765310611127818</v>
      </c>
      <c r="CV15" t="n">
        <v>1.5874922645077</v>
      </c>
      <c r="CW15" t="n">
        <v>0.0765310611127816</v>
      </c>
      <c r="CX15" t="n">
        <v>0.039440022763365</v>
      </c>
      <c r="CY15" t="n">
        <v>0.0170772798001701</v>
      </c>
      <c r="CZ15" t="n">
        <v>-0.00671942934982127</v>
      </c>
      <c r="DA15" t="n">
        <v>0.516675334713912</v>
      </c>
      <c r="DB15" t="n">
        <v>6.30551080941241</v>
      </c>
      <c r="DC15" t="n">
        <v>0.0879491252044976</v>
      </c>
      <c r="DD15" t="n">
        <v>0.0593799131214676</v>
      </c>
      <c r="DE15" t="n">
        <v>0.00816349228268554</v>
      </c>
      <c r="DF15" t="n">
        <v>0.133892720235609</v>
      </c>
      <c r="DG15" t="n">
        <v>215617.872214166</v>
      </c>
      <c r="DH15" t="n">
        <v>123.450990984816</v>
      </c>
      <c r="DI15" t="n">
        <v>4.85362582066034</v>
      </c>
      <c r="DJ15" t="n">
        <v>4.21329224317748</v>
      </c>
      <c r="DK15" t="n">
        <v>0.0484267358713257</v>
      </c>
      <c r="DL15" t="n">
        <v>0.669440030437354</v>
      </c>
      <c r="DM15" t="n">
        <v>1.21314282380787</v>
      </c>
      <c r="DN15" t="n">
        <v>0.0399169327369503</v>
      </c>
      <c r="DO15" t="n">
        <v>0.0374213819593254</v>
      </c>
      <c r="DP15" t="n">
        <v>28946.75</v>
      </c>
      <c r="DQ15" t="n">
        <v>24173.4908447725</v>
      </c>
      <c r="DR15" t="n">
        <v>172223.248550173</v>
      </c>
      <c r="DS15" t="n">
        <v>30407.2199872798</v>
      </c>
      <c r="DT15" t="n">
        <v>12987.4036767134</v>
      </c>
      <c r="DU15" t="n">
        <v>0</v>
      </c>
      <c r="DV15" t="n">
        <v>56.25</v>
      </c>
      <c r="DW15" t="n">
        <v>208288.96</v>
      </c>
      <c r="DX15" t="n">
        <v>2.20113715164015</v>
      </c>
      <c r="DY15" t="n">
        <v>74.1536162664648</v>
      </c>
      <c r="DZ15" t="n">
        <v>1.09227040691832</v>
      </c>
      <c r="EA15" t="n">
        <v>1.20496274583581</v>
      </c>
      <c r="EB15" t="n">
        <v>159694352.216244</v>
      </c>
      <c r="EC15" t="n">
        <v>3.15120884017177</v>
      </c>
      <c r="ED15" t="n">
        <v>0.0435</v>
      </c>
      <c r="EE15" t="n">
        <v>0.0304926484848485</v>
      </c>
      <c r="EF15" t="n">
        <v>0.03050813492075</v>
      </c>
      <c r="EG15" t="n">
        <v>0.0441803333333333</v>
      </c>
      <c r="EH15" t="n">
        <v>754799.758618734</v>
      </c>
      <c r="EI15" t="n">
        <v>387429.098650142</v>
      </c>
      <c r="EJ15" t="n">
        <v>1031.50239481101</v>
      </c>
      <c r="EK15" t="n">
        <v>1.58417336426355</v>
      </c>
      <c r="EL15" t="n">
        <v>4.5966679534686</v>
      </c>
    </row>
    <row r="16">
      <c r="A16" s="2" t="n">
        <v>47270</v>
      </c>
      <c r="B16" t="n">
        <v>387673.976116972</v>
      </c>
      <c r="C16" t="n">
        <v>38149.8728483592</v>
      </c>
      <c r="D16" t="n">
        <v>23730.380830946</v>
      </c>
      <c r="E16" t="n">
        <v>234254.14426834</v>
      </c>
      <c r="F16" t="n">
        <v>51221.3711644158</v>
      </c>
      <c r="G16" t="n">
        <v>13566.1063903137</v>
      </c>
      <c r="H16" t="n">
        <v>59678.9693834872</v>
      </c>
      <c r="I16" t="n">
        <v>63135.0462706317</v>
      </c>
      <c r="J16" t="n">
        <v>98191.8577119996</v>
      </c>
      <c r="K16" t="n">
        <v>404.390839673548</v>
      </c>
      <c r="L16" t="n">
        <v>5035.75472701963</v>
      </c>
      <c r="M16" t="n">
        <v>0.669664801186322</v>
      </c>
      <c r="N16" t="n">
        <v>31130.6659313617</v>
      </c>
      <c r="O16" t="n">
        <v>170.771152773423</v>
      </c>
      <c r="P16" t="n">
        <v>1.65408550517538</v>
      </c>
      <c r="Q16" t="n">
        <v>1.44109289415057</v>
      </c>
      <c r="R16" t="n">
        <v>1.13184670130972</v>
      </c>
      <c r="S16" t="n">
        <v>0.119630937758931</v>
      </c>
      <c r="T16" t="n">
        <v>8237.08851948996</v>
      </c>
      <c r="U16" t="n">
        <v>0.370914748011809</v>
      </c>
      <c r="V16" t="n">
        <v>0.561298046222871</v>
      </c>
      <c r="W16" t="n">
        <v>23602439.8880653</v>
      </c>
      <c r="X16" t="n">
        <v>73157.1486187438</v>
      </c>
      <c r="Y16" t="n">
        <v>4401772.93299267</v>
      </c>
      <c r="Z16" t="n">
        <v>1087.60855938417</v>
      </c>
      <c r="AA16" t="n">
        <v>1.14518341836228</v>
      </c>
      <c r="AB16" t="n">
        <v>1.12488146024513</v>
      </c>
      <c r="AC16" t="n">
        <v>1.23247848577028</v>
      </c>
      <c r="AD16" t="n">
        <v>1.32669706135726</v>
      </c>
      <c r="AE16" t="n">
        <v>121.883843842278</v>
      </c>
      <c r="AF16" t="n">
        <v>95326.7676386747</v>
      </c>
      <c r="AG16" t="n">
        <v>1150.21294816463</v>
      </c>
      <c r="AH16" t="n">
        <v>119.436322332609</v>
      </c>
      <c r="AI16" t="n">
        <v>72538.7846596342</v>
      </c>
      <c r="AJ16" t="n">
        <v>76649.8279267256</v>
      </c>
      <c r="AK16" t="n">
        <v>623.848843986095</v>
      </c>
      <c r="AL16" t="n">
        <v>25991.8822118604</v>
      </c>
      <c r="AM16" t="n">
        <v>19309.3942204608</v>
      </c>
      <c r="AN16" t="n">
        <v>0.988706840487168</v>
      </c>
      <c r="AO16" t="n">
        <v>1.08702033115324</v>
      </c>
      <c r="AP16" t="n">
        <v>1.18478294386096</v>
      </c>
      <c r="AQ16" t="n">
        <v>1.23208319386305</v>
      </c>
      <c r="AR16" t="n">
        <v>35157.1278304038</v>
      </c>
      <c r="AS16" t="n">
        <v>177797.086539289</v>
      </c>
      <c r="AT16" t="n">
        <v>0.0661769144169075</v>
      </c>
      <c r="AU16" t="n">
        <v>0.0566615180948787</v>
      </c>
      <c r="AV16" t="n">
        <v>0.118848649130185</v>
      </c>
      <c r="AW16" t="n">
        <v>1178.83975756163</v>
      </c>
      <c r="AX16" t="n">
        <v>11539.1211705833</v>
      </c>
      <c r="AY16" t="n">
        <v>19062.8097512099</v>
      </c>
      <c r="AZ16" t="n">
        <v>180982.189514074</v>
      </c>
      <c r="BA16" t="n">
        <v>477646.591942646</v>
      </c>
      <c r="BB16" t="n">
        <v>212888.03847353</v>
      </c>
      <c r="BC16" t="n">
        <v>245785.096788752</v>
      </c>
      <c r="BD16" t="n">
        <v>79195.8925903025</v>
      </c>
      <c r="BE16" t="n">
        <v>18.11247052044</v>
      </c>
      <c r="BF16" t="n">
        <v>50613.3241990715</v>
      </c>
      <c r="BG16" t="n">
        <v>19086.6930707241</v>
      </c>
      <c r="BH16" t="n">
        <v>27175.6386390216</v>
      </c>
      <c r="BI16" t="n">
        <v>81597.5332176996</v>
      </c>
      <c r="BJ16" t="n">
        <v>50318.6301911217</v>
      </c>
      <c r="BK16" t="n">
        <v>97082.9613999967</v>
      </c>
      <c r="BL16" t="n">
        <v>27471.2796750127</v>
      </c>
      <c r="BM16" t="n">
        <v>20989.7040998938</v>
      </c>
      <c r="BN16" t="n">
        <v>42850.8587842394</v>
      </c>
      <c r="BO16" t="n">
        <v>205735.651959143</v>
      </c>
      <c r="BP16" t="n">
        <v>201239.045901972</v>
      </c>
      <c r="BQ16" t="n">
        <v>923823.055790985</v>
      </c>
      <c r="BR16" t="n">
        <v>753979.460209213</v>
      </c>
      <c r="BS16" t="n">
        <v>751224.333475302</v>
      </c>
      <c r="BT16" t="n">
        <v>122.438541176503</v>
      </c>
      <c r="BU16" t="n">
        <v>1.22526289353899</v>
      </c>
      <c r="BV16" t="n">
        <v>1.13677291954269</v>
      </c>
      <c r="BW16" t="n">
        <v>100.435237230207</v>
      </c>
      <c r="BX16" t="n">
        <v>82484.3720277827</v>
      </c>
      <c r="BY16" t="n">
        <v>1.27702063424036</v>
      </c>
      <c r="BZ16" t="n">
        <v>105334.245081837</v>
      </c>
      <c r="CA16" t="n">
        <v>10473.3450138654</v>
      </c>
      <c r="CB16" t="n">
        <v>15509.099740885</v>
      </c>
      <c r="CC16" t="n">
        <v>16245.0132893644</v>
      </c>
      <c r="CD16" t="n">
        <v>735.913548479324</v>
      </c>
      <c r="CE16" t="n">
        <v>0.0453008820821677</v>
      </c>
      <c r="CF16" t="n">
        <v>11412421.1628561</v>
      </c>
      <c r="CG16" t="n">
        <v>444372.891409152</v>
      </c>
      <c r="CH16" t="n">
        <v>551594.104836468</v>
      </c>
      <c r="CI16" t="n">
        <v>331119.538586158</v>
      </c>
      <c r="CJ16" t="n">
        <v>24013.8176036548</v>
      </c>
      <c r="CK16" t="n">
        <v>915885.740201931</v>
      </c>
      <c r="CL16" t="n">
        <v>0.0757365715458796</v>
      </c>
      <c r="CM16" t="n">
        <v>13.2036607888201</v>
      </c>
      <c r="CN16" t="n">
        <v>1174421.77845603</v>
      </c>
      <c r="CO16" t="n">
        <v>2952492.60528178</v>
      </c>
      <c r="CP16" t="n">
        <v>3295889.20902053</v>
      </c>
      <c r="CQ16" t="n">
        <v>4126914.38373782</v>
      </c>
      <c r="CR16" t="n">
        <v>9510280.08707555</v>
      </c>
      <c r="CS16" t="n">
        <v>0.0213137729060393</v>
      </c>
      <c r="CT16" t="n">
        <v>0.0117983765840105</v>
      </c>
      <c r="CU16" t="n">
        <v>0.0747677962480632</v>
      </c>
      <c r="CV16" t="n">
        <v>1.60440703239151</v>
      </c>
      <c r="CW16" t="n">
        <v>0.074767796248063</v>
      </c>
      <c r="CX16" t="n">
        <v>0.039440022763365</v>
      </c>
      <c r="CY16" t="n">
        <v>0.018050022763365</v>
      </c>
      <c r="CZ16" t="n">
        <v>-0.0062516461793545</v>
      </c>
      <c r="DA16" t="n">
        <v>0.514291786271617</v>
      </c>
      <c r="DB16" t="n">
        <v>6.36880727055344</v>
      </c>
      <c r="DC16" t="n">
        <v>0.0839064056669075</v>
      </c>
      <c r="DD16" t="n">
        <v>0.0567311854514563</v>
      </c>
      <c r="DE16" t="n">
        <v>0.00818893882391139</v>
      </c>
      <c r="DF16" t="n">
        <v>0.13441467080905</v>
      </c>
      <c r="DG16" t="n">
        <v>216254.370169228</v>
      </c>
      <c r="DH16" t="n">
        <v>124.539461856913</v>
      </c>
      <c r="DI16" t="n">
        <v>4.86257751586013</v>
      </c>
      <c r="DJ16" t="n">
        <v>4.21930662838882</v>
      </c>
      <c r="DK16" t="n">
        <v>0.0484267358713257</v>
      </c>
      <c r="DL16" t="n">
        <v>0.669440030437354</v>
      </c>
      <c r="DM16" t="n">
        <v>1.22533994478462</v>
      </c>
      <c r="DN16" t="n">
        <v>0.0399169327369503</v>
      </c>
      <c r="DO16" t="n">
        <v>0.0374213819593254</v>
      </c>
      <c r="DP16" t="n">
        <v>29032.2</v>
      </c>
      <c r="DQ16" t="n">
        <v>24258.424902408</v>
      </c>
      <c r="DR16" t="n">
        <v>172731.646784469</v>
      </c>
      <c r="DS16" t="n">
        <v>30496.9812540166</v>
      </c>
      <c r="DT16" t="n">
        <v>13025.7421307428</v>
      </c>
      <c r="DU16" t="n">
        <v>0</v>
      </c>
      <c r="DV16" t="n">
        <v>56.25</v>
      </c>
      <c r="DW16" t="n">
        <v>208288.96</v>
      </c>
      <c r="DX16" t="n">
        <v>2.21262488799071</v>
      </c>
      <c r="DY16" t="n">
        <v>74.0723217538103</v>
      </c>
      <c r="DZ16" t="n">
        <v>1.08380022237149</v>
      </c>
      <c r="EA16" t="n">
        <v>1.20480826540984</v>
      </c>
      <c r="EB16" t="n">
        <v>161137861.258508</v>
      </c>
      <c r="EC16" t="n">
        <v>3.15218008665484</v>
      </c>
      <c r="ED16" t="n">
        <v>0.0435</v>
      </c>
      <c r="EE16" t="n">
        <v>0.0304926484848485</v>
      </c>
      <c r="EF16" t="n">
        <v>0.03050813492075</v>
      </c>
      <c r="EG16" t="n">
        <v>0.0441803333333333</v>
      </c>
      <c r="EH16" t="n">
        <v>758074.17751422</v>
      </c>
      <c r="EI16" t="n">
        <v>389231.749167823</v>
      </c>
      <c r="EJ16" t="n">
        <v>1054.86531418571</v>
      </c>
      <c r="EK16" t="n">
        <v>1.41183161047373</v>
      </c>
      <c r="EL16" t="n">
        <v>4.48631415108682</v>
      </c>
    </row>
    <row r="17">
      <c r="A17" s="2" t="n">
        <v>47362</v>
      </c>
      <c r="B17" t="n">
        <v>389612.033720876</v>
      </c>
      <c r="C17" t="n">
        <v>38345.2078635615</v>
      </c>
      <c r="D17" t="n">
        <v>23977.5586709703</v>
      </c>
      <c r="E17" t="n">
        <v>235365.828192956</v>
      </c>
      <c r="F17" t="n">
        <v>51916.901058037</v>
      </c>
      <c r="G17" t="n">
        <v>13670.0714138745</v>
      </c>
      <c r="H17" t="n">
        <v>60493.1686268099</v>
      </c>
      <c r="I17" t="n">
        <v>67132.1784330447</v>
      </c>
      <c r="J17" t="n">
        <v>98362.6220417924</v>
      </c>
      <c r="K17" t="n">
        <v>403.567860935408</v>
      </c>
      <c r="L17" t="n">
        <v>5054.39844322313</v>
      </c>
      <c r="M17" t="n">
        <v>0.669240053335417</v>
      </c>
      <c r="N17" t="n">
        <v>31445.1988198879</v>
      </c>
      <c r="O17" t="n">
        <v>172.561047652913</v>
      </c>
      <c r="P17" t="n">
        <v>1.68317505069119</v>
      </c>
      <c r="Q17" t="n">
        <v>1.45862516411981</v>
      </c>
      <c r="R17" t="n">
        <v>1.13498981808839</v>
      </c>
      <c r="S17" t="n">
        <v>0.11669921657833</v>
      </c>
      <c r="T17" t="n">
        <v>8029.75461302802</v>
      </c>
      <c r="U17" t="n">
        <v>0.371304979202976</v>
      </c>
      <c r="V17" t="n">
        <v>0.559308875288119</v>
      </c>
      <c r="W17" t="n">
        <v>23990984.4715694</v>
      </c>
      <c r="X17" t="n">
        <v>74207.4774845236</v>
      </c>
      <c r="Y17" t="n">
        <v>4394440.55282515</v>
      </c>
      <c r="Z17" t="n">
        <v>1107.50438663309</v>
      </c>
      <c r="AA17" t="n">
        <v>1.15173366078527</v>
      </c>
      <c r="AB17" t="n">
        <v>1.13028373163043</v>
      </c>
      <c r="AC17" t="n">
        <v>1.24496551736839</v>
      </c>
      <c r="AD17" t="n">
        <v>1.34714640671718</v>
      </c>
      <c r="AE17" t="n">
        <v>123.00940337327</v>
      </c>
      <c r="AF17" t="n">
        <v>94874.9420423987</v>
      </c>
      <c r="AG17" t="n">
        <v>1176.76295592722</v>
      </c>
      <c r="AH17" t="n">
        <v>121.159015936521</v>
      </c>
      <c r="AI17" t="n">
        <v>72837.7229833504</v>
      </c>
      <c r="AJ17" t="n">
        <v>78716.0149262607</v>
      </c>
      <c r="AK17" t="n">
        <v>621.621527614695</v>
      </c>
      <c r="AL17" t="n">
        <v>26217.3742456364</v>
      </c>
      <c r="AM17" t="n">
        <v>19263.722505867</v>
      </c>
      <c r="AN17" t="n">
        <v>0.987623022868849</v>
      </c>
      <c r="AO17" t="n">
        <v>1.0915541099322</v>
      </c>
      <c r="AP17" t="n">
        <v>1.1942321750337</v>
      </c>
      <c r="AQ17" t="n">
        <v>1.24349421197741</v>
      </c>
      <c r="AR17" t="n">
        <v>35263.5567543573</v>
      </c>
      <c r="AS17" t="n">
        <v>178825.293676859</v>
      </c>
      <c r="AT17" t="n">
        <v>0.0622662855250369</v>
      </c>
      <c r="AU17" t="n">
        <v>0.0567380577381814</v>
      </c>
      <c r="AV17" t="n">
        <v>0.142114455173203</v>
      </c>
      <c r="AW17" t="n">
        <v>1111.68392461681</v>
      </c>
      <c r="AX17" t="n">
        <v>11598.2037897636</v>
      </c>
      <c r="AY17" t="n">
        <v>19128.1560473673</v>
      </c>
      <c r="AZ17" t="n">
        <v>181279.057349384</v>
      </c>
      <c r="BA17" t="n">
        <v>484480.310116516</v>
      </c>
      <c r="BB17" t="n">
        <v>215685.844928034</v>
      </c>
      <c r="BC17" t="n">
        <v>247172.457386757</v>
      </c>
      <c r="BD17" t="n">
        <v>84985.2027148603</v>
      </c>
      <c r="BE17" t="n">
        <v>18.7158061046024</v>
      </c>
      <c r="BF17" t="n">
        <v>51656.6089882203</v>
      </c>
      <c r="BG17" t="n">
        <v>19521.8072517621</v>
      </c>
      <c r="BH17" t="n">
        <v>27615.7614248101</v>
      </c>
      <c r="BI17" t="n">
        <v>82327.2925555872</v>
      </c>
      <c r="BJ17" t="n">
        <v>50631.0408209277</v>
      </c>
      <c r="BK17" t="n">
        <v>97145.1901182211</v>
      </c>
      <c r="BL17" t="n">
        <v>27900.8097539006</v>
      </c>
      <c r="BM17" t="n">
        <v>21027.3954738724</v>
      </c>
      <c r="BN17" t="n">
        <v>43377.4907717292</v>
      </c>
      <c r="BO17" t="n">
        <v>206791.734117723</v>
      </c>
      <c r="BP17" t="n">
        <v>202964.887539902</v>
      </c>
      <c r="BQ17" t="n">
        <v>935745.512663679</v>
      </c>
      <c r="BR17" t="n">
        <v>756564.061656325</v>
      </c>
      <c r="BS17" t="n">
        <v>754540.274719342</v>
      </c>
      <c r="BT17" t="n">
        <v>123.569720537105</v>
      </c>
      <c r="BU17" t="n">
        <v>1.2368357944775</v>
      </c>
      <c r="BV17" t="n">
        <v>1.14073703350723</v>
      </c>
      <c r="BW17" t="n">
        <v>100.50636713451</v>
      </c>
      <c r="BX17" t="n">
        <v>82896.7274456339</v>
      </c>
      <c r="BY17" t="n">
        <v>1.2954397820817</v>
      </c>
      <c r="BZ17" t="n">
        <v>107387.718537458</v>
      </c>
      <c r="CA17" t="n">
        <v>10477.2210061083</v>
      </c>
      <c r="CB17" t="n">
        <v>15531.6194493314</v>
      </c>
      <c r="CC17" t="n">
        <v>16289.5638411799</v>
      </c>
      <c r="CD17" t="n">
        <v>757.944391848467</v>
      </c>
      <c r="CE17" t="n">
        <v>0.0465294393567139</v>
      </c>
      <c r="CF17" t="n">
        <v>11446433.7330752</v>
      </c>
      <c r="CG17" t="n">
        <v>449514.435891028</v>
      </c>
      <c r="CH17" t="n">
        <v>564747.446366526</v>
      </c>
      <c r="CI17" t="n">
        <v>335789.833420236</v>
      </c>
      <c r="CJ17" t="n">
        <v>24586.4523392545</v>
      </c>
      <c r="CK17" t="n">
        <v>927705.761546304</v>
      </c>
      <c r="CL17" t="n">
        <v>0.0774147601728868</v>
      </c>
      <c r="CM17" t="n">
        <v>12.9174332874861</v>
      </c>
      <c r="CN17" t="n">
        <v>1179058.71719749</v>
      </c>
      <c r="CO17" t="n">
        <v>2977716.71416484</v>
      </c>
      <c r="CP17" t="n">
        <v>3307625.93712758</v>
      </c>
      <c r="CQ17" t="n">
        <v>4156775.43136233</v>
      </c>
      <c r="CR17" t="n">
        <v>9551877.86280712</v>
      </c>
      <c r="CS17" t="n">
        <v>0.0183562873000036</v>
      </c>
      <c r="CT17" t="n">
        <v>0.0128280595131481</v>
      </c>
      <c r="CU17" t="n">
        <v>0.072789218353297</v>
      </c>
      <c r="CV17" t="n">
        <v>1.62122322110522</v>
      </c>
      <c r="CW17" t="n">
        <v>0.0727892183532968</v>
      </c>
      <c r="CX17" t="n">
        <v>0.039440022763365</v>
      </c>
      <c r="CY17" t="n">
        <v>0.0181450537893905</v>
      </c>
      <c r="CZ17" t="n">
        <v>-0.00531699427624238</v>
      </c>
      <c r="DA17" t="n">
        <v>0.51206372315417</v>
      </c>
      <c r="DB17" t="n">
        <v>6.41804394269043</v>
      </c>
      <c r="DC17" t="n">
        <v>0.0799957767750369</v>
      </c>
      <c r="DD17" t="n">
        <v>0.0541541175421823</v>
      </c>
      <c r="DE17" t="n">
        <v>0.00819472049201331</v>
      </c>
      <c r="DF17" t="n">
        <v>0.134940587423067</v>
      </c>
      <c r="DG17" t="n">
        <v>216898.875559068</v>
      </c>
      <c r="DH17" t="n">
        <v>125.550046405654</v>
      </c>
      <c r="DI17" t="n">
        <v>4.87083265268219</v>
      </c>
      <c r="DJ17" t="n">
        <v>4.22462445522243</v>
      </c>
      <c r="DK17" t="n">
        <v>0.0484267358713257</v>
      </c>
      <c r="DL17" t="n">
        <v>0.669440030437354</v>
      </c>
      <c r="DM17" t="n">
        <v>1.23765969745585</v>
      </c>
      <c r="DN17" t="n">
        <v>0.0399169327369503</v>
      </c>
      <c r="DO17" t="n">
        <v>0.0374213819593254</v>
      </c>
      <c r="DP17" t="n">
        <v>29118.725</v>
      </c>
      <c r="DQ17" t="n">
        <v>24340.3899094122</v>
      </c>
      <c r="DR17" t="n">
        <v>173246.440900589</v>
      </c>
      <c r="DS17" t="n">
        <v>30587.8717584566</v>
      </c>
      <c r="DT17" t="n">
        <v>13064.5629000218</v>
      </c>
      <c r="DU17" t="n">
        <v>0</v>
      </c>
      <c r="DV17" t="n">
        <v>56.25</v>
      </c>
      <c r="DW17" t="n">
        <v>208288.96</v>
      </c>
      <c r="DX17" t="n">
        <v>2.22417257884541</v>
      </c>
      <c r="DY17" t="n">
        <v>73.9911163642239</v>
      </c>
      <c r="DZ17" t="n">
        <v>1.07539572121753</v>
      </c>
      <c r="EA17" t="n">
        <v>1.2046538047888</v>
      </c>
      <c r="EB17" t="n">
        <v>162594418.466384</v>
      </c>
      <c r="EC17" t="n">
        <v>3.1531516324896</v>
      </c>
      <c r="ED17" t="n">
        <v>0.0435</v>
      </c>
      <c r="EE17" t="n">
        <v>0.0304926484848485</v>
      </c>
      <c r="EF17" t="n">
        <v>0.03050813492075</v>
      </c>
      <c r="EG17" t="n">
        <v>0.0441803333333333</v>
      </c>
      <c r="EH17" t="n">
        <v>761118.720405022</v>
      </c>
      <c r="EI17" t="n">
        <v>391026.735665381</v>
      </c>
      <c r="EJ17" t="n">
        <v>1078.26479333221</v>
      </c>
      <c r="EK17" t="n">
        <v>1.43559566867919</v>
      </c>
      <c r="EL17" t="n">
        <v>4.39099982250333</v>
      </c>
    </row>
    <row r="18">
      <c r="A18" s="2" t="n">
        <v>47453</v>
      </c>
      <c r="B18" t="n">
        <v>391756.564237653</v>
      </c>
      <c r="C18" t="n">
        <v>38492.8216278855</v>
      </c>
      <c r="D18" t="n">
        <v>24181.2609220583</v>
      </c>
      <c r="E18" t="n">
        <v>236446.314325112</v>
      </c>
      <c r="F18" t="n">
        <v>52593.8515603313</v>
      </c>
      <c r="G18" t="n">
        <v>13764.6112021598</v>
      </c>
      <c r="H18" t="n">
        <v>61303.3190753477</v>
      </c>
      <c r="I18" t="n">
        <v>67410.5310970805</v>
      </c>
      <c r="J18" t="n">
        <v>98461.9112328844</v>
      </c>
      <c r="K18" t="n">
        <v>402.785621911257</v>
      </c>
      <c r="L18" t="n">
        <v>5073.27919394163</v>
      </c>
      <c r="M18" t="n">
        <v>0.668835524517931</v>
      </c>
      <c r="N18" t="n">
        <v>31758.7692120974</v>
      </c>
      <c r="O18" t="n">
        <v>174.336529199355</v>
      </c>
      <c r="P18" t="n">
        <v>1.71252918433659</v>
      </c>
      <c r="Q18" t="n">
        <v>1.4752616259713</v>
      </c>
      <c r="R18" t="n">
        <v>1.13755380886907</v>
      </c>
      <c r="S18" t="n">
        <v>0.11377630048242</v>
      </c>
      <c r="T18" t="n">
        <v>7837.89250713963</v>
      </c>
      <c r="U18" t="n">
        <v>0.371974634179583</v>
      </c>
      <c r="V18" t="n">
        <v>0.557773214605252</v>
      </c>
      <c r="W18" t="n">
        <v>24364450.5320963</v>
      </c>
      <c r="X18" t="n">
        <v>75273.4681188278</v>
      </c>
      <c r="Y18" t="n">
        <v>4387918.40113471</v>
      </c>
      <c r="Z18" t="n">
        <v>1125.09342075326</v>
      </c>
      <c r="AA18" t="n">
        <v>1.15822750132924</v>
      </c>
      <c r="AB18" t="n">
        <v>1.13548796172354</v>
      </c>
      <c r="AC18" t="n">
        <v>1.25753871656628</v>
      </c>
      <c r="AD18" t="n">
        <v>1.36707187171262</v>
      </c>
      <c r="AE18" t="n">
        <v>124.13822390982</v>
      </c>
      <c r="AF18" t="n">
        <v>94582.1327295805</v>
      </c>
      <c r="AG18" t="n">
        <v>1203.87434085583</v>
      </c>
      <c r="AH18" t="n">
        <v>122.92927248714</v>
      </c>
      <c r="AI18" t="n">
        <v>73170.018933499</v>
      </c>
      <c r="AJ18" t="n">
        <v>81061.3695802684</v>
      </c>
      <c r="AK18" t="n">
        <v>620.587496960577</v>
      </c>
      <c r="AL18" t="n">
        <v>26455.9762528486</v>
      </c>
      <c r="AM18" t="n">
        <v>19216.0906025258</v>
      </c>
      <c r="AN18" t="n">
        <v>0.985424909845198</v>
      </c>
      <c r="AO18" t="n">
        <v>1.09590147889355</v>
      </c>
      <c r="AP18" t="n">
        <v>1.20345901093467</v>
      </c>
      <c r="AQ18" t="n">
        <v>1.25480891515057</v>
      </c>
      <c r="AR18" t="n">
        <v>35365.3013535483</v>
      </c>
      <c r="AS18" t="n">
        <v>180026.128029746</v>
      </c>
      <c r="AT18" t="n">
        <v>0.0583876144763562</v>
      </c>
      <c r="AU18" t="n">
        <v>0.0565737827712509</v>
      </c>
      <c r="AV18" t="n">
        <v>0.163328221132187</v>
      </c>
      <c r="AW18" t="n">
        <v>1080.48613215526</v>
      </c>
      <c r="AX18" t="n">
        <v>11642.852250841</v>
      </c>
      <c r="AY18" t="n">
        <v>19191.4119576455</v>
      </c>
      <c r="AZ18" t="n">
        <v>181495.715146604</v>
      </c>
      <c r="BA18" t="n">
        <v>491579.630628121</v>
      </c>
      <c r="BB18" t="n">
        <v>218511.480471885</v>
      </c>
      <c r="BC18" t="n">
        <v>248699.890820268</v>
      </c>
      <c r="BD18" t="n">
        <v>86936.2203931317</v>
      </c>
      <c r="BE18" t="n">
        <v>18.9191322981048</v>
      </c>
      <c r="BF18" t="n">
        <v>52622.4537103336</v>
      </c>
      <c r="BG18" t="n">
        <v>19938.7242684842</v>
      </c>
      <c r="BH18" t="n">
        <v>28007.4014167459</v>
      </c>
      <c r="BI18" t="n">
        <v>83083.67489162</v>
      </c>
      <c r="BJ18" t="n">
        <v>50976.1022203671</v>
      </c>
      <c r="BK18" t="n">
        <v>97026.8199998511</v>
      </c>
      <c r="BL18" t="n">
        <v>28312.3536093212</v>
      </c>
      <c r="BM18" t="n">
        <v>21058.9421098604</v>
      </c>
      <c r="BN18" t="n">
        <v>43901.8569806504</v>
      </c>
      <c r="BO18" t="n">
        <v>207640.820699683</v>
      </c>
      <c r="BP18" t="n">
        <v>204789.407636189</v>
      </c>
      <c r="BQ18" t="n">
        <v>947570.880671052</v>
      </c>
      <c r="BR18" t="n">
        <v>759065.983376761</v>
      </c>
      <c r="BS18" t="n">
        <v>758026.373525207</v>
      </c>
      <c r="BT18" t="n">
        <v>124.690533856184</v>
      </c>
      <c r="BU18" t="n">
        <v>1.24833795898015</v>
      </c>
      <c r="BV18" t="n">
        <v>1.14405356915429</v>
      </c>
      <c r="BW18" t="n">
        <v>100.571380468734</v>
      </c>
      <c r="BX18" t="n">
        <v>83353.0135619797</v>
      </c>
      <c r="BY18" t="n">
        <v>1.31436747592633</v>
      </c>
      <c r="BZ18" t="n">
        <v>109556.490046312</v>
      </c>
      <c r="CA18" t="n">
        <v>10481.9882253291</v>
      </c>
      <c r="CB18" t="n">
        <v>15555.2674192707</v>
      </c>
      <c r="CC18" t="n">
        <v>16334.5769865349</v>
      </c>
      <c r="CD18" t="n">
        <v>779.309567264168</v>
      </c>
      <c r="CE18" t="n">
        <v>0.0477091906589183</v>
      </c>
      <c r="CF18" t="n">
        <v>11480446.3032944</v>
      </c>
      <c r="CG18" t="n">
        <v>454688.219633968</v>
      </c>
      <c r="CH18" t="n">
        <v>573876.495078856</v>
      </c>
      <c r="CI18" t="n">
        <v>340341.964797794</v>
      </c>
      <c r="CJ18" t="n">
        <v>24983.8882595273</v>
      </c>
      <c r="CK18" t="n">
        <v>939429.528194799</v>
      </c>
      <c r="CL18" t="n">
        <v>0.0791778525152362</v>
      </c>
      <c r="CM18" t="n">
        <v>12.6297944214586</v>
      </c>
      <c r="CN18" t="n">
        <v>1183867.44764176</v>
      </c>
      <c r="CO18" t="n">
        <v>3002835.53663913</v>
      </c>
      <c r="CP18" t="n">
        <v>3319463.94250741</v>
      </c>
      <c r="CQ18" t="n">
        <v>4186702.98428088</v>
      </c>
      <c r="CR18" t="n">
        <v>9593643.4211055</v>
      </c>
      <c r="CS18" t="n">
        <v>0.0153746367768068</v>
      </c>
      <c r="CT18" t="n">
        <v>0.0135608050717015</v>
      </c>
      <c r="CU18" t="n">
        <v>0.0707633227828711</v>
      </c>
      <c r="CV18" t="n">
        <v>1.63790399553772</v>
      </c>
      <c r="CW18" t="n">
        <v>0.0707633227828709</v>
      </c>
      <c r="CX18" t="n">
        <v>0.039440022763365</v>
      </c>
      <c r="CY18" t="n">
        <v>0.0182400641286471</v>
      </c>
      <c r="CZ18" t="n">
        <v>-0.00467925905694558</v>
      </c>
      <c r="DA18" t="n">
        <v>0.510315773308511</v>
      </c>
      <c r="DB18" t="n">
        <v>6.45357244359676</v>
      </c>
      <c r="DC18" t="n">
        <v>0.0761171057263562</v>
      </c>
      <c r="DD18" t="n">
        <v>0.0515868617590597</v>
      </c>
      <c r="DE18" t="n">
        <v>0.00818231237864912</v>
      </c>
      <c r="DF18" t="n">
        <v>0.135531681524561</v>
      </c>
      <c r="DG18" t="n">
        <v>217543.380948907</v>
      </c>
      <c r="DH18" t="n">
        <v>126.576509077722</v>
      </c>
      <c r="DI18" t="n">
        <v>4.87914844763266</v>
      </c>
      <c r="DJ18" t="n">
        <v>4.23000294018444</v>
      </c>
      <c r="DK18" t="n">
        <v>0.0484267358713257</v>
      </c>
      <c r="DL18" t="n">
        <v>0.669440030437354</v>
      </c>
      <c r="DM18" t="n">
        <v>1.25010331477911</v>
      </c>
      <c r="DN18" t="n">
        <v>0.0399169327369503</v>
      </c>
      <c r="DO18" t="n">
        <v>0.0374213819593254</v>
      </c>
      <c r="DP18" t="n">
        <v>29205.25</v>
      </c>
      <c r="DQ18" t="n">
        <v>24422.4123685837</v>
      </c>
      <c r="DR18" t="n">
        <v>173761.23501671</v>
      </c>
      <c r="DS18" t="n">
        <v>30678.7622628966</v>
      </c>
      <c r="DT18" t="n">
        <v>13103.3836693008</v>
      </c>
      <c r="DU18" t="n">
        <v>0</v>
      </c>
      <c r="DV18" t="n">
        <v>56.25</v>
      </c>
      <c r="DW18" t="n">
        <v>208288.96</v>
      </c>
      <c r="DX18" t="n">
        <v>2.23578053710685</v>
      </c>
      <c r="DY18" t="n">
        <v>73.91</v>
      </c>
      <c r="DZ18" t="n">
        <v>1.06705639410413</v>
      </c>
      <c r="EA18" t="n">
        <v>1.20449936397015</v>
      </c>
      <c r="EB18" t="n">
        <v>164064141.784839</v>
      </c>
      <c r="EC18" t="n">
        <v>3.15412347776834</v>
      </c>
      <c r="ED18" t="n">
        <v>0.0435</v>
      </c>
      <c r="EE18" t="n">
        <v>0.0304926484848485</v>
      </c>
      <c r="EF18" t="n">
        <v>0.03050813492075</v>
      </c>
      <c r="EG18" t="n">
        <v>0.0441803333333333</v>
      </c>
      <c r="EH18" t="n">
        <v>763952.627392167</v>
      </c>
      <c r="EI18" t="n">
        <v>392860.202690716</v>
      </c>
      <c r="EJ18" t="n">
        <v>1101.15254145997</v>
      </c>
      <c r="EK18" t="n">
        <v>1.38346179701663</v>
      </c>
      <c r="EL18" t="n">
        <v>4.30129776995494</v>
      </c>
    </row>
    <row r="19">
      <c r="A19" s="2" t="n">
        <v>47543</v>
      </c>
      <c r="B19" t="n">
        <v>394082.926339524</v>
      </c>
      <c r="C19" t="n">
        <v>38594.1086151134</v>
      </c>
      <c r="D19" t="n">
        <v>24388.1163571014</v>
      </c>
      <c r="E19" t="n">
        <v>237484.71419748</v>
      </c>
      <c r="F19" t="n">
        <v>53313.8578217488</v>
      </c>
      <c r="G19" t="n">
        <v>13855.3023093999</v>
      </c>
      <c r="H19" t="n">
        <v>62121.7128212774</v>
      </c>
      <c r="I19" t="n">
        <v>67973.6516530498</v>
      </c>
      <c r="J19" t="n">
        <v>98594.6610338894</v>
      </c>
      <c r="K19" t="n">
        <v>402.059439461267</v>
      </c>
      <c r="L19" t="n">
        <v>5092.51339351081</v>
      </c>
      <c r="M19" t="n">
        <v>0.668435740027791</v>
      </c>
      <c r="N19" t="n">
        <v>32067.2451073433</v>
      </c>
      <c r="O19" t="n">
        <v>176.103581632536</v>
      </c>
      <c r="P19" t="n">
        <v>1.7422853422115</v>
      </c>
      <c r="Q19" t="n">
        <v>1.49095765259077</v>
      </c>
      <c r="R19" t="n">
        <v>1.13971579558173</v>
      </c>
      <c r="S19" t="n">
        <v>0.110950573621565</v>
      </c>
      <c r="T19" t="n">
        <v>7665.44363770889</v>
      </c>
      <c r="U19" t="n">
        <v>0.37281918221676</v>
      </c>
      <c r="V19" t="n">
        <v>0.55651619995379</v>
      </c>
      <c r="W19" t="n">
        <v>24731139.7509123</v>
      </c>
      <c r="X19" t="n">
        <v>76359.7607463639</v>
      </c>
      <c r="Y19" t="n">
        <v>4382594.21620332</v>
      </c>
      <c r="Z19" t="n">
        <v>1141.01341081274</v>
      </c>
      <c r="AA19" t="n">
        <v>1.16465128238238</v>
      </c>
      <c r="AB19" t="n">
        <v>1.14055203199134</v>
      </c>
      <c r="AC19" t="n">
        <v>1.27012266918699</v>
      </c>
      <c r="AD19" t="n">
        <v>1.38642131417266</v>
      </c>
      <c r="AE19" t="n">
        <v>125.272899886238</v>
      </c>
      <c r="AF19" t="n">
        <v>94456.3241584377</v>
      </c>
      <c r="AG19" t="n">
        <v>1231.52355267487</v>
      </c>
      <c r="AH19" t="n">
        <v>124.750176763826</v>
      </c>
      <c r="AI19" t="n">
        <v>73525.9804796143</v>
      </c>
      <c r="AJ19" t="n">
        <v>83650.187756963</v>
      </c>
      <c r="AK19" t="n">
        <v>619.032504867278</v>
      </c>
      <c r="AL19" t="n">
        <v>26708.7129563503</v>
      </c>
      <c r="AM19" t="n">
        <v>19169.2955642874</v>
      </c>
      <c r="AN19" t="n">
        <v>0.983339317474915</v>
      </c>
      <c r="AO19" t="n">
        <v>1.10004556281369</v>
      </c>
      <c r="AP19" t="n">
        <v>1.21250840996053</v>
      </c>
      <c r="AQ19" t="n">
        <v>1.26606910145045</v>
      </c>
      <c r="AR19" t="n">
        <v>35469.7472287466</v>
      </c>
      <c r="AS19" t="n">
        <v>181377.098347047</v>
      </c>
      <c r="AT19" t="n">
        <v>0.05471105453302</v>
      </c>
      <c r="AU19" t="n">
        <v>0.0561973294955701</v>
      </c>
      <c r="AV19" t="n">
        <v>0.181679725521306</v>
      </c>
      <c r="AW19" t="n">
        <v>1038.39987236864</v>
      </c>
      <c r="AX19" t="n">
        <v>11673.4883377101</v>
      </c>
      <c r="AY19" t="n">
        <v>19255.2978188704</v>
      </c>
      <c r="AZ19" t="n">
        <v>181750.001645794</v>
      </c>
      <c r="BA19" t="n">
        <v>498936.217748674</v>
      </c>
      <c r="BB19" t="n">
        <v>221351.935297499</v>
      </c>
      <c r="BC19" t="n">
        <v>250455.910067214</v>
      </c>
      <c r="BD19" t="n">
        <v>88953.4348480564</v>
      </c>
      <c r="BE19" t="n">
        <v>19.129357218753</v>
      </c>
      <c r="BF19" t="n">
        <v>53507.6947854879</v>
      </c>
      <c r="BG19" t="n">
        <v>20338.5476232692</v>
      </c>
      <c r="BH19" t="n">
        <v>28403.6509901888</v>
      </c>
      <c r="BI19" t="n">
        <v>83860.2056269115</v>
      </c>
      <c r="BJ19" t="n">
        <v>51303.4561828282</v>
      </c>
      <c r="BK19" t="n">
        <v>96952.0066877354</v>
      </c>
      <c r="BL19" t="n">
        <v>28708.8336359592</v>
      </c>
      <c r="BM19" t="n">
        <v>21087.0985277586</v>
      </c>
      <c r="BN19" t="n">
        <v>44433.9809357692</v>
      </c>
      <c r="BO19" t="n">
        <v>208522.767787222</v>
      </c>
      <c r="BP19" t="n">
        <v>206718.343942911</v>
      </c>
      <c r="BQ19" t="n">
        <v>959506.13209917</v>
      </c>
      <c r="BR19" t="n">
        <v>761592.821092448</v>
      </c>
      <c r="BS19" t="n">
        <v>761649.893806956</v>
      </c>
      <c r="BT19" t="n">
        <v>125.802213681806</v>
      </c>
      <c r="BU19" t="n">
        <v>1.25986761668654</v>
      </c>
      <c r="BV19" t="n">
        <v>1.14730545198896</v>
      </c>
      <c r="BW19" t="n">
        <v>100.66592535057</v>
      </c>
      <c r="BX19" t="n">
        <v>83847.9875063339</v>
      </c>
      <c r="BY19" t="n">
        <v>1.33383669842824</v>
      </c>
      <c r="BZ19" t="n">
        <v>111839.522825301</v>
      </c>
      <c r="CA19" t="n">
        <v>10488.178800272</v>
      </c>
      <c r="CB19" t="n">
        <v>15580.6921937828</v>
      </c>
      <c r="CC19" t="n">
        <v>16379.6784311354</v>
      </c>
      <c r="CD19" t="n">
        <v>798.98623735259</v>
      </c>
      <c r="CE19" t="n">
        <v>0.0487791084776117</v>
      </c>
      <c r="CF19" t="n">
        <v>11514458.8735135</v>
      </c>
      <c r="CG19" t="n">
        <v>459855.04622752</v>
      </c>
      <c r="CH19" t="n">
        <v>583405.304010784</v>
      </c>
      <c r="CI19" t="n">
        <v>344972.772913074</v>
      </c>
      <c r="CJ19" t="n">
        <v>25398.727862897</v>
      </c>
      <c r="CK19" t="n">
        <v>951262.234166159</v>
      </c>
      <c r="CL19" t="n">
        <v>0.0807562528830099</v>
      </c>
      <c r="CM19" t="n">
        <v>12.3829420546379</v>
      </c>
      <c r="CN19" t="n">
        <v>1188801.70125533</v>
      </c>
      <c r="CO19" t="n">
        <v>3027884.11758078</v>
      </c>
      <c r="CP19" t="n">
        <v>3331354.6922765</v>
      </c>
      <c r="CQ19" t="n">
        <v>4216685.81883611</v>
      </c>
      <c r="CR19" t="n">
        <v>9635517.00542982</v>
      </c>
      <c r="CS19" t="n">
        <v>0.0124977380672903</v>
      </c>
      <c r="CT19" t="n">
        <v>0.0139840130298405</v>
      </c>
      <c r="CU19" t="n">
        <v>0.0687372571558349</v>
      </c>
      <c r="CV19" t="n">
        <v>1.65450557785626</v>
      </c>
      <c r="CW19" t="n">
        <v>0.0687372571558346</v>
      </c>
      <c r="CX19" t="n">
        <v>0.039440022763365</v>
      </c>
      <c r="CY19" t="n">
        <v>0.018335053785263</v>
      </c>
      <c r="CZ19" t="n">
        <v>-0.00435104075542257</v>
      </c>
      <c r="DA19" t="n">
        <v>0.508907649132031</v>
      </c>
      <c r="DB19" t="n">
        <v>6.47921751639115</v>
      </c>
      <c r="DC19" t="n">
        <v>0.07244054578302</v>
      </c>
      <c r="DD19" t="n">
        <v>0.0491451650272618</v>
      </c>
      <c r="DE19" t="n">
        <v>0.00815389094659251</v>
      </c>
      <c r="DF19" t="n">
        <v>0.136022890796032</v>
      </c>
      <c r="DG19" t="n">
        <v>218187.886338746</v>
      </c>
      <c r="DH19" t="n">
        <v>127.590122715457</v>
      </c>
      <c r="DI19" t="n">
        <v>4.88729777716512</v>
      </c>
      <c r="DJ19" t="n">
        <v>4.23521495972845</v>
      </c>
      <c r="DK19" t="n">
        <v>0.0484267358713257</v>
      </c>
      <c r="DL19" t="n">
        <v>0.669440030437354</v>
      </c>
      <c r="DM19" t="n">
        <v>1.2626720421083</v>
      </c>
      <c r="DN19" t="n">
        <v>0.0399169327369503</v>
      </c>
      <c r="DO19" t="n">
        <v>0.0374213819593254</v>
      </c>
      <c r="DP19" t="n">
        <v>29291.775</v>
      </c>
      <c r="DQ19" t="n">
        <v>24504.4922799227</v>
      </c>
      <c r="DR19" t="n">
        <v>174276.02913283</v>
      </c>
      <c r="DS19" t="n">
        <v>30769.6527673366</v>
      </c>
      <c r="DT19" t="n">
        <v>13142.2044385798</v>
      </c>
      <c r="DU19" t="n">
        <v>0</v>
      </c>
      <c r="DV19" t="n">
        <v>56.25</v>
      </c>
      <c r="DW19" t="n">
        <v>208288.96</v>
      </c>
      <c r="DX19" t="n">
        <v>2.24747659101981</v>
      </c>
      <c r="DY19" t="n">
        <v>73.8549385009494</v>
      </c>
      <c r="DZ19" t="n">
        <v>1.06103140913822</v>
      </c>
      <c r="EA19" t="n">
        <v>1.20449936397015</v>
      </c>
      <c r="EB19" t="n">
        <v>165420447.064754</v>
      </c>
      <c r="EC19" t="n">
        <v>3.15533702248047</v>
      </c>
      <c r="ED19" t="n">
        <v>0.0435</v>
      </c>
      <c r="EE19" t="n">
        <v>0.0304926484848485</v>
      </c>
      <c r="EF19" t="n">
        <v>0.03050813492075</v>
      </c>
      <c r="EG19" t="n">
        <v>0.0441803333333333</v>
      </c>
      <c r="EH19" t="n">
        <v>766615.719038247</v>
      </c>
      <c r="EI19" t="n">
        <v>394767.853362264</v>
      </c>
      <c r="EJ19" t="n">
        <v>1123.17801059271</v>
      </c>
      <c r="EK19" t="n">
        <v>1.33049812239949</v>
      </c>
      <c r="EL19" t="n">
        <v>4.22133164657297</v>
      </c>
    </row>
    <row r="20">
      <c r="A20" s="2" t="n">
        <v>47635</v>
      </c>
      <c r="B20" t="n">
        <v>396208.184092239</v>
      </c>
      <c r="C20" t="n">
        <v>38657.484927624</v>
      </c>
      <c r="D20" t="n">
        <v>24565.9338200286</v>
      </c>
      <c r="E20" t="n">
        <v>238494.881103104</v>
      </c>
      <c r="F20" t="n">
        <v>53948.0083016591</v>
      </c>
      <c r="G20" t="n">
        <v>13940.8998843068</v>
      </c>
      <c r="H20" t="n">
        <v>62909.61571931</v>
      </c>
      <c r="I20" t="n">
        <v>68748.3703474572</v>
      </c>
      <c r="J20" t="n">
        <v>98555.4809129849</v>
      </c>
      <c r="K20" t="n">
        <v>401.332121902328</v>
      </c>
      <c r="L20" t="n">
        <v>5111.66900266428</v>
      </c>
      <c r="M20" t="n">
        <v>0.668050433292613</v>
      </c>
      <c r="N20" t="n">
        <v>32376.4353907693</v>
      </c>
      <c r="O20" t="n">
        <v>177.859925856128</v>
      </c>
      <c r="P20" t="n">
        <v>1.77245882058664</v>
      </c>
      <c r="Q20" t="n">
        <v>1.50592804400048</v>
      </c>
      <c r="R20" t="n">
        <v>1.1416710619322</v>
      </c>
      <c r="S20" t="n">
        <v>0.108138414176147</v>
      </c>
      <c r="T20" t="n">
        <v>7500.36610979155</v>
      </c>
      <c r="U20" t="n">
        <v>0.373723341146536</v>
      </c>
      <c r="V20" t="n">
        <v>0.555357681563284</v>
      </c>
      <c r="W20" t="n">
        <v>25091991.9911257</v>
      </c>
      <c r="X20" t="n">
        <v>77461.7326185267</v>
      </c>
      <c r="Y20" t="n">
        <v>4377000.48922538</v>
      </c>
      <c r="Z20" t="n">
        <v>1155.79591739071</v>
      </c>
      <c r="AA20" t="n">
        <v>1.17105054841833</v>
      </c>
      <c r="AB20" t="n">
        <v>1.14546795906497</v>
      </c>
      <c r="AC20" t="n">
        <v>1.28287865046231</v>
      </c>
      <c r="AD20" t="n">
        <v>1.40516478748171</v>
      </c>
      <c r="AE20" t="n">
        <v>126.416199820701</v>
      </c>
      <c r="AF20" t="n">
        <v>94454.01430452</v>
      </c>
      <c r="AG20" t="n">
        <v>1259.70282192881</v>
      </c>
      <c r="AH20" t="n">
        <v>126.619261351248</v>
      </c>
      <c r="AI20" t="n">
        <v>73889.3837969125</v>
      </c>
      <c r="AJ20" t="n">
        <v>86266.8014818705</v>
      </c>
      <c r="AK20" t="n">
        <v>616.987988927806</v>
      </c>
      <c r="AL20" t="n">
        <v>26955.8891076116</v>
      </c>
      <c r="AM20" t="n">
        <v>19110.0394390937</v>
      </c>
      <c r="AN20" t="n">
        <v>0.980972096467172</v>
      </c>
      <c r="AO20" t="n">
        <v>1.10450675763723</v>
      </c>
      <c r="AP20" t="n">
        <v>1.2213706304085</v>
      </c>
      <c r="AQ20" t="n">
        <v>1.27725959059949</v>
      </c>
      <c r="AR20" t="n">
        <v>35543.1293852723</v>
      </c>
      <c r="AS20" t="n">
        <v>182734.504434684</v>
      </c>
      <c r="AT20" t="n">
        <v>0.05103256751457</v>
      </c>
      <c r="AU20" t="n">
        <v>0.0556229943399395</v>
      </c>
      <c r="AV20" t="n">
        <v>0.2001115232715</v>
      </c>
      <c r="AW20" t="n">
        <v>1010.16690562316</v>
      </c>
      <c r="AX20" t="n">
        <v>11692.6576532229</v>
      </c>
      <c r="AY20" t="n">
        <v>19306.7300787551</v>
      </c>
      <c r="AZ20" t="n">
        <v>181776.379816106</v>
      </c>
      <c r="BA20" t="n">
        <v>506060.704269571</v>
      </c>
      <c r="BB20" t="n">
        <v>224235.415442809</v>
      </c>
      <c r="BC20" t="n">
        <v>252208.427317408</v>
      </c>
      <c r="BD20" t="n">
        <v>91223.5640332467</v>
      </c>
      <c r="BE20" t="n">
        <v>19.3659397628908</v>
      </c>
      <c r="BF20" t="n">
        <v>54320.1365929023</v>
      </c>
      <c r="BG20" t="n">
        <v>20724.7541935549</v>
      </c>
      <c r="BH20" t="n">
        <v>28767.9502723528</v>
      </c>
      <c r="BI20" t="n">
        <v>84637.9208617959</v>
      </c>
      <c r="BJ20" t="n">
        <v>51640.9010241619</v>
      </c>
      <c r="BK20" t="n">
        <v>96680.1767295412</v>
      </c>
      <c r="BL20" t="n">
        <v>29074.5462635449</v>
      </c>
      <c r="BM20" t="n">
        <v>21107.167699193</v>
      </c>
      <c r="BN20" t="n">
        <v>44932.2734662159</v>
      </c>
      <c r="BO20" t="n">
        <v>209135.012158495</v>
      </c>
      <c r="BP20" t="n">
        <v>208622.695729599</v>
      </c>
      <c r="BQ20" t="n">
        <v>970900.099086042</v>
      </c>
      <c r="BR20" t="n">
        <v>763627.089338228</v>
      </c>
      <c r="BS20" t="n">
        <v>765015.190651824</v>
      </c>
      <c r="BT20" t="n">
        <v>126.907474139169</v>
      </c>
      <c r="BU20" t="n">
        <v>1.27143223820511</v>
      </c>
      <c r="BV20" t="n">
        <v>1.15050708111839</v>
      </c>
      <c r="BW20" t="n">
        <v>100.773954905298</v>
      </c>
      <c r="BX20" t="n">
        <v>84300.1730073719</v>
      </c>
      <c r="BY20" t="n">
        <v>1.3538210678283</v>
      </c>
      <c r="BZ20" t="n">
        <v>114127.350238951</v>
      </c>
      <c r="CA20" t="n">
        <v>10493.7752379046</v>
      </c>
      <c r="CB20" t="n">
        <v>15605.4442405689</v>
      </c>
      <c r="CC20" t="n">
        <v>16425.1085864978</v>
      </c>
      <c r="CD20" t="n">
        <v>819.664345928875</v>
      </c>
      <c r="CE20" t="n">
        <v>0.0499031234612238</v>
      </c>
      <c r="CF20" t="n">
        <v>11548471.4437326</v>
      </c>
      <c r="CG20" t="n">
        <v>465026.524626436</v>
      </c>
      <c r="CH20" t="n">
        <v>593070.137234558</v>
      </c>
      <c r="CI20" t="n">
        <v>349145.87721582</v>
      </c>
      <c r="CJ20" t="n">
        <v>25819.4893253028</v>
      </c>
      <c r="CK20" t="n">
        <v>962558.306311352</v>
      </c>
      <c r="CL20" t="n">
        <v>0.0822610496469422</v>
      </c>
      <c r="CM20" t="n">
        <v>12.1564215906789</v>
      </c>
      <c r="CN20" t="n">
        <v>1193862.59049932</v>
      </c>
      <c r="CO20" t="n">
        <v>3052887.24822968</v>
      </c>
      <c r="CP20" t="n">
        <v>3343251.436966</v>
      </c>
      <c r="CQ20" t="n">
        <v>4246749.838729</v>
      </c>
      <c r="CR20" t="n">
        <v>9677477.77001221</v>
      </c>
      <c r="CS20" t="n">
        <v>0.00952220134569746</v>
      </c>
      <c r="CT20" t="n">
        <v>0.014112628171067</v>
      </c>
      <c r="CU20" t="n">
        <v>0.0666280480072748</v>
      </c>
      <c r="CV20" t="n">
        <v>1.67100655578999</v>
      </c>
      <c r="CW20" t="n">
        <v>0.0666280480072746</v>
      </c>
      <c r="CX20" t="n">
        <v>0.039440022763365</v>
      </c>
      <c r="CY20" t="n">
        <v>0.018430022763365</v>
      </c>
      <c r="CZ20" t="n">
        <v>-0.00431739459229802</v>
      </c>
      <c r="DA20" t="n">
        <v>0.507664931668256</v>
      </c>
      <c r="DB20" t="n">
        <v>6.49834925898733</v>
      </c>
      <c r="DC20" t="n">
        <v>0.0687620587645699</v>
      </c>
      <c r="DD20" t="n">
        <v>0.0466915436367138</v>
      </c>
      <c r="DE20" t="n">
        <v>0.00811056487776669</v>
      </c>
      <c r="DF20" t="n">
        <v>0.136457934975578</v>
      </c>
      <c r="DG20" t="n">
        <v>218832.391728586</v>
      </c>
      <c r="DH20" t="n">
        <v>128.681269974144</v>
      </c>
      <c r="DI20" t="n">
        <v>4.89598669898989</v>
      </c>
      <c r="DJ20" t="n">
        <v>4.24096657156477</v>
      </c>
      <c r="DK20" t="n">
        <v>0.0484267358713257</v>
      </c>
      <c r="DL20" t="n">
        <v>0.669440030437354</v>
      </c>
      <c r="DM20" t="n">
        <v>1.27536713731829</v>
      </c>
      <c r="DN20" t="n">
        <v>0.0399169327369503</v>
      </c>
      <c r="DO20" t="n">
        <v>0.0374213819593254</v>
      </c>
      <c r="DP20" t="n">
        <v>29378.3</v>
      </c>
      <c r="DQ20" t="n">
        <v>24586.629643429</v>
      </c>
      <c r="DR20" t="n">
        <v>174790.82324895</v>
      </c>
      <c r="DS20" t="n">
        <v>30860.5432717767</v>
      </c>
      <c r="DT20" t="n">
        <v>13181.0252078589</v>
      </c>
      <c r="DU20" t="n">
        <v>0</v>
      </c>
      <c r="DV20" t="n">
        <v>56.25</v>
      </c>
      <c r="DW20" t="n">
        <v>208288.96</v>
      </c>
      <c r="DX20" t="n">
        <v>2.25923383057906</v>
      </c>
      <c r="DY20" t="n">
        <v>73.7999180216347</v>
      </c>
      <c r="DZ20" t="n">
        <v>1.05504044340882</v>
      </c>
      <c r="EA20" t="n">
        <v>1.20449936397015</v>
      </c>
      <c r="EB20" t="n">
        <v>166787964.813112</v>
      </c>
      <c r="EC20" t="n">
        <v>3.15655103410227</v>
      </c>
      <c r="ED20" t="n">
        <v>0.0435</v>
      </c>
      <c r="EE20" t="n">
        <v>0.0304926484848485</v>
      </c>
      <c r="EF20" t="n">
        <v>0.03050813492075</v>
      </c>
      <c r="EG20" t="n">
        <v>0.0441803333333333</v>
      </c>
      <c r="EH20" t="n">
        <v>769040.419881327</v>
      </c>
      <c r="EI20" t="n">
        <v>396703.836378034</v>
      </c>
      <c r="EJ20" t="n">
        <v>1144.14953156578</v>
      </c>
      <c r="EK20" t="n">
        <v>1.27956126634248</v>
      </c>
      <c r="EL20" t="n">
        <v>4.15103661688725</v>
      </c>
    </row>
    <row r="21">
      <c r="A21" s="2" t="n">
        <v>47727</v>
      </c>
      <c r="B21" t="n">
        <v>398503.250939809</v>
      </c>
      <c r="C21" t="n">
        <v>38693.2740894899</v>
      </c>
      <c r="D21" t="n">
        <v>24740.6385652343</v>
      </c>
      <c r="E21" t="n">
        <v>239442.267802777</v>
      </c>
      <c r="F21" t="n">
        <v>54645.4447649919</v>
      </c>
      <c r="G21" t="n">
        <v>14024.8895717873</v>
      </c>
      <c r="H21" t="n">
        <v>63721.3210720936</v>
      </c>
      <c r="I21" t="n">
        <v>72940.107648716</v>
      </c>
      <c r="J21" t="n">
        <v>98744.5283032118</v>
      </c>
      <c r="K21" t="n">
        <v>400.65821843223</v>
      </c>
      <c r="L21" t="n">
        <v>5131.39087589976</v>
      </c>
      <c r="M21" t="n">
        <v>0.667665679409849</v>
      </c>
      <c r="N21" t="n">
        <v>32677.9585502006</v>
      </c>
      <c r="O21" t="n">
        <v>179.61495784256</v>
      </c>
      <c r="P21" t="n">
        <v>1.80284166262171</v>
      </c>
      <c r="Q21" t="n">
        <v>1.52039541776386</v>
      </c>
      <c r="R21" t="n">
        <v>1.14365485000778</v>
      </c>
      <c r="S21" t="n">
        <v>0.105480667851251</v>
      </c>
      <c r="T21" t="n">
        <v>7345.5138540942</v>
      </c>
      <c r="U21" t="n">
        <v>0.374552196163985</v>
      </c>
      <c r="V21" t="n">
        <v>0.554112683517531</v>
      </c>
      <c r="W21" t="n">
        <v>25456695.2617212</v>
      </c>
      <c r="X21" t="n">
        <v>78584.4800885335</v>
      </c>
      <c r="Y21" t="n">
        <v>4372641.77019563</v>
      </c>
      <c r="Z21" t="n">
        <v>1170.34728355019</v>
      </c>
      <c r="AA21" t="n">
        <v>1.17740384216731</v>
      </c>
      <c r="AB21" t="n">
        <v>1.15032858120159</v>
      </c>
      <c r="AC21" t="n">
        <v>1.29558059234248</v>
      </c>
      <c r="AD21" t="n">
        <v>1.42331725595501</v>
      </c>
      <c r="AE21" t="n">
        <v>127.566831398698</v>
      </c>
      <c r="AF21" t="n">
        <v>94595.2780282577</v>
      </c>
      <c r="AG21" t="n">
        <v>1288.70761471316</v>
      </c>
      <c r="AH21" t="n">
        <v>128.543664524365</v>
      </c>
      <c r="AI21" t="n">
        <v>74262.2445828342</v>
      </c>
      <c r="AJ21" t="n">
        <v>89079.4030394355</v>
      </c>
      <c r="AK21" t="n">
        <v>614.94945265483</v>
      </c>
      <c r="AL21" t="n">
        <v>27213.5746965573</v>
      </c>
      <c r="AM21" t="n">
        <v>19058.506171698</v>
      </c>
      <c r="AN21" t="n">
        <v>0.978694094632753</v>
      </c>
      <c r="AO21" t="n">
        <v>1.10878225568744</v>
      </c>
      <c r="AP21" t="n">
        <v>1.23010804120342</v>
      </c>
      <c r="AQ21" t="n">
        <v>1.2884448827859</v>
      </c>
      <c r="AR21" t="n">
        <v>35637.7344038742</v>
      </c>
      <c r="AS21" t="n">
        <v>184154.799501935</v>
      </c>
      <c r="AT21" t="n">
        <v>0.0476458097545583</v>
      </c>
      <c r="AU21" t="n">
        <v>0.0548819411187777</v>
      </c>
      <c r="AV21" t="n">
        <v>0.215797683163888</v>
      </c>
      <c r="AW21" t="n">
        <v>947.386699673225</v>
      </c>
      <c r="AX21" t="n">
        <v>11703.4827345281</v>
      </c>
      <c r="AY21" t="n">
        <v>19366.3245169798</v>
      </c>
      <c r="AZ21" t="n">
        <v>182068.093395764</v>
      </c>
      <c r="BA21" t="n">
        <v>513449.475736697</v>
      </c>
      <c r="BB21" t="n">
        <v>227137.779401886</v>
      </c>
      <c r="BC21" t="n">
        <v>254200.508133688</v>
      </c>
      <c r="BD21" t="n">
        <v>96692.2703323873</v>
      </c>
      <c r="BE21" t="n">
        <v>19.9358634737677</v>
      </c>
      <c r="BF21" t="n">
        <v>55072.8047009678</v>
      </c>
      <c r="BG21" t="n">
        <v>21099.526271581</v>
      </c>
      <c r="BH21" t="n">
        <v>29129.7229043796</v>
      </c>
      <c r="BI21" t="n">
        <v>85425.9816149382</v>
      </c>
      <c r="BJ21" t="n">
        <v>51940.4854734621</v>
      </c>
      <c r="BK21" t="n">
        <v>96640.6867276502</v>
      </c>
      <c r="BL21" t="n">
        <v>29444.4710545441</v>
      </c>
      <c r="BM21" t="n">
        <v>21131.7334630884</v>
      </c>
      <c r="BN21" t="n">
        <v>45461.9285613059</v>
      </c>
      <c r="BO21" t="n">
        <v>210019.667806588</v>
      </c>
      <c r="BP21" t="n">
        <v>210609.529602599</v>
      </c>
      <c r="BQ21" t="n">
        <v>982665.914307902</v>
      </c>
      <c r="BR21" t="n">
        <v>765984.19108567</v>
      </c>
      <c r="BS21" t="n">
        <v>768500.872828056</v>
      </c>
      <c r="BT21" t="n">
        <v>128.006677547253</v>
      </c>
      <c r="BU21" t="n">
        <v>1.28288015134831</v>
      </c>
      <c r="BV21" t="n">
        <v>1.15352264029077</v>
      </c>
      <c r="BW21" t="n">
        <v>100.862829400227</v>
      </c>
      <c r="BX21" t="n">
        <v>84788.4883427982</v>
      </c>
      <c r="BY21" t="n">
        <v>1.37439690700915</v>
      </c>
      <c r="BZ21" t="n">
        <v>116533.036128323</v>
      </c>
      <c r="CA21" t="n">
        <v>10500.958149669</v>
      </c>
      <c r="CB21" t="n">
        <v>15632.3490255688</v>
      </c>
      <c r="CC21" t="n">
        <v>16470.7311168682</v>
      </c>
      <c r="CD21" t="n">
        <v>838.382091299467</v>
      </c>
      <c r="CE21" t="n">
        <v>0.0509013204393899</v>
      </c>
      <c r="CF21" t="n">
        <v>11583260.3771553</v>
      </c>
      <c r="CG21" t="n">
        <v>470166.53909691</v>
      </c>
      <c r="CH21" t="n">
        <v>606614.354957605</v>
      </c>
      <c r="CI21" t="n">
        <v>353630.740092241</v>
      </c>
      <c r="CJ21" t="n">
        <v>26409.1409751911</v>
      </c>
      <c r="CK21" t="n">
        <v>974223.031840772</v>
      </c>
      <c r="CL21" t="n">
        <v>0.0837176901262085</v>
      </c>
      <c r="CM21" t="n">
        <v>11.9449067275083</v>
      </c>
      <c r="CN21" t="n">
        <v>1199019.01859264</v>
      </c>
      <c r="CO21" t="n">
        <v>3077853.09871307</v>
      </c>
      <c r="CP21" t="n">
        <v>3355116.21785811</v>
      </c>
      <c r="CQ21" t="n">
        <v>4276872.11730571</v>
      </c>
      <c r="CR21" t="n">
        <v>9719464.82948103</v>
      </c>
      <c r="CS21" t="n">
        <v>0.00676804338960967</v>
      </c>
      <c r="CT21" t="n">
        <v>0.014004174753829</v>
      </c>
      <c r="CU21" t="n">
        <v>0.0646029014863026</v>
      </c>
      <c r="CV21" t="n">
        <v>1.68749520516299</v>
      </c>
      <c r="CW21" t="n">
        <v>0.0646029014863024</v>
      </c>
      <c r="CX21" t="n">
        <v>0.039440022763365</v>
      </c>
      <c r="CY21" t="n">
        <v>0.0184162730434113</v>
      </c>
      <c r="CZ21" t="n">
        <v>-0.00441209828958234</v>
      </c>
      <c r="DA21" t="n">
        <v>0.506401958947692</v>
      </c>
      <c r="DB21" t="n">
        <v>6.51586759592735</v>
      </c>
      <c r="DC21" t="n">
        <v>0.0653753010045583</v>
      </c>
      <c r="DD21" t="n">
        <v>0.0444280499825398</v>
      </c>
      <c r="DE21" t="n">
        <v>0.0080547246438428</v>
      </c>
      <c r="DF21" t="n">
        <v>0.136909748725891</v>
      </c>
      <c r="DG21" t="n">
        <v>219491.608452085</v>
      </c>
      <c r="DH21" t="n">
        <v>129.703247545408</v>
      </c>
      <c r="DI21" t="n">
        <v>4.90407056732311</v>
      </c>
      <c r="DJ21" t="n">
        <v>4.24611312990953</v>
      </c>
      <c r="DK21" t="n">
        <v>0.0484267358713257</v>
      </c>
      <c r="DL21" t="n">
        <v>0.669440030437354</v>
      </c>
      <c r="DM21" t="n">
        <v>1.28818987093083</v>
      </c>
      <c r="DN21" t="n">
        <v>0.0399169327369503</v>
      </c>
      <c r="DO21" t="n">
        <v>0.0374213819593254</v>
      </c>
      <c r="DP21" t="n">
        <v>29466.8</v>
      </c>
      <c r="DQ21" t="n">
        <v>24669.129513182</v>
      </c>
      <c r="DR21" t="n">
        <v>175317.367938654</v>
      </c>
      <c r="DS21" t="n">
        <v>30953.5084222296</v>
      </c>
      <c r="DT21" t="n">
        <v>13220.7320912012</v>
      </c>
      <c r="DU21" t="n">
        <v>0</v>
      </c>
      <c r="DV21" t="n">
        <v>57.125</v>
      </c>
      <c r="DW21" t="n">
        <v>208288.96</v>
      </c>
      <c r="DX21" t="n">
        <v>2.27105257586549</v>
      </c>
      <c r="DY21" t="n">
        <v>73.7449385314969</v>
      </c>
      <c r="DZ21" t="n">
        <v>1.04908330483105</v>
      </c>
      <c r="EA21" t="n">
        <v>1.20449936397015</v>
      </c>
      <c r="EB21" t="n">
        <v>168166787.722502</v>
      </c>
      <c r="EC21" t="n">
        <v>3.15776551281339</v>
      </c>
      <c r="ED21" t="n">
        <v>0.0435</v>
      </c>
      <c r="EE21" t="n">
        <v>0.0304926484848485</v>
      </c>
      <c r="EF21" t="n">
        <v>0.03050813492075</v>
      </c>
      <c r="EG21" t="n">
        <v>0.0441803333333333</v>
      </c>
      <c r="EH21" t="n">
        <v>771330.55964177</v>
      </c>
      <c r="EI21" t="n">
        <v>398700.756620052</v>
      </c>
      <c r="EJ21" t="n">
        <v>1164.0937811355</v>
      </c>
      <c r="EK21" t="n">
        <v>1.24511986582085</v>
      </c>
      <c r="EL21" t="n">
        <v>4.08777663649487</v>
      </c>
    </row>
    <row r="22">
      <c r="A22" s="2" t="n">
        <v>47818</v>
      </c>
      <c r="B22" t="n">
        <v>401020.572954027</v>
      </c>
      <c r="C22" t="n">
        <v>38716.7404992865</v>
      </c>
      <c r="D22" t="n">
        <v>24897.491995942</v>
      </c>
      <c r="E22" t="n">
        <v>240375.413844942</v>
      </c>
      <c r="F22" t="n">
        <v>55339.7169093092</v>
      </c>
      <c r="G22" t="n">
        <v>14106.9942777974</v>
      </c>
      <c r="H22" t="n">
        <v>64538.6695114743</v>
      </c>
      <c r="I22" t="n">
        <v>73073.613505239</v>
      </c>
      <c r="J22" t="n">
        <v>98786.8819911059</v>
      </c>
      <c r="K22" t="n">
        <v>400.023037272382</v>
      </c>
      <c r="L22" t="n">
        <v>5151.49736732887</v>
      </c>
      <c r="M22" t="n">
        <v>0.667301985313034</v>
      </c>
      <c r="N22" t="n">
        <v>32978.7669482435</v>
      </c>
      <c r="O22" t="n">
        <v>181.369116557117</v>
      </c>
      <c r="P22" t="n">
        <v>1.83372476975624</v>
      </c>
      <c r="Q22" t="n">
        <v>1.5345088294762</v>
      </c>
      <c r="R22" t="n">
        <v>1.1457002709694</v>
      </c>
      <c r="S22" t="n">
        <v>0.103048209910733</v>
      </c>
      <c r="T22" t="n">
        <v>7207.31767862037</v>
      </c>
      <c r="U22" t="n">
        <v>0.37530879761111</v>
      </c>
      <c r="V22" t="n">
        <v>0.552761707833688</v>
      </c>
      <c r="W22" t="n">
        <v>25831334.0243185</v>
      </c>
      <c r="X22" t="n">
        <v>79732.3400087089</v>
      </c>
      <c r="Y22" t="n">
        <v>4369333.97132791</v>
      </c>
      <c r="Z22" t="n">
        <v>1184.98607149763</v>
      </c>
      <c r="AA22" t="n">
        <v>1.18379547280751</v>
      </c>
      <c r="AB22" t="n">
        <v>1.15511635677904</v>
      </c>
      <c r="AC22" t="n">
        <v>1.30838440630396</v>
      </c>
      <c r="AD22" t="n">
        <v>1.44089703300774</v>
      </c>
      <c r="AE22" t="n">
        <v>128.720910288179</v>
      </c>
      <c r="AF22" t="n">
        <v>94886.0405046054</v>
      </c>
      <c r="AG22" t="n">
        <v>1318.06663393689</v>
      </c>
      <c r="AH22" t="n">
        <v>130.516418574892</v>
      </c>
      <c r="AI22" t="n">
        <v>74665.7068806997</v>
      </c>
      <c r="AJ22" t="n">
        <v>91931.7016126933</v>
      </c>
      <c r="AK22" t="n">
        <v>612.929166869349</v>
      </c>
      <c r="AL22" t="n">
        <v>27485.9362352454</v>
      </c>
      <c r="AM22" t="n">
        <v>19005.5670330301</v>
      </c>
      <c r="AN22" t="n">
        <v>0.976549689160044</v>
      </c>
      <c r="AO22" t="n">
        <v>1.11326913227251</v>
      </c>
      <c r="AP22" t="n">
        <v>1.23874335792843</v>
      </c>
      <c r="AQ22" t="n">
        <v>1.29962801323547</v>
      </c>
      <c r="AR22" t="n">
        <v>35730.8343062845</v>
      </c>
      <c r="AS22" t="n">
        <v>185735.054872612</v>
      </c>
      <c r="AT22" t="n">
        <v>0.0445393604028814</v>
      </c>
      <c r="AU22" t="n">
        <v>0.0540025228812025</v>
      </c>
      <c r="AV22" t="n">
        <v>0.229492240533622</v>
      </c>
      <c r="AW22" t="n">
        <v>933.146042164881</v>
      </c>
      <c r="AX22" t="n">
        <v>11710.5805759064</v>
      </c>
      <c r="AY22" t="n">
        <v>19424.8276950915</v>
      </c>
      <c r="AZ22" t="n">
        <v>182209.111025512</v>
      </c>
      <c r="BA22" t="n">
        <v>521177.571734663</v>
      </c>
      <c r="BB22" t="n">
        <v>230071.43322642</v>
      </c>
      <c r="BC22" t="n">
        <v>256357.357438432</v>
      </c>
      <c r="BD22" t="n">
        <v>97967.328694907</v>
      </c>
      <c r="BE22" t="n">
        <v>20.0687442601551</v>
      </c>
      <c r="BF22" t="n">
        <v>55786.8365131525</v>
      </c>
      <c r="BG22" t="n">
        <v>21473.9816702659</v>
      </c>
      <c r="BH22" t="n">
        <v>29473.5383090573</v>
      </c>
      <c r="BI22" t="n">
        <v>86247.5785114966</v>
      </c>
      <c r="BJ22" t="n">
        <v>52293.5629958079</v>
      </c>
      <c r="BK22" t="n">
        <v>96470.2989015044</v>
      </c>
      <c r="BL22" t="n">
        <v>29807.5696091718</v>
      </c>
      <c r="BM22" t="n">
        <v>21158.3111192084</v>
      </c>
      <c r="BN22" t="n">
        <v>45993.0551726104</v>
      </c>
      <c r="BO22" t="n">
        <v>210770.082802495</v>
      </c>
      <c r="BP22" t="n">
        <v>212796.702696068</v>
      </c>
      <c r="BQ22" t="n">
        <v>994497.88306729</v>
      </c>
      <c r="BR22" t="n">
        <v>768298.130966983</v>
      </c>
      <c r="BS22" t="n">
        <v>772254.051516402</v>
      </c>
      <c r="BT22" t="n">
        <v>129.103141307073</v>
      </c>
      <c r="BU22" t="n">
        <v>1.29441663742944</v>
      </c>
      <c r="BV22" t="n">
        <v>1.15674831854585</v>
      </c>
      <c r="BW22" t="n">
        <v>100.964305225057</v>
      </c>
      <c r="BX22" t="n">
        <v>85324.0923253358</v>
      </c>
      <c r="BY22" t="n">
        <v>1.39548971679768</v>
      </c>
      <c r="BZ22" t="n">
        <v>119068.893435102</v>
      </c>
      <c r="CA22" t="n">
        <v>10509.6758792001</v>
      </c>
      <c r="CB22" t="n">
        <v>15661.173246529</v>
      </c>
      <c r="CC22" t="n">
        <v>16516.8452348825</v>
      </c>
      <c r="CD22" t="n">
        <v>855.671988353482</v>
      </c>
      <c r="CE22" t="n">
        <v>0.0518060108937556</v>
      </c>
      <c r="CF22" t="n">
        <v>11618049.3105779</v>
      </c>
      <c r="CG22" t="n">
        <v>475369.446519769</v>
      </c>
      <c r="CH22" t="n">
        <v>615526.355903474</v>
      </c>
      <c r="CI22" t="n">
        <v>358097.794197201</v>
      </c>
      <c r="CJ22" t="n">
        <v>26797.1276547462</v>
      </c>
      <c r="CK22" t="n">
        <v>985953.342528851</v>
      </c>
      <c r="CL22" t="n">
        <v>0.0850426183776426</v>
      </c>
      <c r="CM22" t="n">
        <v>11.7588101010645</v>
      </c>
      <c r="CN22" t="n">
        <v>1204266.31957196</v>
      </c>
      <c r="CO22" t="n">
        <v>3102791.72392662</v>
      </c>
      <c r="CP22" t="n">
        <v>3366921.70395896</v>
      </c>
      <c r="CQ22" t="n">
        <v>4307058.04349858</v>
      </c>
      <c r="CR22" t="n">
        <v>9761456.24177475</v>
      </c>
      <c r="CS22" t="n">
        <v>0.00420021065577966</v>
      </c>
      <c r="CT22" t="n">
        <v>0.0136633731341008</v>
      </c>
      <c r="CU22" t="n">
        <v>0.0627090601636314</v>
      </c>
      <c r="CV22" t="n">
        <v>1.70397565008509</v>
      </c>
      <c r="CW22" t="n">
        <v>0.0627090601636311</v>
      </c>
      <c r="CX22" t="n">
        <v>0.039440022763365</v>
      </c>
      <c r="CY22" t="n">
        <v>0.0184025231367616</v>
      </c>
      <c r="CZ22" t="n">
        <v>-0.00473915000266083</v>
      </c>
      <c r="DA22" t="n">
        <v>0.505095368150802</v>
      </c>
      <c r="DB22" t="n">
        <v>6.53356036568909</v>
      </c>
      <c r="DC22" t="n">
        <v>0.0622688516528814</v>
      </c>
      <c r="DD22" t="n">
        <v>0.0423466306396782</v>
      </c>
      <c r="DE22" t="n">
        <v>0.00798854967263899</v>
      </c>
      <c r="DF22" t="n">
        <v>0.13731526128823</v>
      </c>
      <c r="DG22" t="n">
        <v>220150.825175584</v>
      </c>
      <c r="DH22" t="n">
        <v>130.743596128183</v>
      </c>
      <c r="DI22" t="n">
        <v>4.91223287116047</v>
      </c>
      <c r="DJ22" t="n">
        <v>4.25133812375844</v>
      </c>
      <c r="DK22" t="n">
        <v>0.0484267358713257</v>
      </c>
      <c r="DL22" t="n">
        <v>0.669440030437354</v>
      </c>
      <c r="DM22" t="n">
        <v>1.30114152624166</v>
      </c>
      <c r="DN22" t="n">
        <v>0.0399169327369503</v>
      </c>
      <c r="DO22" t="n">
        <v>0.0374213819593254</v>
      </c>
      <c r="DP22" t="n">
        <v>29555.3</v>
      </c>
      <c r="DQ22" t="n">
        <v>24751.68004653</v>
      </c>
      <c r="DR22" t="n">
        <v>175843.912628358</v>
      </c>
      <c r="DS22" t="n">
        <v>31046.4735726826</v>
      </c>
      <c r="DT22" t="n">
        <v>13260.4389745435</v>
      </c>
      <c r="DU22" t="n">
        <v>0</v>
      </c>
      <c r="DV22" t="n">
        <v>57.125</v>
      </c>
      <c r="DW22" t="n">
        <v>208288.96</v>
      </c>
      <c r="DX22" t="n">
        <v>2.28293314863443</v>
      </c>
      <c r="DY22" t="n">
        <v>73.69</v>
      </c>
      <c r="DZ22" t="n">
        <v>1.04315980240464</v>
      </c>
      <c r="EA22" t="n">
        <v>1.20449936397015</v>
      </c>
      <c r="EB22" t="n">
        <v>169557009.251796</v>
      </c>
      <c r="EC22" t="n">
        <v>3.15898045879354</v>
      </c>
      <c r="ED22" t="n">
        <v>0.0435</v>
      </c>
      <c r="EE22" t="n">
        <v>0.0304926484848485</v>
      </c>
      <c r="EF22" t="n">
        <v>0.03050813492075</v>
      </c>
      <c r="EG22" t="n">
        <v>0.0441803333333333</v>
      </c>
      <c r="EH22" t="n">
        <v>773505.965795565</v>
      </c>
      <c r="EI22" t="n">
        <v>400797.631846882</v>
      </c>
      <c r="EJ22" t="n">
        <v>1183.11377134012</v>
      </c>
      <c r="EK22" t="n">
        <v>1.2162509969361</v>
      </c>
      <c r="EL22" t="n">
        <v>4.03391497471017</v>
      </c>
    </row>
    <row r="23">
      <c r="A23" s="2" t="n">
        <v>47908</v>
      </c>
      <c r="B23" t="n">
        <v>403709.43528421</v>
      </c>
      <c r="C23" t="n">
        <v>38742.9445425113</v>
      </c>
      <c r="D23" t="n">
        <v>25049.1625507074</v>
      </c>
      <c r="E23" t="n">
        <v>241278.463712214</v>
      </c>
      <c r="F23" t="n">
        <v>56059.3549271303</v>
      </c>
      <c r="G23" t="n">
        <v>14192.6618110338</v>
      </c>
      <c r="H23" t="n">
        <v>65371.9912396435</v>
      </c>
      <c r="I23" t="n">
        <v>73507.1782869539</v>
      </c>
      <c r="J23" t="n">
        <v>98886.3916681083</v>
      </c>
      <c r="K23" t="n">
        <v>399.432174809472</v>
      </c>
      <c r="L23" t="n">
        <v>5172.11217439347</v>
      </c>
      <c r="M23" t="n">
        <v>0.666964589500615</v>
      </c>
      <c r="N23" t="n">
        <v>33277.7183207276</v>
      </c>
      <c r="O23" t="n">
        <v>183.126373748861</v>
      </c>
      <c r="P23" t="n">
        <v>1.86506226168098</v>
      </c>
      <c r="Q23" t="n">
        <v>1.54839882243045</v>
      </c>
      <c r="R23" t="n">
        <v>1.14787813238432</v>
      </c>
      <c r="S23" t="n">
        <v>0.100886127677145</v>
      </c>
      <c r="T23" t="n">
        <v>7082.89949357294</v>
      </c>
      <c r="U23" t="n">
        <v>0.375927235421027</v>
      </c>
      <c r="V23" t="n">
        <v>0.551204803188239</v>
      </c>
      <c r="W23" t="n">
        <v>26217683.7911514</v>
      </c>
      <c r="X23" t="n">
        <v>80909.2459178271</v>
      </c>
      <c r="Y23" t="n">
        <v>4367366.02900209</v>
      </c>
      <c r="Z23" t="n">
        <v>1200.03284515192</v>
      </c>
      <c r="AA23" t="n">
        <v>1.19018645378928</v>
      </c>
      <c r="AB23" t="n">
        <v>1.15989581507383</v>
      </c>
      <c r="AC23" t="n">
        <v>1.32120975402644</v>
      </c>
      <c r="AD23" t="n">
        <v>1.45794712971055</v>
      </c>
      <c r="AE23" t="n">
        <v>129.881078264361</v>
      </c>
      <c r="AF23" t="n">
        <v>95334.0008619684</v>
      </c>
      <c r="AG23" t="n">
        <v>1347.75329227966</v>
      </c>
      <c r="AH23" t="n">
        <v>132.53640661884</v>
      </c>
      <c r="AI23" t="n">
        <v>75100.1976847381</v>
      </c>
      <c r="AJ23" t="n">
        <v>94791.2761739108</v>
      </c>
      <c r="AK23" t="n">
        <v>610.718581014496</v>
      </c>
      <c r="AL23" t="n">
        <v>27772.5280094394</v>
      </c>
      <c r="AM23" t="n">
        <v>18954.9545793864</v>
      </c>
      <c r="AN23" t="n">
        <v>0.974821082416177</v>
      </c>
      <c r="AO23" t="n">
        <v>1.1178911125019</v>
      </c>
      <c r="AP23" t="n">
        <v>1.24731346467091</v>
      </c>
      <c r="AQ23" t="n">
        <v>1.31083595620073</v>
      </c>
      <c r="AR23" t="n">
        <v>35832.0244536393</v>
      </c>
      <c r="AS23" t="n">
        <v>187458.934919667</v>
      </c>
      <c r="AT23" t="n">
        <v>0.0417803996804782</v>
      </c>
      <c r="AU23" t="n">
        <v>0.0530152475790985</v>
      </c>
      <c r="AV23" t="n">
        <v>0.240902877185355</v>
      </c>
      <c r="AW23" t="n">
        <v>903.049867272464</v>
      </c>
      <c r="AX23" t="n">
        <v>11718.5064641821</v>
      </c>
      <c r="AY23" t="n">
        <v>19486.1593612457</v>
      </c>
      <c r="AZ23" t="n">
        <v>182420.53006238</v>
      </c>
      <c r="BA23" t="n">
        <v>529196.844881721</v>
      </c>
      <c r="BB23" t="n">
        <v>233022.368530727</v>
      </c>
      <c r="BC23" t="n">
        <v>258730.536849215</v>
      </c>
      <c r="BD23" t="n">
        <v>99344.2981476121</v>
      </c>
      <c r="BE23" t="n">
        <v>20.2122457570947</v>
      </c>
      <c r="BF23" t="n">
        <v>56485.1647922892</v>
      </c>
      <c r="BG23" t="n">
        <v>21855.7441696108</v>
      </c>
      <c r="BH23" t="n">
        <v>29813.1739466176</v>
      </c>
      <c r="BI23" t="n">
        <v>87108.4041837582</v>
      </c>
      <c r="BJ23" t="n">
        <v>52628.9943976753</v>
      </c>
      <c r="BK23" t="n">
        <v>96396.5393621353</v>
      </c>
      <c r="BL23" t="n">
        <v>30172.3462086449</v>
      </c>
      <c r="BM23" t="n">
        <v>21189.5752621733</v>
      </c>
      <c r="BN23" t="n">
        <v>46539.0197243361</v>
      </c>
      <c r="BO23" t="n">
        <v>211638.32855729</v>
      </c>
      <c r="BP23" t="n">
        <v>215180.012114341</v>
      </c>
      <c r="BQ23" t="n">
        <v>1006569.01134535</v>
      </c>
      <c r="BR23" t="n">
        <v>770723.944212995</v>
      </c>
      <c r="BS23" t="n">
        <v>776192.325091794</v>
      </c>
      <c r="BT23" t="n">
        <v>130.198861803214</v>
      </c>
      <c r="BU23" t="n">
        <v>1.30600459338153</v>
      </c>
      <c r="BV23" t="n">
        <v>1.16016727111208</v>
      </c>
      <c r="BW23" t="n">
        <v>101.070596118268</v>
      </c>
      <c r="BX23" t="n">
        <v>85896.1944896229</v>
      </c>
      <c r="BY23" t="n">
        <v>1.41708755540039</v>
      </c>
      <c r="BZ23" t="n">
        <v>121722.428267497</v>
      </c>
      <c r="CA23" t="n">
        <v>10520.4818344322</v>
      </c>
      <c r="CB23" t="n">
        <v>15692.5940088257</v>
      </c>
      <c r="CC23" t="n">
        <v>16563.5861950958</v>
      </c>
      <c r="CD23" t="n">
        <v>870.992186270141</v>
      </c>
      <c r="CE23" t="n">
        <v>0.0525847512532759</v>
      </c>
      <c r="CF23" t="n">
        <v>11652838.2440006</v>
      </c>
      <c r="CG23" t="n">
        <v>480641.025616283</v>
      </c>
      <c r="CH23" t="n">
        <v>624685.259342646</v>
      </c>
      <c r="CI23" t="n">
        <v>362680.120187972</v>
      </c>
      <c r="CJ23" t="n">
        <v>27195.8633096586</v>
      </c>
      <c r="CK23" t="n">
        <v>997920.75792157</v>
      </c>
      <c r="CL23" t="n">
        <v>0.0862243748578764</v>
      </c>
      <c r="CM23" t="n">
        <v>11.5976485958675</v>
      </c>
      <c r="CN23" t="n">
        <v>1209585.16473516</v>
      </c>
      <c r="CO23" t="n">
        <v>3127734.16167628</v>
      </c>
      <c r="CP23" t="n">
        <v>3378656.04770294</v>
      </c>
      <c r="CQ23" t="n">
        <v>4337319.32641144</v>
      </c>
      <c r="CR23" t="n">
        <v>9803451.86843159</v>
      </c>
      <c r="CS23" t="n">
        <v>0.00190164167214223</v>
      </c>
      <c r="CT23" t="n">
        <v>0.0131364895707625</v>
      </c>
      <c r="CU23" t="n">
        <v>0.0610073696688092</v>
      </c>
      <c r="CV23" t="n">
        <v>1.72048520541904</v>
      </c>
      <c r="CW23" t="n">
        <v>0.061007369668809</v>
      </c>
      <c r="CX23" t="n">
        <v>0.039440022763365</v>
      </c>
      <c r="CY23" t="n">
        <v>0.0183887730434136</v>
      </c>
      <c r="CZ23" t="n">
        <v>-0.00525228347265106</v>
      </c>
      <c r="DA23" t="n">
        <v>0.503655523193098</v>
      </c>
      <c r="DB23" t="n">
        <v>6.55303122420609</v>
      </c>
      <c r="DC23" t="n">
        <v>0.0595098909304782</v>
      </c>
      <c r="DD23" t="n">
        <v>0.0404945281927614</v>
      </c>
      <c r="DE23" t="n">
        <v>0.00791437683305026</v>
      </c>
      <c r="DF23" t="n">
        <v>0.137678781567484</v>
      </c>
      <c r="DG23" t="n">
        <v>220810.041899084</v>
      </c>
      <c r="DH23" t="n">
        <v>131.77739664409</v>
      </c>
      <c r="DI23" t="n">
        <v>4.92028216736223</v>
      </c>
      <c r="DJ23" t="n">
        <v>4.25645010997175</v>
      </c>
      <c r="DK23" t="n">
        <v>0.0484267358713257</v>
      </c>
      <c r="DL23" t="n">
        <v>0.669440030437354</v>
      </c>
      <c r="DM23" t="n">
        <v>1.314223399449</v>
      </c>
      <c r="DN23" t="n">
        <v>0.0399169327369503</v>
      </c>
      <c r="DO23" t="n">
        <v>0.0374213819593254</v>
      </c>
      <c r="DP23" t="n">
        <v>29643.8</v>
      </c>
      <c r="DQ23" t="n">
        <v>24834.281243473</v>
      </c>
      <c r="DR23" t="n">
        <v>176370.457318062</v>
      </c>
      <c r="DS23" t="n">
        <v>31139.4387231356</v>
      </c>
      <c r="DT23" t="n">
        <v>13300.1458578858</v>
      </c>
      <c r="DU23" t="n">
        <v>0</v>
      </c>
      <c r="DV23" t="n">
        <v>57.125</v>
      </c>
      <c r="DW23" t="n">
        <v>208288.96</v>
      </c>
      <c r="DX23" t="n">
        <v>2.2947578707023</v>
      </c>
      <c r="DY23" t="n">
        <v>73.5938118310111</v>
      </c>
      <c r="DZ23" t="n">
        <v>1.03747956574746</v>
      </c>
      <c r="EA23" t="n">
        <v>1.20449936397015</v>
      </c>
      <c r="EB23" t="n">
        <v>170935146.341831</v>
      </c>
      <c r="EC23" t="n">
        <v>3.16067903168604</v>
      </c>
      <c r="ED23" t="n">
        <v>0.0435</v>
      </c>
      <c r="EE23" t="n">
        <v>0.0304926484848485</v>
      </c>
      <c r="EF23" t="n">
        <v>0.03050813492075</v>
      </c>
      <c r="EG23" t="n">
        <v>0.0441803333333333</v>
      </c>
      <c r="EH23" t="n">
        <v>775615.18241111</v>
      </c>
      <c r="EI23" t="n">
        <v>403018.217148982</v>
      </c>
      <c r="EJ23" t="n">
        <v>1201.37875961331</v>
      </c>
      <c r="EK23" t="n">
        <v>1.1989507867799</v>
      </c>
      <c r="EL23" t="n">
        <v>3.9878758008336</v>
      </c>
    </row>
    <row r="24">
      <c r="A24" s="2" t="n">
        <v>48000</v>
      </c>
      <c r="B24" t="n">
        <v>406200.442596775</v>
      </c>
      <c r="C24" t="n">
        <v>38782.0734854792</v>
      </c>
      <c r="D24" t="n">
        <v>25190.1691063082</v>
      </c>
      <c r="E24" t="n">
        <v>242170.328998681</v>
      </c>
      <c r="F24" t="n">
        <v>56738.3374623814</v>
      </c>
      <c r="G24" t="n">
        <v>14279.8595232984</v>
      </c>
      <c r="H24" t="n">
        <v>66197.3826629383</v>
      </c>
      <c r="I24" t="n">
        <v>74157.6238648004</v>
      </c>
      <c r="J24" t="n">
        <v>98969.5145583101</v>
      </c>
      <c r="K24" t="n">
        <v>398.85536762699</v>
      </c>
      <c r="L24" t="n">
        <v>5192.96927859906</v>
      </c>
      <c r="M24" t="n">
        <v>0.666657932243705</v>
      </c>
      <c r="N24" t="n">
        <v>33578.6195957268</v>
      </c>
      <c r="O24" t="n">
        <v>184.887021174485</v>
      </c>
      <c r="P24" t="n">
        <v>1.89687881193987</v>
      </c>
      <c r="Q24" t="n">
        <v>1.56220727475484</v>
      </c>
      <c r="R24" t="n">
        <v>1.15035231045723</v>
      </c>
      <c r="S24" t="n">
        <v>0.0989296462945382</v>
      </c>
      <c r="T24" t="n">
        <v>6969.01137654621</v>
      </c>
      <c r="U24" t="n">
        <v>0.376370125147654</v>
      </c>
      <c r="V24" t="n">
        <v>0.549395873988608</v>
      </c>
      <c r="W24" t="n">
        <v>26615502.9205908</v>
      </c>
      <c r="X24" t="n">
        <v>82110.7452441652</v>
      </c>
      <c r="Y24" t="n">
        <v>4365891.17491286</v>
      </c>
      <c r="Z24" t="n">
        <v>1215.53329302113</v>
      </c>
      <c r="AA24" t="n">
        <v>1.19662619994409</v>
      </c>
      <c r="AB24" t="n">
        <v>1.1646930577554</v>
      </c>
      <c r="AC24" t="n">
        <v>1.33416536215646</v>
      </c>
      <c r="AD24" t="n">
        <v>1.47452437137498</v>
      </c>
      <c r="AE24" t="n">
        <v>131.048807648856</v>
      </c>
      <c r="AF24" t="n">
        <v>95904.4985317918</v>
      </c>
      <c r="AG24" t="n">
        <v>1377.75161587216</v>
      </c>
      <c r="AH24" t="n">
        <v>134.600653187692</v>
      </c>
      <c r="AI24" t="n">
        <v>75548.8046710801</v>
      </c>
      <c r="AJ24" t="n">
        <v>97553.1280481305</v>
      </c>
      <c r="AK24" t="n">
        <v>608.503658297246</v>
      </c>
      <c r="AL24" t="n">
        <v>28054.5373663277</v>
      </c>
      <c r="AM24" t="n">
        <v>18898.7078463655</v>
      </c>
      <c r="AN24" t="n">
        <v>0.973530817806192</v>
      </c>
      <c r="AO24" t="n">
        <v>1.12299409177075</v>
      </c>
      <c r="AP24" t="n">
        <v>1.25582926941594</v>
      </c>
      <c r="AQ24" t="n">
        <v>1.32207041037409</v>
      </c>
      <c r="AR24" t="n">
        <v>35920.6905435977</v>
      </c>
      <c r="AS24" t="n">
        <v>189187.86091114</v>
      </c>
      <c r="AT24" t="n">
        <v>0.0392343250046122</v>
      </c>
      <c r="AU24" t="n">
        <v>0.0519403741091514</v>
      </c>
      <c r="AV24" t="n">
        <v>0.251591036172855</v>
      </c>
      <c r="AW24" t="n">
        <v>891.865286467393</v>
      </c>
      <c r="AX24" t="n">
        <v>11730.341722873</v>
      </c>
      <c r="AY24" t="n">
        <v>19542.3487223177</v>
      </c>
      <c r="AZ24" t="n">
        <v>182592.261670591</v>
      </c>
      <c r="BA24" t="n">
        <v>537025.587098485</v>
      </c>
      <c r="BB24" t="n">
        <v>236009.852748084</v>
      </c>
      <c r="BC24" t="n">
        <v>261174.615546738</v>
      </c>
      <c r="BD24" t="n">
        <v>100905.858913916</v>
      </c>
      <c r="BE24" t="n">
        <v>20.3749845216232</v>
      </c>
      <c r="BF24" t="n">
        <v>57185.1125267945</v>
      </c>
      <c r="BG24" t="n">
        <v>22251.0366709321</v>
      </c>
      <c r="BH24" t="n">
        <v>30143.2163336305</v>
      </c>
      <c r="BI24" t="n">
        <v>87991.1674793358</v>
      </c>
      <c r="BJ24" t="n">
        <v>52988.2571514541</v>
      </c>
      <c r="BK24" t="n">
        <v>96349.8724458334</v>
      </c>
      <c r="BL24" t="n">
        <v>30529.1993398005</v>
      </c>
      <c r="BM24" t="n">
        <v>21223.1372535701</v>
      </c>
      <c r="BN24" t="n">
        <v>47073.6366566201</v>
      </c>
      <c r="BO24" t="n">
        <v>212516.693695824</v>
      </c>
      <c r="BP24" t="n">
        <v>217632.692909592</v>
      </c>
      <c r="BQ24" t="n">
        <v>1018478.23079495</v>
      </c>
      <c r="BR24" t="n">
        <v>772946.367068996</v>
      </c>
      <c r="BS24" t="n">
        <v>779971.941777628</v>
      </c>
      <c r="BT24" t="n">
        <v>131.297055945801</v>
      </c>
      <c r="BU24" t="n">
        <v>1.31765705099761</v>
      </c>
      <c r="BV24" t="n">
        <v>1.16388663874058</v>
      </c>
      <c r="BW24" t="n">
        <v>101.176537671139</v>
      </c>
      <c r="BX24" t="n">
        <v>86426.1995623171</v>
      </c>
      <c r="BY24" t="n">
        <v>1.43915860892164</v>
      </c>
      <c r="BZ24" t="n">
        <v>124381.009136489</v>
      </c>
      <c r="CA24" t="n">
        <v>10532.138203484</v>
      </c>
      <c r="CB24" t="n">
        <v>15725.1074820831</v>
      </c>
      <c r="CC24" t="n">
        <v>16611.0711009747</v>
      </c>
      <c r="CD24" t="n">
        <v>885.963618891605</v>
      </c>
      <c r="CE24" t="n">
        <v>0.0533357232548638</v>
      </c>
      <c r="CF24" t="n">
        <v>11687627.1774232</v>
      </c>
      <c r="CG24" t="n">
        <v>485991.885923529</v>
      </c>
      <c r="CH24" t="n">
        <v>633929.810173255</v>
      </c>
      <c r="CI24" t="n">
        <v>367045.838725414</v>
      </c>
      <c r="CJ24" t="n">
        <v>27598.3276498817</v>
      </c>
      <c r="CK24" t="n">
        <v>1009727.65557632</v>
      </c>
      <c r="CL24" t="n">
        <v>0.0873156356646407</v>
      </c>
      <c r="CM24" t="n">
        <v>11.4527025129929</v>
      </c>
      <c r="CN24" t="n">
        <v>1214969.20805967</v>
      </c>
      <c r="CO24" t="n">
        <v>3152711.37937106</v>
      </c>
      <c r="CP24" t="n">
        <v>3390322.55685594</v>
      </c>
      <c r="CQ24" t="n">
        <v>4367680.58743073</v>
      </c>
      <c r="CR24" t="n">
        <v>9845479.63860388</v>
      </c>
      <c r="CS24" t="n">
        <v>-0.000274829654777146</v>
      </c>
      <c r="CT24" t="n">
        <v>0.0124312194497621</v>
      </c>
      <c r="CU24" t="n">
        <v>0.0594204916351489</v>
      </c>
      <c r="CV24" t="n">
        <v>1.73702661223955</v>
      </c>
      <c r="CW24" t="n">
        <v>0.0594204916351489</v>
      </c>
      <c r="CX24" t="n">
        <v>0.039440022763365</v>
      </c>
      <c r="CY24" t="n">
        <v>0.018375022763365</v>
      </c>
      <c r="CZ24" t="n">
        <v>-0.00594380331360296</v>
      </c>
      <c r="DA24" t="n">
        <v>0.501996939341651</v>
      </c>
      <c r="DB24" t="n">
        <v>6.57446523449573</v>
      </c>
      <c r="DC24" t="n">
        <v>0.0569638162546122</v>
      </c>
      <c r="DD24" t="n">
        <v>0.038780552185417</v>
      </c>
      <c r="DE24" t="n">
        <v>0.00783376503427165</v>
      </c>
      <c r="DF24" t="n">
        <v>0.138013982793949</v>
      </c>
      <c r="DG24" t="n">
        <v>221469.258622583</v>
      </c>
      <c r="DH24" t="n">
        <v>132.861329710637</v>
      </c>
      <c r="DI24" t="n">
        <v>4.9286473179254</v>
      </c>
      <c r="DJ24" t="n">
        <v>4.26187795054646</v>
      </c>
      <c r="DK24" t="n">
        <v>0.0484267358713257</v>
      </c>
      <c r="DL24" t="n">
        <v>0.669440030437354</v>
      </c>
      <c r="DM24" t="n">
        <v>1.32743679978322</v>
      </c>
      <c r="DN24" t="n">
        <v>0.0399169327369503</v>
      </c>
      <c r="DO24" t="n">
        <v>0.0374213819593254</v>
      </c>
      <c r="DP24" t="n">
        <v>29732.3</v>
      </c>
      <c r="DQ24" t="n">
        <v>24916.933104011</v>
      </c>
      <c r="DR24" t="n">
        <v>176897.002007766</v>
      </c>
      <c r="DS24" t="n">
        <v>31232.4038735885</v>
      </c>
      <c r="DT24" t="n">
        <v>13339.8527412281</v>
      </c>
      <c r="DU24" t="n">
        <v>0</v>
      </c>
      <c r="DV24" t="n">
        <v>57.125</v>
      </c>
      <c r="DW24" t="n">
        <v>208288.96</v>
      </c>
      <c r="DX24" t="n">
        <v>2.30664384031571</v>
      </c>
      <c r="DY24" t="n">
        <v>73.4977492172379</v>
      </c>
      <c r="DZ24" t="n">
        <v>1.03183025923963</v>
      </c>
      <c r="EA24" t="n">
        <v>1.20449936397015</v>
      </c>
      <c r="EB24" t="n">
        <v>172324484.749035</v>
      </c>
      <c r="EC24" t="n">
        <v>3.16237851789531</v>
      </c>
      <c r="ED24" t="n">
        <v>0.0435</v>
      </c>
      <c r="EE24" t="n">
        <v>0.0304926484848485</v>
      </c>
      <c r="EF24" t="n">
        <v>0.03050813492075</v>
      </c>
      <c r="EG24" t="n">
        <v>0.0441803333333333</v>
      </c>
      <c r="EH24" t="n">
        <v>777637.769858641</v>
      </c>
      <c r="EI24" t="n">
        <v>405308.487999635</v>
      </c>
      <c r="EJ24" t="n">
        <v>1219.0592170237</v>
      </c>
      <c r="EK24" t="n">
        <v>1.22039642921061</v>
      </c>
      <c r="EL24" t="n">
        <v>3.95091546593893</v>
      </c>
    </row>
    <row r="25">
      <c r="A25" s="2" t="n">
        <v>48092</v>
      </c>
      <c r="B25" t="n">
        <v>408859.758593226</v>
      </c>
      <c r="C25" t="n">
        <v>38837.6173087132</v>
      </c>
      <c r="D25" t="n">
        <v>25326.9203237817</v>
      </c>
      <c r="E25" t="n">
        <v>243031.813293965</v>
      </c>
      <c r="F25" t="n">
        <v>57464.9726676373</v>
      </c>
      <c r="G25" t="n">
        <v>14373.0823697135</v>
      </c>
      <c r="H25" t="n">
        <v>67045.4266317778</v>
      </c>
      <c r="I25" t="n">
        <v>78484.7201528877</v>
      </c>
      <c r="J25" t="n">
        <v>99077.067283701</v>
      </c>
      <c r="K25" t="n">
        <v>398.33450080694</v>
      </c>
      <c r="L25" t="n">
        <v>5214.31290486831</v>
      </c>
      <c r="M25" t="n">
        <v>0.666376046794848</v>
      </c>
      <c r="N25" t="n">
        <v>33875.5492037495</v>
      </c>
      <c r="O25" t="n">
        <v>186.66035712596</v>
      </c>
      <c r="P25" t="n">
        <v>1.92920326127016</v>
      </c>
      <c r="Q25" t="n">
        <v>1.57604802547021</v>
      </c>
      <c r="R25" t="n">
        <v>1.15315275063437</v>
      </c>
      <c r="S25" t="n">
        <v>0.0973153085720108</v>
      </c>
      <c r="T25" t="n">
        <v>6867.14129639014</v>
      </c>
      <c r="U25" t="n">
        <v>0.376608423676483</v>
      </c>
      <c r="V25" t="n">
        <v>0.547293790647624</v>
      </c>
      <c r="W25" t="n">
        <v>27026597.3858328</v>
      </c>
      <c r="X25" t="n">
        <v>83341.8047285356</v>
      </c>
      <c r="Y25" t="n">
        <v>4365587.30364413</v>
      </c>
      <c r="Z25" t="n">
        <v>1231.68289083839</v>
      </c>
      <c r="AA25" t="n">
        <v>1.20310135078861</v>
      </c>
      <c r="AB25" t="n">
        <v>1.16955781298079</v>
      </c>
      <c r="AC25" t="n">
        <v>1.34711758377179</v>
      </c>
      <c r="AD25" t="n">
        <v>1.49071193514098</v>
      </c>
      <c r="AE25" t="n">
        <v>132.223777249771</v>
      </c>
      <c r="AF25" t="n">
        <v>96617.6153960645</v>
      </c>
      <c r="AG25" t="n">
        <v>1408.3887801114</v>
      </c>
      <c r="AH25" t="n">
        <v>136.711936855558</v>
      </c>
      <c r="AI25" t="n">
        <v>76019.8899708071</v>
      </c>
      <c r="AJ25" t="n">
        <v>100291.727181847</v>
      </c>
      <c r="AK25" t="n">
        <v>606.818571325064</v>
      </c>
      <c r="AL25" t="n">
        <v>28347.6607371775</v>
      </c>
      <c r="AM25" t="n">
        <v>18846.3878810914</v>
      </c>
      <c r="AN25" t="n">
        <v>0.972764327947973</v>
      </c>
      <c r="AO25" t="n">
        <v>1.12822494616978</v>
      </c>
      <c r="AP25" t="n">
        <v>1.26436077332517</v>
      </c>
      <c r="AQ25" t="n">
        <v>1.33339437550256</v>
      </c>
      <c r="AR25" t="n">
        <v>36021.8197712814</v>
      </c>
      <c r="AS25" t="n">
        <v>190983.382566951</v>
      </c>
      <c r="AT25" t="n">
        <v>0.0371605426344513</v>
      </c>
      <c r="AU25" t="n">
        <v>0.0508125431493152</v>
      </c>
      <c r="AV25" t="n">
        <v>0.25939150789115</v>
      </c>
      <c r="AW25" t="n">
        <v>861.484295283764</v>
      </c>
      <c r="AX25" t="n">
        <v>11747.1419599045</v>
      </c>
      <c r="AY25" t="n">
        <v>19603.0398468302</v>
      </c>
      <c r="AZ25" t="n">
        <v>182809.314782904</v>
      </c>
      <c r="BA25" t="n">
        <v>545171.303739791</v>
      </c>
      <c r="BB25" t="n">
        <v>239021.800747074</v>
      </c>
      <c r="BC25" t="n">
        <v>263848.75780237</v>
      </c>
      <c r="BD25" t="n">
        <v>105945.2601389</v>
      </c>
      <c r="BE25" t="n">
        <v>20.9001680092045</v>
      </c>
      <c r="BF25" t="n">
        <v>57895.6996545364</v>
      </c>
      <c r="BG25" t="n">
        <v>22662.6245796513</v>
      </c>
      <c r="BH25" t="n">
        <v>30470.8520528572</v>
      </c>
      <c r="BI25" t="n">
        <v>88909.6554050157</v>
      </c>
      <c r="BJ25" t="n">
        <v>53331.7994333807</v>
      </c>
      <c r="BK25" t="n">
        <v>96378.6367712855</v>
      </c>
      <c r="BL25" t="n">
        <v>30895.3322438107</v>
      </c>
      <c r="BM25" t="n">
        <v>21262.9649526392</v>
      </c>
      <c r="BN25" t="n">
        <v>47629.4107356931</v>
      </c>
      <c r="BO25" t="n">
        <v>213507.192703429</v>
      </c>
      <c r="BP25" t="n">
        <v>220233.012932537</v>
      </c>
      <c r="BQ25" t="n">
        <v>1030737.9153832</v>
      </c>
      <c r="BR25" t="n">
        <v>775346.84537666</v>
      </c>
      <c r="BS25" t="n">
        <v>783950.888376166</v>
      </c>
      <c r="BT25" t="n">
        <v>132.400241635265</v>
      </c>
      <c r="BU25" t="n">
        <v>1.32938944788484</v>
      </c>
      <c r="BV25" t="n">
        <v>1.16792294176574</v>
      </c>
      <c r="BW25" t="n">
        <v>101.280852959267</v>
      </c>
      <c r="BX25" t="n">
        <v>86992.015230905</v>
      </c>
      <c r="BY25" t="n">
        <v>1.46173258604973</v>
      </c>
      <c r="BZ25" t="n">
        <v>127159.063389148</v>
      </c>
      <c r="CA25" t="n">
        <v>10545.1761417225</v>
      </c>
      <c r="CB25" t="n">
        <v>15759.4890465908</v>
      </c>
      <c r="CC25" t="n">
        <v>16657.2743286771</v>
      </c>
      <c r="CD25" t="n">
        <v>897.785282086257</v>
      </c>
      <c r="CE25" t="n">
        <v>0.0538974826684908</v>
      </c>
      <c r="CF25" t="n">
        <v>11722976.2716382</v>
      </c>
      <c r="CG25" t="n">
        <v>491361.398225409</v>
      </c>
      <c r="CH25" t="n">
        <v>647156.950516827</v>
      </c>
      <c r="CI25" t="n">
        <v>371657.886550764</v>
      </c>
      <c r="CJ25" t="n">
        <v>28174.1752393381</v>
      </c>
      <c r="CK25" t="n">
        <v>1021882.00723854</v>
      </c>
      <c r="CL25" t="n">
        <v>0.0883655287017395</v>
      </c>
      <c r="CM25" t="n">
        <v>11.316630078402</v>
      </c>
      <c r="CN25" t="n">
        <v>1220406.72557167</v>
      </c>
      <c r="CO25" t="n">
        <v>3177736.93583309</v>
      </c>
      <c r="CP25" t="n">
        <v>3401934.69994179</v>
      </c>
      <c r="CQ25" t="n">
        <v>4398143.66140476</v>
      </c>
      <c r="CR25" t="n">
        <v>9887554.85566376</v>
      </c>
      <c r="CS25" t="n">
        <v>-0.00206447162953568</v>
      </c>
      <c r="CT25" t="n">
        <v>0.0115875288853283</v>
      </c>
      <c r="CU25" t="n">
        <v>0.0580902943080239</v>
      </c>
      <c r="CV25" t="n">
        <v>1.75368722865591</v>
      </c>
      <c r="CW25" t="n">
        <v>0.0580902943080241</v>
      </c>
      <c r="CX25" t="n">
        <v>0.039440022763365</v>
      </c>
      <c r="CY25" t="n">
        <v>0.0183950249028683</v>
      </c>
      <c r="CZ25" t="n">
        <v>-0.00680749601754001</v>
      </c>
      <c r="DA25" t="n">
        <v>0.500108343116005</v>
      </c>
      <c r="DB25" t="n">
        <v>6.59852423836973</v>
      </c>
      <c r="DC25" t="n">
        <v>0.0548900338844513</v>
      </c>
      <c r="DD25" t="n">
        <v>0.0373821075767261</v>
      </c>
      <c r="DE25" t="n">
        <v>0.00774934096988004</v>
      </c>
      <c r="DF25" t="n">
        <v>0.1384043783484</v>
      </c>
      <c r="DG25" t="n">
        <v>222139.089852647</v>
      </c>
      <c r="DH25" t="n">
        <v>133.913372197319</v>
      </c>
      <c r="DI25" t="n">
        <v>4.93670779212309</v>
      </c>
      <c r="DJ25" t="n">
        <v>4.2670011147557</v>
      </c>
      <c r="DK25" t="n">
        <v>0.0484267358713257</v>
      </c>
      <c r="DL25" t="n">
        <v>0.669440030437354</v>
      </c>
      <c r="DM25" t="n">
        <v>1.3407830496379</v>
      </c>
      <c r="DN25" t="n">
        <v>0.0399169327369503</v>
      </c>
      <c r="DO25" t="n">
        <v>0.0374213819593254</v>
      </c>
      <c r="DP25" t="n">
        <v>29822.225</v>
      </c>
      <c r="DQ25" t="n">
        <v>24996.8083468721</v>
      </c>
      <c r="DR25" t="n">
        <v>177432.024959423</v>
      </c>
      <c r="DS25" t="n">
        <v>31326.8659205318</v>
      </c>
      <c r="DT25" t="n">
        <v>13380.1989726921</v>
      </c>
      <c r="DU25" t="n">
        <v>0</v>
      </c>
      <c r="DV25" t="n">
        <v>57.45</v>
      </c>
      <c r="DW25" t="n">
        <v>208288.96</v>
      </c>
      <c r="DX25" t="n">
        <v>2.31859137471356</v>
      </c>
      <c r="DY25" t="n">
        <v>73.4018119947924</v>
      </c>
      <c r="DZ25" t="n">
        <v>1.02621171445962</v>
      </c>
      <c r="EA25" t="n">
        <v>1.20449936397015</v>
      </c>
      <c r="EB25" t="n">
        <v>173725115.516243</v>
      </c>
      <c r="EC25" t="n">
        <v>3.16407891791246</v>
      </c>
      <c r="ED25" t="n">
        <v>0.0435</v>
      </c>
      <c r="EE25" t="n">
        <v>0.0304926484848485</v>
      </c>
      <c r="EF25" t="n">
        <v>0.03050813492075</v>
      </c>
      <c r="EG25" t="n">
        <v>0.0441803333333333</v>
      </c>
      <c r="EH25" t="n">
        <v>779631.279186461</v>
      </c>
      <c r="EI25" t="n">
        <v>407692.710925049</v>
      </c>
      <c r="EJ25" t="n">
        <v>1236.35383638166</v>
      </c>
      <c r="EK25" t="n">
        <v>1.22230385430286</v>
      </c>
      <c r="EL25" t="n">
        <v>3.92250142639869</v>
      </c>
    </row>
    <row r="26">
      <c r="A26" s="2" t="n">
        <v>48183</v>
      </c>
      <c r="B26" t="n">
        <v>411709.960166294</v>
      </c>
      <c r="C26" t="n">
        <v>38912.4963037247</v>
      </c>
      <c r="D26" t="n">
        <v>25458.0926997875</v>
      </c>
      <c r="E26" t="n">
        <v>243888.219623112</v>
      </c>
      <c r="F26" t="n">
        <v>58216.1767176033</v>
      </c>
      <c r="G26" t="n">
        <v>14471.8776068251</v>
      </c>
      <c r="H26" t="n">
        <v>67916.4760640562</v>
      </c>
      <c r="I26" t="n">
        <v>78421.3576165982</v>
      </c>
      <c r="J26" t="n">
        <v>99187.2824661436</v>
      </c>
      <c r="K26" t="n">
        <v>397.847055401104</v>
      </c>
      <c r="L26" t="n">
        <v>5236.22433209865</v>
      </c>
      <c r="M26" t="n">
        <v>0.66613719610291</v>
      </c>
      <c r="N26" t="n">
        <v>34176.0189717193</v>
      </c>
      <c r="O26" t="n">
        <v>188.445720308962</v>
      </c>
      <c r="P26" t="n">
        <v>1.96209408358936</v>
      </c>
      <c r="Q26" t="n">
        <v>1.5900454797283</v>
      </c>
      <c r="R26" t="n">
        <v>1.1563826297005</v>
      </c>
      <c r="S26" t="n">
        <v>0.0960474707106019</v>
      </c>
      <c r="T26" t="n">
        <v>6777.75684134069</v>
      </c>
      <c r="U26" t="n">
        <v>0.376608536242074</v>
      </c>
      <c r="V26" t="n">
        <v>0.544849307170345</v>
      </c>
      <c r="W26" t="n">
        <v>27448357.0514153</v>
      </c>
      <c r="X26" t="n">
        <v>84605.8013418911</v>
      </c>
      <c r="Y26" t="n">
        <v>4366592.24325918</v>
      </c>
      <c r="Z26" t="n">
        <v>1248.19530022543</v>
      </c>
      <c r="AA26" t="n">
        <v>1.20967100337989</v>
      </c>
      <c r="AB26" t="n">
        <v>1.1744965144122</v>
      </c>
      <c r="AC26" t="n">
        <v>1.36014591695972</v>
      </c>
      <c r="AD26" t="n">
        <v>1.50659165052724</v>
      </c>
      <c r="AE26" t="n">
        <v>133.403622595146</v>
      </c>
      <c r="AF26" t="n">
        <v>97461.8662792479</v>
      </c>
      <c r="AG26" t="n">
        <v>1439.16022809184</v>
      </c>
      <c r="AH26" t="n">
        <v>138.864652339544</v>
      </c>
      <c r="AI26" t="n">
        <v>76523.6911785558</v>
      </c>
      <c r="AJ26" t="n">
        <v>102933.450925016</v>
      </c>
      <c r="AK26" t="n">
        <v>605.500817818843</v>
      </c>
      <c r="AL26" t="n">
        <v>28654.1521978055</v>
      </c>
      <c r="AM26" t="n">
        <v>18797.0658797386</v>
      </c>
      <c r="AN26" t="n">
        <v>0.972624941133671</v>
      </c>
      <c r="AO26" t="n">
        <v>1.13382761975201</v>
      </c>
      <c r="AP26" t="n">
        <v>1.27291651540315</v>
      </c>
      <c r="AQ26" t="n">
        <v>1.34480293535914</v>
      </c>
      <c r="AR26" t="n">
        <v>36134.0670413019</v>
      </c>
      <c r="AS26" t="n">
        <v>192911.88750152</v>
      </c>
      <c r="AT26" t="n">
        <v>0.0354571177860221</v>
      </c>
      <c r="AU26" t="n">
        <v>0.0496578500322422</v>
      </c>
      <c r="AV26" t="n">
        <v>0.265466841075779</v>
      </c>
      <c r="AW26" t="n">
        <v>856.406329146732</v>
      </c>
      <c r="AX26" t="n">
        <v>11769.7904704252</v>
      </c>
      <c r="AY26" t="n">
        <v>19667.6815535607</v>
      </c>
      <c r="AZ26" t="n">
        <v>183047.096940745</v>
      </c>
      <c r="BA26" t="n">
        <v>553668.764212499</v>
      </c>
      <c r="BB26" t="n">
        <v>242061.15356963</v>
      </c>
      <c r="BC26" t="n">
        <v>266720.548865538</v>
      </c>
      <c r="BD26" t="n">
        <v>106428.586060485</v>
      </c>
      <c r="BE26" t="n">
        <v>20.9505380396513</v>
      </c>
      <c r="BF26" t="n">
        <v>58625.2420323637</v>
      </c>
      <c r="BG26" t="n">
        <v>23093.4362471077</v>
      </c>
      <c r="BH26" t="n">
        <v>30795.9165402901</v>
      </c>
      <c r="BI26" t="n">
        <v>89876.807706228</v>
      </c>
      <c r="BJ26" t="n">
        <v>53709.4769195952</v>
      </c>
      <c r="BK26" t="n">
        <v>96472.0247698417</v>
      </c>
      <c r="BL26" t="n">
        <v>31272.5081509749</v>
      </c>
      <c r="BM26" t="n">
        <v>21312.6324647457</v>
      </c>
      <c r="BN26" t="n">
        <v>48204.1544240555</v>
      </c>
      <c r="BO26" t="n">
        <v>214602.167809618</v>
      </c>
      <c r="BP26" t="n">
        <v>223079.955769494</v>
      </c>
      <c r="BQ26" t="n">
        <v>1043353.00926784</v>
      </c>
      <c r="BR26" t="n">
        <v>777903.578603048</v>
      </c>
      <c r="BS26" t="n">
        <v>788198.344349394</v>
      </c>
      <c r="BT26" t="n">
        <v>133.509948857304</v>
      </c>
      <c r="BU26" t="n">
        <v>1.34123693024569</v>
      </c>
      <c r="BV26" t="n">
        <v>1.17238771549099</v>
      </c>
      <c r="BW26" t="n">
        <v>101.384064874326</v>
      </c>
      <c r="BX26" t="n">
        <v>87598.4451214586</v>
      </c>
      <c r="BY26" t="n">
        <v>1.48474955474911</v>
      </c>
      <c r="BZ26" t="n">
        <v>130061.7523908</v>
      </c>
      <c r="CA26" t="n">
        <v>10560.5266049775</v>
      </c>
      <c r="CB26" t="n">
        <v>15796.7509370761</v>
      </c>
      <c r="CC26" t="n">
        <v>16704.5298291729</v>
      </c>
      <c r="CD26" t="n">
        <v>907.778892096838</v>
      </c>
      <c r="CE26" t="n">
        <v>0.0543432694253603</v>
      </c>
      <c r="CF26" t="n">
        <v>11758325.3658533</v>
      </c>
      <c r="CG26" t="n">
        <v>496891.766149086</v>
      </c>
      <c r="CH26" t="n">
        <v>655354.146260594</v>
      </c>
      <c r="CI26" t="n">
        <v>376401.648173628</v>
      </c>
      <c r="CJ26" t="n">
        <v>28531.0426563868</v>
      </c>
      <c r="CK26" t="n">
        <v>1034388.71458669</v>
      </c>
      <c r="CL26" t="n">
        <v>0.0893364621943372</v>
      </c>
      <c r="CM26" t="n">
        <v>11.1936377984687</v>
      </c>
      <c r="CN26" t="n">
        <v>1225892.59256369</v>
      </c>
      <c r="CO26" t="n">
        <v>3202832.53473091</v>
      </c>
      <c r="CP26" t="n">
        <v>3413509.32752861</v>
      </c>
      <c r="CQ26" t="n">
        <v>4428725.1272946</v>
      </c>
      <c r="CR26" t="n">
        <v>9929710.94914043</v>
      </c>
      <c r="CS26" t="n">
        <v>-0.00356057103651562</v>
      </c>
      <c r="CT26" t="n">
        <v>0.0106401612097044</v>
      </c>
      <c r="CU26" t="n">
        <v>0.0570297818880641</v>
      </c>
      <c r="CV26" t="n">
        <v>1.77046084176129</v>
      </c>
      <c r="CW26" t="n">
        <v>0.0570297818880641</v>
      </c>
      <c r="CX26" t="n">
        <v>0.039440022763365</v>
      </c>
      <c r="CY26" t="n">
        <v>0.0184150256159903</v>
      </c>
      <c r="CZ26" t="n">
        <v>-0.00777486440628587</v>
      </c>
      <c r="DA26" t="n">
        <v>0.497923055950319</v>
      </c>
      <c r="DB26" t="n">
        <v>6.62363304499028</v>
      </c>
      <c r="DC26" t="n">
        <v>0.0531866090360221</v>
      </c>
      <c r="DD26" t="n">
        <v>0.0362311200411046</v>
      </c>
      <c r="DE26" t="n">
        <v>0.0076630752034082</v>
      </c>
      <c r="DF26" t="n">
        <v>0.138804161732151</v>
      </c>
      <c r="DG26" t="n">
        <v>222808.921082711</v>
      </c>
      <c r="DH26" t="n">
        <v>134.97550653838</v>
      </c>
      <c r="DI26" t="n">
        <v>4.94478131628427</v>
      </c>
      <c r="DJ26" t="n">
        <v>4.27213732892843</v>
      </c>
      <c r="DK26" t="n">
        <v>0.0484267358713257</v>
      </c>
      <c r="DL26" t="n">
        <v>0.669440030437354</v>
      </c>
      <c r="DM26" t="n">
        <v>1.35426348470216</v>
      </c>
      <c r="DN26" t="n">
        <v>0.0399169327369503</v>
      </c>
      <c r="DO26" t="n">
        <v>0.0374213819593254</v>
      </c>
      <c r="DP26" t="n">
        <v>29912.15</v>
      </c>
      <c r="DQ26" t="n">
        <v>25076.7108140773</v>
      </c>
      <c r="DR26" t="n">
        <v>177967.04791108</v>
      </c>
      <c r="DS26" t="n">
        <v>31421.3279674751</v>
      </c>
      <c r="DT26" t="n">
        <v>13420.545204156</v>
      </c>
      <c r="DU26" t="n">
        <v>0</v>
      </c>
      <c r="DV26" t="n">
        <v>57.45</v>
      </c>
      <c r="DW26" t="n">
        <v>208288.96</v>
      </c>
      <c r="DX26" t="n">
        <v>2.33060079277792</v>
      </c>
      <c r="DY26" t="n">
        <v>73.306</v>
      </c>
      <c r="DZ26" t="n">
        <v>1.02062376390299</v>
      </c>
      <c r="EA26" t="n">
        <v>1.20449936397015</v>
      </c>
      <c r="EB26" t="n">
        <v>175137130.426272</v>
      </c>
      <c r="EC26" t="n">
        <v>3.16578023222883</v>
      </c>
      <c r="ED26" t="n">
        <v>0.0435</v>
      </c>
      <c r="EE26" t="n">
        <v>0.0304926484848485</v>
      </c>
      <c r="EF26" t="n">
        <v>0.03050813492075</v>
      </c>
      <c r="EG26" t="n">
        <v>0.0441803333333333</v>
      </c>
      <c r="EH26" t="n">
        <v>781641.977026063</v>
      </c>
      <c r="EI26" t="n">
        <v>410196.475670673</v>
      </c>
      <c r="EJ26" t="n">
        <v>1253.38716946456</v>
      </c>
      <c r="EK26" t="n">
        <v>1.25022400145309</v>
      </c>
      <c r="EL26" t="n">
        <v>3.90176888225378</v>
      </c>
    </row>
    <row r="27">
      <c r="A27" s="2" t="n">
        <v>48274</v>
      </c>
      <c r="B27" t="n">
        <v>414703.660560691</v>
      </c>
      <c r="C27" t="n">
        <v>39007.3345512394</v>
      </c>
      <c r="D27" t="n">
        <v>25599.1965013021</v>
      </c>
      <c r="E27" t="n">
        <v>244743.340908374</v>
      </c>
      <c r="F27" t="n">
        <v>59098.1258936859</v>
      </c>
      <c r="G27" t="n">
        <v>14579.8025581342</v>
      </c>
      <c r="H27" t="n">
        <v>68824.4956537616</v>
      </c>
      <c r="I27" t="n">
        <v>78673.8296307474</v>
      </c>
      <c r="J27" t="n">
        <v>99313.3176288526</v>
      </c>
      <c r="K27" t="n">
        <v>397.401208086934</v>
      </c>
      <c r="L27" t="n">
        <v>5258.81203387736</v>
      </c>
      <c r="M27" t="n">
        <v>0.66593823261433</v>
      </c>
      <c r="N27" t="n">
        <v>34477.544615345</v>
      </c>
      <c r="O27" t="n">
        <v>190.2481335749</v>
      </c>
      <c r="P27" t="n">
        <v>1.9960565207984</v>
      </c>
      <c r="Q27" t="n">
        <v>1.60427756603397</v>
      </c>
      <c r="R27" t="n">
        <v>1.15986506110966</v>
      </c>
      <c r="S27" t="n">
        <v>0.0951460506019448</v>
      </c>
      <c r="T27" t="n">
        <v>6710.9945785369</v>
      </c>
      <c r="U27" t="n">
        <v>0.376426814095744</v>
      </c>
      <c r="V27" t="n">
        <v>0.542078207761664</v>
      </c>
      <c r="W27" t="n">
        <v>27886870.6371802</v>
      </c>
      <c r="X27" t="n">
        <v>85906.2186404288</v>
      </c>
      <c r="Y27" t="n">
        <v>4369189.35790591</v>
      </c>
      <c r="Z27" t="n">
        <v>1265.03593508813</v>
      </c>
      <c r="AA27" t="n">
        <v>1.21629909723162</v>
      </c>
      <c r="AB27" t="n">
        <v>1.17951697140178</v>
      </c>
      <c r="AC27" t="n">
        <v>1.37322440661358</v>
      </c>
      <c r="AD27" t="n">
        <v>1.52225374209434</v>
      </c>
      <c r="AE27" t="n">
        <v>134.590168911428</v>
      </c>
      <c r="AF27" t="n">
        <v>98441.3135195531</v>
      </c>
      <c r="AG27" t="n">
        <v>1470.03769232979</v>
      </c>
      <c r="AH27" t="n">
        <v>141.059823711806</v>
      </c>
      <c r="AI27" t="n">
        <v>77062.260319281</v>
      </c>
      <c r="AJ27" t="n">
        <v>105488.27896341</v>
      </c>
      <c r="AK27" t="n">
        <v>604.728606621605</v>
      </c>
      <c r="AL27" t="n">
        <v>28974.3095732773</v>
      </c>
      <c r="AM27" t="n">
        <v>18750.7981260396</v>
      </c>
      <c r="AN27" t="n">
        <v>0.975283267684953</v>
      </c>
      <c r="AO27" t="n">
        <v>1.13966353144913</v>
      </c>
      <c r="AP27" t="n">
        <v>1.28153509616601</v>
      </c>
      <c r="AQ27" t="n">
        <v>1.35632974811019</v>
      </c>
      <c r="AR27" t="n">
        <v>36257.6961590739</v>
      </c>
      <c r="AS27" t="n">
        <v>194962.971176942</v>
      </c>
      <c r="AT27" t="n">
        <v>0.0341881399973922</v>
      </c>
      <c r="AU27" t="n">
        <v>0.0485045106145913</v>
      </c>
      <c r="AV27" t="n">
        <v>0.269394067005338</v>
      </c>
      <c r="AW27" t="n">
        <v>855.121285262139</v>
      </c>
      <c r="AX27" t="n">
        <v>11798.4760189728</v>
      </c>
      <c r="AY27" t="n">
        <v>19735.5828454475</v>
      </c>
      <c r="AZ27" t="n">
        <v>183318.394759414</v>
      </c>
      <c r="BA27" t="n">
        <v>562474.912734161</v>
      </c>
      <c r="BB27" t="n">
        <v>245123.400339776</v>
      </c>
      <c r="BC27" t="n">
        <v>269918.047198412</v>
      </c>
      <c r="BD27" t="n">
        <v>106929.941859764</v>
      </c>
      <c r="BE27" t="n">
        <v>21.0027870619913</v>
      </c>
      <c r="BF27" t="n">
        <v>59379.0609897499</v>
      </c>
      <c r="BG27" t="n">
        <v>23550.4249931542</v>
      </c>
      <c r="BH27" t="n">
        <v>31136.2795943886</v>
      </c>
      <c r="BI27" t="n">
        <v>90896.24305892</v>
      </c>
      <c r="BJ27" t="n">
        <v>54096.6628665823</v>
      </c>
      <c r="BK27" t="n">
        <v>96858.616941701</v>
      </c>
      <c r="BL27" t="n">
        <v>31661.3528115563</v>
      </c>
      <c r="BM27" t="n">
        <v>21369.600809812</v>
      </c>
      <c r="BN27" t="n">
        <v>48799.2945038897</v>
      </c>
      <c r="BO27" t="n">
        <v>216029.713066959</v>
      </c>
      <c r="BP27" t="n">
        <v>226130.738478265</v>
      </c>
      <c r="BQ27" t="n">
        <v>1056555.95916543</v>
      </c>
      <c r="BR27" t="n">
        <v>780589.236172161</v>
      </c>
      <c r="BS27" t="n">
        <v>792663.788039034</v>
      </c>
      <c r="BT27" t="n">
        <v>134.628675669745</v>
      </c>
      <c r="BU27" t="n">
        <v>1.35353641533388</v>
      </c>
      <c r="BV27" t="n">
        <v>1.17843991242928</v>
      </c>
      <c r="BW27" t="n">
        <v>101.601466579383</v>
      </c>
      <c r="BX27" t="n">
        <v>88235.4068787179</v>
      </c>
      <c r="BY27" t="n">
        <v>1.50822046446337</v>
      </c>
      <c r="BZ27" t="n">
        <v>133078.446344734</v>
      </c>
      <c r="CA27" t="n">
        <v>10578.6626597271</v>
      </c>
      <c r="CB27" t="n">
        <v>15837.4746936044</v>
      </c>
      <c r="CC27" t="n">
        <v>16752.768716831</v>
      </c>
      <c r="CD27" t="n">
        <v>915.29402322659</v>
      </c>
      <c r="CE27" t="n">
        <v>0.0546353807734029</v>
      </c>
      <c r="CF27" t="n">
        <v>11793674.4600683</v>
      </c>
      <c r="CG27" t="n">
        <v>502567.98622892</v>
      </c>
      <c r="CH27" t="n">
        <v>663821.699232352</v>
      </c>
      <c r="CI27" t="n">
        <v>381475.950828288</v>
      </c>
      <c r="CJ27" t="n">
        <v>28899.6801578216</v>
      </c>
      <c r="CK27" t="n">
        <v>1047478.22719844</v>
      </c>
      <c r="CL27" t="n">
        <v>0.0901101318954494</v>
      </c>
      <c r="CM27" t="n">
        <v>11.0975311983813</v>
      </c>
      <c r="CN27" t="n">
        <v>1231420.44414105</v>
      </c>
      <c r="CO27" t="n">
        <v>3228029.76951924</v>
      </c>
      <c r="CP27" t="n">
        <v>3425066.07543611</v>
      </c>
      <c r="CQ27" t="n">
        <v>4459450.2136603</v>
      </c>
      <c r="CR27" t="n">
        <v>9971992.78341362</v>
      </c>
      <c r="CS27" t="n">
        <v>-0.00470172430913415</v>
      </c>
      <c r="CT27" t="n">
        <v>0.00961464630806502</v>
      </c>
      <c r="CU27" t="n">
        <v>0.0562561862954185</v>
      </c>
      <c r="CV27" t="n">
        <v>1.78739464159917</v>
      </c>
      <c r="CW27" t="n">
        <v>0.0562561862954183</v>
      </c>
      <c r="CX27" t="n">
        <v>0.039440022763365</v>
      </c>
      <c r="CY27" t="n">
        <v>0.0184350249027997</v>
      </c>
      <c r="CZ27" t="n">
        <v>-0.0088203785947347</v>
      </c>
      <c r="DA27" t="n">
        <v>0.495521059233583</v>
      </c>
      <c r="DB27" t="n">
        <v>6.64939997737262</v>
      </c>
      <c r="DC27" t="n">
        <v>0.0519176312473922</v>
      </c>
      <c r="DD27" t="n">
        <v>0.0353718696364222</v>
      </c>
      <c r="DE27" t="n">
        <v>0.00757708133058815</v>
      </c>
      <c r="DF27" t="n">
        <v>0.139139077973455</v>
      </c>
      <c r="DG27" t="n">
        <v>223478.752312775</v>
      </c>
      <c r="DH27" t="n">
        <v>136.047697620053</v>
      </c>
      <c r="DI27" t="n">
        <v>4.95286683938775</v>
      </c>
      <c r="DJ27" t="n">
        <v>4.27728554204345</v>
      </c>
      <c r="DK27" t="n">
        <v>0.0484267358713257</v>
      </c>
      <c r="DL27" t="n">
        <v>0.669440030437354</v>
      </c>
      <c r="DM27" t="n">
        <v>1.36787945409435</v>
      </c>
      <c r="DN27" t="n">
        <v>0.0399169327369503</v>
      </c>
      <c r="DO27" t="n">
        <v>0.0374213819593254</v>
      </c>
      <c r="DP27" t="n">
        <v>30002.075</v>
      </c>
      <c r="DQ27" t="n">
        <v>25156.6405056266</v>
      </c>
      <c r="DR27" t="n">
        <v>178502.070862737</v>
      </c>
      <c r="DS27" t="n">
        <v>31515.7900144184</v>
      </c>
      <c r="DT27" t="n">
        <v>13460.8914356199</v>
      </c>
      <c r="DU27" t="n">
        <v>0</v>
      </c>
      <c r="DV27" t="n">
        <v>57.45</v>
      </c>
      <c r="DW27" t="n">
        <v>208288.96</v>
      </c>
      <c r="DX27" t="n">
        <v>2.34216740503693</v>
      </c>
      <c r="DY27" t="n">
        <v>73.306</v>
      </c>
      <c r="DZ27" t="n">
        <v>1.02062376390299</v>
      </c>
      <c r="EA27" t="n">
        <v>1.20449936397015</v>
      </c>
      <c r="EB27" t="n">
        <v>176343282.108263</v>
      </c>
      <c r="EC27" t="n">
        <v>3.16578023222883</v>
      </c>
      <c r="ED27" t="n">
        <v>0.0435</v>
      </c>
      <c r="EE27" t="n">
        <v>0.0304926484848485</v>
      </c>
      <c r="EF27" t="n">
        <v>0.03050813492075</v>
      </c>
      <c r="EG27" t="n">
        <v>0.0441803333333333</v>
      </c>
      <c r="EH27" t="n">
        <v>783704.478170786</v>
      </c>
      <c r="EI27" t="n">
        <v>412832.330831869</v>
      </c>
      <c r="EJ27" t="n">
        <v>1270.26580236185</v>
      </c>
      <c r="EK27" t="n">
        <v>1.28000330510551</v>
      </c>
      <c r="EL27" t="n">
        <v>3.88898643065263</v>
      </c>
    </row>
    <row r="28">
      <c r="A28" s="2" t="n">
        <v>48366</v>
      </c>
      <c r="B28" t="n">
        <v>417365.104369556</v>
      </c>
      <c r="C28" t="n">
        <v>39120.0645296093</v>
      </c>
      <c r="D28" t="n">
        <v>25735.407821904</v>
      </c>
      <c r="E28" t="n">
        <v>245604.463368298</v>
      </c>
      <c r="F28" t="n">
        <v>59865.8285687494</v>
      </c>
      <c r="G28" t="n">
        <v>14693.4170102739</v>
      </c>
      <c r="H28" t="n">
        <v>69701.2812143344</v>
      </c>
      <c r="I28" t="n">
        <v>79173.6724179577</v>
      </c>
      <c r="J28" t="n">
        <v>99102.6446951649</v>
      </c>
      <c r="K28" t="n">
        <v>396.926858434969</v>
      </c>
      <c r="L28" t="n">
        <v>5281.26588983643</v>
      </c>
      <c r="M28" t="n">
        <v>0.665778140116756</v>
      </c>
      <c r="N28" t="n">
        <v>34787.635163077</v>
      </c>
      <c r="O28" t="n">
        <v>192.064173922479</v>
      </c>
      <c r="P28" t="n">
        <v>2.03092060218751</v>
      </c>
      <c r="Q28" t="n">
        <v>1.61876718017642</v>
      </c>
      <c r="R28" t="n">
        <v>1.16389519653133</v>
      </c>
      <c r="S28" t="n">
        <v>0.094351576158986</v>
      </c>
      <c r="T28" t="n">
        <v>6640.5400778454</v>
      </c>
      <c r="U28" t="n">
        <v>0.376049133765252</v>
      </c>
      <c r="V28" t="n">
        <v>0.539013035847341</v>
      </c>
      <c r="W28" t="n">
        <v>28327273.3739054</v>
      </c>
      <c r="X28" t="n">
        <v>87234.6363150406</v>
      </c>
      <c r="Y28" t="n">
        <v>4371081.17519711</v>
      </c>
      <c r="Z28" t="n">
        <v>1282.0074374049</v>
      </c>
      <c r="AA28" t="n">
        <v>1.22307814566858</v>
      </c>
      <c r="AB28" t="n">
        <v>1.18466303534315</v>
      </c>
      <c r="AC28" t="n">
        <v>1.38656689028516</v>
      </c>
      <c r="AD28" t="n">
        <v>1.53778992429834</v>
      </c>
      <c r="AE28" t="n">
        <v>135.789842044133</v>
      </c>
      <c r="AF28" t="n">
        <v>99479.468867593</v>
      </c>
      <c r="AG28" t="n">
        <v>1501.03736302553</v>
      </c>
      <c r="AH28" t="n">
        <v>143.294664166404</v>
      </c>
      <c r="AI28" t="n">
        <v>77600.6493787669</v>
      </c>
      <c r="AJ28" t="n">
        <v>107729.755388024</v>
      </c>
      <c r="AK28" t="n">
        <v>604.623227898433</v>
      </c>
      <c r="AL28" t="n">
        <v>29283.4229638676</v>
      </c>
      <c r="AM28" t="n">
        <v>18688.6611367676</v>
      </c>
      <c r="AN28" t="n">
        <v>0.978748885416067</v>
      </c>
      <c r="AO28" t="n">
        <v>1.14646670282615</v>
      </c>
      <c r="AP28" t="n">
        <v>1.29019567864385</v>
      </c>
      <c r="AQ28" t="n">
        <v>1.36795097397475</v>
      </c>
      <c r="AR28" t="n">
        <v>36342.0540746065</v>
      </c>
      <c r="AS28" t="n">
        <v>196938.020908495</v>
      </c>
      <c r="AT28" t="n">
        <v>0.0329180988234901</v>
      </c>
      <c r="AU28" t="n">
        <v>0.0473523683413659</v>
      </c>
      <c r="AV28" t="n">
        <v>0.274794418650364</v>
      </c>
      <c r="AW28" t="n">
        <v>861.122459923849</v>
      </c>
      <c r="AX28" t="n">
        <v>11832.5732461153</v>
      </c>
      <c r="AY28" t="n">
        <v>19787.3358843964</v>
      </c>
      <c r="AZ28" t="n">
        <v>183181.695790935</v>
      </c>
      <c r="BA28" t="n">
        <v>570935.00235804</v>
      </c>
      <c r="BB28" t="n">
        <v>248246.906415917</v>
      </c>
      <c r="BC28" t="n">
        <v>273023.418624818</v>
      </c>
      <c r="BD28" t="n">
        <v>107839.074559608</v>
      </c>
      <c r="BE28" t="n">
        <v>21.0975327392379</v>
      </c>
      <c r="BF28" t="n">
        <v>60158.4410715342</v>
      </c>
      <c r="BG28" t="n">
        <v>24031.0167824284</v>
      </c>
      <c r="BH28" t="n">
        <v>31476.4148768389</v>
      </c>
      <c r="BI28" t="n">
        <v>91930.6199274364</v>
      </c>
      <c r="BJ28" t="n">
        <v>54499.605643923</v>
      </c>
      <c r="BK28" t="n">
        <v>96996.6030371772</v>
      </c>
      <c r="BL28" t="n">
        <v>32031.0899127881</v>
      </c>
      <c r="BM28" t="n">
        <v>21425.9277137052</v>
      </c>
      <c r="BN28" t="n">
        <v>49348.8178235014</v>
      </c>
      <c r="BO28" t="n">
        <v>217143.286487172</v>
      </c>
      <c r="BP28" t="n">
        <v>229215.216549785</v>
      </c>
      <c r="BQ28" t="n">
        <v>1069206.0770135</v>
      </c>
      <c r="BR28" t="n">
        <v>782636.191871042</v>
      </c>
      <c r="BS28" t="n">
        <v>796822.490523239</v>
      </c>
      <c r="BT28" t="n">
        <v>135.761361305104</v>
      </c>
      <c r="BU28" t="n">
        <v>1.36615976247981</v>
      </c>
      <c r="BV28" t="n">
        <v>1.18539838573717</v>
      </c>
      <c r="BW28" t="n">
        <v>101.847519370294</v>
      </c>
      <c r="BX28" t="n">
        <v>88801.6752763553</v>
      </c>
      <c r="BY28" t="n">
        <v>1.53211551848898</v>
      </c>
      <c r="BZ28" t="n">
        <v>136054.424758723</v>
      </c>
      <c r="CA28" t="n">
        <v>10595.8906833028</v>
      </c>
      <c r="CB28" t="n">
        <v>15877.1565731392</v>
      </c>
      <c r="CC28" t="n">
        <v>16801.9748941749</v>
      </c>
      <c r="CD28" t="n">
        <v>924.818321035711</v>
      </c>
      <c r="CE28" t="n">
        <v>0.0550422313300796</v>
      </c>
      <c r="CF28" t="n">
        <v>11829023.5542834</v>
      </c>
      <c r="CG28" t="n">
        <v>508358.619543051</v>
      </c>
      <c r="CH28" t="n">
        <v>672277.657146974</v>
      </c>
      <c r="CI28" t="n">
        <v>385983.644131635</v>
      </c>
      <c r="CJ28" t="n">
        <v>29267.8128649073</v>
      </c>
      <c r="CK28" t="n">
        <v>1060019.65759066</v>
      </c>
      <c r="CL28" t="n">
        <v>0.0910503092836706</v>
      </c>
      <c r="CM28" t="n">
        <v>10.9829390791465</v>
      </c>
      <c r="CN28" t="n">
        <v>1236999.52915487</v>
      </c>
      <c r="CO28" t="n">
        <v>3253361.77938211</v>
      </c>
      <c r="CP28" t="n">
        <v>3436625.04620394</v>
      </c>
      <c r="CQ28" t="n">
        <v>4490361.30853698</v>
      </c>
      <c r="CR28" t="n">
        <v>10014462.8490581</v>
      </c>
      <c r="CS28" t="n">
        <v>-0.00590102813523715</v>
      </c>
      <c r="CT28" t="n">
        <v>0.00853324138263867</v>
      </c>
      <c r="CU28" t="n">
        <v>0.0555324492002588</v>
      </c>
      <c r="CV28" t="n">
        <v>1.80445646883077</v>
      </c>
      <c r="CW28" t="n">
        <v>0.0555324492002586</v>
      </c>
      <c r="CX28" t="n">
        <v>0.039440022763365</v>
      </c>
      <c r="CY28" t="n">
        <v>0.0184550227633649</v>
      </c>
      <c r="CZ28" t="n">
        <v>-0.00992178138072621</v>
      </c>
      <c r="DA28" t="n">
        <v>0.49276751960027</v>
      </c>
      <c r="DB28" t="n">
        <v>6.67489105970561</v>
      </c>
      <c r="DC28" t="n">
        <v>0.0506475900734901</v>
      </c>
      <c r="DD28" t="n">
        <v>0.0345089577997717</v>
      </c>
      <c r="DE28" t="n">
        <v>0.00749134711235904</v>
      </c>
      <c r="DF28" t="n">
        <v>0.139594218820845</v>
      </c>
      <c r="DG28" t="n">
        <v>224148.583542839</v>
      </c>
      <c r="DH28" t="n">
        <v>137.255323580855</v>
      </c>
      <c r="DI28" t="n">
        <v>4.96187747444453</v>
      </c>
      <c r="DJ28" t="n">
        <v>4.28335886711178</v>
      </c>
      <c r="DK28" t="n">
        <v>0.0484267358713257</v>
      </c>
      <c r="DL28" t="n">
        <v>0.669440030437354</v>
      </c>
      <c r="DM28" t="n">
        <v>1.38163232049703</v>
      </c>
      <c r="DN28" t="n">
        <v>0.0399169327369503</v>
      </c>
      <c r="DO28" t="n">
        <v>0.0374213819593254</v>
      </c>
      <c r="DP28" t="n">
        <v>30092</v>
      </c>
      <c r="DQ28" t="n">
        <v>25236.59742152</v>
      </c>
      <c r="DR28" t="n">
        <v>179037.093814394</v>
      </c>
      <c r="DS28" t="n">
        <v>31610.2520613617</v>
      </c>
      <c r="DT28" t="n">
        <v>13501.2376670838</v>
      </c>
      <c r="DU28" t="n">
        <v>0</v>
      </c>
      <c r="DV28" t="n">
        <v>57.45</v>
      </c>
      <c r="DW28" t="n">
        <v>208288.96</v>
      </c>
      <c r="DX28" t="n">
        <v>2.35379142160112</v>
      </c>
      <c r="DY28" t="n">
        <v>73.306</v>
      </c>
      <c r="DZ28" t="n">
        <v>1.02062376390299</v>
      </c>
      <c r="EA28" t="n">
        <v>1.20449936397015</v>
      </c>
      <c r="EB28" t="n">
        <v>177557740.434747</v>
      </c>
      <c r="EC28" t="n">
        <v>3.16578023222883</v>
      </c>
      <c r="ED28" t="n">
        <v>0.0435</v>
      </c>
      <c r="EE28" t="n">
        <v>0.0304926484848485</v>
      </c>
      <c r="EF28" t="n">
        <v>0.03050813492075</v>
      </c>
      <c r="EG28" t="n">
        <v>0.0441803333333333</v>
      </c>
      <c r="EH28" t="n">
        <v>785694.226870971</v>
      </c>
      <c r="EI28" t="n">
        <v>415515.14761114</v>
      </c>
      <c r="EJ28" t="n">
        <v>1287.04615807174</v>
      </c>
      <c r="EK28" t="n">
        <v>1.25362188307951</v>
      </c>
      <c r="EL28" t="n">
        <v>3.88191269587272</v>
      </c>
    </row>
    <row r="29">
      <c r="A29" s="2" t="n">
        <v>48458</v>
      </c>
      <c r="B29" t="n">
        <v>420181.786286364</v>
      </c>
      <c r="C29" t="n">
        <v>39244.8543902504</v>
      </c>
      <c r="D29" t="n">
        <v>25887.6408574669</v>
      </c>
      <c r="E29" t="n">
        <v>246420.254991631</v>
      </c>
      <c r="F29" t="n">
        <v>60777.7867778741</v>
      </c>
      <c r="G29" t="n">
        <v>14817.5734726138</v>
      </c>
      <c r="H29" t="n">
        <v>70637.5129489147</v>
      </c>
      <c r="I29" t="n">
        <v>83590.3342181418</v>
      </c>
      <c r="J29" t="n">
        <v>99398.2513363234</v>
      </c>
      <c r="K29" t="n">
        <v>396.519526734946</v>
      </c>
      <c r="L29" t="n">
        <v>5304.31666656272</v>
      </c>
      <c r="M29" t="n">
        <v>0.665626713816379</v>
      </c>
      <c r="N29" t="n">
        <v>35089.6837133239</v>
      </c>
      <c r="O29" t="n">
        <v>193.907181320183</v>
      </c>
      <c r="P29" t="n">
        <v>2.06602917261233</v>
      </c>
      <c r="Q29" t="n">
        <v>1.63350105287903</v>
      </c>
      <c r="R29" t="n">
        <v>1.16833438722574</v>
      </c>
      <c r="S29" t="n">
        <v>0.0939240371966693</v>
      </c>
      <c r="T29" t="n">
        <v>6576.96974845621</v>
      </c>
      <c r="U29" t="n">
        <v>0.375476247194699</v>
      </c>
      <c r="V29" t="n">
        <v>0.535709309376279</v>
      </c>
      <c r="W29" t="n">
        <v>28778114.8817383</v>
      </c>
      <c r="X29" t="n">
        <v>88596.6672706428</v>
      </c>
      <c r="Y29" t="n">
        <v>4374742.69277775</v>
      </c>
      <c r="Z29" t="n">
        <v>1299.59212484754</v>
      </c>
      <c r="AA29" t="n">
        <v>1.22989140173796</v>
      </c>
      <c r="AB29" t="n">
        <v>1.18998060346378</v>
      </c>
      <c r="AC29" t="n">
        <v>1.3997667643087</v>
      </c>
      <c r="AD29" t="n">
        <v>1.55332676099459</v>
      </c>
      <c r="AE29" t="n">
        <v>136.998546749323</v>
      </c>
      <c r="AF29" t="n">
        <v>100624.204247052</v>
      </c>
      <c r="AG29" t="n">
        <v>1532.50846428121</v>
      </c>
      <c r="AH29" t="n">
        <v>145.577341307039</v>
      </c>
      <c r="AI29" t="n">
        <v>78142.6635437953</v>
      </c>
      <c r="AJ29" t="n">
        <v>110034.36727165</v>
      </c>
      <c r="AK29" t="n">
        <v>605.338104409503</v>
      </c>
      <c r="AL29" t="n">
        <v>29604.9380791093</v>
      </c>
      <c r="AM29" t="n">
        <v>18643.3659370013</v>
      </c>
      <c r="AN29" t="n">
        <v>0.982909226020793</v>
      </c>
      <c r="AO29" t="n">
        <v>1.15296743711777</v>
      </c>
      <c r="AP29" t="n">
        <v>1.29898685920739</v>
      </c>
      <c r="AQ29" t="n">
        <v>1.37975657270939</v>
      </c>
      <c r="AR29" t="n">
        <v>36473.7499132309</v>
      </c>
      <c r="AS29" t="n">
        <v>198906.930934023</v>
      </c>
      <c r="AT29" t="n">
        <v>0.0322201482533588</v>
      </c>
      <c r="AU29" t="n">
        <v>0.0462360943177715</v>
      </c>
      <c r="AV29" t="n">
        <v>0.276732836581002</v>
      </c>
      <c r="AW29" t="n">
        <v>815.791623333324</v>
      </c>
      <c r="AX29" t="n">
        <v>11870.3182034451</v>
      </c>
      <c r="AY29" t="n">
        <v>19857.5897752808</v>
      </c>
      <c r="AZ29" t="n">
        <v>183633.956961836</v>
      </c>
      <c r="BA29" t="n">
        <v>579748.582689323</v>
      </c>
      <c r="BB29" t="n">
        <v>251356.165999184</v>
      </c>
      <c r="BC29" t="n">
        <v>276462.015525564</v>
      </c>
      <c r="BD29" t="n">
        <v>112326.077325561</v>
      </c>
      <c r="BE29" t="n">
        <v>21.5651477705093</v>
      </c>
      <c r="BF29" t="n">
        <v>60960.0825557118</v>
      </c>
      <c r="BG29" t="n">
        <v>24524.4236965088</v>
      </c>
      <c r="BH29" t="n">
        <v>31838.9869018789</v>
      </c>
      <c r="BI29" t="n">
        <v>92988.2530352624</v>
      </c>
      <c r="BJ29" t="n">
        <v>54850.161728563</v>
      </c>
      <c r="BK29" t="n">
        <v>97699.4582888059</v>
      </c>
      <c r="BL29" t="n">
        <v>32437.393805561</v>
      </c>
      <c r="BM29" t="n">
        <v>21495.193843633</v>
      </c>
      <c r="BN29" t="n">
        <v>49968.5073261088</v>
      </c>
      <c r="BO29" t="n">
        <v>218941.401264109</v>
      </c>
      <c r="BP29" t="n">
        <v>232389.807267754</v>
      </c>
      <c r="BQ29" t="n">
        <v>1082818.25060279</v>
      </c>
      <c r="BR29" t="n">
        <v>785414.900332301</v>
      </c>
      <c r="BS29" t="n">
        <v>801117.848523909</v>
      </c>
      <c r="BT29" t="n">
        <v>136.904833391222</v>
      </c>
      <c r="BU29" t="n">
        <v>1.37865763156499</v>
      </c>
      <c r="BV29" t="n">
        <v>1.19227078088619</v>
      </c>
      <c r="BW29" t="n">
        <v>102.048762231272</v>
      </c>
      <c r="BX29" t="n">
        <v>89400.9732778281</v>
      </c>
      <c r="BY29" t="n">
        <v>1.55652204535591</v>
      </c>
      <c r="BZ29" t="n">
        <v>139154.585783214</v>
      </c>
      <c r="CA29" t="n">
        <v>10615.6604625992</v>
      </c>
      <c r="CB29" t="n">
        <v>15919.9771291619</v>
      </c>
      <c r="CC29" t="n">
        <v>16849.9201240389</v>
      </c>
      <c r="CD29" t="n">
        <v>929.942994877063</v>
      </c>
      <c r="CE29" t="n">
        <v>0.0551897491992756</v>
      </c>
      <c r="CF29" t="n">
        <v>11864235.0651459</v>
      </c>
      <c r="CG29" t="n">
        <v>514155.458082652</v>
      </c>
      <c r="CH29" t="n">
        <v>685111.310588117</v>
      </c>
      <c r="CI29" t="n">
        <v>391242.93974117</v>
      </c>
      <c r="CJ29" t="n">
        <v>29826.5298820434</v>
      </c>
      <c r="CK29" t="n">
        <v>1073514.87792038</v>
      </c>
      <c r="CL29" t="n">
        <v>0.0920390586487937</v>
      </c>
      <c r="CM29" t="n">
        <v>10.8649524960467</v>
      </c>
      <c r="CN29" t="n">
        <v>1242624.12218441</v>
      </c>
      <c r="CO29" t="n">
        <v>3278826.22442289</v>
      </c>
      <c r="CP29" t="n">
        <v>3448204.11374902</v>
      </c>
      <c r="CQ29" t="n">
        <v>4521450.3466073</v>
      </c>
      <c r="CR29" t="n">
        <v>10057130.9546735</v>
      </c>
      <c r="CS29" t="n">
        <v>-0.00660343649599171</v>
      </c>
      <c r="CT29" t="n">
        <v>0.00741250956842097</v>
      </c>
      <c r="CU29" t="n">
        <v>0.0551004524473187</v>
      </c>
      <c r="CV29" t="n">
        <v>1.82177165340149</v>
      </c>
      <c r="CW29" t="n">
        <v>0.0551004524473185</v>
      </c>
      <c r="CX29" t="n">
        <v>0.039440022763365</v>
      </c>
      <c r="CY29" t="n">
        <v>0.0185913103635471</v>
      </c>
      <c r="CZ29" t="n">
        <v>-0.0111788007951262</v>
      </c>
      <c r="DA29" t="n">
        <v>0.489783369787874</v>
      </c>
      <c r="DB29" t="n">
        <v>6.70213509370561</v>
      </c>
      <c r="DC29" t="n">
        <v>0.0499496395033588</v>
      </c>
      <c r="DD29" t="n">
        <v>0.0340327194747919</v>
      </c>
      <c r="DE29" t="n">
        <v>0.00740844438941634</v>
      </c>
      <c r="DF29" t="n">
        <v>0.140188956741085</v>
      </c>
      <c r="DG29" t="n">
        <v>224815.807701116</v>
      </c>
      <c r="DH29" t="n">
        <v>138.32932164538</v>
      </c>
      <c r="DI29" t="n">
        <v>4.9698451483094</v>
      </c>
      <c r="DJ29" t="n">
        <v>4.28838923098819</v>
      </c>
      <c r="DK29" t="n">
        <v>0.0484267358713257</v>
      </c>
      <c r="DL29" t="n">
        <v>0.669440030437354</v>
      </c>
      <c r="DM29" t="n">
        <v>1.39552346029342</v>
      </c>
      <c r="DN29" t="n">
        <v>0.0399169327369503</v>
      </c>
      <c r="DO29" t="n">
        <v>0.0374213819593254</v>
      </c>
      <c r="DP29" t="n">
        <v>30181.575</v>
      </c>
      <c r="DQ29" t="n">
        <v>25314.3688110559</v>
      </c>
      <c r="DR29" t="n">
        <v>179570.034385922</v>
      </c>
      <c r="DS29" t="n">
        <v>31704.3464495179</v>
      </c>
      <c r="DT29" t="n">
        <v>13541.4268656758</v>
      </c>
      <c r="DU29" t="n">
        <v>0</v>
      </c>
      <c r="DV29" t="n">
        <v>57.775</v>
      </c>
      <c r="DW29" t="n">
        <v>208288.96</v>
      </c>
      <c r="DX29" t="n">
        <v>2.36547312736412</v>
      </c>
      <c r="DY29" t="n">
        <v>73.306</v>
      </c>
      <c r="DZ29" t="n">
        <v>1.02062376390299</v>
      </c>
      <c r="EA29" t="n">
        <v>1.20449936397015</v>
      </c>
      <c r="EB29" t="n">
        <v>178780562.612743</v>
      </c>
      <c r="EC29" t="n">
        <v>3.16578023222883</v>
      </c>
      <c r="ED29" t="n">
        <v>0.0435</v>
      </c>
      <c r="EE29" t="n">
        <v>0.0304926484848485</v>
      </c>
      <c r="EF29" t="n">
        <v>0.03050813492075</v>
      </c>
      <c r="EG29" t="n">
        <v>0.0441803333333333</v>
      </c>
      <c r="EH29" t="n">
        <v>787773.85038997</v>
      </c>
      <c r="EI29" t="n">
        <v>418266.163783748</v>
      </c>
      <c r="EJ29" t="n">
        <v>1303.87519746631</v>
      </c>
      <c r="EK29" t="n">
        <v>1.29852272124096</v>
      </c>
      <c r="EL29" t="n">
        <v>3.88235847493505</v>
      </c>
    </row>
    <row r="30">
      <c r="A30" s="2" t="n">
        <v>48549</v>
      </c>
      <c r="B30" t="n">
        <v>423104.406650936</v>
      </c>
      <c r="C30" t="n">
        <v>39381.021440756</v>
      </c>
      <c r="D30" t="n">
        <v>26038.9492320376</v>
      </c>
      <c r="E30" t="n">
        <v>247270.887735852</v>
      </c>
      <c r="F30" t="n">
        <v>61650.9485242196</v>
      </c>
      <c r="G30" t="n">
        <v>14947.3609609483</v>
      </c>
      <c r="H30" t="n">
        <v>71579.0221311656</v>
      </c>
      <c r="I30" t="n">
        <v>83343.0316967032</v>
      </c>
      <c r="J30" t="n">
        <v>99359.3985520443</v>
      </c>
      <c r="K30" t="n">
        <v>396.117277657303</v>
      </c>
      <c r="L30" t="n">
        <v>5327.68827194642</v>
      </c>
      <c r="M30" t="n">
        <v>0.665523552441271</v>
      </c>
      <c r="N30" t="n">
        <v>35402.0528546136</v>
      </c>
      <c r="O30" t="n">
        <v>195.77103888629</v>
      </c>
      <c r="P30" t="n">
        <v>2.1021442095827</v>
      </c>
      <c r="Q30" t="n">
        <v>1.64856715151902</v>
      </c>
      <c r="R30" t="n">
        <v>1.17327228341649</v>
      </c>
      <c r="S30" t="n">
        <v>0.0937699085331837</v>
      </c>
      <c r="T30" t="n">
        <v>6523.67369844877</v>
      </c>
      <c r="U30" t="n">
        <v>0.374692162374743</v>
      </c>
      <c r="V30" t="n">
        <v>0.532092200123059</v>
      </c>
      <c r="W30" t="n">
        <v>29237540.9107398</v>
      </c>
      <c r="X30" t="n">
        <v>89992.8179872622</v>
      </c>
      <c r="Y30" t="n">
        <v>4378911.71985276</v>
      </c>
      <c r="Z30" t="n">
        <v>1317.28002806555</v>
      </c>
      <c r="AA30" t="n">
        <v>1.23691605354509</v>
      </c>
      <c r="AB30" t="n">
        <v>1.19540422370086</v>
      </c>
      <c r="AC30" t="n">
        <v>1.41320604916319</v>
      </c>
      <c r="AD30" t="n">
        <v>1.56894436406566</v>
      </c>
      <c r="AE30" t="n">
        <v>138.212220259097</v>
      </c>
      <c r="AF30" t="n">
        <v>101847.153780419</v>
      </c>
      <c r="AG30" t="n">
        <v>1563.949419888</v>
      </c>
      <c r="AH30" t="n">
        <v>147.896740758843</v>
      </c>
      <c r="AI30" t="n">
        <v>78701.2850820719</v>
      </c>
      <c r="AJ30" t="n">
        <v>112071.166305693</v>
      </c>
      <c r="AK30" t="n">
        <v>606.962412590652</v>
      </c>
      <c r="AL30" t="n">
        <v>29937.510613937</v>
      </c>
      <c r="AM30" t="n">
        <v>18592.1798664408</v>
      </c>
      <c r="AN30" t="n">
        <v>0.987919085300149</v>
      </c>
      <c r="AO30" t="n">
        <v>1.16019609192578</v>
      </c>
      <c r="AP30" t="n">
        <v>1.30788464016097</v>
      </c>
      <c r="AQ30" t="n">
        <v>1.39170448699962</v>
      </c>
      <c r="AR30" t="n">
        <v>36593.4444800986</v>
      </c>
      <c r="AS30" t="n">
        <v>200958.589651449</v>
      </c>
      <c r="AT30" t="n">
        <v>0.0317190444818548</v>
      </c>
      <c r="AU30" t="n">
        <v>0.0451652097053683</v>
      </c>
      <c r="AV30" t="n">
        <v>0.278408926176558</v>
      </c>
      <c r="AW30" t="n">
        <v>850.632744220347</v>
      </c>
      <c r="AX30" t="n">
        <v>11911.5043982582</v>
      </c>
      <c r="AY30" t="n">
        <v>19922.1763619783</v>
      </c>
      <c r="AZ30" t="n">
        <v>183728.199260562</v>
      </c>
      <c r="BA30" t="n">
        <v>588836.302600564</v>
      </c>
      <c r="BB30" t="n">
        <v>254522.613682156</v>
      </c>
      <c r="BC30" t="n">
        <v>279961.996010689</v>
      </c>
      <c r="BD30" t="n">
        <v>112151.161060536</v>
      </c>
      <c r="BE30" t="n">
        <v>21.546918792502</v>
      </c>
      <c r="BF30" t="n">
        <v>61786.6316406232</v>
      </c>
      <c r="BG30" t="n">
        <v>25039.6999982172</v>
      </c>
      <c r="BH30" t="n">
        <v>32207.9943225529</v>
      </c>
      <c r="BI30" t="n">
        <v>94079.8476634189</v>
      </c>
      <c r="BJ30" t="n">
        <v>55302.4662012142</v>
      </c>
      <c r="BK30" t="n">
        <v>98159.0461335085</v>
      </c>
      <c r="BL30" t="n">
        <v>32843.0455371261</v>
      </c>
      <c r="BM30" t="n">
        <v>21570.5744214258</v>
      </c>
      <c r="BN30" t="n">
        <v>50576.6120852241</v>
      </c>
      <c r="BO30" t="n">
        <v>220490.126177284</v>
      </c>
      <c r="BP30" t="n">
        <v>235779.143352514</v>
      </c>
      <c r="BQ30" t="n">
        <v>1096486.53893352</v>
      </c>
      <c r="BR30" t="n">
        <v>787969.453362443</v>
      </c>
      <c r="BS30" t="n">
        <v>805629.816546808</v>
      </c>
      <c r="BT30" t="n">
        <v>138.063584244743</v>
      </c>
      <c r="BU30" t="n">
        <v>1.39153431515686</v>
      </c>
      <c r="BV30" t="n">
        <v>1.20008864760377</v>
      </c>
      <c r="BW30" t="n">
        <v>102.285604506841</v>
      </c>
      <c r="BX30" t="n">
        <v>90022.8115241347</v>
      </c>
      <c r="BY30" t="n">
        <v>1.58132120947244</v>
      </c>
      <c r="BZ30" t="n">
        <v>142354.981199454</v>
      </c>
      <c r="CA30" t="n">
        <v>10636.5671991869</v>
      </c>
      <c r="CB30" t="n">
        <v>15964.2554711333</v>
      </c>
      <c r="CC30" t="n">
        <v>16899.0778168624</v>
      </c>
      <c r="CD30" t="n">
        <v>934.822345729101</v>
      </c>
      <c r="CE30" t="n">
        <v>0.0553179422842544</v>
      </c>
      <c r="CF30" t="n">
        <v>11899446.5760084</v>
      </c>
      <c r="CG30" t="n">
        <v>520175.235574714</v>
      </c>
      <c r="CH30" t="n">
        <v>692543.28148606</v>
      </c>
      <c r="CI30" t="n">
        <v>396338.470597882</v>
      </c>
      <c r="CJ30" t="n">
        <v>30150.083002017</v>
      </c>
      <c r="CK30" t="n">
        <v>1087065.73086415</v>
      </c>
      <c r="CL30" t="n">
        <v>0.0930399711338994</v>
      </c>
      <c r="CM30" t="n">
        <v>10.7480686828765</v>
      </c>
      <c r="CN30" t="n">
        <v>1248309.50508722</v>
      </c>
      <c r="CO30" t="n">
        <v>3304424.60742936</v>
      </c>
      <c r="CP30" t="n">
        <v>3459815.17689873</v>
      </c>
      <c r="CQ30" t="n">
        <v>4552734.11251658</v>
      </c>
      <c r="CR30" t="n">
        <v>10100025.7837325</v>
      </c>
      <c r="CS30" t="n">
        <v>-0.00715325553811206</v>
      </c>
      <c r="CT30" t="n">
        <v>0.00629290968540138</v>
      </c>
      <c r="CU30" t="n">
        <v>0.0548976085132168</v>
      </c>
      <c r="CV30" t="n">
        <v>1.83928272677584</v>
      </c>
      <c r="CW30" t="n">
        <v>0.0548976085132168</v>
      </c>
      <c r="CX30" t="n">
        <v>0.039440022763365</v>
      </c>
      <c r="CY30" t="n">
        <v>0.0187275728934862</v>
      </c>
      <c r="CZ30" t="n">
        <v>-0.0124346632080848</v>
      </c>
      <c r="DA30" t="n">
        <v>0.486517747576751</v>
      </c>
      <c r="DB30" t="n">
        <v>6.72867670090197</v>
      </c>
      <c r="DC30" t="n">
        <v>0.0494485357318548</v>
      </c>
      <c r="DD30" t="n">
        <v>0.0336885219872937</v>
      </c>
      <c r="DE30" t="n">
        <v>0.00732906286692148</v>
      </c>
      <c r="DF30" t="n">
        <v>0.140828058511358</v>
      </c>
      <c r="DG30" t="n">
        <v>225483.031859392</v>
      </c>
      <c r="DH30" t="n">
        <v>139.495186787213</v>
      </c>
      <c r="DI30" t="n">
        <v>4.97841132465836</v>
      </c>
      <c r="DJ30" t="n">
        <v>4.2940180973487</v>
      </c>
      <c r="DK30" t="n">
        <v>0.0484267358713257</v>
      </c>
      <c r="DL30" t="n">
        <v>0.669440030437354</v>
      </c>
      <c r="DM30" t="n">
        <v>1.40955426370506</v>
      </c>
      <c r="DN30" t="n">
        <v>0.0399169327369503</v>
      </c>
      <c r="DO30" t="n">
        <v>0.0374213819593254</v>
      </c>
      <c r="DP30" t="n">
        <v>30271.15</v>
      </c>
      <c r="DQ30" t="n">
        <v>25392.1559272745</v>
      </c>
      <c r="DR30" t="n">
        <v>180102.97495745</v>
      </c>
      <c r="DS30" t="n">
        <v>31798.4408376741</v>
      </c>
      <c r="DT30" t="n">
        <v>13581.6160642677</v>
      </c>
      <c r="DU30" t="n">
        <v>0</v>
      </c>
      <c r="DV30" t="n">
        <v>57.775</v>
      </c>
      <c r="DW30" t="n">
        <v>208288.96</v>
      </c>
      <c r="DX30" t="n">
        <v>2.37721280863348</v>
      </c>
      <c r="DY30" t="n">
        <v>73.306</v>
      </c>
      <c r="DZ30" t="n">
        <v>1.02062376390299</v>
      </c>
      <c r="EA30" t="n">
        <v>1.20449936397015</v>
      </c>
      <c r="EB30" t="n">
        <v>180011806.243249</v>
      </c>
      <c r="EC30" t="n">
        <v>3.16578023222883</v>
      </c>
      <c r="ED30" t="n">
        <v>0.0435</v>
      </c>
      <c r="EE30" t="n">
        <v>0.0304926484848485</v>
      </c>
      <c r="EF30" t="n">
        <v>0.03050813492075</v>
      </c>
      <c r="EG30" t="n">
        <v>0.0441803333333333</v>
      </c>
      <c r="EH30" t="n">
        <v>789895.994588149</v>
      </c>
      <c r="EI30" t="n">
        <v>421094.415971747</v>
      </c>
      <c r="EJ30" t="n">
        <v>1320.7807482242</v>
      </c>
      <c r="EK30" t="n">
        <v>1.29397460511387</v>
      </c>
      <c r="EL30" t="n">
        <v>3.88723000199669</v>
      </c>
    </row>
    <row r="31">
      <c r="A31" s="2" t="n">
        <v>48639</v>
      </c>
      <c r="B31" t="n">
        <v>426087.907947669</v>
      </c>
      <c r="C31" t="n">
        <v>39528.1870808198</v>
      </c>
      <c r="D31" t="n">
        <v>26196.6590194924</v>
      </c>
      <c r="E31" t="n">
        <v>248105.974203507</v>
      </c>
      <c r="F31" t="n">
        <v>62556.2713164159</v>
      </c>
      <c r="G31" t="n">
        <v>15088.98683035</v>
      </c>
      <c r="H31" t="n">
        <v>72544.255887978</v>
      </c>
      <c r="I31" t="n">
        <v>83456.8121785118</v>
      </c>
      <c r="J31" t="n">
        <v>99431.4248868342</v>
      </c>
      <c r="K31" t="n">
        <v>395.732659475078</v>
      </c>
      <c r="L31" t="n">
        <v>5351.43262924277</v>
      </c>
      <c r="M31" t="n">
        <v>0.665444284872856</v>
      </c>
      <c r="N31" t="n">
        <v>35715.8426651062</v>
      </c>
      <c r="O31" t="n">
        <v>197.660858807234</v>
      </c>
      <c r="P31" t="n">
        <v>2.13891888142989</v>
      </c>
      <c r="Q31" t="n">
        <v>1.66402132828293</v>
      </c>
      <c r="R31" t="n">
        <v>1.17867338094126</v>
      </c>
      <c r="S31" t="n">
        <v>0.0938337902677862</v>
      </c>
      <c r="T31" t="n">
        <v>6473.31178326021</v>
      </c>
      <c r="U31" t="n">
        <v>0.373713086611747</v>
      </c>
      <c r="V31" t="n">
        <v>0.52821605672656</v>
      </c>
      <c r="W31" t="n">
        <v>29704336.6881157</v>
      </c>
      <c r="X31" t="n">
        <v>91424.9501078893</v>
      </c>
      <c r="Y31" t="n">
        <v>4383818.47183093</v>
      </c>
      <c r="Z31" t="n">
        <v>1335.33842519049</v>
      </c>
      <c r="AA31" t="n">
        <v>1.24401278756916</v>
      </c>
      <c r="AB31" t="n">
        <v>1.20101570122911</v>
      </c>
      <c r="AC31" t="n">
        <v>1.42666779281042</v>
      </c>
      <c r="AD31" t="n">
        <v>1.58474138488101</v>
      </c>
      <c r="AE31" t="n">
        <v>139.437866736693</v>
      </c>
      <c r="AF31" t="n">
        <v>103148.50870702</v>
      </c>
      <c r="AG31" t="n">
        <v>1595.3697816458</v>
      </c>
      <c r="AH31" t="n">
        <v>150.258923945559</v>
      </c>
      <c r="AI31" t="n">
        <v>79262.6355625013</v>
      </c>
      <c r="AJ31" t="n">
        <v>113957.5129063</v>
      </c>
      <c r="AK31" t="n">
        <v>608.694630412852</v>
      </c>
      <c r="AL31" t="n">
        <v>30282.1783872386</v>
      </c>
      <c r="AM31" t="n">
        <v>18543.5943084399</v>
      </c>
      <c r="AN31" t="n">
        <v>0.993675246891573</v>
      </c>
      <c r="AO31" t="n">
        <v>1.16770456772998</v>
      </c>
      <c r="AP31" t="n">
        <v>1.31691597287163</v>
      </c>
      <c r="AQ31" t="n">
        <v>1.40382867446573</v>
      </c>
      <c r="AR31" t="n">
        <v>36722.7260691188</v>
      </c>
      <c r="AS31" t="n">
        <v>203036.903484276</v>
      </c>
      <c r="AT31" t="n">
        <v>0.0314714201212209</v>
      </c>
      <c r="AU31" t="n">
        <v>0.044152029109093</v>
      </c>
      <c r="AV31" t="n">
        <v>0.279174318462774</v>
      </c>
      <c r="AW31" t="n">
        <v>835.086467655638</v>
      </c>
      <c r="AX31" t="n">
        <v>11956.0173160231</v>
      </c>
      <c r="AY31" t="n">
        <v>19990.1443235504</v>
      </c>
      <c r="AZ31" t="n">
        <v>183948.889587943</v>
      </c>
      <c r="BA31" t="n">
        <v>598154.424406617</v>
      </c>
      <c r="BB31" t="n">
        <v>257707.442910016</v>
      </c>
      <c r="BC31" t="n">
        <v>283620.201129002</v>
      </c>
      <c r="BD31" t="n">
        <v>112207.49151753</v>
      </c>
      <c r="BE31" t="n">
        <v>21.5527892966631</v>
      </c>
      <c r="BF31" t="n">
        <v>62641.9539362941</v>
      </c>
      <c r="BG31" t="n">
        <v>25572.9511839446</v>
      </c>
      <c r="BH31" t="n">
        <v>32588.9788118375</v>
      </c>
      <c r="BI31" t="n">
        <v>95195.6689329038</v>
      </c>
      <c r="BJ31" t="n">
        <v>55704.7712475599</v>
      </c>
      <c r="BK31" t="n">
        <v>98802.5456732058</v>
      </c>
      <c r="BL31" t="n">
        <v>33264.0265098417</v>
      </c>
      <c r="BM31" t="n">
        <v>21653.4397760969</v>
      </c>
      <c r="BN31" t="n">
        <v>51205.3858383386</v>
      </c>
      <c r="BO31" t="n">
        <v>222266.245797483</v>
      </c>
      <c r="BP31" t="n">
        <v>239314.193485655</v>
      </c>
      <c r="BQ31" t="n">
        <v>1110518.243741</v>
      </c>
      <c r="BR31" t="n">
        <v>790657.747887504</v>
      </c>
      <c r="BS31" t="n">
        <v>810175.735548494</v>
      </c>
      <c r="BT31" t="n">
        <v>139.238374028876</v>
      </c>
      <c r="BU31" t="n">
        <v>1.40454987001595</v>
      </c>
      <c r="BV31" t="n">
        <v>1.20830436267038</v>
      </c>
      <c r="BW31" t="n">
        <v>102.513926436979</v>
      </c>
      <c r="BX31" t="n">
        <v>90657.6032462152</v>
      </c>
      <c r="BY31" t="n">
        <v>1.60657781996058</v>
      </c>
      <c r="BZ31" t="n">
        <v>145648.494586156</v>
      </c>
      <c r="CA31" t="n">
        <v>10658.8353277801</v>
      </c>
      <c r="CB31" t="n">
        <v>16010.2679570229</v>
      </c>
      <c r="CC31" t="n">
        <v>16948.8384995608</v>
      </c>
      <c r="CD31" t="n">
        <v>938.57054253792</v>
      </c>
      <c r="CE31" t="n">
        <v>0.0553766803496886</v>
      </c>
      <c r="CF31" t="n">
        <v>11934658.0868709</v>
      </c>
      <c r="CG31" t="n">
        <v>526298.411326769</v>
      </c>
      <c r="CH31" t="n">
        <v>700241.128523432</v>
      </c>
      <c r="CI31" t="n">
        <v>401616.586345761</v>
      </c>
      <c r="CJ31" t="n">
        <v>30485.2111208193</v>
      </c>
      <c r="CK31" t="n">
        <v>1100976.877878</v>
      </c>
      <c r="CL31" t="n">
        <v>0.0940314093918538</v>
      </c>
      <c r="CM31" t="n">
        <v>10.6347443526315</v>
      </c>
      <c r="CN31" t="n">
        <v>1254053.76489645</v>
      </c>
      <c r="CO31" t="n">
        <v>3330171.38937433</v>
      </c>
      <c r="CP31" t="n">
        <v>3471469.35643124</v>
      </c>
      <c r="CQ31" t="n">
        <v>4584225.15427078</v>
      </c>
      <c r="CR31" t="n">
        <v>10143171.0050192</v>
      </c>
      <c r="CS31" t="n">
        <v>-0.00749203824782217</v>
      </c>
      <c r="CT31" t="n">
        <v>0.00518857074004999</v>
      </c>
      <c r="CU31" t="n">
        <v>0.0548703318987432</v>
      </c>
      <c r="CV31" t="n">
        <v>1.85703771830617</v>
      </c>
      <c r="CW31" t="n">
        <v>0.054870331898743</v>
      </c>
      <c r="CX31" t="n">
        <v>0.039440022763365</v>
      </c>
      <c r="CY31" t="n">
        <v>0.0188638103583651</v>
      </c>
      <c r="CZ31" t="n">
        <v>-0.0136752396183151</v>
      </c>
      <c r="DA31" t="n">
        <v>0.48301195002887</v>
      </c>
      <c r="DB31" t="n">
        <v>6.75570486361572</v>
      </c>
      <c r="DC31" t="n">
        <v>0.0492009113712209</v>
      </c>
      <c r="DD31" t="n">
        <v>0.0335153397704314</v>
      </c>
      <c r="DE31" t="n">
        <v>0.0072540942254312</v>
      </c>
      <c r="DF31" t="n">
        <v>0.141506252568008</v>
      </c>
      <c r="DG31" t="n">
        <v>226150.256017668</v>
      </c>
      <c r="DH31" t="n">
        <v>140.657359153136</v>
      </c>
      <c r="DI31" t="n">
        <v>4.98688139331907</v>
      </c>
      <c r="DJ31" t="n">
        <v>4.29955085602096</v>
      </c>
      <c r="DK31" t="n">
        <v>0.0484267358713257</v>
      </c>
      <c r="DL31" t="n">
        <v>0.669440030437354</v>
      </c>
      <c r="DM31" t="n">
        <v>1.42372613493103</v>
      </c>
      <c r="DN31" t="n">
        <v>0.0399169327369503</v>
      </c>
      <c r="DO31" t="n">
        <v>0.0374213819593254</v>
      </c>
      <c r="DP31" t="n">
        <v>30360.725</v>
      </c>
      <c r="DQ31" t="n">
        <v>25469.9587701759</v>
      </c>
      <c r="DR31" t="n">
        <v>180635.915528978</v>
      </c>
      <c r="DS31" t="n">
        <v>31892.5352258304</v>
      </c>
      <c r="DT31" t="n">
        <v>13621.8052628597</v>
      </c>
      <c r="DU31" t="n">
        <v>0</v>
      </c>
      <c r="DV31" t="n">
        <v>57.775</v>
      </c>
      <c r="DW31" t="n">
        <v>208288.96</v>
      </c>
      <c r="DX31" t="n">
        <v>2.38901075313767</v>
      </c>
      <c r="DY31" t="n">
        <v>73.306</v>
      </c>
      <c r="DZ31" t="n">
        <v>1.02062376390299</v>
      </c>
      <c r="EA31" t="n">
        <v>1.20449936397015</v>
      </c>
      <c r="EB31" t="n">
        <v>181251529.323957</v>
      </c>
      <c r="EC31" t="n">
        <v>3.16578023222883</v>
      </c>
      <c r="ED31" t="n">
        <v>0.0435</v>
      </c>
      <c r="EE31" t="n">
        <v>0.0304926484848485</v>
      </c>
      <c r="EF31" t="n">
        <v>0.03050813492075</v>
      </c>
      <c r="EG31" t="n">
        <v>0.0441803333333333</v>
      </c>
      <c r="EH31" t="n">
        <v>792088.619960828</v>
      </c>
      <c r="EI31" t="n">
        <v>423998.733464447</v>
      </c>
      <c r="EJ31" t="n">
        <v>1337.8392582225</v>
      </c>
      <c r="EK31" t="n">
        <v>1.28986043475527</v>
      </c>
      <c r="EL31" t="n">
        <v>3.8963458369043</v>
      </c>
    </row>
    <row r="32">
      <c r="A32" s="2" t="n">
        <v>48731</v>
      </c>
      <c r="B32" t="n">
        <v>428735.445384839</v>
      </c>
      <c r="C32" t="n">
        <v>39684.7008493398</v>
      </c>
      <c r="D32" t="n">
        <v>26356.5064990443</v>
      </c>
      <c r="E32" t="n">
        <v>248953.762048875</v>
      </c>
      <c r="F32" t="n">
        <v>63419.7632893424</v>
      </c>
      <c r="G32" t="n">
        <v>15236.0161532696</v>
      </c>
      <c r="H32" t="n">
        <v>73505.022870838</v>
      </c>
      <c r="I32" t="n">
        <v>83840.4091465085</v>
      </c>
      <c r="J32" t="n">
        <v>99493.5099080258</v>
      </c>
      <c r="K32" t="n">
        <v>395.337026671272</v>
      </c>
      <c r="L32" t="n">
        <v>5375.20035877393</v>
      </c>
      <c r="M32" t="n">
        <v>0.665388284378883</v>
      </c>
      <c r="N32" t="n">
        <v>36035.8413315641</v>
      </c>
      <c r="O32" t="n">
        <v>199.5744988877</v>
      </c>
      <c r="P32" t="n">
        <v>2.17641907967113</v>
      </c>
      <c r="Q32" t="n">
        <v>1.67983408477674</v>
      </c>
      <c r="R32" t="n">
        <v>1.18450314535422</v>
      </c>
      <c r="S32" t="n">
        <v>0.0940106891070059</v>
      </c>
      <c r="T32" t="n">
        <v>6424.85861493724</v>
      </c>
      <c r="U32" t="n">
        <v>0.372575349163205</v>
      </c>
      <c r="V32" t="n">
        <v>0.524132844831271</v>
      </c>
      <c r="W32" t="n">
        <v>30178814.7102533</v>
      </c>
      <c r="X32" t="n">
        <v>92884.7047299211</v>
      </c>
      <c r="Y32" t="n">
        <v>4388495.95063912</v>
      </c>
      <c r="Z32" t="n">
        <v>1353.72341153632</v>
      </c>
      <c r="AA32" t="n">
        <v>1.25125621725695</v>
      </c>
      <c r="AB32" t="n">
        <v>1.2067882111923</v>
      </c>
      <c r="AC32" t="n">
        <v>1.44031791516973</v>
      </c>
      <c r="AD32" t="n">
        <v>1.60080363270241</v>
      </c>
      <c r="AE32" t="n">
        <v>140.674661782493</v>
      </c>
      <c r="AF32" t="n">
        <v>104473.148791973</v>
      </c>
      <c r="AG32" t="n">
        <v>1626.797300021</v>
      </c>
      <c r="AH32" t="n">
        <v>152.661145333313</v>
      </c>
      <c r="AI32" t="n">
        <v>79806.012255595</v>
      </c>
      <c r="AJ32" t="n">
        <v>115614.441921224</v>
      </c>
      <c r="AK32" t="n">
        <v>610.676507730667</v>
      </c>
      <c r="AL32" t="n">
        <v>30618.21824384</v>
      </c>
      <c r="AM32" t="n">
        <v>18489.3076629406</v>
      </c>
      <c r="AN32" t="n">
        <v>1.00007873054592</v>
      </c>
      <c r="AO32" t="n">
        <v>1.17574095966092</v>
      </c>
      <c r="AP32" t="n">
        <v>1.32606956375546</v>
      </c>
      <c r="AQ32" t="n">
        <v>1.41611394087727</v>
      </c>
      <c r="AR32" t="n">
        <v>36838.6389622585</v>
      </c>
      <c r="AS32" t="n">
        <v>204992.148890827</v>
      </c>
      <c r="AT32" t="n">
        <v>0.0312891428347487</v>
      </c>
      <c r="AU32" t="n">
        <v>0.043196602233198</v>
      </c>
      <c r="AV32" t="n">
        <v>0.280508860316144</v>
      </c>
      <c r="AW32" t="n">
        <v>847.787845368148</v>
      </c>
      <c r="AX32" t="n">
        <v>12003.3577448365</v>
      </c>
      <c r="AY32" t="n">
        <v>20052.4753131938</v>
      </c>
      <c r="AZ32" t="n">
        <v>184134.931846419</v>
      </c>
      <c r="BA32" t="n">
        <v>607138.242608384</v>
      </c>
      <c r="BB32" t="n">
        <v>260940.749112366</v>
      </c>
      <c r="BC32" t="n">
        <v>287252.169349263</v>
      </c>
      <c r="BD32" t="n">
        <v>112617.210301</v>
      </c>
      <c r="BE32" t="n">
        <v>21.5954883257786</v>
      </c>
      <c r="BF32" t="n">
        <v>63527.4132823318</v>
      </c>
      <c r="BG32" t="n">
        <v>26124.3368159804</v>
      </c>
      <c r="BH32" t="n">
        <v>32978.7426221024</v>
      </c>
      <c r="BI32" t="n">
        <v>96308.9538318809</v>
      </c>
      <c r="BJ32" t="n">
        <v>56150.0102776119</v>
      </c>
      <c r="BK32" t="n">
        <v>99501.3430863765</v>
      </c>
      <c r="BL32" t="n">
        <v>33684.831515247</v>
      </c>
      <c r="BM32" t="n">
        <v>21738.6363350918</v>
      </c>
      <c r="BN32" t="n">
        <v>51822.6307654306</v>
      </c>
      <c r="BO32" t="n">
        <v>224088.289702146</v>
      </c>
      <c r="BP32" t="n">
        <v>242813.845134106</v>
      </c>
      <c r="BQ32" t="n">
        <v>1124442.8931187</v>
      </c>
      <c r="BR32" t="n">
        <v>793123.08669446</v>
      </c>
      <c r="BS32" t="n">
        <v>814410.276305478</v>
      </c>
      <c r="BT32" t="n">
        <v>140.430592707455</v>
      </c>
      <c r="BU32" t="n">
        <v>1.41774070656821</v>
      </c>
      <c r="BV32" t="n">
        <v>1.2169786984745</v>
      </c>
      <c r="BW32" t="n">
        <v>102.741702565135</v>
      </c>
      <c r="BX32" t="n">
        <v>91220.9128217312</v>
      </c>
      <c r="BY32" t="n">
        <v>1.63226252140034</v>
      </c>
      <c r="BZ32" t="n">
        <v>148896.47716684</v>
      </c>
      <c r="CA32" t="n">
        <v>10680.8863613701</v>
      </c>
      <c r="CB32" t="n">
        <v>16056.0867201441</v>
      </c>
      <c r="CC32" t="n">
        <v>16999.1917337966</v>
      </c>
      <c r="CD32" t="n">
        <v>943.105013652543</v>
      </c>
      <c r="CE32" t="n">
        <v>0.0554793953270457</v>
      </c>
      <c r="CF32" t="n">
        <v>11969869.5977334</v>
      </c>
      <c r="CG32" t="n">
        <v>532533.494403881</v>
      </c>
      <c r="CH32" t="n">
        <v>708084.562195793</v>
      </c>
      <c r="CI32" t="n">
        <v>406693.740735449</v>
      </c>
      <c r="CJ32" t="n">
        <v>30826.6773981833</v>
      </c>
      <c r="CK32" t="n">
        <v>1114781.88926238</v>
      </c>
      <c r="CL32" t="n">
        <v>0.0950490188703759</v>
      </c>
      <c r="CM32" t="n">
        <v>10.5208871368126</v>
      </c>
      <c r="CN32" t="n">
        <v>1259862.34581964</v>
      </c>
      <c r="CO32" t="n">
        <v>3356066.92105762</v>
      </c>
      <c r="CP32" t="n">
        <v>3483177.30540289</v>
      </c>
      <c r="CQ32" t="n">
        <v>4615929.26687726</v>
      </c>
      <c r="CR32" t="n">
        <v>10186583.0665974</v>
      </c>
      <c r="CS32" t="n">
        <v>-0.00781406320227396</v>
      </c>
      <c r="CT32" t="n">
        <v>0.00409339619617538</v>
      </c>
      <c r="CU32" t="n">
        <v>0.0549074830699832</v>
      </c>
      <c r="CV32" t="n">
        <v>1.8750165019163</v>
      </c>
      <c r="CW32" t="n">
        <v>0.0549074830699832</v>
      </c>
      <c r="CX32" t="n">
        <v>0.039440022763365</v>
      </c>
      <c r="CY32" t="n">
        <v>0.019000022763365</v>
      </c>
      <c r="CZ32" t="n">
        <v>-0.0149066265671896</v>
      </c>
      <c r="DA32" t="n">
        <v>0.479304489617881</v>
      </c>
      <c r="DB32" t="n">
        <v>6.78304803008957</v>
      </c>
      <c r="DC32" t="n">
        <v>0.0490186340847487</v>
      </c>
      <c r="DD32" t="n">
        <v>0.0333847801943674</v>
      </c>
      <c r="DE32" t="n">
        <v>0.00718351963083556</v>
      </c>
      <c r="DF32" t="n">
        <v>0.142214843381293</v>
      </c>
      <c r="DG32" t="n">
        <v>226817.480175945</v>
      </c>
      <c r="DH32" t="n">
        <v>141.88133531059</v>
      </c>
      <c r="DI32" t="n">
        <v>4.99571888869682</v>
      </c>
      <c r="DJ32" t="n">
        <v>4.30545104141026</v>
      </c>
      <c r="DK32" t="n">
        <v>0.0484267358713257</v>
      </c>
      <c r="DL32" t="n">
        <v>0.669440030437354</v>
      </c>
      <c r="DM32" t="n">
        <v>1.4380404922884</v>
      </c>
      <c r="DN32" t="n">
        <v>0.0399169327369503</v>
      </c>
      <c r="DO32" t="n">
        <v>0.0374213819593254</v>
      </c>
      <c r="DP32" t="n">
        <v>30450.3</v>
      </c>
      <c r="DQ32" t="n">
        <v>25547.77733976</v>
      </c>
      <c r="DR32" t="n">
        <v>181168.856100506</v>
      </c>
      <c r="DS32" t="n">
        <v>31986.6296139866</v>
      </c>
      <c r="DT32" t="n">
        <v>13661.9944614517</v>
      </c>
      <c r="DU32" t="n">
        <v>0</v>
      </c>
      <c r="DV32" t="n">
        <v>57.775</v>
      </c>
      <c r="DW32" t="n">
        <v>208288.96</v>
      </c>
      <c r="DX32" t="n">
        <v>2.40086725003314</v>
      </c>
      <c r="DY32" t="n">
        <v>73.306</v>
      </c>
      <c r="DZ32" t="n">
        <v>1.02062376390299</v>
      </c>
      <c r="EA32" t="n">
        <v>1.20449936397015</v>
      </c>
      <c r="EB32" t="n">
        <v>182499790.251982</v>
      </c>
      <c r="EC32" t="n">
        <v>3.16578023222883</v>
      </c>
      <c r="ED32" t="n">
        <v>0.0435</v>
      </c>
      <c r="EE32" t="n">
        <v>0.0304926484848485</v>
      </c>
      <c r="EF32" t="n">
        <v>0.03050813492075</v>
      </c>
      <c r="EG32" t="n">
        <v>0.0441803333333333</v>
      </c>
      <c r="EH32" t="n">
        <v>794303.95556068</v>
      </c>
      <c r="EI32" t="n">
        <v>426898.251239655</v>
      </c>
      <c r="EJ32" t="n">
        <v>1355.1079004155</v>
      </c>
      <c r="EK32" t="n">
        <v>1.33994503861972</v>
      </c>
      <c r="EL32" t="n">
        <v>3.91032060370227</v>
      </c>
    </row>
    <row r="33">
      <c r="A33" s="2" t="n">
        <v>48823</v>
      </c>
      <c r="B33" t="n">
        <v>431412.895106344</v>
      </c>
      <c r="C33" t="n">
        <v>39847.4335068441</v>
      </c>
      <c r="D33" t="n">
        <v>26520.7302036053</v>
      </c>
      <c r="E33" t="n">
        <v>249785.801461772</v>
      </c>
      <c r="F33" t="n">
        <v>64323.0377716602</v>
      </c>
      <c r="G33" t="n">
        <v>15390.8782076425</v>
      </c>
      <c r="H33" t="n">
        <v>74487.9289770297</v>
      </c>
      <c r="I33" t="n">
        <v>88393.8651823441</v>
      </c>
      <c r="J33" t="n">
        <v>99577.660294788</v>
      </c>
      <c r="K33" t="n">
        <v>394.952744269674</v>
      </c>
      <c r="L33" t="n">
        <v>5399.04279057795</v>
      </c>
      <c r="M33" t="n">
        <v>0.665341795956703</v>
      </c>
      <c r="N33" t="n">
        <v>36356.0141682394</v>
      </c>
      <c r="O33" t="n">
        <v>201.516643902451</v>
      </c>
      <c r="P33" t="n">
        <v>2.21464409494959</v>
      </c>
      <c r="Q33" t="n">
        <v>1.69600079996547</v>
      </c>
      <c r="R33" t="n">
        <v>1.19074751379607</v>
      </c>
      <c r="S33" t="n">
        <v>0.0943148000706032</v>
      </c>
      <c r="T33" t="n">
        <v>6376.92480374388</v>
      </c>
      <c r="U33" t="n">
        <v>0.371289663632633</v>
      </c>
      <c r="V33" t="n">
        <v>0.519862010790204</v>
      </c>
      <c r="W33" t="n">
        <v>30663073.347698</v>
      </c>
      <c r="X33" t="n">
        <v>94373.4068780438</v>
      </c>
      <c r="Y33" t="n">
        <v>4393348.72050083</v>
      </c>
      <c r="Z33" t="n">
        <v>1372.72457518905</v>
      </c>
      <c r="AA33" t="n">
        <v>1.25862732100124</v>
      </c>
      <c r="AB33" t="n">
        <v>1.21274577068202</v>
      </c>
      <c r="AC33" t="n">
        <v>1.45401653478326</v>
      </c>
      <c r="AD33" t="n">
        <v>1.61722019545868</v>
      </c>
      <c r="AE33" t="n">
        <v>141.923207484171</v>
      </c>
      <c r="AF33" t="n">
        <v>105833.051170915</v>
      </c>
      <c r="AG33" t="n">
        <v>1658.64902877111</v>
      </c>
      <c r="AH33" t="n">
        <v>155.108008238565</v>
      </c>
      <c r="AI33" t="n">
        <v>80329.5883157903</v>
      </c>
      <c r="AJ33" t="n">
        <v>117181.085639579</v>
      </c>
      <c r="AK33" t="n">
        <v>613.325819448298</v>
      </c>
      <c r="AL33" t="n">
        <v>30961.142185269</v>
      </c>
      <c r="AM33" t="n">
        <v>18436.9950179458</v>
      </c>
      <c r="AN33" t="n">
        <v>1.00709814462111</v>
      </c>
      <c r="AO33" t="n">
        <v>1.183961310426</v>
      </c>
      <c r="AP33" t="n">
        <v>1.33537211285168</v>
      </c>
      <c r="AQ33" t="n">
        <v>1.42859124091759</v>
      </c>
      <c r="AR33" t="n">
        <v>36962.0138163978</v>
      </c>
      <c r="AS33" t="n">
        <v>206876.37741855</v>
      </c>
      <c r="AT33" t="n">
        <v>0.0312671540641927</v>
      </c>
      <c r="AU33" t="n">
        <v>0.042304742753585</v>
      </c>
      <c r="AV33" t="n">
        <v>0.281257076389701</v>
      </c>
      <c r="AW33" t="n">
        <v>832.039412896091</v>
      </c>
      <c r="AX33" t="n">
        <v>12052.5791894483</v>
      </c>
      <c r="AY33" t="n">
        <v>20117.2409723881</v>
      </c>
      <c r="AZ33" t="n">
        <v>184354.91010152</v>
      </c>
      <c r="BA33" t="n">
        <v>616312.684622023</v>
      </c>
      <c r="BB33" t="n">
        <v>264194.172673315</v>
      </c>
      <c r="BC33" t="n">
        <v>290996.038312517</v>
      </c>
      <c r="BD33" t="n">
        <v>117114.345411137</v>
      </c>
      <c r="BE33" t="n">
        <v>22.0641593039013</v>
      </c>
      <c r="BF33" t="n">
        <v>64442.074204465</v>
      </c>
      <c r="BG33" t="n">
        <v>26692.173330824</v>
      </c>
      <c r="BH33" t="n">
        <v>33379.7156071605</v>
      </c>
      <c r="BI33" t="n">
        <v>97419.3675895313</v>
      </c>
      <c r="BJ33" t="n">
        <v>56570.376296677</v>
      </c>
      <c r="BK33" t="n">
        <v>100284.476928592</v>
      </c>
      <c r="BL33" t="n">
        <v>34118.8567822682</v>
      </c>
      <c r="BM33" t="n">
        <v>21828.6887817648</v>
      </c>
      <c r="BN33" t="n">
        <v>52457.6755589743</v>
      </c>
      <c r="BO33" t="n">
        <v>226030.546051599</v>
      </c>
      <c r="BP33" t="n">
        <v>246337.532074276</v>
      </c>
      <c r="BQ33" t="n">
        <v>1138703.57830132</v>
      </c>
      <c r="BR33" t="n">
        <v>795684.722537564</v>
      </c>
      <c r="BS33" t="n">
        <v>818636.163495131</v>
      </c>
      <c r="BT33" t="n">
        <v>141.641277808323</v>
      </c>
      <c r="BU33" t="n">
        <v>1.43109894758024</v>
      </c>
      <c r="BV33" t="n">
        <v>1.22606197972774</v>
      </c>
      <c r="BW33" t="n">
        <v>102.965739211925</v>
      </c>
      <c r="BX33" t="n">
        <v>91790.5867552936</v>
      </c>
      <c r="BY33" t="n">
        <v>1.65842453273942</v>
      </c>
      <c r="BZ33" t="n">
        <v>152227.760949525</v>
      </c>
      <c r="CA33" t="n">
        <v>10703.1010302265</v>
      </c>
      <c r="CB33" t="n">
        <v>16102.1438208044</v>
      </c>
      <c r="CC33" t="n">
        <v>17048.9966315833</v>
      </c>
      <c r="CD33" t="n">
        <v>946.852810778906</v>
      </c>
      <c r="CE33" t="n">
        <v>0.0555371497172604</v>
      </c>
      <c r="CF33" t="n">
        <v>12004933.6978611</v>
      </c>
      <c r="CG33" t="n">
        <v>538806.123340578</v>
      </c>
      <c r="CH33" t="n">
        <v>720533.940362589</v>
      </c>
      <c r="CI33" t="n">
        <v>411990.566047423</v>
      </c>
      <c r="CJ33" t="n">
        <v>31368.6648740375</v>
      </c>
      <c r="CK33" t="n">
        <v>1128920.04929465</v>
      </c>
      <c r="CL33" t="n">
        <v>0.0961789323732052</v>
      </c>
      <c r="CM33" t="n">
        <v>10.3972873822271</v>
      </c>
      <c r="CN33" t="n">
        <v>1265736.33983304</v>
      </c>
      <c r="CO33" t="n">
        <v>3382090.84492788</v>
      </c>
      <c r="CP33" t="n">
        <v>3494947.94103564</v>
      </c>
      <c r="CQ33" t="n">
        <v>4647827.18476092</v>
      </c>
      <c r="CR33" t="n">
        <v>10230251.6201138</v>
      </c>
      <c r="CS33" t="n">
        <v>-0.00797565546178729</v>
      </c>
      <c r="CT33" t="n">
        <v>0.00306193322760494</v>
      </c>
      <c r="CU33" t="n">
        <v>0.0550719905446232</v>
      </c>
      <c r="CV33" t="n">
        <v>1.89326309139576</v>
      </c>
      <c r="CW33" t="n">
        <v>0.055071990544623</v>
      </c>
      <c r="CX33" t="n">
        <v>0.039440022763365</v>
      </c>
      <c r="CY33" t="n">
        <v>0.0191100583388133</v>
      </c>
      <c r="CZ33" t="n">
        <v>-0.0160481251112084</v>
      </c>
      <c r="DA33" t="n">
        <v>0.475418319273082</v>
      </c>
      <c r="DB33" t="n">
        <v>6.81196624063247</v>
      </c>
      <c r="DC33" t="n">
        <v>0.0489966453141927</v>
      </c>
      <c r="DD33" t="n">
        <v>0.0333631341085341</v>
      </c>
      <c r="DE33" t="n">
        <v>0.00711774626055037</v>
      </c>
      <c r="DF33" t="n">
        <v>0.143034407115049</v>
      </c>
      <c r="DG33" t="n">
        <v>227481.911043019</v>
      </c>
      <c r="DH33" t="n">
        <v>143.090378594499</v>
      </c>
      <c r="DI33" t="n">
        <v>5.00437760603893</v>
      </c>
      <c r="DJ33" t="n">
        <v>4.31117244876391</v>
      </c>
      <c r="DK33" t="n">
        <v>0.0484267358713257</v>
      </c>
      <c r="DL33" t="n">
        <v>0.669440030437354</v>
      </c>
      <c r="DM33" t="n">
        <v>1.45249876835425</v>
      </c>
      <c r="DN33" t="n">
        <v>0.0399169327369503</v>
      </c>
      <c r="DO33" t="n">
        <v>0.0374213819593254</v>
      </c>
      <c r="DP33" t="n">
        <v>30539.5</v>
      </c>
      <c r="DQ33" t="n">
        <v>25624.41850969</v>
      </c>
      <c r="DR33" t="n">
        <v>181699.565550468</v>
      </c>
      <c r="DS33" t="n">
        <v>32080.3300820137</v>
      </c>
      <c r="DT33" t="n">
        <v>13702.0154105379</v>
      </c>
      <c r="DU33" t="n">
        <v>0</v>
      </c>
      <c r="DV33" t="n">
        <v>58.1</v>
      </c>
      <c r="DW33" t="n">
        <v>208288.96</v>
      </c>
      <c r="DX33" t="n">
        <v>2.4127825899114</v>
      </c>
      <c r="DY33" t="n">
        <v>73.306</v>
      </c>
      <c r="DZ33" t="n">
        <v>1.02062376390299</v>
      </c>
      <c r="EA33" t="n">
        <v>1.20449936397015</v>
      </c>
      <c r="EB33" t="n">
        <v>183756647.826614</v>
      </c>
      <c r="EC33" t="n">
        <v>3.16578023222883</v>
      </c>
      <c r="ED33" t="n">
        <v>0.0435</v>
      </c>
      <c r="EE33" t="n">
        <v>0.0304926484848485</v>
      </c>
      <c r="EF33" t="n">
        <v>0.03050813492075</v>
      </c>
      <c r="EG33" t="n">
        <v>0.0441803333333333</v>
      </c>
      <c r="EH33" t="n">
        <v>796562.347977319</v>
      </c>
      <c r="EI33" t="n">
        <v>429794.298512373</v>
      </c>
      <c r="EJ33" t="n">
        <v>1372.69306320901</v>
      </c>
      <c r="EK33" t="n">
        <v>1.30756651050519</v>
      </c>
      <c r="EL33" t="n">
        <v>3.924280952598</v>
      </c>
    </row>
    <row r="34">
      <c r="A34" s="2" t="n">
        <v>48914</v>
      </c>
      <c r="B34" t="n">
        <v>434197.981031085</v>
      </c>
      <c r="C34" t="n">
        <v>40016.2649046782</v>
      </c>
      <c r="D34" t="n">
        <v>26686.8920727389</v>
      </c>
      <c r="E34" t="n">
        <v>250621.54903387</v>
      </c>
      <c r="F34" t="n">
        <v>65264.545199791</v>
      </c>
      <c r="G34" t="n">
        <v>15551.5904316673</v>
      </c>
      <c r="H34" t="n">
        <v>75497.5287670003</v>
      </c>
      <c r="I34" t="n">
        <v>88032.3821080637</v>
      </c>
      <c r="J34" t="n">
        <v>99674.6899823798</v>
      </c>
      <c r="K34" t="n">
        <v>394.580200565002</v>
      </c>
      <c r="L34" t="n">
        <v>5423.13938309336</v>
      </c>
      <c r="M34" t="n">
        <v>0.665306580427461</v>
      </c>
      <c r="N34" t="n">
        <v>36679.7314677092</v>
      </c>
      <c r="O34" t="n">
        <v>203.486791205144</v>
      </c>
      <c r="P34" t="n">
        <v>2.25363536336333</v>
      </c>
      <c r="Q34" t="n">
        <v>1.71247221550105</v>
      </c>
      <c r="R34" t="n">
        <v>1.19732961238364</v>
      </c>
      <c r="S34" t="n">
        <v>0.0947695090314279</v>
      </c>
      <c r="T34" t="n">
        <v>6332.06817922503</v>
      </c>
      <c r="U34" t="n">
        <v>0.369912034955833</v>
      </c>
      <c r="V34" t="n">
        <v>0.5154838096976</v>
      </c>
      <c r="W34" t="n">
        <v>31158011.1153076</v>
      </c>
      <c r="X34" t="n">
        <v>95893.1119100205</v>
      </c>
      <c r="Y34" t="n">
        <v>4398648.29633681</v>
      </c>
      <c r="Z34" t="n">
        <v>1392.29609093369</v>
      </c>
      <c r="AA34" t="n">
        <v>1.26613165598206</v>
      </c>
      <c r="AB34" t="n">
        <v>1.21885280433206</v>
      </c>
      <c r="AC34" t="n">
        <v>1.46780971192766</v>
      </c>
      <c r="AD34" t="n">
        <v>1.63406015912558</v>
      </c>
      <c r="AE34" t="n">
        <v>143.18040524326</v>
      </c>
      <c r="AF34" t="n">
        <v>107223.947441175</v>
      </c>
      <c r="AG34" t="n">
        <v>1690.40577708732</v>
      </c>
      <c r="AH34" t="n">
        <v>157.595989904403</v>
      </c>
      <c r="AI34" t="n">
        <v>80846.3793104608</v>
      </c>
      <c r="AJ34" t="n">
        <v>118663.057806703</v>
      </c>
      <c r="AK34" t="n">
        <v>616.040168495573</v>
      </c>
      <c r="AL34" t="n">
        <v>31317.6187598646</v>
      </c>
      <c r="AM34" t="n">
        <v>18387.4728239449</v>
      </c>
      <c r="AN34" t="n">
        <v>1.01457054522618</v>
      </c>
      <c r="AO34" t="n">
        <v>1.19236808860422</v>
      </c>
      <c r="AP34" t="n">
        <v>1.34482682229218</v>
      </c>
      <c r="AQ34" t="n">
        <v>1.44125646330139</v>
      </c>
      <c r="AR34" t="n">
        <v>37095.4247014936</v>
      </c>
      <c r="AS34" t="n">
        <v>208785.968932409</v>
      </c>
      <c r="AT34" t="n">
        <v>0.0314039511778042</v>
      </c>
      <c r="AU34" t="n">
        <v>0.0414817781377211</v>
      </c>
      <c r="AV34" t="n">
        <v>0.281398882328045</v>
      </c>
      <c r="AW34" t="n">
        <v>835.747572098509</v>
      </c>
      <c r="AX34" t="n">
        <v>12103.6453087182</v>
      </c>
      <c r="AY34" t="n">
        <v>20185.3924883487</v>
      </c>
      <c r="AZ34" t="n">
        <v>184603.979996167</v>
      </c>
      <c r="BA34" t="n">
        <v>625790.648046986</v>
      </c>
      <c r="BB34" t="n">
        <v>267479.367452879</v>
      </c>
      <c r="BC34" t="n">
        <v>294855.230599498</v>
      </c>
      <c r="BD34" t="n">
        <v>116621.445878188</v>
      </c>
      <c r="BE34" t="n">
        <v>22.0127915551978</v>
      </c>
      <c r="BF34" t="n">
        <v>65388.9841977498</v>
      </c>
      <c r="BG34" t="n">
        <v>27277.2030933341</v>
      </c>
      <c r="BH34" t="n">
        <v>33789.1188530713</v>
      </c>
      <c r="BI34" t="n">
        <v>98539.8352070473</v>
      </c>
      <c r="BJ34" t="n">
        <v>57022.8701158842</v>
      </c>
      <c r="BK34" t="n">
        <v>101127.004560673</v>
      </c>
      <c r="BL34" t="n">
        <v>34566.9237952808</v>
      </c>
      <c r="BM34" t="n">
        <v>21924.6358253492</v>
      </c>
      <c r="BN34" t="n">
        <v>53113.3794143068</v>
      </c>
      <c r="BO34" t="n">
        <v>228072.79159561</v>
      </c>
      <c r="BP34" t="n">
        <v>249985.623252983</v>
      </c>
      <c r="BQ34" t="n">
        <v>1153375.19530958</v>
      </c>
      <c r="BR34" t="n">
        <v>798380.276989552</v>
      </c>
      <c r="BS34" t="n">
        <v>822992.238553518</v>
      </c>
      <c r="BT34" t="n">
        <v>142.869839051993</v>
      </c>
      <c r="BU34" t="n">
        <v>1.44464388443167</v>
      </c>
      <c r="BV34" t="n">
        <v>1.23547060903208</v>
      </c>
      <c r="BW34" t="n">
        <v>103.185505165325</v>
      </c>
      <c r="BX34" t="n">
        <v>92383.1621606551</v>
      </c>
      <c r="BY34" t="n">
        <v>1.68502618844044</v>
      </c>
      <c r="BZ34" t="n">
        <v>155668.047611644</v>
      </c>
      <c r="CA34" t="n">
        <v>10726.129431462</v>
      </c>
      <c r="CB34" t="n">
        <v>16149.2688145554</v>
      </c>
      <c r="CC34" t="n">
        <v>17099.0911339348</v>
      </c>
      <c r="CD34" t="n">
        <v>949.82231937946</v>
      </c>
      <c r="CE34" t="n">
        <v>0.055548109231266</v>
      </c>
      <c r="CF34" t="n">
        <v>12039997.7979888</v>
      </c>
      <c r="CG34" t="n">
        <v>545194.628814387</v>
      </c>
      <c r="CH34" t="n">
        <v>727437.567520298</v>
      </c>
      <c r="CI34" t="n">
        <v>417502.588045053</v>
      </c>
      <c r="CJ34" t="n">
        <v>31669.2163881223</v>
      </c>
      <c r="CK34" t="n">
        <v>1143465.61050286</v>
      </c>
      <c r="CL34" t="n">
        <v>0.0972889348407126</v>
      </c>
      <c r="CM34" t="n">
        <v>10.2786612027078</v>
      </c>
      <c r="CN34" t="n">
        <v>1271679.05969275</v>
      </c>
      <c r="CO34" t="n">
        <v>3408221.30282471</v>
      </c>
      <c r="CP34" t="n">
        <v>3506786.97984971</v>
      </c>
      <c r="CQ34" t="n">
        <v>4679900.36251745</v>
      </c>
      <c r="CR34" t="n">
        <v>10274163.8366844</v>
      </c>
      <c r="CS34" t="n">
        <v>-0.00800817210022162</v>
      </c>
      <c r="CT34" t="n">
        <v>0.00206965485969531</v>
      </c>
      <c r="CU34" t="n">
        <v>0.0553573857534021</v>
      </c>
      <c r="CV34" t="n">
        <v>1.91177276434668</v>
      </c>
      <c r="CW34" t="n">
        <v>0.0553573857534021</v>
      </c>
      <c r="CX34" t="n">
        <v>0.039440022763365</v>
      </c>
      <c r="CY34" t="n">
        <v>0.0192200701938874</v>
      </c>
      <c r="CZ34" t="n">
        <v>-0.0171504153341921</v>
      </c>
      <c r="DA34" t="n">
        <v>0.471417481310298</v>
      </c>
      <c r="DB34" t="n">
        <v>6.84219394628937</v>
      </c>
      <c r="DC34" t="n">
        <v>0.0491334424278042</v>
      </c>
      <c r="DD34" t="n">
        <v>0.0334486281230031</v>
      </c>
      <c r="DE34" t="n">
        <v>0.00705714431785496</v>
      </c>
      <c r="DF34" t="n">
        <v>0.143868196092954</v>
      </c>
      <c r="DG34" t="n">
        <v>228146.341910095</v>
      </c>
      <c r="DH34" t="n">
        <v>144.29812820437</v>
      </c>
      <c r="DI34" t="n">
        <v>5.01295596140248</v>
      </c>
      <c r="DJ34" t="n">
        <v>4.31681349413901</v>
      </c>
      <c r="DK34" t="n">
        <v>0.0484267358713257</v>
      </c>
      <c r="DL34" t="n">
        <v>0.669440030437354</v>
      </c>
      <c r="DM34" t="n">
        <v>1.46710241010897</v>
      </c>
      <c r="DN34" t="n">
        <v>0.0399169327369503</v>
      </c>
      <c r="DO34" t="n">
        <v>0.0374213819593254</v>
      </c>
      <c r="DP34" t="n">
        <v>30628.7</v>
      </c>
      <c r="DQ34" t="n">
        <v>25701.070208788</v>
      </c>
      <c r="DR34" t="n">
        <v>182230.275000429</v>
      </c>
      <c r="DS34" t="n">
        <v>32174.0305500409</v>
      </c>
      <c r="DT34" t="n">
        <v>13742.0363596242</v>
      </c>
      <c r="DU34" t="n">
        <v>0</v>
      </c>
      <c r="DV34" t="n">
        <v>58.1</v>
      </c>
      <c r="DW34" t="n">
        <v>208288.96</v>
      </c>
      <c r="DX34" t="n">
        <v>2.42475706480615</v>
      </c>
      <c r="DY34" t="n">
        <v>73.306</v>
      </c>
      <c r="DZ34" t="n">
        <v>1.02062376390299</v>
      </c>
      <c r="EA34" t="n">
        <v>1.20449936397015</v>
      </c>
      <c r="EB34" t="n">
        <v>185022161.252085</v>
      </c>
      <c r="EC34" t="n">
        <v>3.16578023222883</v>
      </c>
      <c r="ED34" t="n">
        <v>0.0435</v>
      </c>
      <c r="EE34" t="n">
        <v>0.0304926484848485</v>
      </c>
      <c r="EF34" t="n">
        <v>0.03050813492075</v>
      </c>
      <c r="EG34" t="n">
        <v>0.0441803333333333</v>
      </c>
      <c r="EH34" t="n">
        <v>798888.798479716</v>
      </c>
      <c r="EI34" t="n">
        <v>432704.272132942</v>
      </c>
      <c r="EJ34" t="n">
        <v>1390.6773058197</v>
      </c>
      <c r="EK34" t="n">
        <v>1.32122172790878</v>
      </c>
      <c r="EL34" t="n">
        <v>3.94121232780258</v>
      </c>
    </row>
    <row r="35">
      <c r="A35" s="2" t="n">
        <v>49004</v>
      </c>
      <c r="B35" t="n">
        <v>437015.957437043</v>
      </c>
      <c r="C35" t="n">
        <v>40192.9002495292</v>
      </c>
      <c r="D35" t="n">
        <v>26856.0432949612</v>
      </c>
      <c r="E35" t="n">
        <v>251463.754713576</v>
      </c>
      <c r="F35" t="n">
        <v>66225.4777472635</v>
      </c>
      <c r="G35" t="n">
        <v>15719.4249551159</v>
      </c>
      <c r="H35" t="n">
        <v>76527.1937223022</v>
      </c>
      <c r="I35" t="n">
        <v>88074.5864709292</v>
      </c>
      <c r="J35" t="n">
        <v>99786.5674623667</v>
      </c>
      <c r="K35" t="n">
        <v>394.215839402987</v>
      </c>
      <c r="L35" t="n">
        <v>5447.47177822222</v>
      </c>
      <c r="M35" t="n">
        <v>0.665287819876703</v>
      </c>
      <c r="N35" t="n">
        <v>37007.522557153</v>
      </c>
      <c r="O35" t="n">
        <v>205.485453031879</v>
      </c>
      <c r="P35" t="n">
        <v>2.29341276032703</v>
      </c>
      <c r="Q35" t="n">
        <v>1.72919781147969</v>
      </c>
      <c r="R35" t="n">
        <v>1.20421918741362</v>
      </c>
      <c r="S35" t="n">
        <v>0.0953491451602947</v>
      </c>
      <c r="T35" t="n">
        <v>6289.61623819511</v>
      </c>
      <c r="U35" t="n">
        <v>0.368461644500431</v>
      </c>
      <c r="V35" t="n">
        <v>0.5110268143807</v>
      </c>
      <c r="W35" t="n">
        <v>31663467.4684962</v>
      </c>
      <c r="X35" t="n">
        <v>97444.4505054893</v>
      </c>
      <c r="Y35" t="n">
        <v>4404318.65702166</v>
      </c>
      <c r="Z35" t="n">
        <v>1412.41997560885</v>
      </c>
      <c r="AA35" t="n">
        <v>1.27375436004063</v>
      </c>
      <c r="AB35" t="n">
        <v>1.22510785325631</v>
      </c>
      <c r="AC35" t="n">
        <v>1.48169789746833</v>
      </c>
      <c r="AD35" t="n">
        <v>1.65137646399282</v>
      </c>
      <c r="AE35" t="n">
        <v>144.447301674508</v>
      </c>
      <c r="AF35" t="n">
        <v>108650.58003215</v>
      </c>
      <c r="AG35" t="n">
        <v>1722.10418868876</v>
      </c>
      <c r="AH35" t="n">
        <v>160.124861529516</v>
      </c>
      <c r="AI35" t="n">
        <v>81358.6209165519</v>
      </c>
      <c r="AJ35" t="n">
        <v>120013.72915071</v>
      </c>
      <c r="AK35" t="n">
        <v>618.90837234413</v>
      </c>
      <c r="AL35" t="n">
        <v>31685.8944951126</v>
      </c>
      <c r="AM35" t="n">
        <v>18338.8088997065</v>
      </c>
      <c r="AN35" t="n">
        <v>1.02243959247189</v>
      </c>
      <c r="AO35" t="n">
        <v>1.20100750752289</v>
      </c>
      <c r="AP35" t="n">
        <v>1.35443760794931</v>
      </c>
      <c r="AQ35" t="n">
        <v>1.45411231264136</v>
      </c>
      <c r="AR35" t="n">
        <v>37233.2531405489</v>
      </c>
      <c r="AS35" t="n">
        <v>210710.978506641</v>
      </c>
      <c r="AT35" t="n">
        <v>0.0316590405753057</v>
      </c>
      <c r="AU35" t="n">
        <v>0.0407302141134133</v>
      </c>
      <c r="AV35" t="n">
        <v>0.281117983344147</v>
      </c>
      <c r="AW35" t="n">
        <v>842.205679705803</v>
      </c>
      <c r="AX35" t="n">
        <v>12157.0718733452</v>
      </c>
      <c r="AY35" t="n">
        <v>20254.8137157184</v>
      </c>
      <c r="AZ35" t="n">
        <v>184874.443218341</v>
      </c>
      <c r="BA35" t="n">
        <v>635470.286147986</v>
      </c>
      <c r="BB35" t="n">
        <v>270796.566399386</v>
      </c>
      <c r="BC35" t="n">
        <v>298808.570951945</v>
      </c>
      <c r="BD35" t="n">
        <v>116478.539238298</v>
      </c>
      <c r="BE35" t="n">
        <v>21.9978984748128</v>
      </c>
      <c r="BF35" t="n">
        <v>66373.6094916835</v>
      </c>
      <c r="BG35" t="n">
        <v>27881.1837625427</v>
      </c>
      <c r="BH35" t="n">
        <v>34208.0022403966</v>
      </c>
      <c r="BI35" t="n">
        <v>99673.0844474586</v>
      </c>
      <c r="BJ35" t="n">
        <v>57487.3600824811</v>
      </c>
      <c r="BK35" t="n">
        <v>102025.737370391</v>
      </c>
      <c r="BL35" t="n">
        <v>35024.5795491491</v>
      </c>
      <c r="BM35" t="n">
        <v>22025.0471675752</v>
      </c>
      <c r="BN35" t="n">
        <v>53782.4294871617</v>
      </c>
      <c r="BO35" t="n">
        <v>230198.641574277</v>
      </c>
      <c r="BP35" t="n">
        <v>253742.203316395</v>
      </c>
      <c r="BQ35" t="n">
        <v>1168346.53082982</v>
      </c>
      <c r="BR35" t="n">
        <v>801126.051542471</v>
      </c>
      <c r="BS35" t="n">
        <v>827392.558509386</v>
      </c>
      <c r="BT35" t="n">
        <v>144.116995835386</v>
      </c>
      <c r="BU35" t="n">
        <v>1.45838038377461</v>
      </c>
      <c r="BV35" t="n">
        <v>1.24516205467301</v>
      </c>
      <c r="BW35" t="n">
        <v>103.399951411447</v>
      </c>
      <c r="BX35" t="n">
        <v>92982.735587179</v>
      </c>
      <c r="BY35" t="n">
        <v>1.71206504214543</v>
      </c>
      <c r="BZ35" t="n">
        <v>159192.491121861</v>
      </c>
      <c r="CA35" t="n">
        <v>10749.8832392715</v>
      </c>
      <c r="CB35" t="n">
        <v>16197.3550174937</v>
      </c>
      <c r="CC35" t="n">
        <v>17149.6114144126</v>
      </c>
      <c r="CD35" t="n">
        <v>952.256396918936</v>
      </c>
      <c r="CE35" t="n">
        <v>0.055526404159625</v>
      </c>
      <c r="CF35" t="n">
        <v>12075061.8981165</v>
      </c>
      <c r="CG35" t="n">
        <v>551704.683965669</v>
      </c>
      <c r="CH35" t="n">
        <v>734745.385478219</v>
      </c>
      <c r="CI35" t="n">
        <v>423134.032945471</v>
      </c>
      <c r="CJ35" t="n">
        <v>31987.3644719824</v>
      </c>
      <c r="CK35" t="n">
        <v>1158308.31509744</v>
      </c>
      <c r="CL35" t="n">
        <v>0.0984016113074864</v>
      </c>
      <c r="CM35" t="n">
        <v>10.1624352153664</v>
      </c>
      <c r="CN35" t="n">
        <v>1277691.3262365</v>
      </c>
      <c r="CO35" t="n">
        <v>3434449.80243939</v>
      </c>
      <c r="CP35" t="n">
        <v>3518699.97240465</v>
      </c>
      <c r="CQ35" t="n">
        <v>4712141.12867588</v>
      </c>
      <c r="CR35" t="n">
        <v>10318317.5953977</v>
      </c>
      <c r="CS35" t="n">
        <v>-0.00792691625935352</v>
      </c>
      <c r="CT35" t="n">
        <v>0.00114425727875408</v>
      </c>
      <c r="CU35" t="n">
        <v>0.0557631883256355</v>
      </c>
      <c r="CV35" t="n">
        <v>1.93055033326337</v>
      </c>
      <c r="CW35" t="n">
        <v>0.0557631883256355</v>
      </c>
      <c r="CX35" t="n">
        <v>0.039440022763365</v>
      </c>
      <c r="CY35" t="n">
        <v>0.0193300583337005</v>
      </c>
      <c r="CZ35" t="n">
        <v>-0.0181858010549464</v>
      </c>
      <c r="DA35" t="n">
        <v>0.467330632877791</v>
      </c>
      <c r="DB35" t="n">
        <v>6.87357647351188</v>
      </c>
      <c r="DC35" t="n">
        <v>0.0493885318253057</v>
      </c>
      <c r="DD35" t="n">
        <v>0.0336142338628129</v>
      </c>
      <c r="DE35" t="n">
        <v>0.00700187612404238</v>
      </c>
      <c r="DF35" t="n">
        <v>0.144725349072584</v>
      </c>
      <c r="DG35" t="n">
        <v>228810.772777169</v>
      </c>
      <c r="DH35" t="n">
        <v>145.520689651487</v>
      </c>
      <c r="DI35" t="n">
        <v>5.02156605067189</v>
      </c>
      <c r="DJ35" t="n">
        <v>4.32248627341996</v>
      </c>
      <c r="DK35" t="n">
        <v>0.0484267358713257</v>
      </c>
      <c r="DL35" t="n">
        <v>0.669440030437354</v>
      </c>
      <c r="DM35" t="n">
        <v>1.48185287908114</v>
      </c>
      <c r="DN35" t="n">
        <v>0.0399169327369503</v>
      </c>
      <c r="DO35" t="n">
        <v>0.0374213819593254</v>
      </c>
      <c r="DP35" t="n">
        <v>30717.9</v>
      </c>
      <c r="DQ35" t="n">
        <v>25777.732437054</v>
      </c>
      <c r="DR35" t="n">
        <v>182760.984450391</v>
      </c>
      <c r="DS35" t="n">
        <v>32267.7310180681</v>
      </c>
      <c r="DT35" t="n">
        <v>13782.0573087104</v>
      </c>
      <c r="DU35" t="n">
        <v>0</v>
      </c>
      <c r="DV35" t="n">
        <v>58.1</v>
      </c>
      <c r="DW35" t="n">
        <v>208288.96</v>
      </c>
      <c r="DX35" t="n">
        <v>2.43679096820042</v>
      </c>
      <c r="DY35" t="n">
        <v>73.306</v>
      </c>
      <c r="DZ35" t="n">
        <v>1.02062376390299</v>
      </c>
      <c r="EA35" t="n">
        <v>1.20449936397015</v>
      </c>
      <c r="EB35" t="n">
        <v>186296390.140366</v>
      </c>
      <c r="EC35" t="n">
        <v>3.16578023222883</v>
      </c>
      <c r="ED35" t="n">
        <v>0.0435</v>
      </c>
      <c r="EE35" t="n">
        <v>0.0304926484848485</v>
      </c>
      <c r="EF35" t="n">
        <v>0.03050813492075</v>
      </c>
      <c r="EG35" t="n">
        <v>0.0441803333333333</v>
      </c>
      <c r="EH35" t="n">
        <v>801287.9800947</v>
      </c>
      <c r="EI35" t="n">
        <v>435629.183873411</v>
      </c>
      <c r="EJ35" t="n">
        <v>1409.12685149791</v>
      </c>
      <c r="EK35" t="n">
        <v>1.32399937683993</v>
      </c>
      <c r="EL35" t="n">
        <v>3.95859568346593</v>
      </c>
    </row>
    <row r="36">
      <c r="A36" s="2" t="n">
        <v>49096</v>
      </c>
      <c r="B36" t="n">
        <v>439470.628671841</v>
      </c>
      <c r="C36" t="n">
        <v>40377.0053676567</v>
      </c>
      <c r="D36" t="n">
        <v>27026.2101667391</v>
      </c>
      <c r="E36" t="n">
        <v>252313.236122909</v>
      </c>
      <c r="F36" t="n">
        <v>67140.8646925724</v>
      </c>
      <c r="G36" t="n">
        <v>15892.1150234615</v>
      </c>
      <c r="H36" t="n">
        <v>77549.221199733</v>
      </c>
      <c r="I36" t="n">
        <v>88420.7941569032</v>
      </c>
      <c r="J36" t="n">
        <v>99912.2788265309</v>
      </c>
      <c r="K36" t="n">
        <v>393.833172005843</v>
      </c>
      <c r="L36" t="n">
        <v>5471.68069910512</v>
      </c>
      <c r="M36" t="n">
        <v>0.665279291899466</v>
      </c>
      <c r="N36" t="n">
        <v>37341.4831264051</v>
      </c>
      <c r="O36" t="n">
        <v>207.510209888551</v>
      </c>
      <c r="P36" t="n">
        <v>2.33394582913123</v>
      </c>
      <c r="Q36" t="n">
        <v>1.7461365273198</v>
      </c>
      <c r="R36" t="n">
        <v>1.21136707215835</v>
      </c>
      <c r="S36" t="n">
        <v>0.0959257483692935</v>
      </c>
      <c r="T36" t="n">
        <v>6245.35701493876</v>
      </c>
      <c r="U36" t="n">
        <v>0.366968152556243</v>
      </c>
      <c r="V36" t="n">
        <v>0.506536860021983</v>
      </c>
      <c r="W36" t="n">
        <v>32177604.0848676</v>
      </c>
      <c r="X36" t="n">
        <v>99018.4323067692</v>
      </c>
      <c r="Y36" t="n">
        <v>4409406.66415457</v>
      </c>
      <c r="Z36" t="n">
        <v>1433.0458220848</v>
      </c>
      <c r="AA36" t="n">
        <v>1.2814969045403</v>
      </c>
      <c r="AB36" t="n">
        <v>1.23150582939726</v>
      </c>
      <c r="AC36" t="n">
        <v>1.49575843692953</v>
      </c>
      <c r="AD36" t="n">
        <v>1.66921095925336</v>
      </c>
      <c r="AE36" t="n">
        <v>145.727055650415</v>
      </c>
      <c r="AF36" t="n">
        <v>110073.330693131</v>
      </c>
      <c r="AG36" t="n">
        <v>1753.79173718486</v>
      </c>
      <c r="AH36" t="n">
        <v>162.694478946813</v>
      </c>
      <c r="AI36" t="n">
        <v>81839.0371320838</v>
      </c>
      <c r="AJ36" t="n">
        <v>121197.420787206</v>
      </c>
      <c r="AK36" t="n">
        <v>621.762382331369</v>
      </c>
      <c r="AL36" t="n">
        <v>32044.5490196337</v>
      </c>
      <c r="AM36" t="n">
        <v>18284.2072400603</v>
      </c>
      <c r="AN36" t="n">
        <v>1.03060794334746</v>
      </c>
      <c r="AO36" t="n">
        <v>1.21003454055628</v>
      </c>
      <c r="AP36" t="n">
        <v>1.36418511598052</v>
      </c>
      <c r="AQ36" t="n">
        <v>1.46714167684923</v>
      </c>
      <c r="AR36" t="n">
        <v>37355.6612300875</v>
      </c>
      <c r="AS36" t="n">
        <v>212489.068398295</v>
      </c>
      <c r="AT36" t="n">
        <v>0.0318483809193854</v>
      </c>
      <c r="AU36" t="n">
        <v>0.0400412063483066</v>
      </c>
      <c r="AV36" t="n">
        <v>0.281782851833185</v>
      </c>
      <c r="AW36" t="n">
        <v>849.481409332977</v>
      </c>
      <c r="AX36" t="n">
        <v>12212.7578064187</v>
      </c>
      <c r="AY36" t="n">
        <v>20317.9014118037</v>
      </c>
      <c r="AZ36" t="n">
        <v>185131.048708482</v>
      </c>
      <c r="BA36" t="n">
        <v>644765.676778271</v>
      </c>
      <c r="BB36" t="n">
        <v>274160.097570557</v>
      </c>
      <c r="BC36" t="n">
        <v>302700.080628532</v>
      </c>
      <c r="BD36" t="n">
        <v>116756.072570557</v>
      </c>
      <c r="BE36" t="n">
        <v>22.026821737091</v>
      </c>
      <c r="BF36" t="n">
        <v>67397.7398615245</v>
      </c>
      <c r="BG36" t="n">
        <v>28503.9151444808</v>
      </c>
      <c r="BH36" t="n">
        <v>34634.0046701318</v>
      </c>
      <c r="BI36" t="n">
        <v>100785.250298363</v>
      </c>
      <c r="BJ36" t="n">
        <v>57961.3393309001</v>
      </c>
      <c r="BK36" t="n">
        <v>102970.388196569</v>
      </c>
      <c r="BL36" t="n">
        <v>35477.8298136328</v>
      </c>
      <c r="BM36" t="n">
        <v>22124.5223071622</v>
      </c>
      <c r="BN36" t="n">
        <v>54437.3052293502</v>
      </c>
      <c r="BO36" t="n">
        <v>232350.893546714</v>
      </c>
      <c r="BP36" t="n">
        <v>257402.260651298</v>
      </c>
      <c r="BQ36" t="n">
        <v>1183156.65654964</v>
      </c>
      <c r="BR36" t="n">
        <v>803621.31987296</v>
      </c>
      <c r="BS36" t="n">
        <v>831409.310244661</v>
      </c>
      <c r="BT36" t="n">
        <v>145.383826828164</v>
      </c>
      <c r="BU36" t="n">
        <v>1.47228130144759</v>
      </c>
      <c r="BV36" t="n">
        <v>1.25506172609969</v>
      </c>
      <c r="BW36" t="n">
        <v>103.607053134067</v>
      </c>
      <c r="BX36" t="n">
        <v>93505.0095281977</v>
      </c>
      <c r="BY36" t="n">
        <v>1.73953955241085</v>
      </c>
      <c r="BZ36" t="n">
        <v>162655.662422853</v>
      </c>
      <c r="CA36" t="n">
        <v>10772.7590158192</v>
      </c>
      <c r="CB36" t="n">
        <v>16244.4397149243</v>
      </c>
      <c r="CC36" t="n">
        <v>17200.4003802708</v>
      </c>
      <c r="CD36" t="n">
        <v>955.960665346567</v>
      </c>
      <c r="CE36" t="n">
        <v>0.0555778061324279</v>
      </c>
      <c r="CF36" t="n">
        <v>12110125.9982441</v>
      </c>
      <c r="CG36" t="n">
        <v>558301.580511654</v>
      </c>
      <c r="CH36" t="n">
        <v>742310.191782185</v>
      </c>
      <c r="CI36" t="n">
        <v>428544.868084818</v>
      </c>
      <c r="CJ36" t="n">
        <v>32316.7006218752</v>
      </c>
      <c r="CK36" t="n">
        <v>1172991.19497618</v>
      </c>
      <c r="CL36" t="n">
        <v>0.0995559390510625</v>
      </c>
      <c r="CM36" t="n">
        <v>10.0446041645702</v>
      </c>
      <c r="CN36" t="n">
        <v>1283774.99814559</v>
      </c>
      <c r="CO36" t="n">
        <v>3460770.2232322</v>
      </c>
      <c r="CP36" t="n">
        <v>3530694.12998468</v>
      </c>
      <c r="CQ36" t="n">
        <v>4744545.22137779</v>
      </c>
      <c r="CR36" t="n">
        <v>10362715.8456797</v>
      </c>
      <c r="CS36" t="n">
        <v>-0.00791477041046904</v>
      </c>
      <c r="CT36" t="n">
        <v>0.000278055018452225</v>
      </c>
      <c r="CU36" t="n">
        <v>0.0561625970394391</v>
      </c>
      <c r="CV36" t="n">
        <v>1.94957306682797</v>
      </c>
      <c r="CW36" t="n">
        <v>0.0561625970394389</v>
      </c>
      <c r="CX36" t="n">
        <v>0.039440022763365</v>
      </c>
      <c r="CY36" t="n">
        <v>0.0194400227633651</v>
      </c>
      <c r="CZ36" t="n">
        <v>-0.0191619677449129</v>
      </c>
      <c r="DA36" t="n">
        <v>0.463196770698645</v>
      </c>
      <c r="DB36" t="n">
        <v>6.9059051256054</v>
      </c>
      <c r="DC36" t="n">
        <v>0.0495778721693854</v>
      </c>
      <c r="DD36" t="n">
        <v>0.0337348608957874</v>
      </c>
      <c r="DE36" t="n">
        <v>0.00695127183745052</v>
      </c>
      <c r="DF36" t="n">
        <v>0.145600512413258</v>
      </c>
      <c r="DG36" t="n">
        <v>229475.203644244</v>
      </c>
      <c r="DH36" t="n">
        <v>146.803474402575</v>
      </c>
      <c r="DI36" t="n">
        <v>5.0305158707332</v>
      </c>
      <c r="DJ36" t="n">
        <v>4.32849878349282</v>
      </c>
      <c r="DK36" t="n">
        <v>0.0484267358713257</v>
      </c>
      <c r="DL36" t="n">
        <v>0.669440030437354</v>
      </c>
      <c r="DM36" t="n">
        <v>1.49675165149375</v>
      </c>
      <c r="DN36" t="n">
        <v>0.0399169327369503</v>
      </c>
      <c r="DO36" t="n">
        <v>0.0374213819593254</v>
      </c>
      <c r="DP36" t="n">
        <v>30807.1</v>
      </c>
      <c r="DQ36" t="n">
        <v>25854.405194488</v>
      </c>
      <c r="DR36" t="n">
        <v>183291.693900353</v>
      </c>
      <c r="DS36" t="n">
        <v>32361.4314860952</v>
      </c>
      <c r="DT36" t="n">
        <v>13822.0782577967</v>
      </c>
      <c r="DU36" t="n">
        <v>0</v>
      </c>
      <c r="DV36" t="n">
        <v>58.1</v>
      </c>
      <c r="DW36" t="n">
        <v>208288.96</v>
      </c>
      <c r="DX36" t="n">
        <v>2.4488845950338</v>
      </c>
      <c r="DY36" t="n">
        <v>73.306</v>
      </c>
      <c r="DZ36" t="n">
        <v>1.02062376390299</v>
      </c>
      <c r="EA36" t="n">
        <v>1.20449936397015</v>
      </c>
      <c r="EB36" t="n">
        <v>187579394.513965</v>
      </c>
      <c r="EC36" t="n">
        <v>3.16578023222883</v>
      </c>
      <c r="ED36" t="n">
        <v>0.0435</v>
      </c>
      <c r="EE36" t="n">
        <v>0.0304926484848485</v>
      </c>
      <c r="EF36" t="n">
        <v>0.03050813492075</v>
      </c>
      <c r="EG36" t="n">
        <v>0.0441803333333333</v>
      </c>
      <c r="EH36" t="n">
        <v>803702.812924288</v>
      </c>
      <c r="EI36" t="n">
        <v>438490.784374955</v>
      </c>
      <c r="EJ36" t="n">
        <v>1428.0864787211</v>
      </c>
      <c r="EK36" t="n">
        <v>1.32365749460834</v>
      </c>
      <c r="EL36" t="n">
        <v>3.97631513298544</v>
      </c>
    </row>
    <row r="37">
      <c r="A37" s="2" t="n">
        <v>49188</v>
      </c>
      <c r="B37" t="n">
        <v>441958.297714343</v>
      </c>
      <c r="C37" t="n">
        <v>40564.944944097</v>
      </c>
      <c r="D37" t="n">
        <v>27197.7946000109</v>
      </c>
      <c r="E37" t="n">
        <v>253149.374342899</v>
      </c>
      <c r="F37" t="n">
        <v>68104.6918498829</v>
      </c>
      <c r="G37" t="n">
        <v>16070.1807560353</v>
      </c>
      <c r="H37" t="n">
        <v>78594.4404594568</v>
      </c>
      <c r="I37" t="n">
        <v>93179.3621995531</v>
      </c>
      <c r="J37" t="n">
        <v>100051.645375018</v>
      </c>
      <c r="K37" t="n">
        <v>393.463876309818</v>
      </c>
      <c r="L37" t="n">
        <v>5495.82470853351</v>
      </c>
      <c r="M37" t="n">
        <v>0.665267800448204</v>
      </c>
      <c r="N37" t="n">
        <v>37674.8921511431</v>
      </c>
      <c r="O37" t="n">
        <v>209.566509972304</v>
      </c>
      <c r="P37" t="n">
        <v>2.37525905710925</v>
      </c>
      <c r="Q37" t="n">
        <v>1.76326995490046</v>
      </c>
      <c r="R37" t="n">
        <v>1.21876191641989</v>
      </c>
      <c r="S37" t="n">
        <v>0.0965685223030118</v>
      </c>
      <c r="T37" t="n">
        <v>6200.23533440616</v>
      </c>
      <c r="U37" t="n">
        <v>0.365435036753396</v>
      </c>
      <c r="V37" t="n">
        <v>0.502018988966613</v>
      </c>
      <c r="W37" t="n">
        <v>32702604.5247921</v>
      </c>
      <c r="X37" t="n">
        <v>100617.066715626</v>
      </c>
      <c r="Y37" t="n">
        <v>4414432.9816159</v>
      </c>
      <c r="Z37" t="n">
        <v>1454.3863264711</v>
      </c>
      <c r="AA37" t="n">
        <v>1.28933612481121</v>
      </c>
      <c r="AB37" t="n">
        <v>1.23805921804068</v>
      </c>
      <c r="AC37" t="n">
        <v>1.50986723684827</v>
      </c>
      <c r="AD37" t="n">
        <v>1.68760633467278</v>
      </c>
      <c r="AE37" t="n">
        <v>147.018974496102</v>
      </c>
      <c r="AF37" t="n">
        <v>111505.90899243</v>
      </c>
      <c r="AG37" t="n">
        <v>1785.92602993561</v>
      </c>
      <c r="AH37" t="n">
        <v>165.310049303504</v>
      </c>
      <c r="AI37" t="n">
        <v>82295.2892823991</v>
      </c>
      <c r="AJ37" t="n">
        <v>122358.993472086</v>
      </c>
      <c r="AK37" t="n">
        <v>624.910121130529</v>
      </c>
      <c r="AL37" t="n">
        <v>32411.2716805441</v>
      </c>
      <c r="AM37" t="n">
        <v>18231.794760231</v>
      </c>
      <c r="AN37" t="n">
        <v>1.03906643908064</v>
      </c>
      <c r="AO37" t="n">
        <v>1.21907854151125</v>
      </c>
      <c r="AP37" t="n">
        <v>1.37410051299076</v>
      </c>
      <c r="AQ37" t="n">
        <v>1.48038047808538</v>
      </c>
      <c r="AR37" t="n">
        <v>37485.4536835257</v>
      </c>
      <c r="AS37" t="n">
        <v>214188.904999786</v>
      </c>
      <c r="AT37" t="n">
        <v>0.0321530548592867</v>
      </c>
      <c r="AU37" t="n">
        <v>0.0394175114285953</v>
      </c>
      <c r="AV37" t="n">
        <v>0.281756913187914</v>
      </c>
      <c r="AW37" t="n">
        <v>836.138219990622</v>
      </c>
      <c r="AX37" t="n">
        <v>12269.603540975</v>
      </c>
      <c r="AY37" t="n">
        <v>20383.4143956056</v>
      </c>
      <c r="AZ37" t="n">
        <v>185413.30821438</v>
      </c>
      <c r="BA37" t="n">
        <v>654266.437753519</v>
      </c>
      <c r="BB37" t="n">
        <v>277544.280099815</v>
      </c>
      <c r="BC37" t="n">
        <v>306686.49373835</v>
      </c>
      <c r="BD37" t="n">
        <v>121379.973954677</v>
      </c>
      <c r="BE37" t="n">
        <v>22.5087037200347</v>
      </c>
      <c r="BF37" t="n">
        <v>68457.6580533105</v>
      </c>
      <c r="BG37" t="n">
        <v>29143.4869378405</v>
      </c>
      <c r="BH37" t="n">
        <v>35067.0990929894</v>
      </c>
      <c r="BI37" t="n">
        <v>101886.440550279</v>
      </c>
      <c r="BJ37" t="n">
        <v>58418.2654076273</v>
      </c>
      <c r="BK37" t="n">
        <v>103960.306883979</v>
      </c>
      <c r="BL37" t="n">
        <v>35941.4621820569</v>
      </c>
      <c r="BM37" t="n">
        <v>22225.9897654348</v>
      </c>
      <c r="BN37" t="n">
        <v>55110.7295907306</v>
      </c>
      <c r="BO37" t="n">
        <v>234579.336422201</v>
      </c>
      <c r="BP37" t="n">
        <v>261045.280333416</v>
      </c>
      <c r="BQ37" t="n">
        <v>1198317.72398417</v>
      </c>
      <c r="BR37" t="n">
        <v>806212.514206004</v>
      </c>
      <c r="BS37" t="n">
        <v>835418.083208215</v>
      </c>
      <c r="BT37" t="n">
        <v>146.670728566636</v>
      </c>
      <c r="BU37" t="n">
        <v>1.48635463689748</v>
      </c>
      <c r="BV37" t="n">
        <v>1.26516989897496</v>
      </c>
      <c r="BW37" t="n">
        <v>103.807797235033</v>
      </c>
      <c r="BX37" t="n">
        <v>94034.3043259527</v>
      </c>
      <c r="BY37" t="n">
        <v>1.7675053943806</v>
      </c>
      <c r="BZ37" t="n">
        <v>166206.140152948</v>
      </c>
      <c r="CA37" t="n">
        <v>10795.1615460778</v>
      </c>
      <c r="CB37" t="n">
        <v>16290.9862546113</v>
      </c>
      <c r="CC37" t="n">
        <v>17249.6494473277</v>
      </c>
      <c r="CD37" t="n">
        <v>958.663192716411</v>
      </c>
      <c r="CE37" t="n">
        <v>0.0555757989612515</v>
      </c>
      <c r="CF37" t="n">
        <v>12145052.5150193</v>
      </c>
      <c r="CG37" t="n">
        <v>564900.491176715</v>
      </c>
      <c r="CH37" t="n">
        <v>754820.104670504</v>
      </c>
      <c r="CI37" t="n">
        <v>434219.979941335</v>
      </c>
      <c r="CJ37" t="n">
        <v>32861.3234952954</v>
      </c>
      <c r="CK37" t="n">
        <v>1188022.00134378</v>
      </c>
      <c r="CL37" t="n">
        <v>0.10078812938967</v>
      </c>
      <c r="CM37" t="n">
        <v>9.92180335179924</v>
      </c>
      <c r="CN37" t="n">
        <v>1289929.93017982</v>
      </c>
      <c r="CO37" t="n">
        <v>3487149.26674516</v>
      </c>
      <c r="CP37" t="n">
        <v>3542776.27190931</v>
      </c>
      <c r="CQ37" t="n">
        <v>4777079.19692498</v>
      </c>
      <c r="CR37" t="n">
        <v>10407331.9631515</v>
      </c>
      <c r="CS37" t="n">
        <v>-0.0077933531096227</v>
      </c>
      <c r="CT37" t="n">
        <v>-0.000528896540314037</v>
      </c>
      <c r="CU37" t="n">
        <v>0.0566221143341024</v>
      </c>
      <c r="CV37" t="n">
        <v>1.96889215123713</v>
      </c>
      <c r="CW37" t="n">
        <v>0.0566221143341026</v>
      </c>
      <c r="CX37" t="n">
        <v>0.039440022763365</v>
      </c>
      <c r="CY37" t="n">
        <v>0.0194400227633649</v>
      </c>
      <c r="CZ37" t="n">
        <v>-0.0199689193036789</v>
      </c>
      <c r="DA37" t="n">
        <v>0.459027798177452</v>
      </c>
      <c r="DB37" t="n">
        <v>6.93997493522849</v>
      </c>
      <c r="DC37" t="n">
        <v>0.0498825461092867</v>
      </c>
      <c r="DD37" t="n">
        <v>0.0339336404097385</v>
      </c>
      <c r="DE37" t="n">
        <v>0.00690551698356223</v>
      </c>
      <c r="DF37" t="n">
        <v>0.14655326829693</v>
      </c>
      <c r="DG37" t="n">
        <v>230137.027439532</v>
      </c>
      <c r="DH37" t="n">
        <v>148.061226662673</v>
      </c>
      <c r="DI37" t="n">
        <v>5.03922027911203</v>
      </c>
      <c r="DJ37" t="n">
        <v>4.33426588188319</v>
      </c>
      <c r="DK37" t="n">
        <v>0.0484267358713257</v>
      </c>
      <c r="DL37" t="n">
        <v>0.669440030437354</v>
      </c>
      <c r="DM37" t="n">
        <v>1.51180021841197</v>
      </c>
      <c r="DN37" t="n">
        <v>0.0399169327369503</v>
      </c>
      <c r="DO37" t="n">
        <v>0.0374213819593254</v>
      </c>
      <c r="DP37" t="n">
        <v>30895.95</v>
      </c>
      <c r="DQ37" t="n">
        <v>25928.8807239825</v>
      </c>
      <c r="DR37" t="n">
        <v>183820.320970185</v>
      </c>
      <c r="DS37" t="n">
        <v>32454.7642953353</v>
      </c>
      <c r="DT37" t="n">
        <v>13861.942174011</v>
      </c>
      <c r="DU37" t="n">
        <v>0</v>
      </c>
      <c r="DV37" t="n">
        <v>58.425</v>
      </c>
      <c r="DW37" t="n">
        <v>208288.96</v>
      </c>
      <c r="DX37" t="n">
        <v>2.46103824170963</v>
      </c>
      <c r="DY37" t="n">
        <v>73.306</v>
      </c>
      <c r="DZ37" t="n">
        <v>1.02062376390299</v>
      </c>
      <c r="EA37" t="n">
        <v>1.20449936397015</v>
      </c>
      <c r="EB37" t="n">
        <v>188871234.808762</v>
      </c>
      <c r="EC37" t="n">
        <v>3.16578023222883</v>
      </c>
      <c r="ED37" t="n">
        <v>0.0435</v>
      </c>
      <c r="EE37" t="n">
        <v>0.0304926484848485</v>
      </c>
      <c r="EF37" t="n">
        <v>0.03050813492075</v>
      </c>
      <c r="EG37" t="n">
        <v>0.0441803333333333</v>
      </c>
      <c r="EH37" t="n">
        <v>806151.194543241</v>
      </c>
      <c r="EI37" t="n">
        <v>441299.292964266</v>
      </c>
      <c r="EJ37" t="n">
        <v>1447.63446139172</v>
      </c>
      <c r="EK37" t="n">
        <v>1.32311094711803</v>
      </c>
      <c r="EL37" t="n">
        <v>3.99464079689094</v>
      </c>
    </row>
    <row r="38">
      <c r="A38" s="2" t="n">
        <v>49279</v>
      </c>
      <c r="B38" t="n">
        <v>444538.084752457</v>
      </c>
      <c r="C38" t="n">
        <v>40756.299543157</v>
      </c>
      <c r="D38" t="n">
        <v>27368.630511729</v>
      </c>
      <c r="E38" t="n">
        <v>253988.910512317</v>
      </c>
      <c r="F38" t="n">
        <v>69101.9183443281</v>
      </c>
      <c r="G38" t="n">
        <v>16251.9237789094</v>
      </c>
      <c r="H38" t="n">
        <v>79664.6818837862</v>
      </c>
      <c r="I38" t="n">
        <v>92765.2232588765</v>
      </c>
      <c r="J38" t="n">
        <v>100204.283977194</v>
      </c>
      <c r="K38" t="n">
        <v>393.098318528708</v>
      </c>
      <c r="L38" t="n">
        <v>5520.11505879187</v>
      </c>
      <c r="M38" t="n">
        <v>0.665265054124157</v>
      </c>
      <c r="N38" t="n">
        <v>38013.29509086</v>
      </c>
      <c r="O38" t="n">
        <v>211.65125169234</v>
      </c>
      <c r="P38" t="n">
        <v>2.41738782762121</v>
      </c>
      <c r="Q38" t="n">
        <v>1.78050657039049</v>
      </c>
      <c r="R38" t="n">
        <v>1.22628896559823</v>
      </c>
      <c r="S38" t="n">
        <v>0.097278459699148</v>
      </c>
      <c r="T38" t="n">
        <v>6155.88726860892</v>
      </c>
      <c r="U38" t="n">
        <v>0.363931625629774</v>
      </c>
      <c r="V38" t="n">
        <v>0.497568772355377</v>
      </c>
      <c r="W38" t="n">
        <v>33237391.6788217</v>
      </c>
      <c r="X38" t="n">
        <v>102241.972610293</v>
      </c>
      <c r="Y38" t="n">
        <v>4419616.92829471</v>
      </c>
      <c r="Z38" t="n">
        <v>1476.23578439807</v>
      </c>
      <c r="AA38" t="n">
        <v>1.29729507918774</v>
      </c>
      <c r="AB38" t="n">
        <v>1.24471954388169</v>
      </c>
      <c r="AC38" t="n">
        <v>1.52408351663803</v>
      </c>
      <c r="AD38" t="n">
        <v>1.70658238980635</v>
      </c>
      <c r="AE38" t="n">
        <v>148.320027709393</v>
      </c>
      <c r="AF38" t="n">
        <v>112946.791042258</v>
      </c>
      <c r="AG38" t="n">
        <v>1817.97283672475</v>
      </c>
      <c r="AH38" t="n">
        <v>167.967409215887</v>
      </c>
      <c r="AI38" t="n">
        <v>82741.5878456742</v>
      </c>
      <c r="AJ38" t="n">
        <v>123479.194755982</v>
      </c>
      <c r="AK38" t="n">
        <v>628.328128554819</v>
      </c>
      <c r="AL38" t="n">
        <v>32790.1322312483</v>
      </c>
      <c r="AM38" t="n">
        <v>18181.6626816288</v>
      </c>
      <c r="AN38" t="n">
        <v>1.04759541536443</v>
      </c>
      <c r="AO38" t="n">
        <v>1.22818442465923</v>
      </c>
      <c r="AP38" t="n">
        <v>1.3841676549156</v>
      </c>
      <c r="AQ38" t="n">
        <v>1.4938070717653</v>
      </c>
      <c r="AR38" t="n">
        <v>37623.2710186332</v>
      </c>
      <c r="AS38" t="n">
        <v>215913.344103991</v>
      </c>
      <c r="AT38" t="n">
        <v>0.0325040781154078</v>
      </c>
      <c r="AU38" t="n">
        <v>0.0388575081380368</v>
      </c>
      <c r="AV38" t="n">
        <v>0.281537870935592</v>
      </c>
      <c r="AW38" t="n">
        <v>839.536169417552</v>
      </c>
      <c r="AX38" t="n">
        <v>12327.482211079</v>
      </c>
      <c r="AY38" t="n">
        <v>20451.5622565411</v>
      </c>
      <c r="AZ38" t="n">
        <v>185721.779933997</v>
      </c>
      <c r="BA38" t="n">
        <v>664054.136446483</v>
      </c>
      <c r="BB38" t="n">
        <v>280963.193017353</v>
      </c>
      <c r="BC38" t="n">
        <v>310755.44728053</v>
      </c>
      <c r="BD38" t="n">
        <v>120790.07131368</v>
      </c>
      <c r="BE38" t="n">
        <v>22.4472267483666</v>
      </c>
      <c r="BF38" t="n">
        <v>69553.9830740241</v>
      </c>
      <c r="BG38" t="n">
        <v>29800.3054422794</v>
      </c>
      <c r="BH38" t="n">
        <v>35505.1896869735</v>
      </c>
      <c r="BI38" t="n">
        <v>102990.070508299</v>
      </c>
      <c r="BJ38" t="n">
        <v>58902.674546837</v>
      </c>
      <c r="BK38" t="n">
        <v>104973.548494383</v>
      </c>
      <c r="BL38" t="n">
        <v>36414.1409725216</v>
      </c>
      <c r="BM38" t="n">
        <v>22330.4349199846</v>
      </c>
      <c r="BN38" t="n">
        <v>55802.8460000166</v>
      </c>
      <c r="BO38" t="n">
        <v>236861.818386906</v>
      </c>
      <c r="BP38" t="n">
        <v>264772.151400138</v>
      </c>
      <c r="BQ38" t="n">
        <v>1213859.21970902</v>
      </c>
      <c r="BR38" t="n">
        <v>808907.924093146</v>
      </c>
      <c r="BS38" t="n">
        <v>839529.459666267</v>
      </c>
      <c r="BT38" t="n">
        <v>147.97613075021</v>
      </c>
      <c r="BU38" t="n">
        <v>1.50061480020207</v>
      </c>
      <c r="BV38" t="n">
        <v>1.27535832615369</v>
      </c>
      <c r="BW38" t="n">
        <v>104.001451691406</v>
      </c>
      <c r="BX38" t="n">
        <v>94583.1988272954</v>
      </c>
      <c r="BY38" t="n">
        <v>1.79591805289554</v>
      </c>
      <c r="BZ38" t="n">
        <v>169863.674274548</v>
      </c>
      <c r="CA38" t="n">
        <v>10817.889134521</v>
      </c>
      <c r="CB38" t="n">
        <v>16338.0041933129</v>
      </c>
      <c r="CC38" t="n">
        <v>17299.1238590016</v>
      </c>
      <c r="CD38" t="n">
        <v>961.119665688657</v>
      </c>
      <c r="CE38" t="n">
        <v>0.0555588552314353</v>
      </c>
      <c r="CF38" t="n">
        <v>12179979.0317945</v>
      </c>
      <c r="CG38" t="n">
        <v>571619.555031053</v>
      </c>
      <c r="CH38" t="n">
        <v>761572.691571728</v>
      </c>
      <c r="CI38" t="n">
        <v>440085.799405665</v>
      </c>
      <c r="CJ38" t="n">
        <v>33155.2994257432</v>
      </c>
      <c r="CK38" t="n">
        <v>1203429.96743271</v>
      </c>
      <c r="CL38" t="n">
        <v>0.102069466372279</v>
      </c>
      <c r="CM38" t="n">
        <v>9.7972492219435</v>
      </c>
      <c r="CN38" t="n">
        <v>1296156.38137221</v>
      </c>
      <c r="CO38" t="n">
        <v>3513561.82946444</v>
      </c>
      <c r="CP38" t="n">
        <v>3554949.52753331</v>
      </c>
      <c r="CQ38" t="n">
        <v>4809718.21083665</v>
      </c>
      <c r="CR38" t="n">
        <v>10452144.2326872</v>
      </c>
      <c r="CS38" t="n">
        <v>-0.00761872513310966</v>
      </c>
      <c r="CT38" t="n">
        <v>-0.00126529511048069</v>
      </c>
      <c r="CU38" t="n">
        <v>0.0571556564506305</v>
      </c>
      <c r="CV38" t="n">
        <v>1.98847844682643</v>
      </c>
      <c r="CW38" t="n">
        <v>0.0571556564506305</v>
      </c>
      <c r="CX38" t="n">
        <v>0.039440022763365</v>
      </c>
      <c r="CY38" t="n">
        <v>0.019440022763365</v>
      </c>
      <c r="CZ38" t="n">
        <v>-0.0207053178738457</v>
      </c>
      <c r="DA38" t="n">
        <v>0.454900309163895</v>
      </c>
      <c r="DB38" t="n">
        <v>6.97485024347482</v>
      </c>
      <c r="DC38" t="n">
        <v>0.0502335693654078</v>
      </c>
      <c r="DD38" t="n">
        <v>0.0341640811035541</v>
      </c>
      <c r="DE38" t="n">
        <v>0.00686447713088272</v>
      </c>
      <c r="DF38" t="n">
        <v>0.147550167866427</v>
      </c>
      <c r="DG38" t="n">
        <v>230798.851234819</v>
      </c>
      <c r="DH38" t="n">
        <v>149.323070816843</v>
      </c>
      <c r="DI38" t="n">
        <v>5.04787992639404</v>
      </c>
      <c r="DJ38" t="n">
        <v>4.33998821917675</v>
      </c>
      <c r="DK38" t="n">
        <v>0.0484267358713257</v>
      </c>
      <c r="DL38" t="n">
        <v>0.669440030437354</v>
      </c>
      <c r="DM38" t="n">
        <v>1.52700008589235</v>
      </c>
      <c r="DN38" t="n">
        <v>0.0399169327369503</v>
      </c>
      <c r="DO38" t="n">
        <v>0.0374213819593254</v>
      </c>
      <c r="DP38" t="n">
        <v>30984.8</v>
      </c>
      <c r="DQ38" t="n">
        <v>26003.355732816</v>
      </c>
      <c r="DR38" t="n">
        <v>184348.948040018</v>
      </c>
      <c r="DS38" t="n">
        <v>32548.0971045753</v>
      </c>
      <c r="DT38" t="n">
        <v>13901.8060902253</v>
      </c>
      <c r="DU38" t="n">
        <v>0</v>
      </c>
      <c r="DV38" t="n">
        <v>58.425</v>
      </c>
      <c r="DW38" t="n">
        <v>208288.96</v>
      </c>
      <c r="DX38" t="n">
        <v>2.47325220610227</v>
      </c>
      <c r="DY38" t="n">
        <v>73.306</v>
      </c>
      <c r="DZ38" t="n">
        <v>1.02062376390299</v>
      </c>
      <c r="EA38" t="n">
        <v>1.20449936397015</v>
      </c>
      <c r="EB38" t="n">
        <v>190171971.876851</v>
      </c>
      <c r="EC38" t="n">
        <v>3.16578023222883</v>
      </c>
      <c r="ED38" t="n">
        <v>0.0435</v>
      </c>
      <c r="EE38" t="n">
        <v>0.0304926484848485</v>
      </c>
      <c r="EF38" t="n">
        <v>0.03050813492075</v>
      </c>
      <c r="EG38" t="n">
        <v>0.0441803333333333</v>
      </c>
      <c r="EH38" t="n">
        <v>808650.489889624</v>
      </c>
      <c r="EI38" t="n">
        <v>444076.660695179</v>
      </c>
      <c r="EJ38" t="n">
        <v>1467.79494303149</v>
      </c>
      <c r="EK38" t="n">
        <v>1.31862564833021</v>
      </c>
      <c r="EL38" t="n">
        <v>4.01228032485175</v>
      </c>
    </row>
    <row r="39">
      <c r="A39" s="2" t="n">
        <v>49369</v>
      </c>
      <c r="B39" t="n">
        <v>447141.780892027</v>
      </c>
      <c r="C39" t="n">
        <v>40951.1331080524</v>
      </c>
      <c r="D39" t="n">
        <v>27539.1745270768</v>
      </c>
      <c r="E39" t="n">
        <v>254833.513906971</v>
      </c>
      <c r="F39" t="n">
        <v>70117.5314313614</v>
      </c>
      <c r="G39" t="n">
        <v>16438.7005418539</v>
      </c>
      <c r="H39" t="n">
        <v>80753.1014169286</v>
      </c>
      <c r="I39" t="n">
        <v>92787.8052268758</v>
      </c>
      <c r="J39" t="n">
        <v>100369.888120165</v>
      </c>
      <c r="K39" t="n">
        <v>392.736028272092</v>
      </c>
      <c r="L39" t="n">
        <v>5544.53206193731</v>
      </c>
      <c r="M39" t="n">
        <v>0.665267771793435</v>
      </c>
      <c r="N39" t="n">
        <v>38355.3901552987</v>
      </c>
      <c r="O39" t="n">
        <v>213.764838746508</v>
      </c>
      <c r="P39" t="n">
        <v>2.46035089743113</v>
      </c>
      <c r="Q39" t="n">
        <v>1.79775592771343</v>
      </c>
      <c r="R39" t="n">
        <v>1.23390486842347</v>
      </c>
      <c r="S39" t="n">
        <v>0.0980297270217343</v>
      </c>
      <c r="T39" t="n">
        <v>6112.08368395092</v>
      </c>
      <c r="U39" t="n">
        <v>0.362472493275674</v>
      </c>
      <c r="V39" t="n">
        <v>0.493205565347043</v>
      </c>
      <c r="W39" t="n">
        <v>33782042.0791781</v>
      </c>
      <c r="X39" t="n">
        <v>103893.98690576</v>
      </c>
      <c r="Y39" t="n">
        <v>4424916.33158228</v>
      </c>
      <c r="Z39" t="n">
        <v>1498.57355216746</v>
      </c>
      <c r="AA39" t="n">
        <v>1.30534401617259</v>
      </c>
      <c r="AB39" t="n">
        <v>1.25148200405948</v>
      </c>
      <c r="AC39" t="n">
        <v>1.53839794688177</v>
      </c>
      <c r="AD39" t="n">
        <v>1.72614535992914</v>
      </c>
      <c r="AE39" t="n">
        <v>149.631667941926</v>
      </c>
      <c r="AF39" t="n">
        <v>114401.226344864</v>
      </c>
      <c r="AG39" t="n">
        <v>1849.98307917824</v>
      </c>
      <c r="AH39" t="n">
        <v>170.668022212958</v>
      </c>
      <c r="AI39" t="n">
        <v>83178.4172439438</v>
      </c>
      <c r="AJ39" t="n">
        <v>124537.963253106</v>
      </c>
      <c r="AK39" t="n">
        <v>631.616473257039</v>
      </c>
      <c r="AL39" t="n">
        <v>33180.0535253833</v>
      </c>
      <c r="AM39" t="n">
        <v>18132.033184799</v>
      </c>
      <c r="AN39" t="n">
        <v>1.05614245733662</v>
      </c>
      <c r="AO39" t="n">
        <v>1.2373615616094</v>
      </c>
      <c r="AP39" t="n">
        <v>1.39438599072522</v>
      </c>
      <c r="AQ39" t="n">
        <v>1.5074233638439</v>
      </c>
      <c r="AR39" t="n">
        <v>37763.6433856609</v>
      </c>
      <c r="AS39" t="n">
        <v>217651.903723733</v>
      </c>
      <c r="AT39" t="n">
        <v>0.0328883610879304</v>
      </c>
      <c r="AU39" t="n">
        <v>0.038358890245586</v>
      </c>
      <c r="AV39" t="n">
        <v>0.281150024126258</v>
      </c>
      <c r="AW39" t="n">
        <v>844.603394653561</v>
      </c>
      <c r="AX39" t="n">
        <v>12386.4131575165</v>
      </c>
      <c r="AY39" t="n">
        <v>20520.2872851761</v>
      </c>
      <c r="AZ39" t="n">
        <v>186046.851975801</v>
      </c>
      <c r="BA39" t="n">
        <v>674031.969325758</v>
      </c>
      <c r="BB39" t="n">
        <v>284415.281973475</v>
      </c>
      <c r="BC39" t="n">
        <v>314890.613260392</v>
      </c>
      <c r="BD39" t="n">
        <v>120610.385183463</v>
      </c>
      <c r="BE39" t="n">
        <v>22.4285006766918</v>
      </c>
      <c r="BF39" t="n">
        <v>70687.6083983051</v>
      </c>
      <c r="BG39" t="n">
        <v>30474.9227280486</v>
      </c>
      <c r="BH39" t="n">
        <v>35948.0966792524</v>
      </c>
      <c r="BI39" t="n">
        <v>104096.291305842</v>
      </c>
      <c r="BJ39" t="n">
        <v>59395.8421460585</v>
      </c>
      <c r="BK39" t="n">
        <v>106004.900281833</v>
      </c>
      <c r="BL39" t="n">
        <v>36890.4681053078</v>
      </c>
      <c r="BM39" t="n">
        <v>22435.8808966963</v>
      </c>
      <c r="BN39" t="n">
        <v>56506.369473605</v>
      </c>
      <c r="BO39" t="n">
        <v>239178.466757442</v>
      </c>
      <c r="BP39" t="n">
        <v>268561.743626351</v>
      </c>
      <c r="BQ39" t="n">
        <v>1229666.73568783</v>
      </c>
      <c r="BR39" t="n">
        <v>811626.162336572</v>
      </c>
      <c r="BS39" t="n">
        <v>843661.184722751</v>
      </c>
      <c r="BT39" t="n">
        <v>149.300129874417</v>
      </c>
      <c r="BU39" t="n">
        <v>1.51506540104293</v>
      </c>
      <c r="BV39" t="n">
        <v>1.28558190701637</v>
      </c>
      <c r="BW39" t="n">
        <v>104.188089366964</v>
      </c>
      <c r="BX39" t="n">
        <v>95137.180405256</v>
      </c>
      <c r="BY39" t="n">
        <v>1.82479317609929</v>
      </c>
      <c r="BZ39" t="n">
        <v>173605.677596839</v>
      </c>
      <c r="CA39" t="n">
        <v>10840.8517033373</v>
      </c>
      <c r="CB39" t="n">
        <v>16385.3837652746</v>
      </c>
      <c r="CC39" t="n">
        <v>17348.7400043245</v>
      </c>
      <c r="CD39" t="n">
        <v>963.356239049899</v>
      </c>
      <c r="CE39" t="n">
        <v>0.0555288791490229</v>
      </c>
      <c r="CF39" t="n">
        <v>12214905.5485696</v>
      </c>
      <c r="CG39" t="n">
        <v>578436.353544248</v>
      </c>
      <c r="CH39" t="n">
        <v>768843.741262833</v>
      </c>
      <c r="CI39" t="n">
        <v>446066.675062504</v>
      </c>
      <c r="CJ39" t="n">
        <v>33471.8467918922</v>
      </c>
      <c r="CK39" t="n">
        <v>1219101.66817914</v>
      </c>
      <c r="CL39" t="n">
        <v>0.103338976675914</v>
      </c>
      <c r="CM39" t="n">
        <v>9.67689087086807</v>
      </c>
      <c r="CN39" t="n">
        <v>1302452.44046144</v>
      </c>
      <c r="CO39" t="n">
        <v>3539997.4206466</v>
      </c>
      <c r="CP39" t="n">
        <v>3567216.58169716</v>
      </c>
      <c r="CQ39" t="n">
        <v>4842449.86110804</v>
      </c>
      <c r="CR39" t="n">
        <v>10497142.9371224</v>
      </c>
      <c r="CS39" t="n">
        <v>-0.00740347267678984</v>
      </c>
      <c r="CT39" t="n">
        <v>-0.00193294351913424</v>
      </c>
      <c r="CU39" t="n">
        <v>0.0577378932570141</v>
      </c>
      <c r="CV39" t="n">
        <v>2.00833574636564</v>
      </c>
      <c r="CW39" t="n">
        <v>0.0577378932570143</v>
      </c>
      <c r="CX39" t="n">
        <v>0.039440022763365</v>
      </c>
      <c r="CY39" t="n">
        <v>0.019440022763365</v>
      </c>
      <c r="CZ39" t="n">
        <v>-0.0213729662824992</v>
      </c>
      <c r="DA39" t="n">
        <v>0.450840136258884</v>
      </c>
      <c r="DB39" t="n">
        <v>7.01038375139206</v>
      </c>
      <c r="DC39" t="n">
        <v>0.0506178523379304</v>
      </c>
      <c r="DD39" t="n">
        <v>0.0344173753231142</v>
      </c>
      <c r="DE39" t="n">
        <v>0.00682796976910664</v>
      </c>
      <c r="DF39" t="n">
        <v>0.148544446431894</v>
      </c>
      <c r="DG39" t="n">
        <v>231460.675030106</v>
      </c>
      <c r="DH39" t="n">
        <v>150.597743855768</v>
      </c>
      <c r="DI39" t="n">
        <v>5.05655335142192</v>
      </c>
      <c r="DJ39" t="n">
        <v>4.34572433421618</v>
      </c>
      <c r="DK39" t="n">
        <v>0.0484267358713257</v>
      </c>
      <c r="DL39" t="n">
        <v>0.669440030437354</v>
      </c>
      <c r="DM39" t="n">
        <v>1.54235277513357</v>
      </c>
      <c r="DN39" t="n">
        <v>0.0399169327369503</v>
      </c>
      <c r="DO39" t="n">
        <v>0.0374213819593254</v>
      </c>
      <c r="DP39" t="n">
        <v>31073.65</v>
      </c>
      <c r="DQ39" t="n">
        <v>26077.8302209885</v>
      </c>
      <c r="DR39" t="n">
        <v>184877.575109851</v>
      </c>
      <c r="DS39" t="n">
        <v>32641.4299138154</v>
      </c>
      <c r="DT39" t="n">
        <v>13941.6700064396</v>
      </c>
      <c r="DU39" t="n">
        <v>0</v>
      </c>
      <c r="DV39" t="n">
        <v>58.425</v>
      </c>
      <c r="DW39" t="n">
        <v>208288.96</v>
      </c>
      <c r="DX39" t="n">
        <v>2.48552678756443</v>
      </c>
      <c r="DY39" t="n">
        <v>73.306</v>
      </c>
      <c r="DZ39" t="n">
        <v>1.02062376390299</v>
      </c>
      <c r="EA39" t="n">
        <v>1.20449936397015</v>
      </c>
      <c r="EB39" t="n">
        <v>191481666.98941</v>
      </c>
      <c r="EC39" t="n">
        <v>3.16578023222883</v>
      </c>
      <c r="ED39" t="n">
        <v>0.0435</v>
      </c>
      <c r="EE39" t="n">
        <v>0.0304926484848485</v>
      </c>
      <c r="EF39" t="n">
        <v>0.03050813492075</v>
      </c>
      <c r="EG39" t="n">
        <v>0.0441803333333333</v>
      </c>
      <c r="EH39" t="n">
        <v>811199.449997569</v>
      </c>
      <c r="EI39" t="n">
        <v>446829.511677015</v>
      </c>
      <c r="EJ39" t="n">
        <v>1488.58077026599</v>
      </c>
      <c r="EK39" t="n">
        <v>1.31066899820369</v>
      </c>
      <c r="EL39" t="n">
        <v>4.02918337647202</v>
      </c>
    </row>
    <row r="40">
      <c r="A40" s="2" t="n">
        <v>49461</v>
      </c>
      <c r="B40" t="n">
        <v>449363.800690713</v>
      </c>
      <c r="C40" t="n">
        <v>41148.202470213</v>
      </c>
      <c r="D40" t="n">
        <v>27707.2475924564</v>
      </c>
      <c r="E40" t="n">
        <v>255682.866401333</v>
      </c>
      <c r="F40" t="n">
        <v>71080.3686092965</v>
      </c>
      <c r="G40" t="n">
        <v>16628.1058011974</v>
      </c>
      <c r="H40" t="n">
        <v>81829.9025416482</v>
      </c>
      <c r="I40" t="n">
        <v>93140.2701719172</v>
      </c>
      <c r="J40" t="n">
        <v>100548.142708486</v>
      </c>
      <c r="K40" t="n">
        <v>392.350246872945</v>
      </c>
      <c r="L40" t="n">
        <v>5568.71820209324</v>
      </c>
      <c r="M40" t="n">
        <v>0.665272761287944</v>
      </c>
      <c r="N40" t="n">
        <v>38703.7269955204</v>
      </c>
      <c r="O40" t="n">
        <v>215.903847055471</v>
      </c>
      <c r="P40" t="n">
        <v>2.50410528376821</v>
      </c>
      <c r="Q40" t="n">
        <v>1.81497601429388</v>
      </c>
      <c r="R40" t="n">
        <v>1.24158007434236</v>
      </c>
      <c r="S40" t="n">
        <v>0.0987026196635721</v>
      </c>
      <c r="T40" t="n">
        <v>6064.99049237142</v>
      </c>
      <c r="U40" t="n">
        <v>0.361069834988679</v>
      </c>
      <c r="V40" t="n">
        <v>0.488948517608843</v>
      </c>
      <c r="W40" t="n">
        <v>34334264.9390866</v>
      </c>
      <c r="X40" t="n">
        <v>105563.527932104</v>
      </c>
      <c r="Y40" t="n">
        <v>4429385.73022685</v>
      </c>
      <c r="Z40" t="n">
        <v>1521.3170337176</v>
      </c>
      <c r="AA40" t="n">
        <v>1.31348867082436</v>
      </c>
      <c r="AB40" t="n">
        <v>1.25833375010534</v>
      </c>
      <c r="AC40" t="n">
        <v>1.55289825734196</v>
      </c>
      <c r="AD40" t="n">
        <v>1.74629180622425</v>
      </c>
      <c r="AE40" t="n">
        <v>150.956873845892</v>
      </c>
      <c r="AF40" t="n">
        <v>115828.802099117</v>
      </c>
      <c r="AG40" t="n">
        <v>1882.01727907577</v>
      </c>
      <c r="AH40" t="n">
        <v>173.411663350123</v>
      </c>
      <c r="AI40" t="n">
        <v>83580.6171414025</v>
      </c>
      <c r="AJ40" t="n">
        <v>125469.320041459</v>
      </c>
      <c r="AK40" t="n">
        <v>634.726553501287</v>
      </c>
      <c r="AL40" t="n">
        <v>33558.2369607753</v>
      </c>
      <c r="AM40" t="n">
        <v>18076.101923676</v>
      </c>
      <c r="AN40" t="n">
        <v>1.06465299603493</v>
      </c>
      <c r="AO40" t="n">
        <v>1.2467985952833</v>
      </c>
      <c r="AP40" t="n">
        <v>1.40472872880691</v>
      </c>
      <c r="AQ40" t="n">
        <v>1.52120550612848</v>
      </c>
      <c r="AR40" t="n">
        <v>37886.3342445657</v>
      </c>
      <c r="AS40" t="n">
        <v>219239.501775156</v>
      </c>
      <c r="AT40" t="n">
        <v>0.0331251853860166</v>
      </c>
      <c r="AU40" t="n">
        <v>0.0379085301983115</v>
      </c>
      <c r="AV40" t="n">
        <v>0.281975796562188</v>
      </c>
      <c r="AW40" t="n">
        <v>849.352494362945</v>
      </c>
      <c r="AX40" t="n">
        <v>12446.0203613995</v>
      </c>
      <c r="AY40" t="n">
        <v>20581.8388483298</v>
      </c>
      <c r="AZ40" t="n">
        <v>186353.417725057</v>
      </c>
      <c r="BA40" t="n">
        <v>683574.689807522</v>
      </c>
      <c r="BB40" t="n">
        <v>287916.968265222</v>
      </c>
      <c r="BC40" t="n">
        <v>318925.416012035</v>
      </c>
      <c r="BD40" t="n">
        <v>120916.515174333</v>
      </c>
      <c r="BE40" t="n">
        <v>22.460404152736</v>
      </c>
      <c r="BF40" t="n">
        <v>71856.7688145896</v>
      </c>
      <c r="BG40" t="n">
        <v>31166.1453488672</v>
      </c>
      <c r="BH40" t="n">
        <v>36393.155812417</v>
      </c>
      <c r="BI40" t="n">
        <v>105172.31037186</v>
      </c>
      <c r="BJ40" t="n">
        <v>59894.7303564103</v>
      </c>
      <c r="BK40" t="n">
        <v>107048.881380337</v>
      </c>
      <c r="BL40" t="n">
        <v>37355.5438397805</v>
      </c>
      <c r="BM40" t="n">
        <v>22537.2584866371</v>
      </c>
      <c r="BN40" t="n">
        <v>57192.0257904018</v>
      </c>
      <c r="BO40" t="n">
        <v>241474.557497156</v>
      </c>
      <c r="BP40" t="n">
        <v>272203.396912781</v>
      </c>
      <c r="BQ40" t="n">
        <v>1245245.92936126</v>
      </c>
      <c r="BR40" t="n">
        <v>814060.672962983</v>
      </c>
      <c r="BS40" t="n">
        <v>847376.726787098</v>
      </c>
      <c r="BT40" t="n">
        <v>150.64320464296</v>
      </c>
      <c r="BU40" t="n">
        <v>1.5296721123862</v>
      </c>
      <c r="BV40" t="n">
        <v>1.2957881880837</v>
      </c>
      <c r="BW40" t="n">
        <v>104.36605861044</v>
      </c>
      <c r="BX40" t="n">
        <v>95609.9537122594</v>
      </c>
      <c r="BY40" t="n">
        <v>1.85412835887018</v>
      </c>
      <c r="BZ40" t="n">
        <v>177273.126568166</v>
      </c>
      <c r="CA40" t="n">
        <v>10862.4716521216</v>
      </c>
      <c r="CB40" t="n">
        <v>16431.1898542148</v>
      </c>
      <c r="CC40" t="n">
        <v>17398.4156215257</v>
      </c>
      <c r="CD40" t="n">
        <v>967.225767310832</v>
      </c>
      <c r="CE40" t="n">
        <v>0.0555927408357918</v>
      </c>
      <c r="CF40" t="n">
        <v>12249832.0653448</v>
      </c>
      <c r="CG40" t="n">
        <v>585321.340729976</v>
      </c>
      <c r="CH40" t="n">
        <v>776450.510245422</v>
      </c>
      <c r="CI40" t="n">
        <v>451791.617151208</v>
      </c>
      <c r="CJ40" t="n">
        <v>33803.0097997985</v>
      </c>
      <c r="CK40" t="n">
        <v>1234547.0083229</v>
      </c>
      <c r="CL40" t="n">
        <v>0.104654171230713</v>
      </c>
      <c r="CM40" t="n">
        <v>9.55528086687982</v>
      </c>
      <c r="CN40" t="n">
        <v>1308816.68388415</v>
      </c>
      <c r="CO40" t="n">
        <v>3566446.20208784</v>
      </c>
      <c r="CP40" t="n">
        <v>3579580.1616684</v>
      </c>
      <c r="CQ40" t="n">
        <v>4875262.88597199</v>
      </c>
      <c r="CR40" t="n">
        <v>10542319.5419576</v>
      </c>
      <c r="CS40" t="n">
        <v>-0.00732408779156592</v>
      </c>
      <c r="CT40" t="n">
        <v>-0.00254074297927098</v>
      </c>
      <c r="CU40" t="n">
        <v>0.0582533464859896</v>
      </c>
      <c r="CV40" t="n">
        <v>2.02843188038775</v>
      </c>
      <c r="CW40" t="n">
        <v>0.0582533464859896</v>
      </c>
      <c r="CX40" t="n">
        <v>0.039440022763365</v>
      </c>
      <c r="CY40" t="n">
        <v>0.019440022763365</v>
      </c>
      <c r="CZ40" t="n">
        <v>-0.021980765742636</v>
      </c>
      <c r="DA40" t="n">
        <v>0.446861909888789</v>
      </c>
      <c r="DB40" t="n">
        <v>7.04627108069424</v>
      </c>
      <c r="DC40" t="n">
        <v>0.0508546766360166</v>
      </c>
      <c r="DD40" t="n">
        <v>0.0345708278513288</v>
      </c>
      <c r="DE40" t="n">
        <v>0.0067950231233488</v>
      </c>
      <c r="DF40" t="n">
        <v>0.149544903740437</v>
      </c>
      <c r="DG40" t="n">
        <v>232122.498825393</v>
      </c>
      <c r="DH40" t="n">
        <v>151.934537033057</v>
      </c>
      <c r="DI40" t="n">
        <v>5.06556407785821</v>
      </c>
      <c r="DJ40" t="n">
        <v>4.35179775066402</v>
      </c>
      <c r="DK40" t="n">
        <v>0.0484267358713257</v>
      </c>
      <c r="DL40" t="n">
        <v>0.669440030437354</v>
      </c>
      <c r="DM40" t="n">
        <v>1.55785982262868</v>
      </c>
      <c r="DN40" t="n">
        <v>0.0399169327369503</v>
      </c>
      <c r="DO40" t="n">
        <v>0.0374213819593254</v>
      </c>
      <c r="DP40" t="n">
        <v>31162.5</v>
      </c>
      <c r="DQ40" t="n">
        <v>26152.3041885</v>
      </c>
      <c r="DR40" t="n">
        <v>185406.202179684</v>
      </c>
      <c r="DS40" t="n">
        <v>32734.7627230555</v>
      </c>
      <c r="DT40" t="n">
        <v>13981.5339226539</v>
      </c>
      <c r="DU40" t="n">
        <v>0</v>
      </c>
      <c r="DV40" t="n">
        <v>58.425</v>
      </c>
      <c r="DW40" t="n">
        <v>208288.96</v>
      </c>
      <c r="DX40" t="n">
        <v>2.49786228693448</v>
      </c>
      <c r="DY40" t="n">
        <v>73.306</v>
      </c>
      <c r="DZ40" t="n">
        <v>1.02062376390299</v>
      </c>
      <c r="EA40" t="n">
        <v>1.20449936397015</v>
      </c>
      <c r="EB40" t="n">
        <v>192800381.839582</v>
      </c>
      <c r="EC40" t="n">
        <v>3.16578023222883</v>
      </c>
      <c r="ED40" t="n">
        <v>0.0435</v>
      </c>
      <c r="EE40" t="n">
        <v>0.0304926484848485</v>
      </c>
      <c r="EF40" t="n">
        <v>0.03050813492075</v>
      </c>
      <c r="EG40" t="n">
        <v>0.0441803333333333</v>
      </c>
      <c r="EH40" t="n">
        <v>813734.994811122</v>
      </c>
      <c r="EI40" t="n">
        <v>449482.881289299</v>
      </c>
      <c r="EJ40" t="n">
        <v>1509.98258494907</v>
      </c>
      <c r="EK40" t="n">
        <v>1.29903884228377</v>
      </c>
      <c r="EL40" t="n">
        <v>4.04492731775825</v>
      </c>
    </row>
    <row r="41">
      <c r="A41" s="2" t="n">
        <v>49553</v>
      </c>
      <c r="B41" t="n">
        <v>451581.252200743</v>
      </c>
      <c r="C41" t="n">
        <v>41343.4091667664</v>
      </c>
      <c r="D41" t="n">
        <v>27872.7595830738</v>
      </c>
      <c r="E41" t="n">
        <v>256515.060650895</v>
      </c>
      <c r="F41" t="n">
        <v>72078.2112523217</v>
      </c>
      <c r="G41" t="n">
        <v>16819.1409543254</v>
      </c>
      <c r="H41" t="n">
        <v>82924.7089773618</v>
      </c>
      <c r="I41" t="n">
        <v>98147.3204484211</v>
      </c>
      <c r="J41" t="n">
        <v>100738.748232764</v>
      </c>
      <c r="K41" t="n">
        <v>391.956494348366</v>
      </c>
      <c r="L41" t="n">
        <v>5592.78508930665</v>
      </c>
      <c r="M41" t="n">
        <v>0.665264955091977</v>
      </c>
      <c r="N41" t="n">
        <v>39052.5263888293</v>
      </c>
      <c r="O41" t="n">
        <v>218.069944131086</v>
      </c>
      <c r="P41" t="n">
        <v>2.54866053248984</v>
      </c>
      <c r="Q41" t="n">
        <v>1.83213420398448</v>
      </c>
      <c r="R41" t="n">
        <v>1.24928429506439</v>
      </c>
      <c r="S41" t="n">
        <v>0.0992938734851709</v>
      </c>
      <c r="T41" t="n">
        <v>6013.74897733141</v>
      </c>
      <c r="U41" t="n">
        <v>0.359729433747638</v>
      </c>
      <c r="V41" t="n">
        <v>0.484804559194423</v>
      </c>
      <c r="W41" t="n">
        <v>34895690.9874006</v>
      </c>
      <c r="X41" t="n">
        <v>107251.284871092</v>
      </c>
      <c r="Y41" t="n">
        <v>4433460.78173659</v>
      </c>
      <c r="Z41" t="n">
        <v>1544.67625925318</v>
      </c>
      <c r="AA41" t="n">
        <v>1.32170584836024</v>
      </c>
      <c r="AB41" t="n">
        <v>1.26528236796696</v>
      </c>
      <c r="AC41" t="n">
        <v>1.56747462043993</v>
      </c>
      <c r="AD41" t="n">
        <v>1.76702307906247</v>
      </c>
      <c r="AE41" t="n">
        <v>152.295598432311</v>
      </c>
      <c r="AF41" t="n">
        <v>117229.043671952</v>
      </c>
      <c r="AG41" t="n">
        <v>1914.56945999373</v>
      </c>
      <c r="AH41" t="n">
        <v>176.203893423898</v>
      </c>
      <c r="AI41" t="n">
        <v>83952.2829323969</v>
      </c>
      <c r="AJ41" t="n">
        <v>126444.001067673</v>
      </c>
      <c r="AK41" t="n">
        <v>637.947682955725</v>
      </c>
      <c r="AL41" t="n">
        <v>33941.2428360031</v>
      </c>
      <c r="AM41" t="n">
        <v>18021.3115590585</v>
      </c>
      <c r="AN41" t="n">
        <v>1.07309966768793</v>
      </c>
      <c r="AO41" t="n">
        <v>1.2561533103428</v>
      </c>
      <c r="AP41" t="n">
        <v>1.41519701172201</v>
      </c>
      <c r="AQ41" t="n">
        <v>1.53516384154466</v>
      </c>
      <c r="AR41" t="n">
        <v>38012.7796900967</v>
      </c>
      <c r="AS41" t="n">
        <v>220738.494759442</v>
      </c>
      <c r="AT41" t="n">
        <v>0.0332824315437678</v>
      </c>
      <c r="AU41" t="n">
        <v>0.0374983157076646</v>
      </c>
      <c r="AV41" t="n">
        <v>0.283213380909714</v>
      </c>
      <c r="AW41" t="n">
        <v>832.194249561493</v>
      </c>
      <c r="AX41" t="n">
        <v>12505.0641682765</v>
      </c>
      <c r="AY41" t="n">
        <v>20644.460292936</v>
      </c>
      <c r="AZ41" t="n">
        <v>186678.299774856</v>
      </c>
      <c r="BA41" t="n">
        <v>693251.211818837</v>
      </c>
      <c r="BB41" t="n">
        <v>291444.861826447</v>
      </c>
      <c r="BC41" t="n">
        <v>322992.347691964</v>
      </c>
      <c r="BD41" t="n">
        <v>125877.008610518</v>
      </c>
      <c r="BE41" t="n">
        <v>22.9773642292672</v>
      </c>
      <c r="BF41" t="n">
        <v>73054.7581647992</v>
      </c>
      <c r="BG41" t="n">
        <v>31871.1635019391</v>
      </c>
      <c r="BH41" t="n">
        <v>36839.5893508876</v>
      </c>
      <c r="BI41" t="n">
        <v>106223.34236943</v>
      </c>
      <c r="BJ41" t="n">
        <v>60371.7321000813</v>
      </c>
      <c r="BK41" t="n">
        <v>108102.717251878</v>
      </c>
      <c r="BL41" t="n">
        <v>37823.4218254874</v>
      </c>
      <c r="BM41" t="n">
        <v>22637.5301716302</v>
      </c>
      <c r="BN41" t="n">
        <v>57891.7903097888</v>
      </c>
      <c r="BO41" t="n">
        <v>243796.307558784</v>
      </c>
      <c r="BP41" t="n">
        <v>275765.134819126</v>
      </c>
      <c r="BQ41" t="n">
        <v>1261087.83187208</v>
      </c>
      <c r="BR41" t="n">
        <v>816537.500058475</v>
      </c>
      <c r="BS41" t="n">
        <v>851027.666408238</v>
      </c>
      <c r="BT41" t="n">
        <v>152.004554296257</v>
      </c>
      <c r="BU41" t="n">
        <v>1.54443342851132</v>
      </c>
      <c r="BV41" t="n">
        <v>1.30597025927928</v>
      </c>
      <c r="BW41" t="n">
        <v>104.537475131869</v>
      </c>
      <c r="BX41" t="n">
        <v>96081.7550365031</v>
      </c>
      <c r="BY41" t="n">
        <v>1.88398305759264</v>
      </c>
      <c r="BZ41" t="n">
        <v>181016.398632538</v>
      </c>
      <c r="CA41" t="n">
        <v>10883.3874520198</v>
      </c>
      <c r="CB41" t="n">
        <v>16476.1725413265</v>
      </c>
      <c r="CC41" t="n">
        <v>17447.8195292672</v>
      </c>
      <c r="CD41" t="n">
        <v>971.64698794072</v>
      </c>
      <c r="CE41" t="n">
        <v>0.0556887257192587</v>
      </c>
      <c r="CF41" t="n">
        <v>12284620.9987674</v>
      </c>
      <c r="CG41" t="n">
        <v>592213.118066775</v>
      </c>
      <c r="CH41" t="n">
        <v>789396.879243104</v>
      </c>
      <c r="CI41" t="n">
        <v>457710.281577443</v>
      </c>
      <c r="CJ41" t="n">
        <v>34366.6339230696</v>
      </c>
      <c r="CK41" t="n">
        <v>1250252.80015866</v>
      </c>
      <c r="CL41" t="n">
        <v>0.106081528404402</v>
      </c>
      <c r="CM41" t="n">
        <v>9.42671184174327</v>
      </c>
      <c r="CN41" t="n">
        <v>1315245.53216733</v>
      </c>
      <c r="CO41" t="n">
        <v>3592873.33290907</v>
      </c>
      <c r="CP41" t="n">
        <v>3592041.72968971</v>
      </c>
      <c r="CQ41" t="n">
        <v>4908118.8650764</v>
      </c>
      <c r="CR41" t="n">
        <v>10587637.0890833</v>
      </c>
      <c r="CS41" t="n">
        <v>-0.00729387122477216</v>
      </c>
      <c r="CT41" t="n">
        <v>-0.00307798706087532</v>
      </c>
      <c r="CU41" t="n">
        <v>0.0587175707166309</v>
      </c>
      <c r="CV41" t="n">
        <v>2.04878251528433</v>
      </c>
      <c r="CW41" t="n">
        <v>0.0587175707166307</v>
      </c>
      <c r="CX41" t="n">
        <v>0.039440022763365</v>
      </c>
      <c r="CY41" t="n">
        <v>0.0194400227633649</v>
      </c>
      <c r="CZ41" t="n">
        <v>-0.0225180098242402</v>
      </c>
      <c r="DA41" t="n">
        <v>0.442979917150601</v>
      </c>
      <c r="DB41" t="n">
        <v>7.08339824366005</v>
      </c>
      <c r="DC41" t="n">
        <v>0.0510119227937678</v>
      </c>
      <c r="DD41" t="n">
        <v>0.0346713963421874</v>
      </c>
      <c r="DE41" t="n">
        <v>0.00676503602118348</v>
      </c>
      <c r="DF41" t="n">
        <v>0.150612639189509</v>
      </c>
      <c r="DG41" t="n">
        <v>232781.715548892</v>
      </c>
      <c r="DH41" t="n">
        <v>153.257172925322</v>
      </c>
      <c r="DI41" t="n">
        <v>5.07440501628909</v>
      </c>
      <c r="DJ41" t="n">
        <v>4.35770137910644</v>
      </c>
      <c r="DK41" t="n">
        <v>0.0484267358713257</v>
      </c>
      <c r="DL41" t="n">
        <v>0.669440030437354</v>
      </c>
      <c r="DM41" t="n">
        <v>1.57352278031884</v>
      </c>
      <c r="DN41" t="n">
        <v>0.0399169327369503</v>
      </c>
      <c r="DO41" t="n">
        <v>0.0374213819593254</v>
      </c>
      <c r="DP41" t="n">
        <v>31251</v>
      </c>
      <c r="DQ41" t="n">
        <v>26226.8730612075</v>
      </c>
      <c r="DR41" t="n">
        <v>185932.746869388</v>
      </c>
      <c r="DS41" t="n">
        <v>32827.7278735084</v>
      </c>
      <c r="DT41" t="n">
        <v>14021.2408059962</v>
      </c>
      <c r="DU41" t="n">
        <v>0</v>
      </c>
      <c r="DV41" t="n">
        <v>58.75</v>
      </c>
      <c r="DW41" t="n">
        <v>208288.96</v>
      </c>
      <c r="DX41" t="n">
        <v>2.51025900654382</v>
      </c>
      <c r="DY41" t="n">
        <v>73.306</v>
      </c>
      <c r="DZ41" t="n">
        <v>1.02062376390299</v>
      </c>
      <c r="EA41" t="n">
        <v>1.20449936397015</v>
      </c>
      <c r="EB41" t="n">
        <v>194128178.545387</v>
      </c>
      <c r="EC41" t="n">
        <v>3.16578023222883</v>
      </c>
      <c r="ED41" t="n">
        <v>0.0435</v>
      </c>
      <c r="EE41" t="n">
        <v>0.0304926484848485</v>
      </c>
      <c r="EF41" t="n">
        <v>0.03050813492075</v>
      </c>
      <c r="EG41" t="n">
        <v>0.0441803333333333</v>
      </c>
      <c r="EH41" t="n">
        <v>816266.043273597</v>
      </c>
      <c r="EI41" t="n">
        <v>452046.163018638</v>
      </c>
      <c r="EJ41" t="n">
        <v>1532.03032840367</v>
      </c>
      <c r="EK41" t="n">
        <v>1.28067794415709</v>
      </c>
      <c r="EL41" t="n">
        <v>4.057630276854</v>
      </c>
    </row>
    <row r="42">
      <c r="A42" s="2" t="n">
        <v>49644</v>
      </c>
      <c r="B42" t="n">
        <v>453907.281855652</v>
      </c>
      <c r="C42" t="n">
        <v>41536.2595832221</v>
      </c>
      <c r="D42" t="n">
        <v>28034.6085995563</v>
      </c>
      <c r="E42" t="n">
        <v>257344.417254013</v>
      </c>
      <c r="F42" t="n">
        <v>73119.0289502551</v>
      </c>
      <c r="G42" t="n">
        <v>17010.880785541</v>
      </c>
      <c r="H42" t="n">
        <v>84043.8922504891</v>
      </c>
      <c r="I42" t="n">
        <v>97723.5779609899</v>
      </c>
      <c r="J42" t="n">
        <v>100941.405441324</v>
      </c>
      <c r="K42" t="n">
        <v>391.567083838368</v>
      </c>
      <c r="L42" t="n">
        <v>5616.92003781623</v>
      </c>
      <c r="M42" t="n">
        <v>0.665247490956784</v>
      </c>
      <c r="N42" t="n">
        <v>39402.7735224389</v>
      </c>
      <c r="O42" t="n">
        <v>220.26299062667</v>
      </c>
      <c r="P42" t="n">
        <v>2.59406461516013</v>
      </c>
      <c r="Q42" t="n">
        <v>1.849196626537</v>
      </c>
      <c r="R42" t="n">
        <v>1.25698941366583</v>
      </c>
      <c r="S42" t="n">
        <v>0.0998666049980277</v>
      </c>
      <c r="T42" t="n">
        <v>5962.35764694764</v>
      </c>
      <c r="U42" t="n">
        <v>0.358463673771221</v>
      </c>
      <c r="V42" t="n">
        <v>0.480787417546875</v>
      </c>
      <c r="W42" t="n">
        <v>35468248.5897948</v>
      </c>
      <c r="X42" t="n">
        <v>108960.39816868</v>
      </c>
      <c r="Y42" t="n">
        <v>4437560.85758665</v>
      </c>
      <c r="Z42" t="n">
        <v>1568.62321641416</v>
      </c>
      <c r="AA42" t="n">
        <v>1.33001461728464</v>
      </c>
      <c r="AB42" t="n">
        <v>1.27229194227363</v>
      </c>
      <c r="AC42" t="n">
        <v>1.58214733460203</v>
      </c>
      <c r="AD42" t="n">
        <v>1.78832396038559</v>
      </c>
      <c r="AE42" t="n">
        <v>153.644131953373</v>
      </c>
      <c r="AF42" t="n">
        <v>118617.911703842</v>
      </c>
      <c r="AG42" t="n">
        <v>1947.08325135416</v>
      </c>
      <c r="AH42" t="n">
        <v>179.04230404325</v>
      </c>
      <c r="AI42" t="n">
        <v>84311.6042384076</v>
      </c>
      <c r="AJ42" t="n">
        <v>127475.5539651</v>
      </c>
      <c r="AK42" t="n">
        <v>641.22238041861</v>
      </c>
      <c r="AL42" t="n">
        <v>34336.939275197</v>
      </c>
      <c r="AM42" t="n">
        <v>17968.8011338235</v>
      </c>
      <c r="AN42" t="n">
        <v>1.0814372520366</v>
      </c>
      <c r="AO42" t="n">
        <v>1.26541902467481</v>
      </c>
      <c r="AP42" t="n">
        <v>1.42579420299385</v>
      </c>
      <c r="AQ42" t="n">
        <v>1.54929661557808</v>
      </c>
      <c r="AR42" t="n">
        <v>38146.6955752445</v>
      </c>
      <c r="AS42" t="n">
        <v>222269.296888062</v>
      </c>
      <c r="AT42" t="n">
        <v>0.0334340476953785</v>
      </c>
      <c r="AU42" t="n">
        <v>0.0371251776420812</v>
      </c>
      <c r="AV42" t="n">
        <v>0.284226646204702</v>
      </c>
      <c r="AW42" t="n">
        <v>829.356603118358</v>
      </c>
      <c r="AX42" t="n">
        <v>12563.3952754894</v>
      </c>
      <c r="AY42" t="n">
        <v>20709.5152127354</v>
      </c>
      <c r="AZ42" t="n">
        <v>187027.417363127</v>
      </c>
      <c r="BA42" t="n">
        <v>703237.017569224</v>
      </c>
      <c r="BB42" t="n">
        <v>295006.071152001</v>
      </c>
      <c r="BC42" t="n">
        <v>327128.652965324</v>
      </c>
      <c r="BD42" t="n">
        <v>125375.359061992</v>
      </c>
      <c r="BE42" t="n">
        <v>22.9250845937161</v>
      </c>
      <c r="BF42" t="n">
        <v>74280.2882374716</v>
      </c>
      <c r="BG42" t="n">
        <v>32590.2591304171</v>
      </c>
      <c r="BH42" t="n">
        <v>37286.4392272637</v>
      </c>
      <c r="BI42" t="n">
        <v>107268.973707165</v>
      </c>
      <c r="BJ42" t="n">
        <v>60871.488341821</v>
      </c>
      <c r="BK42" t="n">
        <v>109161.796117178</v>
      </c>
      <c r="BL42" t="n">
        <v>38295.965668607</v>
      </c>
      <c r="BM42" t="n">
        <v>22738.0628053385</v>
      </c>
      <c r="BN42" t="n">
        <v>58610.1592854801</v>
      </c>
      <c r="BO42" t="n">
        <v>246146.831876603</v>
      </c>
      <c r="BP42" t="n">
        <v>279390.153171241</v>
      </c>
      <c r="BQ42" t="n">
        <v>1277297.21607073</v>
      </c>
      <c r="BR42" t="n">
        <v>819110.576775134</v>
      </c>
      <c r="BS42" t="n">
        <v>854782.426823519</v>
      </c>
      <c r="BT42" t="n">
        <v>153.382682417009</v>
      </c>
      <c r="BU42" t="n">
        <v>1.55937089518065</v>
      </c>
      <c r="BV42" t="n">
        <v>1.31610025603193</v>
      </c>
      <c r="BW42" t="n">
        <v>104.70257280797</v>
      </c>
      <c r="BX42" t="n">
        <v>96576.6582469919</v>
      </c>
      <c r="BY42" t="n">
        <v>1.91433152159896</v>
      </c>
      <c r="BZ42" t="n">
        <v>184879.741132907</v>
      </c>
      <c r="CA42" t="n">
        <v>10904.2858927649</v>
      </c>
      <c r="CB42" t="n">
        <v>16521.2059305811</v>
      </c>
      <c r="CC42" t="n">
        <v>17496.9693763455</v>
      </c>
      <c r="CD42" t="n">
        <v>975.763445764391</v>
      </c>
      <c r="CE42" t="n">
        <v>0.0557675599911851</v>
      </c>
      <c r="CF42" t="n">
        <v>12319409.9321901</v>
      </c>
      <c r="CG42" t="n">
        <v>599157.630163903</v>
      </c>
      <c r="CH42" t="n">
        <v>796351.686053843</v>
      </c>
      <c r="CI42" t="n">
        <v>463868.052623857</v>
      </c>
      <c r="CJ42" t="n">
        <v>34669.4135589601</v>
      </c>
      <c r="CK42" t="n">
        <v>1266322.91634805</v>
      </c>
      <c r="CL42" t="n">
        <v>0.107545105206306</v>
      </c>
      <c r="CM42" t="n">
        <v>9.29842411778458</v>
      </c>
      <c r="CN42" t="n">
        <v>1321735.37390728</v>
      </c>
      <c r="CO42" t="n">
        <v>3619248.62596221</v>
      </c>
      <c r="CP42" t="n">
        <v>3604598.63782257</v>
      </c>
      <c r="CQ42" t="n">
        <v>4940983.99986949</v>
      </c>
      <c r="CR42" t="n">
        <v>10633059.1320093</v>
      </c>
      <c r="CS42" t="n">
        <v>-0.00725429629253434</v>
      </c>
      <c r="CT42" t="n">
        <v>-0.00356316634583168</v>
      </c>
      <c r="CU42" t="n">
        <v>0.0591782610101148</v>
      </c>
      <c r="CV42" t="n">
        <v>2.06938634188346</v>
      </c>
      <c r="CW42" t="n">
        <v>0.0591782610101146</v>
      </c>
      <c r="CX42" t="n">
        <v>0.039440022763365</v>
      </c>
      <c r="CY42" t="n">
        <v>0.019440022763365</v>
      </c>
      <c r="CZ42" t="n">
        <v>-0.0230031891091967</v>
      </c>
      <c r="DA42" t="n">
        <v>0.439205557034177</v>
      </c>
      <c r="DB42" t="n">
        <v>7.12159229270098</v>
      </c>
      <c r="DC42" t="n">
        <v>0.0511635389453785</v>
      </c>
      <c r="DD42" t="n">
        <v>0.0347688613822053</v>
      </c>
      <c r="DE42" t="n">
        <v>0.00673777799449792</v>
      </c>
      <c r="DF42" t="n">
        <v>0.151705803268233</v>
      </c>
      <c r="DG42" t="n">
        <v>233440.932272392</v>
      </c>
      <c r="DH42" t="n">
        <v>154.567250325395</v>
      </c>
      <c r="DI42" t="n">
        <v>5.08309022599029</v>
      </c>
      <c r="DJ42" t="n">
        <v>4.36344927881919</v>
      </c>
      <c r="DK42" t="n">
        <v>0.0484267358713257</v>
      </c>
      <c r="DL42" t="n">
        <v>0.669440030437354</v>
      </c>
      <c r="DM42" t="n">
        <v>1.58934321574868</v>
      </c>
      <c r="DN42" t="n">
        <v>0.0399169327369503</v>
      </c>
      <c r="DO42" t="n">
        <v>0.0374213819593254</v>
      </c>
      <c r="DP42" t="n">
        <v>31339.5</v>
      </c>
      <c r="DQ42" t="n">
        <v>26301.4436193975</v>
      </c>
      <c r="DR42" t="n">
        <v>186459.291559092</v>
      </c>
      <c r="DS42" t="n">
        <v>32920.6930239614</v>
      </c>
      <c r="DT42" t="n">
        <v>14060.9476893385</v>
      </c>
      <c r="DU42" t="n">
        <v>0</v>
      </c>
      <c r="DV42" t="n">
        <v>58.75</v>
      </c>
      <c r="DW42" t="n">
        <v>208288.96</v>
      </c>
      <c r="DX42" t="n">
        <v>2.52271725022432</v>
      </c>
      <c r="DY42" t="n">
        <v>73.306</v>
      </c>
      <c r="DZ42" t="n">
        <v>1.02062376390299</v>
      </c>
      <c r="EA42" t="n">
        <v>1.20449936397015</v>
      </c>
      <c r="EB42" t="n">
        <v>195465119.652647</v>
      </c>
      <c r="EC42" t="n">
        <v>3.16578023222883</v>
      </c>
      <c r="ED42" t="n">
        <v>0.0435</v>
      </c>
      <c r="EE42" t="n">
        <v>0.0304926484848485</v>
      </c>
      <c r="EF42" t="n">
        <v>0.03050813492075</v>
      </c>
      <c r="EG42" t="n">
        <v>0.0441803333333333</v>
      </c>
      <c r="EH42" t="n">
        <v>818811.588611851</v>
      </c>
      <c r="EI42" t="n">
        <v>454551.470262358</v>
      </c>
      <c r="EJ42" t="n">
        <v>1554.74164426612</v>
      </c>
      <c r="EK42" t="n">
        <v>1.26128727115962</v>
      </c>
      <c r="EL42" t="n">
        <v>4.06883439879129</v>
      </c>
    </row>
    <row r="43">
      <c r="A43" s="2" t="n">
        <v>49735</v>
      </c>
      <c r="B43" t="n">
        <v>456270.457226596</v>
      </c>
      <c r="C43" t="n">
        <v>41728.0745413987</v>
      </c>
      <c r="D43" t="n">
        <v>28192.7181259706</v>
      </c>
      <c r="E43" t="n">
        <v>258174.461365425</v>
      </c>
      <c r="F43" t="n">
        <v>74176.9167655785</v>
      </c>
      <c r="G43" t="n">
        <v>17204.9512061867</v>
      </c>
      <c r="H43" t="n">
        <v>85179.8596472741</v>
      </c>
      <c r="I43" t="n">
        <v>97770.6131513056</v>
      </c>
      <c r="J43" t="n">
        <v>101155.819066537</v>
      </c>
      <c r="K43" t="n">
        <v>391.179858834577</v>
      </c>
      <c r="L43" t="n">
        <v>5641.13468984791</v>
      </c>
      <c r="M43" t="n">
        <v>0.665228855245502</v>
      </c>
      <c r="N43" t="n">
        <v>39756.4345995389</v>
      </c>
      <c r="O43" t="n">
        <v>222.482164740121</v>
      </c>
      <c r="P43" t="n">
        <v>2.64034200838677</v>
      </c>
      <c r="Q43" t="n">
        <v>1.86613623713623</v>
      </c>
      <c r="R43" t="n">
        <v>1.26468120304384</v>
      </c>
      <c r="S43" t="n">
        <v>0.10042947240178</v>
      </c>
      <c r="T43" t="n">
        <v>5911.06368947947</v>
      </c>
      <c r="U43" t="n">
        <v>0.357274568010654</v>
      </c>
      <c r="V43" t="n">
        <v>0.476897879393128</v>
      </c>
      <c r="W43" t="n">
        <v>36050823.9476171</v>
      </c>
      <c r="X43" t="n">
        <v>110692.165489636</v>
      </c>
      <c r="Y43" t="n">
        <v>4441682.17388536</v>
      </c>
      <c r="Z43" t="n">
        <v>1593.03454541774</v>
      </c>
      <c r="AA43" t="n">
        <v>1.33839677367337</v>
      </c>
      <c r="AB43" t="n">
        <v>1.27935490703273</v>
      </c>
      <c r="AC43" t="n">
        <v>1.59693304104811</v>
      </c>
      <c r="AD43" t="n">
        <v>1.81016597491334</v>
      </c>
      <c r="AE43" t="n">
        <v>155.003048793608</v>
      </c>
      <c r="AF43" t="n">
        <v>120010.2130296</v>
      </c>
      <c r="AG43" t="n">
        <v>1979.61708854251</v>
      </c>
      <c r="AH43" t="n">
        <v>181.925732724106</v>
      </c>
      <c r="AI43" t="n">
        <v>84661.9979609921</v>
      </c>
      <c r="AJ43" t="n">
        <v>128509.462908024</v>
      </c>
      <c r="AK43" t="n">
        <v>644.248309407115</v>
      </c>
      <c r="AL43" t="n">
        <v>34743.9064027411</v>
      </c>
      <c r="AM43" t="n">
        <v>17916.5849059621</v>
      </c>
      <c r="AN43" t="n">
        <v>1.08965129383941</v>
      </c>
      <c r="AO43" t="n">
        <v>1.27469452658896</v>
      </c>
      <c r="AP43" t="n">
        <v>1.43651578452416</v>
      </c>
      <c r="AQ43" t="n">
        <v>1.56359750410152</v>
      </c>
      <c r="AR43" t="n">
        <v>38282.2745100721</v>
      </c>
      <c r="AS43" t="n">
        <v>223831.88419443</v>
      </c>
      <c r="AT43" t="n">
        <v>0.0335656378207202</v>
      </c>
      <c r="AU43" t="n">
        <v>0.0367853808532839</v>
      </c>
      <c r="AV43" t="n">
        <v>0.285127003092436</v>
      </c>
      <c r="AW43" t="n">
        <v>830.044111411291</v>
      </c>
      <c r="AX43" t="n">
        <v>12621.4131895603</v>
      </c>
      <c r="AY43" t="n">
        <v>20774.792782433</v>
      </c>
      <c r="AZ43" t="n">
        <v>187390.471265004</v>
      </c>
      <c r="BA43" t="n">
        <v>713423.350207137</v>
      </c>
      <c r="BB43" t="n">
        <v>298603.860113713</v>
      </c>
      <c r="BC43" t="n">
        <v>331315.847051381</v>
      </c>
      <c r="BD43" t="n">
        <v>125334.553418109</v>
      </c>
      <c r="BE43" t="n">
        <v>22.9208320150047</v>
      </c>
      <c r="BF43" t="n">
        <v>75534.7407334875</v>
      </c>
      <c r="BG43" t="n">
        <v>33324.847449603</v>
      </c>
      <c r="BH43" t="n">
        <v>37733.0429808818</v>
      </c>
      <c r="BI43" t="n">
        <v>108312.741495706</v>
      </c>
      <c r="BJ43" t="n">
        <v>61380.1403872273</v>
      </c>
      <c r="BK43" t="n">
        <v>110224.569125237</v>
      </c>
      <c r="BL43" t="n">
        <v>38768.5936302944</v>
      </c>
      <c r="BM43" t="n">
        <v>22838.1727147962</v>
      </c>
      <c r="BN43" t="n">
        <v>59338.69263815</v>
      </c>
      <c r="BO43" t="n">
        <v>248510.876108478</v>
      </c>
      <c r="BP43" t="n">
        <v>283075.976582582</v>
      </c>
      <c r="BQ43" t="n">
        <v>1293747.62289365</v>
      </c>
      <c r="BR43" t="n">
        <v>821692.459819732</v>
      </c>
      <c r="BS43" t="n">
        <v>858563.842436521</v>
      </c>
      <c r="BT43" t="n">
        <v>154.77753629332</v>
      </c>
      <c r="BU43" t="n">
        <v>1.57449126247415</v>
      </c>
      <c r="BV43" t="n">
        <v>1.32616602344224</v>
      </c>
      <c r="BW43" t="n">
        <v>104.861685320412</v>
      </c>
      <c r="BX43" t="n">
        <v>97079.4648537603</v>
      </c>
      <c r="BY43" t="n">
        <v>1.9451613215367</v>
      </c>
      <c r="BZ43" t="n">
        <v>188835.220149016</v>
      </c>
      <c r="CA43" t="n">
        <v>10925.2171479588</v>
      </c>
      <c r="CB43" t="n">
        <v>16566.3518378067</v>
      </c>
      <c r="CC43" t="n">
        <v>17546.0868385273</v>
      </c>
      <c r="CD43" t="n">
        <v>979.735000720568</v>
      </c>
      <c r="CE43" t="n">
        <v>0.0558377972579612</v>
      </c>
      <c r="CF43" t="n">
        <v>12354198.8656127</v>
      </c>
      <c r="CG43" t="n">
        <v>606187.347633291</v>
      </c>
      <c r="CH43" t="n">
        <v>803932.645400313</v>
      </c>
      <c r="CI43" t="n">
        <v>470134.348663604</v>
      </c>
      <c r="CJ43" t="n">
        <v>34999.4529364854</v>
      </c>
      <c r="CK43" t="n">
        <v>1282631.98434022</v>
      </c>
      <c r="CL43" t="n">
        <v>0.108990250021117</v>
      </c>
      <c r="CM43" t="n">
        <v>9.17513263623349</v>
      </c>
      <c r="CN43" t="n">
        <v>1328281.5545142</v>
      </c>
      <c r="CO43" t="n">
        <v>3645560.56747974</v>
      </c>
      <c r="CP43" t="n">
        <v>3617247.76573446</v>
      </c>
      <c r="CQ43" t="n">
        <v>4973842.12199394</v>
      </c>
      <c r="CR43" t="n">
        <v>10678566.3820456</v>
      </c>
      <c r="CS43" t="n">
        <v>-0.00721434285678978</v>
      </c>
      <c r="CT43" t="n">
        <v>-0.00399459982422612</v>
      </c>
      <c r="CU43" t="n">
        <v>0.0596494917242704</v>
      </c>
      <c r="CV43" t="n">
        <v>2.09023563929639</v>
      </c>
      <c r="CW43" t="n">
        <v>0.0596494917242702</v>
      </c>
      <c r="CX43" t="n">
        <v>0.039440022763365</v>
      </c>
      <c r="CY43" t="n">
        <v>0.0194400227633649</v>
      </c>
      <c r="CZ43" t="n">
        <v>-0.023434622587591</v>
      </c>
      <c r="DA43" t="n">
        <v>0.435541057661582</v>
      </c>
      <c r="DB43" t="n">
        <v>7.16027977918384</v>
      </c>
      <c r="DC43" t="n">
        <v>0.0512951290707202</v>
      </c>
      <c r="DD43" t="n">
        <v>0.0348535303944764</v>
      </c>
      <c r="DE43" t="n">
        <v>0.00671297111430125</v>
      </c>
      <c r="DF43" t="n">
        <v>0.152781998841153</v>
      </c>
      <c r="DG43" t="n">
        <v>234100.148995891</v>
      </c>
      <c r="DH43" t="n">
        <v>155.889363998596</v>
      </c>
      <c r="DI43" t="n">
        <v>5.09178080766695</v>
      </c>
      <c r="DJ43" t="n">
        <v>4.3692025505074</v>
      </c>
      <c r="DK43" t="n">
        <v>0.0484267358713257</v>
      </c>
      <c r="DL43" t="n">
        <v>0.669440030437354</v>
      </c>
      <c r="DM43" t="n">
        <v>1.60532271222316</v>
      </c>
      <c r="DN43" t="n">
        <v>0.0399169327369503</v>
      </c>
      <c r="DO43" t="n">
        <v>0.0374213819593254</v>
      </c>
      <c r="DP43" t="n">
        <v>31428</v>
      </c>
      <c r="DQ43" t="n">
        <v>26376.01586307</v>
      </c>
      <c r="DR43" t="n">
        <v>186985.836248796</v>
      </c>
      <c r="DS43" t="n">
        <v>33013.6581744143</v>
      </c>
      <c r="DT43" t="n">
        <v>14100.6545726808</v>
      </c>
      <c r="DU43" t="n">
        <v>0</v>
      </c>
      <c r="DV43" t="n">
        <v>58.75</v>
      </c>
      <c r="DW43" t="n">
        <v>208288.96</v>
      </c>
      <c r="DX43" t="n">
        <v>2.53523732331572</v>
      </c>
      <c r="DY43" t="n">
        <v>73.306</v>
      </c>
      <c r="DZ43" t="n">
        <v>1.02062376390299</v>
      </c>
      <c r="EA43" t="n">
        <v>1.20449936397015</v>
      </c>
      <c r="EB43" t="n">
        <v>196409858.955687</v>
      </c>
      <c r="EC43" t="n">
        <v>3.16578023222883</v>
      </c>
      <c r="ED43" t="n">
        <v>0.0435</v>
      </c>
      <c r="EE43" t="n">
        <v>0.0304926484848485</v>
      </c>
      <c r="EF43" t="n">
        <v>0.03050813492075</v>
      </c>
      <c r="EG43" t="n">
        <v>0.0441803333333333</v>
      </c>
      <c r="EH43" t="n">
        <v>821371.104956854</v>
      </c>
      <c r="EI43" t="n">
        <v>457013.872593013</v>
      </c>
      <c r="EJ43" t="n">
        <v>1578.10420179648</v>
      </c>
      <c r="EK43" t="n">
        <v>1.24026281437015</v>
      </c>
      <c r="EL43" t="n">
        <v>4.077998067751</v>
      </c>
    </row>
    <row r="44">
      <c r="A44" s="2" t="n">
        <v>49827</v>
      </c>
      <c r="B44" t="n">
        <v>458154.476454183</v>
      </c>
      <c r="C44" t="n">
        <v>41918.8357282876</v>
      </c>
      <c r="D44" t="n">
        <v>28346.257482206</v>
      </c>
      <c r="E44" t="n">
        <v>259004.451046838</v>
      </c>
      <c r="F44" t="n">
        <v>75062.1124389629</v>
      </c>
      <c r="G44" t="n">
        <v>17394.8256348566</v>
      </c>
      <c r="H44" t="n">
        <v>86254.3025444767</v>
      </c>
      <c r="I44" t="n">
        <v>98197.5114477936</v>
      </c>
      <c r="J44" t="n">
        <v>100855.051220405</v>
      </c>
      <c r="K44" t="n">
        <v>390.722307141568</v>
      </c>
      <c r="L44" t="n">
        <v>5664.42985230229</v>
      </c>
      <c r="M44" t="n">
        <v>0.66520203625928</v>
      </c>
      <c r="N44" t="n">
        <v>40120.0053551711</v>
      </c>
      <c r="O44" t="n">
        <v>224.718528185303</v>
      </c>
      <c r="P44" t="n">
        <v>2.68805495403902</v>
      </c>
      <c r="Q44" t="n">
        <v>1.8829260788185</v>
      </c>
      <c r="R44" t="n">
        <v>1.27229264163224</v>
      </c>
      <c r="S44" t="n">
        <v>0.100665187059005</v>
      </c>
      <c r="T44" t="n">
        <v>5850.62758938821</v>
      </c>
      <c r="U44" t="n">
        <v>0.356189532721321</v>
      </c>
      <c r="V44" t="n">
        <v>0.473144153127359</v>
      </c>
      <c r="W44" t="n">
        <v>36638054.7996448</v>
      </c>
      <c r="X44" t="n">
        <v>112433.246571605</v>
      </c>
      <c r="Y44" t="n">
        <v>4443229.10719057</v>
      </c>
      <c r="Z44" t="n">
        <v>1617.76161172901</v>
      </c>
      <c r="AA44" t="n">
        <v>1.34689562963324</v>
      </c>
      <c r="AB44" t="n">
        <v>1.28646511800644</v>
      </c>
      <c r="AC44" t="n">
        <v>1.61209619150624</v>
      </c>
      <c r="AD44" t="n">
        <v>1.83251688924368</v>
      </c>
      <c r="AE44" t="n">
        <v>156.381573167824</v>
      </c>
      <c r="AF44" t="n">
        <v>121319.566934928</v>
      </c>
      <c r="AG44" t="n">
        <v>2012.26634702745</v>
      </c>
      <c r="AH44" t="n">
        <v>184.853494784155</v>
      </c>
      <c r="AI44" t="n">
        <v>84969.5850125991</v>
      </c>
      <c r="AJ44" t="n">
        <v>129381.265127574</v>
      </c>
      <c r="AK44" t="n">
        <v>646.764731633291</v>
      </c>
      <c r="AL44" t="n">
        <v>35132.0661878785</v>
      </c>
      <c r="AM44" t="n">
        <v>17843.8533216088</v>
      </c>
      <c r="AN44" t="n">
        <v>1.09770823715199</v>
      </c>
      <c r="AO44" t="n">
        <v>1.28461207280407</v>
      </c>
      <c r="AP44" t="n">
        <v>1.4472938471439</v>
      </c>
      <c r="AQ44" t="n">
        <v>1.57800574835469</v>
      </c>
      <c r="AR44" t="n">
        <v>38357.3598220317</v>
      </c>
      <c r="AS44" t="n">
        <v>225219.768953428</v>
      </c>
      <c r="AT44" t="n">
        <v>0.0331895485298051</v>
      </c>
      <c r="AU44" t="n">
        <v>0.0364458207513861</v>
      </c>
      <c r="AV44" t="n">
        <v>0.289660628392792</v>
      </c>
      <c r="AW44" t="n">
        <v>829.989681413426</v>
      </c>
      <c r="AX44" t="n">
        <v>12679.1123713873</v>
      </c>
      <c r="AY44" t="n">
        <v>20815.4250429777</v>
      </c>
      <c r="AZ44" t="n">
        <v>187132.689407024</v>
      </c>
      <c r="BA44" t="n">
        <v>722970.399670407</v>
      </c>
      <c r="BB44" t="n">
        <v>302287.995171223</v>
      </c>
      <c r="BC44" t="n">
        <v>335162.873741102</v>
      </c>
      <c r="BD44" t="n">
        <v>126104.230729511</v>
      </c>
      <c r="BE44" t="n">
        <v>23.0010442856034</v>
      </c>
      <c r="BF44" t="n">
        <v>76816.9744495182</v>
      </c>
      <c r="BG44" t="n">
        <v>34082.1508227251</v>
      </c>
      <c r="BH44" t="n">
        <v>38179.4503192417</v>
      </c>
      <c r="BI44" t="n">
        <v>109310.406124552</v>
      </c>
      <c r="BJ44" t="n">
        <v>61891.9954794668</v>
      </c>
      <c r="BK44" t="n">
        <v>110709.420483025</v>
      </c>
      <c r="BL44" t="n">
        <v>39193.9066551145</v>
      </c>
      <c r="BM44" t="n">
        <v>22922.4294022836</v>
      </c>
      <c r="BN44" t="n">
        <v>59983.842715336</v>
      </c>
      <c r="BO44" t="n">
        <v>250150.447255759</v>
      </c>
      <c r="BP44" t="n">
        <v>286545.454789561</v>
      </c>
      <c r="BQ44" t="n">
        <v>1309144.36450333</v>
      </c>
      <c r="BR44" t="n">
        <v>823299.562268308</v>
      </c>
      <c r="BS44" t="n">
        <v>861816.610124648</v>
      </c>
      <c r="BT44" t="n">
        <v>156.19262855884</v>
      </c>
      <c r="BU44" t="n">
        <v>1.59011907532479</v>
      </c>
      <c r="BV44" t="n">
        <v>1.33675440698481</v>
      </c>
      <c r="BW44" t="n">
        <v>105.06658320918</v>
      </c>
      <c r="BX44" t="n">
        <v>97480.3226684434</v>
      </c>
      <c r="BY44" t="n">
        <v>1.97646513673973</v>
      </c>
      <c r="BZ44" t="n">
        <v>192666.459272318</v>
      </c>
      <c r="CA44" t="n">
        <v>10941.8204726895</v>
      </c>
      <c r="CB44" t="n">
        <v>16606.2503249918</v>
      </c>
      <c r="CC44" t="n">
        <v>17594.986190047</v>
      </c>
      <c r="CD44" t="n">
        <v>988.735865055183</v>
      </c>
      <c r="CE44" t="n">
        <v>0.05619417293662</v>
      </c>
      <c r="CF44" t="n">
        <v>12388987.7990353</v>
      </c>
      <c r="CG44" t="n">
        <v>613204.19875125</v>
      </c>
      <c r="CH44" t="n">
        <v>811838.398882639</v>
      </c>
      <c r="CI44" t="n">
        <v>475544.826873254</v>
      </c>
      <c r="CJ44" t="n">
        <v>35343.6323257853</v>
      </c>
      <c r="CK44" t="n">
        <v>1297896.44001438</v>
      </c>
      <c r="CL44" t="n">
        <v>0.110546214359359</v>
      </c>
      <c r="CM44" t="n">
        <v>9.04599045562282</v>
      </c>
      <c r="CN44" t="n">
        <v>1334879.41855546</v>
      </c>
      <c r="CO44" t="n">
        <v>3671801.24510767</v>
      </c>
      <c r="CP44" t="n">
        <v>3629987.33892089</v>
      </c>
      <c r="CQ44" t="n">
        <v>5006680.66366314</v>
      </c>
      <c r="CR44" t="n">
        <v>10724144.4969012</v>
      </c>
      <c r="CS44" t="n">
        <v>-0.00763733459455058</v>
      </c>
      <c r="CT44" t="n">
        <v>-0.00438106237296957</v>
      </c>
      <c r="CU44" t="n">
        <v>0.0598383039346489</v>
      </c>
      <c r="CV44" t="n">
        <v>2.11124643169406</v>
      </c>
      <c r="CW44" t="n">
        <v>0.0598383039346487</v>
      </c>
      <c r="CX44" t="n">
        <v>0.039440022763365</v>
      </c>
      <c r="CY44" t="n">
        <v>0.019440022763365</v>
      </c>
      <c r="CZ44" t="n">
        <v>-0.0238210851363346</v>
      </c>
      <c r="DA44" t="n">
        <v>0.432020668302824</v>
      </c>
      <c r="DB44" t="n">
        <v>7.19905752673406</v>
      </c>
      <c r="DC44" t="n">
        <v>0.0509190397798051</v>
      </c>
      <c r="DD44" t="n">
        <v>0.0345950524934343</v>
      </c>
      <c r="DE44" t="n">
        <v>0.00668819631142936</v>
      </c>
      <c r="DF44" t="n">
        <v>0.153846287103762</v>
      </c>
      <c r="DG44" t="n">
        <v>234759.36571939</v>
      </c>
      <c r="DH44" t="n">
        <v>157.386020227061</v>
      </c>
      <c r="DI44" t="n">
        <v>5.1015090823321</v>
      </c>
      <c r="DJ44" t="n">
        <v>4.37599351518409</v>
      </c>
      <c r="DK44" t="n">
        <v>0.0484267358713257</v>
      </c>
      <c r="DL44" t="n">
        <v>0.669440030437354</v>
      </c>
      <c r="DM44" t="n">
        <v>1.621462868966</v>
      </c>
      <c r="DN44" t="n">
        <v>0.0399169327369503</v>
      </c>
      <c r="DO44" t="n">
        <v>0.0374213819593254</v>
      </c>
      <c r="DP44" t="n">
        <v>31516.5</v>
      </c>
      <c r="DQ44" t="n">
        <v>26450.589792225</v>
      </c>
      <c r="DR44" t="n">
        <v>187512.3809385</v>
      </c>
      <c r="DS44" t="n">
        <v>33106.6233248673</v>
      </c>
      <c r="DT44" t="n">
        <v>14140.3614560231</v>
      </c>
      <c r="DU44" t="n">
        <v>0</v>
      </c>
      <c r="DV44" t="n">
        <v>58.75</v>
      </c>
      <c r="DW44" t="n">
        <v>208288.96</v>
      </c>
      <c r="DX44" t="n">
        <v>2.54781953267317</v>
      </c>
      <c r="DY44" t="n">
        <v>73.306</v>
      </c>
      <c r="DZ44" t="n">
        <v>1.02062376390299</v>
      </c>
      <c r="EA44" t="n">
        <v>1.20449936397015</v>
      </c>
      <c r="EB44" t="n">
        <v>197359164.456278</v>
      </c>
      <c r="EC44" t="n">
        <v>3.16578023222883</v>
      </c>
      <c r="ED44" t="n">
        <v>0.0435</v>
      </c>
      <c r="EE44" t="n">
        <v>0.0304926484848485</v>
      </c>
      <c r="EF44" t="n">
        <v>0.03050813492075</v>
      </c>
      <c r="EG44" t="n">
        <v>0.0441803333333333</v>
      </c>
      <c r="EH44" t="n">
        <v>823746.79198894</v>
      </c>
      <c r="EI44" t="n">
        <v>459343.659103685</v>
      </c>
      <c r="EJ44" t="n">
        <v>1602.0741565992</v>
      </c>
      <c r="EK44" t="n">
        <v>1.13491409328219</v>
      </c>
      <c r="EL44" t="n">
        <v>4.08268831243557</v>
      </c>
    </row>
    <row r="45">
      <c r="A45" s="2" t="n">
        <v>49919</v>
      </c>
      <c r="B45" t="n">
        <v>460131.309634874</v>
      </c>
      <c r="C45" t="n">
        <v>42104.3551375688</v>
      </c>
      <c r="D45" t="n">
        <v>28494.0695141038</v>
      </c>
      <c r="E45" t="n">
        <v>259763.387953199</v>
      </c>
      <c r="F45" t="n">
        <v>76142.675296097</v>
      </c>
      <c r="G45" t="n">
        <v>17584.5348550997</v>
      </c>
      <c r="H45" t="n">
        <v>87396.6455521107</v>
      </c>
      <c r="I45" t="n">
        <v>103534.924912069</v>
      </c>
      <c r="J45" t="n">
        <v>101208.34356072</v>
      </c>
      <c r="K45" t="n">
        <v>390.295927416242</v>
      </c>
      <c r="L45" t="n">
        <v>5687.94539466489</v>
      </c>
      <c r="M45" t="n">
        <v>0.665132082304693</v>
      </c>
      <c r="N45" t="n">
        <v>40471.5843025318</v>
      </c>
      <c r="O45" t="n">
        <v>226.982580411847</v>
      </c>
      <c r="P45" t="n">
        <v>2.73585914241573</v>
      </c>
      <c r="Q45" t="n">
        <v>1.89952352764753</v>
      </c>
      <c r="R45" t="n">
        <v>1.2798589151757</v>
      </c>
      <c r="S45" t="n">
        <v>0.100855466645859</v>
      </c>
      <c r="T45" t="n">
        <v>5786.08097295347</v>
      </c>
      <c r="U45" t="n">
        <v>0.355169944885022</v>
      </c>
      <c r="V45" t="n">
        <v>0.469540595599146</v>
      </c>
      <c r="W45" t="n">
        <v>37237397.6660509</v>
      </c>
      <c r="X45" t="n">
        <v>114189.160009116</v>
      </c>
      <c r="Y45" t="n">
        <v>4445384.7765072</v>
      </c>
      <c r="Z45" t="n">
        <v>1643.4804282406</v>
      </c>
      <c r="AA45" t="n">
        <v>1.35538003429696</v>
      </c>
      <c r="AB45" t="n">
        <v>1.2936768081191</v>
      </c>
      <c r="AC45" t="n">
        <v>1.62708602703356</v>
      </c>
      <c r="AD45" t="n">
        <v>1.85538494402444</v>
      </c>
      <c r="AE45" t="n">
        <v>157.773415948965</v>
      </c>
      <c r="AF45" t="n">
        <v>122614.16591307</v>
      </c>
      <c r="AG45" t="n">
        <v>2045.52358757299</v>
      </c>
      <c r="AH45" t="n">
        <v>187.835411533469</v>
      </c>
      <c r="AI45" t="n">
        <v>85246.5550366973</v>
      </c>
      <c r="AJ45" t="n">
        <v>130601.349928588</v>
      </c>
      <c r="AK45" t="n">
        <v>649.231397571172</v>
      </c>
      <c r="AL45" t="n">
        <v>35530.2615427761</v>
      </c>
      <c r="AM45" t="n">
        <v>17788.4586492049</v>
      </c>
      <c r="AN45" t="n">
        <v>1.10555747745068</v>
      </c>
      <c r="AO45" t="n">
        <v>1.29366342197807</v>
      </c>
      <c r="AP45" t="n">
        <v>1.45818945803297</v>
      </c>
      <c r="AQ45" t="n">
        <v>1.59259074459588</v>
      </c>
      <c r="AR45" t="n">
        <v>38483.6550773819</v>
      </c>
      <c r="AS45" t="n">
        <v>226530.98491757</v>
      </c>
      <c r="AT45" t="n">
        <v>0.0329405830793991</v>
      </c>
      <c r="AU45" t="n">
        <v>0.0361142035700699</v>
      </c>
      <c r="AV45" t="n">
        <v>0.292583825440338</v>
      </c>
      <c r="AW45" t="n">
        <v>758.936906360876</v>
      </c>
      <c r="AX45" t="n">
        <v>12735.2260824789</v>
      </c>
      <c r="AY45" t="n">
        <v>20876.2355272084</v>
      </c>
      <c r="AZ45" t="n">
        <v>187617.692814515</v>
      </c>
      <c r="BA45" t="n">
        <v>732800.867177343</v>
      </c>
      <c r="BB45" t="n">
        <v>305955.508428053</v>
      </c>
      <c r="BC45" t="n">
        <v>339268.283159153</v>
      </c>
      <c r="BD45" t="n">
        <v>131516.11337877</v>
      </c>
      <c r="BE45" t="n">
        <v>23.5650460939984</v>
      </c>
      <c r="BF45" t="n">
        <v>78119.7866001032</v>
      </c>
      <c r="BG45" t="n">
        <v>34841.7847084811</v>
      </c>
      <c r="BH45" t="n">
        <v>38620.2929152861</v>
      </c>
      <c r="BI45" t="n">
        <v>110281.490192835</v>
      </c>
      <c r="BJ45" t="n">
        <v>62318.7211495521</v>
      </c>
      <c r="BK45" t="n">
        <v>111891.641003951</v>
      </c>
      <c r="BL45" t="n">
        <v>39654.9005526436</v>
      </c>
      <c r="BM45" t="n">
        <v>23012.2782878459</v>
      </c>
      <c r="BN45" t="n">
        <v>60716.9771976026</v>
      </c>
      <c r="BO45" t="n">
        <v>252616.645042043</v>
      </c>
      <c r="BP45" t="n">
        <v>289927.700610285</v>
      </c>
      <c r="BQ45" t="n">
        <v>1325627.39560341</v>
      </c>
      <c r="BR45" t="n">
        <v>825704.761593842</v>
      </c>
      <c r="BS45" t="n">
        <v>865048.023597367</v>
      </c>
      <c r="BT45" t="n">
        <v>157.620904273621</v>
      </c>
      <c r="BU45" t="n">
        <v>1.60544958787601</v>
      </c>
      <c r="BV45" t="n">
        <v>1.34644361761653</v>
      </c>
      <c r="BW45" t="n">
        <v>105.20250331121</v>
      </c>
      <c r="BX45" t="n">
        <v>97900.928263759</v>
      </c>
      <c r="BY45" t="n">
        <v>2.00834797727006</v>
      </c>
      <c r="BZ45" t="n">
        <v>196619.131251382</v>
      </c>
      <c r="CA45" t="n">
        <v>10959.0882047176</v>
      </c>
      <c r="CB45" t="n">
        <v>16647.0335993825</v>
      </c>
      <c r="CC45" t="n">
        <v>17642.5383233142</v>
      </c>
      <c r="CD45" t="n">
        <v>995.504723931772</v>
      </c>
      <c r="CE45" t="n">
        <v>0.0564263794043315</v>
      </c>
      <c r="CF45" t="n">
        <v>12423776.732458</v>
      </c>
      <c r="CG45" t="n">
        <v>620096.984016545</v>
      </c>
      <c r="CH45" t="n">
        <v>825554.803871793</v>
      </c>
      <c r="CI45" t="n">
        <v>481929.629042801</v>
      </c>
      <c r="CJ45" t="n">
        <v>35940.7802008248</v>
      </c>
      <c r="CK45" t="n">
        <v>1314237.851982</v>
      </c>
      <c r="CL45" t="n">
        <v>0.112205722769167</v>
      </c>
      <c r="CM45" t="n">
        <v>8.91220140399814</v>
      </c>
      <c r="CN45" t="n">
        <v>1341523.55560514</v>
      </c>
      <c r="CO45" t="n">
        <v>3697928.99420254</v>
      </c>
      <c r="CP45" t="n">
        <v>3642815.57878521</v>
      </c>
      <c r="CQ45" t="n">
        <v>5039452.54980768</v>
      </c>
      <c r="CR45" t="n">
        <v>10769744.6229101</v>
      </c>
      <c r="CS45" t="n">
        <v>-0.00792995649116847</v>
      </c>
      <c r="CT45" t="n">
        <v>-0.00475633600049766</v>
      </c>
      <c r="CU45" t="n">
        <v>0.0599849270752915</v>
      </c>
      <c r="CV45" t="n">
        <v>2.13251736214674</v>
      </c>
      <c r="CW45" t="n">
        <v>0.0599849270752915</v>
      </c>
      <c r="CX45" t="n">
        <v>0.039440022763365</v>
      </c>
      <c r="CY45" t="n">
        <v>0.019440022763365</v>
      </c>
      <c r="CZ45" t="n">
        <v>-0.0241963587638627</v>
      </c>
      <c r="DA45" t="n">
        <v>0.428613595110467</v>
      </c>
      <c r="DB45" t="n">
        <v>7.24055751440748</v>
      </c>
      <c r="DC45" t="n">
        <v>0.0506700743293991</v>
      </c>
      <c r="DD45" t="n">
        <v>0.0344233022435919</v>
      </c>
      <c r="DE45" t="n">
        <v>0.00666401531352041</v>
      </c>
      <c r="DF45" t="n">
        <v>0.15500936207264</v>
      </c>
      <c r="DG45" t="n">
        <v>235418.58244289</v>
      </c>
      <c r="DH45" t="n">
        <v>158.69152990935</v>
      </c>
      <c r="DI45" t="n">
        <v>5.10994313153279</v>
      </c>
      <c r="DJ45" t="n">
        <v>4.38149025439632</v>
      </c>
      <c r="DK45" t="n">
        <v>0.0484267358713257</v>
      </c>
      <c r="DL45" t="n">
        <v>0.669440030437354</v>
      </c>
      <c r="DM45" t="n">
        <v>1.6377653012798</v>
      </c>
      <c r="DN45" t="n">
        <v>0.0399169327369503</v>
      </c>
      <c r="DO45" t="n">
        <v>0.0374213819593254</v>
      </c>
      <c r="DP45" t="n">
        <v>31605</v>
      </c>
      <c r="DQ45" t="n">
        <v>26524.86444825</v>
      </c>
      <c r="DR45" t="n">
        <v>188038.925628204</v>
      </c>
      <c r="DS45" t="n">
        <v>33199.5884753203</v>
      </c>
      <c r="DT45" t="n">
        <v>14180.0683393654</v>
      </c>
      <c r="DU45" t="n">
        <v>0</v>
      </c>
      <c r="DV45" t="n">
        <v>58.75</v>
      </c>
      <c r="DW45" t="n">
        <v>208288.96</v>
      </c>
      <c r="DX45" t="n">
        <v>2.5604641866747</v>
      </c>
      <c r="DY45" t="n">
        <v>73.306</v>
      </c>
      <c r="DZ45" t="n">
        <v>1.02062376390299</v>
      </c>
      <c r="EA45" t="n">
        <v>1.20449936397015</v>
      </c>
      <c r="EB45" t="n">
        <v>198313058.224171</v>
      </c>
      <c r="EC45" t="n">
        <v>3.16578023222883</v>
      </c>
      <c r="ED45" t="n">
        <v>0.0435</v>
      </c>
      <c r="EE45" t="n">
        <v>0.0304926484848485</v>
      </c>
      <c r="EF45" t="n">
        <v>0.03050813492075</v>
      </c>
      <c r="EG45" t="n">
        <v>0.0441803333333333</v>
      </c>
      <c r="EH45" t="n">
        <v>826118.401011112</v>
      </c>
      <c r="EI45" t="n">
        <v>461576.076942782</v>
      </c>
      <c r="EJ45" t="n">
        <v>1626.74551668427</v>
      </c>
      <c r="EK45" t="n">
        <v>1.12269939037837</v>
      </c>
      <c r="EL45" t="n">
        <v>4.08705395705675</v>
      </c>
    </row>
    <row r="46">
      <c r="A46" s="2" t="n">
        <v>50010</v>
      </c>
      <c r="B46" t="n">
        <v>462196.668659974</v>
      </c>
      <c r="C46" t="n">
        <v>42286.2896197607</v>
      </c>
      <c r="D46" t="n">
        <v>28637.1173118794</v>
      </c>
      <c r="E46" t="n">
        <v>260549.924188194</v>
      </c>
      <c r="F46" t="n">
        <v>77168.1376984744</v>
      </c>
      <c r="G46" t="n">
        <v>17767.8047289417</v>
      </c>
      <c r="H46" t="n">
        <v>88531.0457867462</v>
      </c>
      <c r="I46" t="n">
        <v>103157.373072894</v>
      </c>
      <c r="J46" t="n">
        <v>101116.147863979</v>
      </c>
      <c r="K46" t="n">
        <v>389.85518760887</v>
      </c>
      <c r="L46" t="n">
        <v>5711.3182603309</v>
      </c>
      <c r="M46" t="n">
        <v>0.665064625162319</v>
      </c>
      <c r="N46" t="n">
        <v>40831.4837265466</v>
      </c>
      <c r="O46" t="n">
        <v>229.265895310311</v>
      </c>
      <c r="P46" t="n">
        <v>2.78507061481047</v>
      </c>
      <c r="Q46" t="n">
        <v>1.91594007937694</v>
      </c>
      <c r="R46" t="n">
        <v>1.28736034985731</v>
      </c>
      <c r="S46" t="n">
        <v>0.100975609682858</v>
      </c>
      <c r="T46" t="n">
        <v>5724.82607742024</v>
      </c>
      <c r="U46" t="n">
        <v>0.354238637466337</v>
      </c>
      <c r="V46" t="n">
        <v>0.466051864239941</v>
      </c>
      <c r="W46" t="n">
        <v>37848829.4697682</v>
      </c>
      <c r="X46" t="n">
        <v>115961.053584286</v>
      </c>
      <c r="Y46" t="n">
        <v>4446989.65659041</v>
      </c>
      <c r="Z46" t="n">
        <v>1669.50128724975</v>
      </c>
      <c r="AA46" t="n">
        <v>1.36403178454096</v>
      </c>
      <c r="AB46" t="n">
        <v>1.30085591788344</v>
      </c>
      <c r="AC46" t="n">
        <v>1.64239276927048</v>
      </c>
      <c r="AD46" t="n">
        <v>1.87871432668128</v>
      </c>
      <c r="AE46" t="n">
        <v>159.171736994611</v>
      </c>
      <c r="AF46" t="n">
        <v>123893.223417338</v>
      </c>
      <c r="AG46" t="n">
        <v>2078.81854612771</v>
      </c>
      <c r="AH46" t="n">
        <v>190.857803399667</v>
      </c>
      <c r="AI46" t="n">
        <v>85520.4109815825</v>
      </c>
      <c r="AJ46" t="n">
        <v>131812.755397763</v>
      </c>
      <c r="AK46" t="n">
        <v>651.89035286479</v>
      </c>
      <c r="AL46" t="n">
        <v>35938.4260184391</v>
      </c>
      <c r="AM46" t="n">
        <v>17725.1059561973</v>
      </c>
      <c r="AN46" t="n">
        <v>1.1132777623214</v>
      </c>
      <c r="AO46" t="n">
        <v>1.30305699087005</v>
      </c>
      <c r="AP46" t="n">
        <v>1.46916442565002</v>
      </c>
      <c r="AQ46" t="n">
        <v>1.60729536673709</v>
      </c>
      <c r="AR46" t="n">
        <v>38587.66441796</v>
      </c>
      <c r="AS46" t="n">
        <v>227921.533153777</v>
      </c>
      <c r="AT46" t="n">
        <v>0.0325329998302493</v>
      </c>
      <c r="AU46" t="n">
        <v>0.035780354282777</v>
      </c>
      <c r="AV46" t="n">
        <v>0.296248903562951</v>
      </c>
      <c r="AW46" t="n">
        <v>786.536234995525</v>
      </c>
      <c r="AX46" t="n">
        <v>12790.2554673333</v>
      </c>
      <c r="AY46" t="n">
        <v>20927.1780719393</v>
      </c>
      <c r="AZ46" t="n">
        <v>187617.096310076</v>
      </c>
      <c r="BA46" t="n">
        <v>742886.566311406</v>
      </c>
      <c r="BB46" t="n">
        <v>309698.564984219</v>
      </c>
      <c r="BC46" t="n">
        <v>343298.637649939</v>
      </c>
      <c r="BD46" t="n">
        <v>131363.994562144</v>
      </c>
      <c r="BE46" t="n">
        <v>23.5491929624306</v>
      </c>
      <c r="BF46" t="n">
        <v>79443.8581308382</v>
      </c>
      <c r="BG46" t="n">
        <v>35621.7646579888</v>
      </c>
      <c r="BH46" t="n">
        <v>39061.9382310316</v>
      </c>
      <c r="BI46" t="n">
        <v>111249.731650024</v>
      </c>
      <c r="BJ46" t="n">
        <v>62873.1853852922</v>
      </c>
      <c r="BK46" t="n">
        <v>112570.358828571</v>
      </c>
      <c r="BL46" t="n">
        <v>40095.2192162869</v>
      </c>
      <c r="BM46" t="n">
        <v>23096.8232301352</v>
      </c>
      <c r="BN46" t="n">
        <v>61420.6557197185</v>
      </c>
      <c r="BO46" t="n">
        <v>254523.904994711</v>
      </c>
      <c r="BP46" t="n">
        <v>293417.144660863</v>
      </c>
      <c r="BQ46" t="n">
        <v>1341942.36968465</v>
      </c>
      <c r="BR46" t="n">
        <v>827719.66030336</v>
      </c>
      <c r="BS46" t="n">
        <v>868454.065813542</v>
      </c>
      <c r="BT46" t="n">
        <v>159.063931423887</v>
      </c>
      <c r="BU46" t="n">
        <v>1.62125222597604</v>
      </c>
      <c r="BV46" t="n">
        <v>1.35661360292059</v>
      </c>
      <c r="BW46" t="n">
        <v>105.379476932854</v>
      </c>
      <c r="BX46" t="n">
        <v>98340.3692701005</v>
      </c>
      <c r="BY46" t="n">
        <v>2.04066358028358</v>
      </c>
      <c r="BZ46" t="n">
        <v>200679.610041133</v>
      </c>
      <c r="CA46" t="n">
        <v>10975.4386341961</v>
      </c>
      <c r="CB46" t="n">
        <v>16686.756894527</v>
      </c>
      <c r="CC46" t="n">
        <v>17690.146478025</v>
      </c>
      <c r="CD46" t="n">
        <v>1003.38958349806</v>
      </c>
      <c r="CE46" t="n">
        <v>0.0567202434040637</v>
      </c>
      <c r="CF46" t="n">
        <v>12458565.6658806</v>
      </c>
      <c r="CG46" t="n">
        <v>627104.125288559</v>
      </c>
      <c r="CH46" t="n">
        <v>832959.256535288</v>
      </c>
      <c r="CI46" t="n">
        <v>488071.247591932</v>
      </c>
      <c r="CJ46" t="n">
        <v>36263.135306068</v>
      </c>
      <c r="CK46" t="n">
        <v>1330412.65084538</v>
      </c>
      <c r="CL46" t="n">
        <v>0.113870769879973</v>
      </c>
      <c r="CM46" t="n">
        <v>8.78188494777072</v>
      </c>
      <c r="CN46" t="n">
        <v>1348207.48604441</v>
      </c>
      <c r="CO46" t="n">
        <v>3723915.00745414</v>
      </c>
      <c r="CP46" t="n">
        <v>3655726.53297806</v>
      </c>
      <c r="CQ46" t="n">
        <v>5072122.49349855</v>
      </c>
      <c r="CR46" t="n">
        <v>10815325.5207938</v>
      </c>
      <c r="CS46" t="n">
        <v>-0.00834043359597669</v>
      </c>
      <c r="CT46" t="n">
        <v>-0.00509307914344893</v>
      </c>
      <c r="CU46" t="n">
        <v>0.0601021762566323</v>
      </c>
      <c r="CV46" t="n">
        <v>2.15396926676157</v>
      </c>
      <c r="CW46" t="n">
        <v>0.0601021762566323</v>
      </c>
      <c r="CX46" t="n">
        <v>0.039440022763365</v>
      </c>
      <c r="CY46" t="n">
        <v>0.019440022763365</v>
      </c>
      <c r="CZ46" t="n">
        <v>-0.0245331019068139</v>
      </c>
      <c r="DA46" t="n">
        <v>0.425326124479561</v>
      </c>
      <c r="DB46" t="n">
        <v>7.28194346128141</v>
      </c>
      <c r="DC46" t="n">
        <v>0.0502624910802493</v>
      </c>
      <c r="DD46" t="n">
        <v>0.0341451079343824</v>
      </c>
      <c r="DE46" t="n">
        <v>0.00663968580562339</v>
      </c>
      <c r="DF46" t="n">
        <v>0.156147765592597</v>
      </c>
      <c r="DG46" t="n">
        <v>236077.799166389</v>
      </c>
      <c r="DH46" t="n">
        <v>160.094091055602</v>
      </c>
      <c r="DI46" t="n">
        <v>5.11891589861138</v>
      </c>
      <c r="DJ46" t="n">
        <v>4.38752571148647</v>
      </c>
      <c r="DK46" t="n">
        <v>0.0484267358713257</v>
      </c>
      <c r="DL46" t="n">
        <v>0.669440030437354</v>
      </c>
      <c r="DM46" t="n">
        <v>1.65423164070761</v>
      </c>
      <c r="DN46" t="n">
        <v>0.0399169327369503</v>
      </c>
      <c r="DO46" t="n">
        <v>0.0374213819593254</v>
      </c>
      <c r="DP46" t="n">
        <v>31693.5</v>
      </c>
      <c r="DQ46" t="n">
        <v>26599.139104275</v>
      </c>
      <c r="DR46" t="n">
        <v>188565.470317908</v>
      </c>
      <c r="DS46" t="n">
        <v>33292.5536257732</v>
      </c>
      <c r="DT46" t="n">
        <v>14219.7752227078</v>
      </c>
      <c r="DU46" t="n">
        <v>0</v>
      </c>
      <c r="DV46" t="n">
        <v>58.75</v>
      </c>
      <c r="DW46" t="n">
        <v>208288.96</v>
      </c>
      <c r="DX46" t="n">
        <v>2.5731715952288</v>
      </c>
      <c r="DY46" t="n">
        <v>73.306</v>
      </c>
      <c r="DZ46" t="n">
        <v>1.02062376390299</v>
      </c>
      <c r="EA46" t="n">
        <v>1.20449936397015</v>
      </c>
      <c r="EB46" t="n">
        <v>199271562.435784</v>
      </c>
      <c r="EC46" t="n">
        <v>3.16578023222883</v>
      </c>
      <c r="ED46" t="n">
        <v>0.0435</v>
      </c>
      <c r="EE46" t="n">
        <v>0.0304926484848485</v>
      </c>
      <c r="EF46" t="n">
        <v>0.03050813492075</v>
      </c>
      <c r="EG46" t="n">
        <v>0.0441803333333333</v>
      </c>
      <c r="EH46" t="n">
        <v>828409.223520364</v>
      </c>
      <c r="EI46" t="n">
        <v>463742.695351967</v>
      </c>
      <c r="EJ46" t="n">
        <v>1652.06160105799</v>
      </c>
      <c r="EK46" t="n">
        <v>1.05102824604217</v>
      </c>
      <c r="EL46" t="n">
        <v>4.0873433426226</v>
      </c>
    </row>
  </sheetData>
  <pageMargins left="0.7" right="0.7" top="0.75" bottom="0.75" header="0.3" footer="0.3"/>
  <pageSetup paperSize="9" orientation="portrait" horizontalDpi="300" verticalDpi="300" r:id="rId2"/>
  <tableParts count="1">
    <tablePart r:id="rId4"/>
  </tablePart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showGridLines="0"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.0" baseColWidth="10"/>
  <cols>
    <col min="1" max="1" width="13.7109375" hidden="0" customWidth="1"/>
    <col min="2" max="2" width="15.7109375" hidden="0" customWidth="1"/>
    <col min="3" max="3" width="15.7109375" hidden="0" customWidth="1"/>
    <col min="4" max="4" width="15.7109375" hidden="0" customWidth="1"/>
  </cols>
  <sheetData>
    <row r="1">
      <c r="A1" s="1" t="s">
        <v>165</v>
      </c>
      <c r="B1" t="s">
        <v>166</v>
      </c>
      <c r="C1" t="s">
        <v>167</v>
      </c>
      <c r="D1" t="s">
        <v>168</v>
      </c>
    </row>
    <row r="2">
      <c r="A2" t="s">
        <v>180</v>
      </c>
      <c r="B2" t="s">
        <v>181</v>
      </c>
      <c r="C2" t="n">
        <v>-0.0142754186232666</v>
      </c>
      <c r="D2" t="n">
        <v>0.01063109527901</v>
      </c>
    </row>
    <row r="3">
      <c r="A3" t="s">
        <v>180</v>
      </c>
      <c r="B3" t="s">
        <v>182</v>
      </c>
      <c r="C3" t="n">
        <v>-0.039484440208754</v>
      </c>
      <c r="D3" t="n">
        <v>0.0128960760600346</v>
      </c>
    </row>
    <row r="4">
      <c r="A4" t="s">
        <v>180</v>
      </c>
      <c r="B4" t="s">
        <v>183</v>
      </c>
      <c r="C4" t="n">
        <v>0.922042710343424</v>
      </c>
      <c r="D4" t="n">
        <v>0.054951829242283</v>
      </c>
    </row>
    <row r="5">
      <c r="A5" t="s">
        <v>180</v>
      </c>
      <c r="B5" t="s">
        <v>184</v>
      </c>
      <c r="C5" t="n">
        <v>0.0847438390974918</v>
      </c>
      <c r="D5" t="n">
        <v>0.0253632920518657</v>
      </c>
    </row>
    <row r="6">
      <c r="A6" t="s">
        <v>180</v>
      </c>
      <c r="B6" t="s">
        <v>185</v>
      </c>
      <c r="C6" t="n">
        <v>0.0168244447505566</v>
      </c>
      <c r="D6" t="n">
        <v>0.0305695418653519</v>
      </c>
    </row>
    <row r="7">
      <c r="A7" t="s">
        <v>180</v>
      </c>
      <c r="B7" t="s">
        <v>186</v>
      </c>
      <c r="C7" t="n">
        <v>0.032681215968154</v>
      </c>
      <c r="D7" t="n">
        <v>0.0308809020522887</v>
      </c>
    </row>
    <row r="8">
      <c r="A8" t="s">
        <v>180</v>
      </c>
      <c r="B8" t="s">
        <v>187</v>
      </c>
      <c r="C8" t="n">
        <v>0.0747789168418865</v>
      </c>
      <c r="D8" t="n">
        <v>0.0295069197369925</v>
      </c>
    </row>
    <row r="9">
      <c r="A9" t="s">
        <v>180</v>
      </c>
      <c r="B9" t="s">
        <v>188</v>
      </c>
      <c r="C9" t="n">
        <v>-0.276596296438016</v>
      </c>
      <c r="D9" t="n">
        <v>0.0390357743859359</v>
      </c>
    </row>
    <row r="10">
      <c r="A10" t="s">
        <v>180</v>
      </c>
      <c r="B10" t="s">
        <v>189</v>
      </c>
      <c r="C10" t="n">
        <v>1.1500680674148</v>
      </c>
      <c r="D10" t="n">
        <v>0.0403903733355222</v>
      </c>
    </row>
    <row r="11">
      <c r="A11" t="s">
        <v>190</v>
      </c>
      <c r="B11" t="s">
        <v>181</v>
      </c>
      <c r="C11" t="n">
        <v>-0.18617840278647</v>
      </c>
      <c r="D11" t="n">
        <v>0.0788039474447393</v>
      </c>
    </row>
    <row r="12">
      <c r="A12" t="s">
        <v>190</v>
      </c>
      <c r="B12" t="s">
        <v>182</v>
      </c>
      <c r="C12" t="n">
        <v>-0.0820807196371484</v>
      </c>
      <c r="D12" t="n">
        <v>0.0342544753799159</v>
      </c>
    </row>
    <row r="13">
      <c r="A13" t="s">
        <v>190</v>
      </c>
      <c r="B13" t="s">
        <v>191</v>
      </c>
      <c r="C13" t="n">
        <v>-0.535621612825828</v>
      </c>
      <c r="D13" t="n">
        <v>0.511013640561565</v>
      </c>
    </row>
    <row r="14">
      <c r="A14" t="s">
        <v>190</v>
      </c>
      <c r="B14" t="s">
        <v>192</v>
      </c>
      <c r="C14" t="n">
        <v>-0.394227332732632</v>
      </c>
      <c r="D14" t="n">
        <v>3.3104082508537</v>
      </c>
    </row>
    <row r="15">
      <c r="A15" t="s">
        <v>190</v>
      </c>
      <c r="B15" t="s">
        <v>193</v>
      </c>
      <c r="C15" t="n">
        <v>0.113564978319572</v>
      </c>
      <c r="D15" t="n">
        <v>0.135173998857935</v>
      </c>
    </row>
    <row r="16">
      <c r="A16" t="s">
        <v>190</v>
      </c>
      <c r="B16" t="s">
        <v>185</v>
      </c>
      <c r="C16" t="n">
        <v>0.2045796695979</v>
      </c>
      <c r="D16" t="n">
        <v>0.133764819869886</v>
      </c>
    </row>
    <row r="17">
      <c r="A17" t="s">
        <v>190</v>
      </c>
      <c r="B17" t="s">
        <v>186</v>
      </c>
      <c r="C17" t="n">
        <v>0.129143915619649</v>
      </c>
      <c r="D17" t="n">
        <v>0.135040451190869</v>
      </c>
    </row>
    <row r="18">
      <c r="A18" t="s">
        <v>190</v>
      </c>
      <c r="B18" t="s">
        <v>187</v>
      </c>
      <c r="C18" t="n">
        <v>0.075090715262567</v>
      </c>
      <c r="D18" t="n">
        <v>0.13515010125202</v>
      </c>
    </row>
    <row r="19">
      <c r="A19" t="s">
        <v>190</v>
      </c>
      <c r="B19" t="s">
        <v>188</v>
      </c>
      <c r="C19" t="n">
        <v>-0.0690870709257</v>
      </c>
      <c r="D19" t="n">
        <v>0.0267885784898261</v>
      </c>
    </row>
    <row r="20">
      <c r="A20" t="s">
        <v>190</v>
      </c>
      <c r="B20" t="s">
        <v>194</v>
      </c>
      <c r="C20" t="n">
        <v>0.0421407145102417</v>
      </c>
      <c r="D20" t="n">
        <v>0.0265339012040864</v>
      </c>
    </row>
    <row r="21">
      <c r="A21" t="s">
        <v>190</v>
      </c>
      <c r="B21" t="s">
        <v>195</v>
      </c>
      <c r="C21" t="n">
        <v>0.0574613011471678</v>
      </c>
      <c r="D21" t="n">
        <v>0.0264652096931575</v>
      </c>
    </row>
    <row r="22">
      <c r="A22" t="s">
        <v>196</v>
      </c>
      <c r="B22" t="s">
        <v>181</v>
      </c>
      <c r="C22" t="n">
        <v>-0.0406735067013409</v>
      </c>
      <c r="D22" t="n">
        <v>0.0569310765001772</v>
      </c>
    </row>
    <row r="23">
      <c r="A23" t="s">
        <v>196</v>
      </c>
      <c r="B23" t="s">
        <v>182</v>
      </c>
      <c r="C23" t="n">
        <v>-0.0169407037049297</v>
      </c>
      <c r="D23" t="n">
        <v>0.0176769469885799</v>
      </c>
    </row>
    <row r="24">
      <c r="A24" t="s">
        <v>196</v>
      </c>
      <c r="B24" t="s">
        <v>183</v>
      </c>
      <c r="C24" t="n">
        <v>2.24663266065018</v>
      </c>
      <c r="D24" t="n">
        <v>2.42037827444344</v>
      </c>
    </row>
    <row r="25">
      <c r="A25" t="s">
        <v>196</v>
      </c>
      <c r="B25" t="s">
        <v>191</v>
      </c>
      <c r="C25" t="n">
        <v>0.222988008374577</v>
      </c>
      <c r="D25" t="n">
        <v>0.0885493908529843</v>
      </c>
    </row>
    <row r="26">
      <c r="A26" t="s">
        <v>196</v>
      </c>
      <c r="B26" t="s">
        <v>192</v>
      </c>
      <c r="C26" t="n">
        <v>-0.0449489249196827</v>
      </c>
      <c r="D26" t="n">
        <v>0.0967768506285294</v>
      </c>
    </row>
    <row r="27">
      <c r="A27" t="s">
        <v>196</v>
      </c>
      <c r="B27" t="s">
        <v>184</v>
      </c>
      <c r="C27" t="n">
        <v>0.212653970387002</v>
      </c>
      <c r="D27" t="n">
        <v>0.0894777586503653</v>
      </c>
    </row>
    <row r="28">
      <c r="A28" t="s">
        <v>196</v>
      </c>
      <c r="B28" t="s">
        <v>193</v>
      </c>
      <c r="C28" t="n">
        <v>-0.216344617822369</v>
      </c>
      <c r="D28" t="n">
        <v>0.0564130971943941</v>
      </c>
    </row>
    <row r="29">
      <c r="A29" t="s">
        <v>197</v>
      </c>
      <c r="B29" t="s">
        <v>181</v>
      </c>
      <c r="C29" t="n">
        <v>-0.0761590874203008</v>
      </c>
      <c r="D29" t="n">
        <v>0.0276702145095257</v>
      </c>
    </row>
    <row r="30">
      <c r="A30" t="s">
        <v>197</v>
      </c>
      <c r="B30" t="s">
        <v>182</v>
      </c>
      <c r="C30" t="n">
        <v>-0.0593539035034039</v>
      </c>
      <c r="D30" t="n">
        <v>0.021073199109421</v>
      </c>
    </row>
    <row r="31">
      <c r="A31" t="s">
        <v>197</v>
      </c>
      <c r="B31" t="s">
        <v>183</v>
      </c>
      <c r="C31" t="n">
        <v>-0.0183590031801166</v>
      </c>
      <c r="D31" t="n">
        <v>0.00962094586621125</v>
      </c>
    </row>
    <row r="32">
      <c r="A32" t="s">
        <v>197</v>
      </c>
      <c r="B32" t="s">
        <v>191</v>
      </c>
      <c r="C32" t="n">
        <v>0.00017541590862681</v>
      </c>
      <c r="D32" t="n">
        <v>0.0000822983431950642</v>
      </c>
    </row>
    <row r="33">
      <c r="A33" t="s">
        <v>197</v>
      </c>
      <c r="B33" t="s">
        <v>192</v>
      </c>
      <c r="C33" t="n">
        <v>-0.000000435963841384253</v>
      </c>
      <c r="D33" t="n">
        <v>0.000000217619868754902</v>
      </c>
    </row>
    <row r="34">
      <c r="A34" t="s">
        <v>197</v>
      </c>
      <c r="B34" t="s">
        <v>184</v>
      </c>
      <c r="C34" t="n">
        <v>0.230704782569121</v>
      </c>
      <c r="D34" t="n">
        <v>0.081036838840359</v>
      </c>
    </row>
    <row r="35">
      <c r="A35" t="s">
        <v>197</v>
      </c>
      <c r="B35" t="s">
        <v>193</v>
      </c>
      <c r="C35" t="n">
        <v>0.212068272159272</v>
      </c>
      <c r="D35" t="n">
        <v>0.0772293307368338</v>
      </c>
    </row>
    <row r="36">
      <c r="A36" t="s">
        <v>197</v>
      </c>
      <c r="B36" t="s">
        <v>185</v>
      </c>
      <c r="C36" t="n">
        <v>0.17194251249914</v>
      </c>
      <c r="D36" t="n">
        <v>0.103840519909918</v>
      </c>
    </row>
    <row r="37">
      <c r="A37" t="s">
        <v>198</v>
      </c>
      <c r="B37" t="s">
        <v>181</v>
      </c>
      <c r="C37" t="n">
        <v>-0.450544957288925</v>
      </c>
      <c r="D37" t="n">
        <v>0.151485676859203</v>
      </c>
    </row>
    <row r="38">
      <c r="A38" t="s">
        <v>198</v>
      </c>
      <c r="B38" t="s">
        <v>182</v>
      </c>
      <c r="C38" t="n">
        <v>-0.116721363083899</v>
      </c>
      <c r="D38" t="n">
        <v>0.0315159390291798</v>
      </c>
    </row>
    <row r="39">
      <c r="A39" t="s">
        <v>198</v>
      </c>
      <c r="B39" t="s">
        <v>192</v>
      </c>
      <c r="C39" t="n">
        <v>0.432896374960644</v>
      </c>
      <c r="D39" t="n">
        <v>0.175113223948407</v>
      </c>
    </row>
    <row r="40">
      <c r="A40" t="s">
        <v>198</v>
      </c>
      <c r="B40" t="s">
        <v>184</v>
      </c>
      <c r="C40" t="n">
        <v>1.22329634158635</v>
      </c>
      <c r="D40" t="n">
        <v>0.188829409787646</v>
      </c>
    </row>
    <row r="41">
      <c r="A41" t="s">
        <v>198</v>
      </c>
      <c r="B41" t="s">
        <v>193</v>
      </c>
      <c r="C41" t="n">
        <v>0.22410299007813</v>
      </c>
      <c r="D41" t="n">
        <v>0.060304537524777</v>
      </c>
    </row>
    <row r="42">
      <c r="A42" t="s">
        <v>199</v>
      </c>
      <c r="B42" t="s">
        <v>181</v>
      </c>
      <c r="C42" t="n">
        <v>-0.725457709954208</v>
      </c>
      <c r="D42" t="n">
        <v>0.131862139601646</v>
      </c>
    </row>
    <row r="43">
      <c r="A43" t="s">
        <v>199</v>
      </c>
      <c r="B43" t="s">
        <v>182</v>
      </c>
      <c r="C43" t="n">
        <v>-0.212470962043872</v>
      </c>
      <c r="D43" t="n">
        <v>0.0376890378863733</v>
      </c>
    </row>
    <row r="44">
      <c r="A44" t="s">
        <v>199</v>
      </c>
      <c r="B44" t="s">
        <v>191</v>
      </c>
      <c r="C44" t="n">
        <v>-1.25299795156</v>
      </c>
      <c r="D44" t="n">
        <v>0.35696569491532</v>
      </c>
    </row>
    <row r="45">
      <c r="A45" t="s">
        <v>199</v>
      </c>
      <c r="B45" t="s">
        <v>192</v>
      </c>
      <c r="C45" t="n">
        <v>-0.177298951289061</v>
      </c>
      <c r="D45" t="n">
        <v>0.0933850235840642</v>
      </c>
    </row>
    <row r="46">
      <c r="A46" t="s">
        <v>200</v>
      </c>
      <c r="B46" t="s">
        <v>181</v>
      </c>
      <c r="C46" t="n">
        <v>-0.0132687799260737</v>
      </c>
      <c r="D46" t="n">
        <v>0.0280811759715951</v>
      </c>
    </row>
    <row r="47">
      <c r="A47" t="s">
        <v>200</v>
      </c>
      <c r="B47" t="s">
        <v>182</v>
      </c>
      <c r="C47" t="n">
        <v>-0.00549065921144436</v>
      </c>
      <c r="D47" t="n">
        <v>0.0111386758537316</v>
      </c>
    </row>
    <row r="48">
      <c r="A48" t="s">
        <v>200</v>
      </c>
      <c r="B48" t="s">
        <v>183</v>
      </c>
      <c r="C48" t="n">
        <v>-0.137221545757317</v>
      </c>
      <c r="D48" t="n">
        <v>0.330782947024932</v>
      </c>
    </row>
    <row r="49">
      <c r="A49" t="s">
        <v>200</v>
      </c>
      <c r="B49" t="s">
        <v>191</v>
      </c>
      <c r="C49" t="n">
        <v>0.918478898359989</v>
      </c>
      <c r="D49" t="n">
        <v>0.154628285215842</v>
      </c>
    </row>
    <row r="50">
      <c r="A50" t="s">
        <v>201</v>
      </c>
      <c r="B50" t="s">
        <v>181</v>
      </c>
      <c r="C50" t="n">
        <v>-0.673201524850045</v>
      </c>
      <c r="D50" t="n">
        <v>0.124330976392036</v>
      </c>
    </row>
    <row r="51">
      <c r="A51" t="s">
        <v>201</v>
      </c>
      <c r="B51" t="s">
        <v>182</v>
      </c>
      <c r="C51" t="n">
        <v>-0.273637305952164</v>
      </c>
      <c r="D51" t="n">
        <v>0.0481477842198157</v>
      </c>
    </row>
    <row r="52">
      <c r="A52" t="s">
        <v>201</v>
      </c>
      <c r="B52" t="s">
        <v>183</v>
      </c>
      <c r="C52" t="n">
        <v>0.908151808608013</v>
      </c>
      <c r="D52" t="n">
        <v>0.0448804771474797</v>
      </c>
    </row>
    <row r="53">
      <c r="A53" t="s">
        <v>201</v>
      </c>
      <c r="B53" t="s">
        <v>191</v>
      </c>
      <c r="C53" t="n">
        <v>-1.2107236925053</v>
      </c>
      <c r="D53" t="n">
        <v>0.897583129885112</v>
      </c>
    </row>
    <row r="54">
      <c r="A54" t="s">
        <v>201</v>
      </c>
      <c r="B54" t="s">
        <v>192</v>
      </c>
      <c r="C54" t="n">
        <v>1.16292924218161</v>
      </c>
      <c r="D54" t="n">
        <v>0.850361299137084</v>
      </c>
    </row>
    <row r="55">
      <c r="A55" t="s">
        <v>201</v>
      </c>
      <c r="B55" t="s">
        <v>184</v>
      </c>
      <c r="C55" t="n">
        <v>0.0459852335828759</v>
      </c>
      <c r="D55" t="n">
        <v>0.0115075707829769</v>
      </c>
    </row>
    <row r="56">
      <c r="A56" t="s">
        <v>201</v>
      </c>
      <c r="B56" t="s">
        <v>193</v>
      </c>
      <c r="C56" t="n">
        <v>0.729670310716223</v>
      </c>
      <c r="D56" t="n">
        <v>0.139315386036798</v>
      </c>
    </row>
    <row r="57">
      <c r="A57" t="s">
        <v>202</v>
      </c>
      <c r="B57" t="s">
        <v>181</v>
      </c>
      <c r="C57" t="n">
        <v>-0.133870117905275</v>
      </c>
      <c r="D57" t="n">
        <v>0.0512398938399322</v>
      </c>
    </row>
    <row r="58">
      <c r="A58" t="s">
        <v>202</v>
      </c>
      <c r="B58" t="s">
        <v>182</v>
      </c>
      <c r="C58" t="n">
        <v>-0.0488331177027351</v>
      </c>
      <c r="D58" t="n">
        <v>0.018738907805354</v>
      </c>
    </row>
    <row r="59">
      <c r="A59" t="s">
        <v>202</v>
      </c>
      <c r="B59" t="s">
        <v>183</v>
      </c>
      <c r="C59" t="n">
        <v>-0.259276292493106</v>
      </c>
      <c r="D59" t="n">
        <v>0.0743147856550425</v>
      </c>
    </row>
    <row r="60">
      <c r="A60" t="s">
        <v>202</v>
      </c>
      <c r="B60" t="s">
        <v>191</v>
      </c>
      <c r="C60" t="n">
        <v>2.55096988569397</v>
      </c>
      <c r="D60" t="n">
        <v>1.02238515897754</v>
      </c>
    </row>
    <row r="61">
      <c r="A61" t="s">
        <v>202</v>
      </c>
      <c r="B61" t="s">
        <v>192</v>
      </c>
      <c r="C61" t="n">
        <v>-2.33390135329864</v>
      </c>
      <c r="D61" t="n">
        <v>1.35660818345183</v>
      </c>
    </row>
    <row r="62">
      <c r="A62" t="s">
        <v>202</v>
      </c>
      <c r="B62" t="s">
        <v>184</v>
      </c>
      <c r="C62" t="n">
        <v>1.37202987522697</v>
      </c>
      <c r="D62" t="n">
        <v>1.03077808511014</v>
      </c>
    </row>
    <row r="63">
      <c r="A63" t="s">
        <v>202</v>
      </c>
      <c r="B63" t="s">
        <v>193</v>
      </c>
      <c r="C63" t="n">
        <v>1.05742098120973</v>
      </c>
      <c r="D63" t="n">
        <v>0.82293550457553</v>
      </c>
    </row>
    <row r="64">
      <c r="A64" t="s">
        <v>202</v>
      </c>
      <c r="B64" t="s">
        <v>185</v>
      </c>
      <c r="C64" t="n">
        <v>-1.92677712107871</v>
      </c>
      <c r="D64" t="n">
        <v>1.09213846603046</v>
      </c>
    </row>
    <row r="65">
      <c r="A65" t="s">
        <v>202</v>
      </c>
      <c r="B65" t="s">
        <v>186</v>
      </c>
      <c r="C65" t="n">
        <v>0.750379771306626</v>
      </c>
      <c r="D65" t="n">
        <v>0.794817427217113</v>
      </c>
    </row>
    <row r="66">
      <c r="A66" t="s">
        <v>202</v>
      </c>
      <c r="B66" t="s">
        <v>187</v>
      </c>
      <c r="C66" t="n">
        <v>0.0366983079057804</v>
      </c>
      <c r="D66" t="n">
        <v>0.0330391640611657</v>
      </c>
    </row>
    <row r="67">
      <c r="A67" t="s">
        <v>202</v>
      </c>
      <c r="B67" t="s">
        <v>188</v>
      </c>
      <c r="C67" t="n">
        <v>-0.00234390598261908</v>
      </c>
      <c r="D67" t="n">
        <v>0.0351181931693946</v>
      </c>
    </row>
    <row r="68">
      <c r="A68" t="s">
        <v>202</v>
      </c>
      <c r="B68" t="s">
        <v>189</v>
      </c>
      <c r="C68" t="n">
        <v>-0.00536673614443638</v>
      </c>
      <c r="D68" t="n">
        <v>0.0328270239027445</v>
      </c>
    </row>
    <row r="69">
      <c r="A69" t="s">
        <v>203</v>
      </c>
      <c r="B69" t="s">
        <v>204</v>
      </c>
      <c r="C69" t="n">
        <v>0.641053034743442</v>
      </c>
      <c r="D69" t="n">
        <v>0.0622790508701318</v>
      </c>
    </row>
    <row r="70">
      <c r="A70" t="s">
        <v>203</v>
      </c>
      <c r="B70" t="s">
        <v>181</v>
      </c>
      <c r="C70" t="n">
        <v>453.277867253804</v>
      </c>
      <c r="D70" t="n">
        <v>0.731117960168439</v>
      </c>
    </row>
    <row r="71">
      <c r="A71" t="s">
        <v>203</v>
      </c>
      <c r="B71" t="s">
        <v>182</v>
      </c>
      <c r="C71" t="n">
        <v>-19.3563180453808</v>
      </c>
      <c r="D71" t="n">
        <v>3.69336745903838</v>
      </c>
    </row>
    <row r="72">
      <c r="A72" t="s">
        <v>203</v>
      </c>
      <c r="B72" t="s">
        <v>183</v>
      </c>
      <c r="C72" t="n">
        <v>-1.00407565646189</v>
      </c>
      <c r="D72" t="n">
        <v>0.076367672862373</v>
      </c>
    </row>
    <row r="73">
      <c r="A73" t="s">
        <v>203</v>
      </c>
      <c r="B73" t="s">
        <v>191</v>
      </c>
      <c r="C73" t="n">
        <v>-0.369797382434082</v>
      </c>
      <c r="D73" t="n">
        <v>0.0138455287045949</v>
      </c>
    </row>
    <row r="74">
      <c r="A74" t="s">
        <v>205</v>
      </c>
      <c r="B74" t="s">
        <v>181</v>
      </c>
      <c r="C74" t="n">
        <v>-2.02438788741031</v>
      </c>
      <c r="D74" t="n">
        <v>0.227203196409851</v>
      </c>
    </row>
    <row r="75">
      <c r="A75" t="s">
        <v>205</v>
      </c>
      <c r="B75" t="s">
        <v>182</v>
      </c>
      <c r="C75" t="n">
        <v>0.442772545999326</v>
      </c>
      <c r="D75" t="n">
        <v>0.0642351965437136</v>
      </c>
    </row>
    <row r="76">
      <c r="A76" t="s">
        <v>205</v>
      </c>
      <c r="B76" t="s">
        <v>183</v>
      </c>
      <c r="C76" t="n">
        <v>0.00202496070330637</v>
      </c>
      <c r="D76" t="n">
        <v>0.000213121845564247</v>
      </c>
    </row>
    <row r="77">
      <c r="A77" t="s">
        <v>205</v>
      </c>
      <c r="B77" t="s">
        <v>191</v>
      </c>
      <c r="C77" t="n">
        <v>0.506283869585298</v>
      </c>
      <c r="D77" t="n">
        <v>0.0403690084381323</v>
      </c>
    </row>
    <row r="78">
      <c r="A78" t="s">
        <v>206</v>
      </c>
      <c r="B78" t="s">
        <v>181</v>
      </c>
      <c r="C78" t="n">
        <v>0.000444104621203884</v>
      </c>
      <c r="D78" t="n">
        <v>0.000140442149410568</v>
      </c>
    </row>
    <row r="79">
      <c r="A79" t="s">
        <v>206</v>
      </c>
      <c r="B79" t="s">
        <v>182</v>
      </c>
      <c r="C79" t="n">
        <v>-0.365605685477734</v>
      </c>
      <c r="D79" t="n">
        <v>0.0561767601548866</v>
      </c>
    </row>
    <row r="80">
      <c r="A80" t="s">
        <v>206</v>
      </c>
      <c r="B80" t="s">
        <v>183</v>
      </c>
      <c r="C80" t="n">
        <v>-0.129518957648623</v>
      </c>
      <c r="D80" t="n">
        <v>0.0269129712373171</v>
      </c>
    </row>
    <row r="81">
      <c r="A81" t="s">
        <v>206</v>
      </c>
      <c r="B81" t="s">
        <v>191</v>
      </c>
      <c r="C81" t="n">
        <v>0.102014940784252</v>
      </c>
      <c r="D81" t="n">
        <v>0.0548200013346388</v>
      </c>
    </row>
    <row r="82">
      <c r="A82" t="s">
        <v>206</v>
      </c>
      <c r="B82" t="s">
        <v>192</v>
      </c>
      <c r="C82" t="n">
        <v>-0.0344867643500924</v>
      </c>
      <c r="D82" t="n">
        <v>0.0610649698612674</v>
      </c>
    </row>
    <row r="83">
      <c r="A83" t="s">
        <v>206</v>
      </c>
      <c r="B83" t="s">
        <v>184</v>
      </c>
      <c r="C83" t="n">
        <v>-0.0000869322832176897</v>
      </c>
      <c r="D83" t="n">
        <v>0.0000404497311348805</v>
      </c>
    </row>
    <row r="84">
      <c r="A84" t="s">
        <v>206</v>
      </c>
      <c r="B84" t="s">
        <v>193</v>
      </c>
      <c r="C84" t="n">
        <v>-0.0249082975019895</v>
      </c>
      <c r="D84" t="n">
        <v>0.00211324825664205</v>
      </c>
    </row>
    <row r="85">
      <c r="A85" t="s">
        <v>206</v>
      </c>
      <c r="B85" t="s">
        <v>185</v>
      </c>
      <c r="C85" t="n">
        <v>0.00955085838943157</v>
      </c>
      <c r="D85" t="n">
        <v>0.00248827904113381</v>
      </c>
    </row>
    <row r="86">
      <c r="A86" t="s">
        <v>206</v>
      </c>
      <c r="B86" t="s">
        <v>186</v>
      </c>
      <c r="C86" t="n">
        <v>0.00947720704489292</v>
      </c>
      <c r="D86" t="n">
        <v>0.0019114555620389</v>
      </c>
    </row>
    <row r="87">
      <c r="A87" t="s">
        <v>207</v>
      </c>
      <c r="B87" t="s">
        <v>181</v>
      </c>
      <c r="C87" t="n">
        <v>0.00196043473178792</v>
      </c>
      <c r="D87" t="n">
        <v>0.000669972224534491</v>
      </c>
    </row>
    <row r="88">
      <c r="A88" t="s">
        <v>207</v>
      </c>
      <c r="B88" t="s">
        <v>182</v>
      </c>
      <c r="C88" t="n">
        <v>0.202511136172678</v>
      </c>
      <c r="D88" t="n">
        <v>0.186158087409965</v>
      </c>
    </row>
    <row r="89">
      <c r="A89" t="s">
        <v>207</v>
      </c>
      <c r="B89" t="s">
        <v>183</v>
      </c>
      <c r="C89" t="n">
        <v>-0.00989179297622337</v>
      </c>
      <c r="D89" t="n">
        <v>0.00728305131287968</v>
      </c>
    </row>
    <row r="90">
      <c r="A90" t="s">
        <v>207</v>
      </c>
      <c r="B90" t="s">
        <v>191</v>
      </c>
      <c r="C90" t="n">
        <v>0.692043999416236</v>
      </c>
      <c r="D90" t="n">
        <v>0.239484847133652</v>
      </c>
    </row>
    <row r="91">
      <c r="A91" t="s">
        <v>207</v>
      </c>
      <c r="B91" t="s">
        <v>192</v>
      </c>
      <c r="C91" t="n">
        <v>-0.942188470428818</v>
      </c>
      <c r="D91" t="n">
        <v>0.257795682660905</v>
      </c>
    </row>
    <row r="92">
      <c r="A92" t="s">
        <v>208</v>
      </c>
      <c r="B92" t="s">
        <v>181</v>
      </c>
      <c r="C92" t="n">
        <v>0.0202105749991181</v>
      </c>
      <c r="D92" t="n">
        <v>0.00505294304259998</v>
      </c>
    </row>
    <row r="93">
      <c r="A93" t="s">
        <v>208</v>
      </c>
      <c r="B93" t="s">
        <v>182</v>
      </c>
      <c r="C93" t="n">
        <v>-0.120182233548271</v>
      </c>
      <c r="D93" t="n">
        <v>0.0302628248759836</v>
      </c>
    </row>
    <row r="94">
      <c r="A94" t="s">
        <v>208</v>
      </c>
      <c r="B94" t="s">
        <v>183</v>
      </c>
      <c r="C94" t="n">
        <v>0.000764179741096649</v>
      </c>
      <c r="D94" t="n">
        <v>0.000052397885520928</v>
      </c>
    </row>
    <row r="95">
      <c r="A95" t="s">
        <v>208</v>
      </c>
      <c r="B95" t="s">
        <v>191</v>
      </c>
      <c r="C95" t="n">
        <v>1.04696555547217</v>
      </c>
      <c r="D95" t="n">
        <v>0.045460277553079</v>
      </c>
    </row>
    <row r="96">
      <c r="A96" t="s">
        <v>208</v>
      </c>
      <c r="B96" t="s">
        <v>184</v>
      </c>
      <c r="C96" t="n">
        <v>-0.0261281010457332</v>
      </c>
      <c r="D96" t="n">
        <v>0.00412784943808627</v>
      </c>
    </row>
    <row r="97">
      <c r="A97" t="s">
        <v>208</v>
      </c>
      <c r="B97" t="s">
        <v>193</v>
      </c>
      <c r="C97" t="n">
        <v>0.0262338857961692</v>
      </c>
      <c r="D97" t="n">
        <v>0.0040828557918836</v>
      </c>
    </row>
    <row r="98">
      <c r="A98" t="s">
        <v>208</v>
      </c>
      <c r="B98" t="s">
        <v>185</v>
      </c>
      <c r="C98" t="n">
        <v>-0.0170365779852079</v>
      </c>
      <c r="D98" t="n">
        <v>0.00405111275056882</v>
      </c>
    </row>
    <row r="99">
      <c r="A99" t="s">
        <v>209</v>
      </c>
      <c r="B99" t="s">
        <v>181</v>
      </c>
      <c r="C99" t="n">
        <v>-1.52333410482978</v>
      </c>
      <c r="D99" t="n">
        <v>0.0286786560924015</v>
      </c>
    </row>
    <row r="100">
      <c r="A100" t="s">
        <v>209</v>
      </c>
      <c r="B100" t="s">
        <v>183</v>
      </c>
      <c r="C100" t="n">
        <v>0.00803271792083457</v>
      </c>
      <c r="D100" t="n">
        <v>0.000203282280680485</v>
      </c>
    </row>
    <row r="101">
      <c r="A101" t="s">
        <v>210</v>
      </c>
      <c r="B101" t="s">
        <v>181</v>
      </c>
      <c r="C101" t="n">
        <v>-0.012094291217706</v>
      </c>
      <c r="D101" t="n">
        <v>0.00588648533484338</v>
      </c>
    </row>
    <row r="102">
      <c r="A102" t="s">
        <v>210</v>
      </c>
      <c r="B102" t="s">
        <v>182</v>
      </c>
      <c r="C102" t="n">
        <v>-0.0563742710209106</v>
      </c>
      <c r="D102" t="n">
        <v>0.0181178096125173</v>
      </c>
    </row>
    <row r="103">
      <c r="A103" t="s">
        <v>210</v>
      </c>
      <c r="B103" t="s">
        <v>183</v>
      </c>
      <c r="C103" t="n">
        <v>0.307117439130905</v>
      </c>
      <c r="D103" t="n">
        <v>0.0381753541055575</v>
      </c>
    </row>
    <row r="104">
      <c r="A104" t="s">
        <v>210</v>
      </c>
      <c r="B104" t="s">
        <v>191</v>
      </c>
      <c r="C104" t="n">
        <v>0.192390240792389</v>
      </c>
      <c r="D104" t="n">
        <v>0.0390507915407699</v>
      </c>
    </row>
    <row r="105">
      <c r="A105" t="s">
        <v>210</v>
      </c>
      <c r="B105" t="s">
        <v>192</v>
      </c>
      <c r="C105" t="n">
        <v>-0.173355203316951</v>
      </c>
      <c r="D105" t="n">
        <v>0.0299528046892634</v>
      </c>
    </row>
    <row r="106">
      <c r="A106" t="s">
        <v>210</v>
      </c>
      <c r="B106" t="s">
        <v>184</v>
      </c>
      <c r="C106" t="n">
        <v>-0.0657789425315314</v>
      </c>
      <c r="D106" t="n">
        <v>0.0152073969403611</v>
      </c>
    </row>
    <row r="107">
      <c r="A107" t="s">
        <v>211</v>
      </c>
      <c r="B107" t="s">
        <v>181</v>
      </c>
      <c r="C107" t="n">
        <v>-0.0536944226709071</v>
      </c>
      <c r="D107" t="n">
        <v>0.0215974160556978</v>
      </c>
    </row>
    <row r="108">
      <c r="A108" t="s">
        <v>211</v>
      </c>
      <c r="B108" t="s">
        <v>182</v>
      </c>
      <c r="C108" t="n">
        <v>-0.0365177452364614</v>
      </c>
      <c r="D108" t="n">
        <v>0.0234882426136263</v>
      </c>
    </row>
    <row r="109">
      <c r="A109" t="s">
        <v>211</v>
      </c>
      <c r="B109" t="s">
        <v>183</v>
      </c>
      <c r="C109" t="n">
        <v>0.704605746523325</v>
      </c>
      <c r="D109" t="n">
        <v>0.173564863536997</v>
      </c>
    </row>
    <row r="110">
      <c r="A110" t="s">
        <v>211</v>
      </c>
      <c r="B110" t="s">
        <v>191</v>
      </c>
      <c r="C110" t="n">
        <v>-0.00429951216681102</v>
      </c>
      <c r="D110" t="n">
        <v>0.0013661533954804</v>
      </c>
    </row>
    <row r="111">
      <c r="A111" t="s">
        <v>211</v>
      </c>
      <c r="B111" t="s">
        <v>192</v>
      </c>
      <c r="C111" t="n">
        <v>0.549529763001572</v>
      </c>
      <c r="D111" t="n">
        <v>0.0370585312025495</v>
      </c>
    </row>
    <row r="112">
      <c r="A112" t="s">
        <v>211</v>
      </c>
      <c r="B112" t="s">
        <v>184</v>
      </c>
      <c r="C112" t="n">
        <v>0.0295118280108596</v>
      </c>
      <c r="D112" t="n">
        <v>0.00972414438287095</v>
      </c>
    </row>
    <row r="113">
      <c r="A113" t="s">
        <v>212</v>
      </c>
      <c r="B113" t="s">
        <v>181</v>
      </c>
      <c r="C113" t="n">
        <v>-0.0826017548557111</v>
      </c>
      <c r="D113" t="n">
        <v>0.0236316134060107</v>
      </c>
    </row>
    <row r="114">
      <c r="A114" t="s">
        <v>212</v>
      </c>
      <c r="B114" t="s">
        <v>182</v>
      </c>
      <c r="C114" t="n">
        <v>0.0188394806346236</v>
      </c>
      <c r="D114" t="n">
        <v>0.00183187725866273</v>
      </c>
    </row>
    <row r="115">
      <c r="A115" t="s">
        <v>212</v>
      </c>
      <c r="B115" t="s">
        <v>183</v>
      </c>
      <c r="C115" t="n">
        <v>0.000472913247603882</v>
      </c>
      <c r="D115" t="n">
        <v>0.0000610884135991526</v>
      </c>
    </row>
    <row r="116">
      <c r="A116" t="s">
        <v>212</v>
      </c>
      <c r="B116" t="s">
        <v>191</v>
      </c>
      <c r="C116" t="n">
        <v>0.642200377623816</v>
      </c>
      <c r="D116" t="n">
        <v>0.0317140958736595</v>
      </c>
    </row>
    <row r="117">
      <c r="A117" t="s">
        <v>212</v>
      </c>
      <c r="B117" t="s">
        <v>192</v>
      </c>
      <c r="C117" t="n">
        <v>0.227705574523181</v>
      </c>
      <c r="D117" t="n">
        <v>0.032579805019168</v>
      </c>
    </row>
    <row r="118">
      <c r="A118" t="s">
        <v>213</v>
      </c>
      <c r="B118" t="s">
        <v>181</v>
      </c>
      <c r="C118" t="n">
        <v>0.0383730692653588</v>
      </c>
      <c r="D118" t="n">
        <v>0.0158433169743017</v>
      </c>
    </row>
    <row r="119">
      <c r="A119" t="s">
        <v>213</v>
      </c>
      <c r="B119" t="s">
        <v>182</v>
      </c>
      <c r="C119" t="n">
        <v>0.955736643472143</v>
      </c>
      <c r="D119" t="n">
        <v>0.789721397859604</v>
      </c>
    </row>
    <row r="120">
      <c r="A120" t="s">
        <v>213</v>
      </c>
      <c r="B120" t="s">
        <v>183</v>
      </c>
      <c r="C120" t="n">
        <v>-5.03503526705015</v>
      </c>
      <c r="D120" t="n">
        <v>1.84723356267292</v>
      </c>
    </row>
    <row r="121">
      <c r="A121" t="s">
        <v>213</v>
      </c>
      <c r="B121" t="s">
        <v>191</v>
      </c>
      <c r="C121" t="n">
        <v>3.45356769068546</v>
      </c>
      <c r="D121" t="n">
        <v>2.2757822632892</v>
      </c>
    </row>
    <row r="122">
      <c r="A122" t="s">
        <v>213</v>
      </c>
      <c r="B122" t="s">
        <v>192</v>
      </c>
      <c r="C122" t="n">
        <v>0.27815336451659</v>
      </c>
      <c r="D122" t="n">
        <v>0.0878130324796099</v>
      </c>
    </row>
    <row r="123">
      <c r="A123" t="s">
        <v>213</v>
      </c>
      <c r="B123" t="s">
        <v>184</v>
      </c>
      <c r="C123" t="n">
        <v>-0.163622940573518</v>
      </c>
      <c r="D123" t="n">
        <v>0.0858476806899393</v>
      </c>
    </row>
    <row r="124">
      <c r="A124" t="s">
        <v>214</v>
      </c>
      <c r="B124" t="s">
        <v>181</v>
      </c>
      <c r="C124" t="n">
        <v>-0.463987432470169</v>
      </c>
      <c r="D124" t="n">
        <v>0.150238521206586</v>
      </c>
    </row>
    <row r="125">
      <c r="A125" t="s">
        <v>214</v>
      </c>
      <c r="B125" t="s">
        <v>182</v>
      </c>
      <c r="C125" t="n">
        <v>-0.141390447372576</v>
      </c>
      <c r="D125" t="n">
        <v>0.0428747858490399</v>
      </c>
    </row>
    <row r="126">
      <c r="A126" t="s">
        <v>214</v>
      </c>
      <c r="B126" t="s">
        <v>183</v>
      </c>
      <c r="C126" t="n">
        <v>-0.490435904191744</v>
      </c>
      <c r="D126" t="n">
        <v>0.0808534821218873</v>
      </c>
    </row>
    <row r="127">
      <c r="A127" t="s">
        <v>214</v>
      </c>
      <c r="B127" t="s">
        <v>191</v>
      </c>
      <c r="C127" t="n">
        <v>-5.42410968175124</v>
      </c>
      <c r="D127" t="n">
        <v>2.81965035623271</v>
      </c>
    </row>
    <row r="128">
      <c r="A128" t="s">
        <v>214</v>
      </c>
      <c r="B128" t="s">
        <v>192</v>
      </c>
      <c r="C128" t="n">
        <v>-0.0736034833556251</v>
      </c>
      <c r="D128" t="n">
        <v>0.0799710047084646</v>
      </c>
    </row>
    <row r="129">
      <c r="A129" t="s">
        <v>214</v>
      </c>
      <c r="B129" t="s">
        <v>184</v>
      </c>
      <c r="C129" t="n">
        <v>0.134536973769496</v>
      </c>
      <c r="D129" t="n">
        <v>0.0958667577694823</v>
      </c>
    </row>
    <row r="130">
      <c r="A130" t="s">
        <v>214</v>
      </c>
      <c r="B130" t="s">
        <v>193</v>
      </c>
      <c r="C130" t="n">
        <v>-0.476228965696701</v>
      </c>
      <c r="D130" t="n">
        <v>0.814461935214127</v>
      </c>
    </row>
    <row r="131">
      <c r="A131" t="s">
        <v>215</v>
      </c>
      <c r="B131" t="s">
        <v>181</v>
      </c>
      <c r="C131" t="n">
        <v>-0.00342869661877347</v>
      </c>
      <c r="D131" t="n">
        <v>0.00183705202755303</v>
      </c>
    </row>
    <row r="132">
      <c r="A132" t="s">
        <v>215</v>
      </c>
      <c r="B132" t="s">
        <v>182</v>
      </c>
      <c r="C132" t="n">
        <v>1.01279766478653</v>
      </c>
      <c r="D132" t="n">
        <v>0.0434613947918442</v>
      </c>
    </row>
    <row r="133">
      <c r="A133" t="s">
        <v>215</v>
      </c>
      <c r="B133" t="s">
        <v>183</v>
      </c>
      <c r="C133" t="n">
        <v>0.282793824836907</v>
      </c>
      <c r="D133" t="n">
        <v>0.16088021722926</v>
      </c>
    </row>
    <row r="134">
      <c r="A134" t="s">
        <v>216</v>
      </c>
      <c r="B134" t="s">
        <v>181</v>
      </c>
      <c r="C134" t="n">
        <v>0.00971365919983663</v>
      </c>
      <c r="D134" t="n">
        <v>0.00125170175119005</v>
      </c>
    </row>
    <row r="135">
      <c r="A135" t="s">
        <v>216</v>
      </c>
      <c r="B135" t="s">
        <v>182</v>
      </c>
      <c r="C135" t="n">
        <v>0.471847643220545</v>
      </c>
      <c r="D135" t="n">
        <v>0.0497274083404665</v>
      </c>
    </row>
    <row r="136">
      <c r="A136" t="s">
        <v>216</v>
      </c>
      <c r="B136" t="s">
        <v>183</v>
      </c>
      <c r="C136" t="n">
        <v>0.153072782457707</v>
      </c>
      <c r="D136" t="n">
        <v>0.0144810957248371</v>
      </c>
    </row>
    <row r="137">
      <c r="A137" t="s">
        <v>216</v>
      </c>
      <c r="B137" t="s">
        <v>191</v>
      </c>
      <c r="C137" t="n">
        <v>-0.0425358433754848</v>
      </c>
      <c r="D137" t="n">
        <v>0.0183601729223143</v>
      </c>
    </row>
    <row r="138">
      <c r="A138" t="s">
        <v>217</v>
      </c>
      <c r="B138" t="s">
        <v>181</v>
      </c>
      <c r="C138" t="n">
        <v>-0.12249627739958</v>
      </c>
      <c r="D138" t="n">
        <v>0.03356240795676</v>
      </c>
    </row>
    <row r="139">
      <c r="A139" t="s">
        <v>217</v>
      </c>
      <c r="B139" t="s">
        <v>182</v>
      </c>
      <c r="C139" t="n">
        <v>-0.0601465038881438</v>
      </c>
      <c r="D139" t="n">
        <v>0.0147625443397219</v>
      </c>
    </row>
    <row r="140">
      <c r="A140" t="s">
        <v>217</v>
      </c>
      <c r="B140" t="s">
        <v>183</v>
      </c>
      <c r="C140" t="n">
        <v>0.00126417990268984</v>
      </c>
      <c r="D140" t="n">
        <v>0.00044153906860224</v>
      </c>
    </row>
    <row r="141">
      <c r="A141" t="s">
        <v>217</v>
      </c>
      <c r="B141" t="s">
        <v>191</v>
      </c>
      <c r="C141" t="n">
        <v>0.501544899905767</v>
      </c>
      <c r="D141" t="n">
        <v>0.166889528857602</v>
      </c>
    </row>
    <row r="142">
      <c r="A142" t="s">
        <v>218</v>
      </c>
      <c r="B142" t="s">
        <v>181</v>
      </c>
      <c r="C142" t="n">
        <v>0.272819908588303</v>
      </c>
      <c r="D142" t="n">
        <v>0.0471149813992523</v>
      </c>
    </row>
    <row r="143">
      <c r="A143" t="s">
        <v>218</v>
      </c>
      <c r="B143" t="s">
        <v>182</v>
      </c>
      <c r="C143" t="n">
        <v>10.1853777931674</v>
      </c>
      <c r="D143" t="n">
        <v>1.00434066700381</v>
      </c>
    </row>
    <row r="144">
      <c r="A144" t="s">
        <v>218</v>
      </c>
      <c r="B144" t="s">
        <v>191</v>
      </c>
      <c r="C144" t="n">
        <v>-0.00271996181262577</v>
      </c>
      <c r="D144" t="n">
        <v>0.000167165453823194</v>
      </c>
    </row>
    <row r="145">
      <c r="A145" t="s">
        <v>218</v>
      </c>
      <c r="B145" t="s">
        <v>192</v>
      </c>
      <c r="C145" t="n">
        <v>1.03184064268043</v>
      </c>
      <c r="D145" t="n">
        <v>0.477803442799482</v>
      </c>
    </row>
    <row r="146">
      <c r="A146" t="s">
        <v>218</v>
      </c>
      <c r="B146" t="s">
        <v>184</v>
      </c>
      <c r="C146" t="n">
        <v>-0.815791029672783</v>
      </c>
      <c r="D146" t="n">
        <v>0.301430392183484</v>
      </c>
    </row>
    <row r="147">
      <c r="A147" t="s">
        <v>218</v>
      </c>
      <c r="B147" t="s">
        <v>193</v>
      </c>
      <c r="C147" t="n">
        <v>0.0424913378289221</v>
      </c>
      <c r="D147" t="n">
        <v>0.28569118189642</v>
      </c>
    </row>
    <row r="148">
      <c r="A148" t="s">
        <v>218</v>
      </c>
      <c r="B148" t="s">
        <v>185</v>
      </c>
      <c r="C148" t="n">
        <v>-0.0664649006625445</v>
      </c>
      <c r="D148" t="n">
        <v>0.012671707303273</v>
      </c>
    </row>
    <row r="149">
      <c r="A149" t="s">
        <v>218</v>
      </c>
      <c r="B149" t="s">
        <v>186</v>
      </c>
      <c r="C149" t="n">
        <v>0.0528688909739866</v>
      </c>
      <c r="D149" t="n">
        <v>0.0105073019669181</v>
      </c>
    </row>
    <row r="150">
      <c r="A150" t="s">
        <v>219</v>
      </c>
      <c r="B150" t="s">
        <v>181</v>
      </c>
      <c r="C150" t="n">
        <v>0.192780584859325</v>
      </c>
      <c r="D150" t="n">
        <v>0.394282270959034</v>
      </c>
    </row>
    <row r="151">
      <c r="A151" t="s">
        <v>219</v>
      </c>
      <c r="B151" t="s">
        <v>182</v>
      </c>
      <c r="C151" t="n">
        <v>-0.291552868830653</v>
      </c>
      <c r="D151" t="n">
        <v>0.0815879172833352</v>
      </c>
    </row>
    <row r="152">
      <c r="A152" t="s">
        <v>219</v>
      </c>
      <c r="B152" t="s">
        <v>183</v>
      </c>
      <c r="C152" t="n">
        <v>0.00512114798809499</v>
      </c>
      <c r="D152" t="n">
        <v>0.000460107176834578</v>
      </c>
    </row>
    <row r="153">
      <c r="A153" t="s">
        <v>219</v>
      </c>
      <c r="B153" t="s">
        <v>191</v>
      </c>
      <c r="C153" t="n">
        <v>0.0252833295244187</v>
      </c>
      <c r="D153" t="n">
        <v>0.994666719047955</v>
      </c>
    </row>
    <row r="154">
      <c r="A154" t="s">
        <v>219</v>
      </c>
      <c r="B154" t="s">
        <v>192</v>
      </c>
      <c r="C154" t="n">
        <v>1.04261801676389</v>
      </c>
      <c r="D154" t="n">
        <v>0.466254366456216</v>
      </c>
    </row>
    <row r="155">
      <c r="A155" t="s">
        <v>219</v>
      </c>
      <c r="B155" t="s">
        <v>184</v>
      </c>
      <c r="C155" t="n">
        <v>-1.29514977687512</v>
      </c>
      <c r="D155" t="n">
        <v>0.664849820213215</v>
      </c>
    </row>
    <row r="156">
      <c r="A156" t="s">
        <v>219</v>
      </c>
      <c r="B156" t="s">
        <v>193</v>
      </c>
      <c r="C156" t="n">
        <v>0.255395042002234</v>
      </c>
      <c r="D156" t="n">
        <v>0.110896638159083</v>
      </c>
    </row>
    <row r="157">
      <c r="A157" t="s">
        <v>219</v>
      </c>
      <c r="B157" t="s">
        <v>185</v>
      </c>
      <c r="C157" t="n">
        <v>0.329508615369721</v>
      </c>
      <c r="D157" t="n">
        <v>0.114598583748244</v>
      </c>
    </row>
    <row r="158">
      <c r="A158" t="s">
        <v>220</v>
      </c>
      <c r="B158" t="s">
        <v>181</v>
      </c>
      <c r="C158" t="n">
        <v>-0.0385171700413463</v>
      </c>
      <c r="D158" t="n">
        <v>0.113321026981943</v>
      </c>
    </row>
    <row r="159">
      <c r="A159" t="s">
        <v>220</v>
      </c>
      <c r="B159" t="s">
        <v>182</v>
      </c>
      <c r="C159" t="n">
        <v>-0.0210532326458058</v>
      </c>
      <c r="D159" t="n">
        <v>0.0277289401273915</v>
      </c>
    </row>
    <row r="160">
      <c r="A160" t="s">
        <v>220</v>
      </c>
      <c r="B160" t="s">
        <v>183</v>
      </c>
      <c r="C160" t="n">
        <v>0.430322513496464</v>
      </c>
      <c r="D160" t="n">
        <v>0.602260786458561</v>
      </c>
    </row>
    <row r="161">
      <c r="A161" t="s">
        <v>220</v>
      </c>
      <c r="B161" t="s">
        <v>191</v>
      </c>
      <c r="C161" t="n">
        <v>0.092853614332348</v>
      </c>
      <c r="D161" t="n">
        <v>0.0206810501193269</v>
      </c>
    </row>
    <row r="162">
      <c r="A162" t="s">
        <v>220</v>
      </c>
      <c r="B162" t="s">
        <v>184</v>
      </c>
      <c r="C162" t="n">
        <v>0.0495102017005498</v>
      </c>
      <c r="D162" t="n">
        <v>0.0200663860995832</v>
      </c>
    </row>
    <row r="163">
      <c r="A163" t="s">
        <v>220</v>
      </c>
      <c r="B163" t="s">
        <v>193</v>
      </c>
      <c r="C163" t="n">
        <v>0.0497650045560046</v>
      </c>
      <c r="D163" t="n">
        <v>0.0344328590422222</v>
      </c>
    </row>
    <row r="164">
      <c r="A164" t="s">
        <v>220</v>
      </c>
      <c r="B164" t="s">
        <v>186</v>
      </c>
      <c r="C164" t="n">
        <v>0.0521457006078893</v>
      </c>
      <c r="D164" t="n">
        <v>0.0331607829967198</v>
      </c>
    </row>
    <row r="165">
      <c r="A165" t="s">
        <v>220</v>
      </c>
      <c r="B165" t="s">
        <v>187</v>
      </c>
      <c r="C165" t="n">
        <v>0.0270015310735225</v>
      </c>
      <c r="D165" t="n">
        <v>0.0320467333606608</v>
      </c>
    </row>
    <row r="166">
      <c r="A166" t="s">
        <v>220</v>
      </c>
      <c r="B166" t="s">
        <v>188</v>
      </c>
      <c r="C166" t="n">
        <v>0.0139876989884439</v>
      </c>
      <c r="D166" t="n">
        <v>0.00276712804048159</v>
      </c>
    </row>
    <row r="167">
      <c r="A167" t="s">
        <v>220</v>
      </c>
      <c r="B167" t="s">
        <v>189</v>
      </c>
      <c r="C167" t="n">
        <v>0.00436474456476269</v>
      </c>
      <c r="D167" t="n">
        <v>0.00264241313933911</v>
      </c>
    </row>
    <row r="168">
      <c r="A168" t="s">
        <v>221</v>
      </c>
      <c r="B168" t="s">
        <v>181</v>
      </c>
      <c r="C168" t="n">
        <v>-0.013762818679934</v>
      </c>
      <c r="D168" t="n">
        <v>0.0134908864957009</v>
      </c>
    </row>
    <row r="169">
      <c r="A169" t="s">
        <v>221</v>
      </c>
      <c r="B169" t="s">
        <v>182</v>
      </c>
      <c r="C169" t="n">
        <v>-0.0303825215417657</v>
      </c>
      <c r="D169" t="n">
        <v>0.00960250966442834</v>
      </c>
    </row>
    <row r="170">
      <c r="A170" t="s">
        <v>221</v>
      </c>
      <c r="B170" t="s">
        <v>183</v>
      </c>
      <c r="C170" t="n">
        <v>0.119198401062192</v>
      </c>
      <c r="D170" t="n">
        <v>0.101204056186915</v>
      </c>
    </row>
    <row r="171">
      <c r="A171" t="s">
        <v>221</v>
      </c>
      <c r="B171" t="s">
        <v>184</v>
      </c>
      <c r="C171" t="n">
        <v>0.145784199400455</v>
      </c>
      <c r="D171" t="n">
        <v>0.0167198439550555</v>
      </c>
    </row>
    <row r="172">
      <c r="A172" t="s">
        <v>221</v>
      </c>
      <c r="B172" t="s">
        <v>193</v>
      </c>
      <c r="C172" t="n">
        <v>0.0395477413647599</v>
      </c>
      <c r="D172" t="n">
        <v>0.0257239781542817</v>
      </c>
    </row>
    <row r="173">
      <c r="A173" t="s">
        <v>221</v>
      </c>
      <c r="B173" t="s">
        <v>185</v>
      </c>
      <c r="C173" t="n">
        <v>0.0680798770577836</v>
      </c>
      <c r="D173" t="n">
        <v>0.0172454282104457</v>
      </c>
    </row>
    <row r="174">
      <c r="A174" t="s">
        <v>221</v>
      </c>
      <c r="B174" t="s">
        <v>186</v>
      </c>
      <c r="C174" t="n">
        <v>0.0702706848321504</v>
      </c>
      <c r="D174" t="n">
        <v>0.0168978142913241</v>
      </c>
    </row>
    <row r="175">
      <c r="A175" t="s">
        <v>221</v>
      </c>
      <c r="B175" t="s">
        <v>187</v>
      </c>
      <c r="C175" t="n">
        <v>0.00315433970003882</v>
      </c>
      <c r="D175" t="n">
        <v>0.00240691164985941</v>
      </c>
    </row>
    <row r="176">
      <c r="A176" t="s">
        <v>221</v>
      </c>
      <c r="B176" t="s">
        <v>188</v>
      </c>
      <c r="C176" t="n">
        <v>0.00437979664280839</v>
      </c>
      <c r="D176" t="n">
        <v>0.00231322023172522</v>
      </c>
    </row>
    <row r="177">
      <c r="A177" t="s">
        <v>222</v>
      </c>
      <c r="B177" t="s">
        <v>181</v>
      </c>
      <c r="C177" t="n">
        <v>-0.396148446555412</v>
      </c>
      <c r="D177" t="n">
        <v>0.125761907096548</v>
      </c>
    </row>
    <row r="178">
      <c r="A178" t="s">
        <v>222</v>
      </c>
      <c r="B178" t="s">
        <v>182</v>
      </c>
      <c r="C178" t="n">
        <v>-0.0776852923265347</v>
      </c>
      <c r="D178" t="n">
        <v>0.0228432799514122</v>
      </c>
    </row>
    <row r="179">
      <c r="A179" t="s">
        <v>222</v>
      </c>
      <c r="B179" t="s">
        <v>183</v>
      </c>
      <c r="C179" t="n">
        <v>1.12661924858983</v>
      </c>
      <c r="D179" t="n">
        <v>0.0391092411966216</v>
      </c>
    </row>
    <row r="180">
      <c r="A180" t="s">
        <v>222</v>
      </c>
      <c r="B180" t="s">
        <v>191</v>
      </c>
      <c r="C180" t="n">
        <v>0.159638759828844</v>
      </c>
      <c r="D180" t="n">
        <v>0.0469652753633737</v>
      </c>
    </row>
    <row r="181">
      <c r="A181" t="s">
        <v>222</v>
      </c>
      <c r="B181" t="s">
        <v>192</v>
      </c>
      <c r="C181" t="n">
        <v>-0.314194744639333</v>
      </c>
      <c r="D181" t="n">
        <v>0.0716885175520357</v>
      </c>
    </row>
    <row r="182">
      <c r="A182" t="s">
        <v>223</v>
      </c>
      <c r="B182" t="s">
        <v>181</v>
      </c>
      <c r="C182" t="n">
        <v>-0.132833701834715</v>
      </c>
      <c r="D182" t="n">
        <v>0.0704908403045335</v>
      </c>
    </row>
    <row r="183">
      <c r="A183" t="s">
        <v>223</v>
      </c>
      <c r="B183" t="s">
        <v>182</v>
      </c>
      <c r="C183" t="n">
        <v>-0.033657078706488</v>
      </c>
      <c r="D183" t="n">
        <v>0.0147149459097593</v>
      </c>
    </row>
    <row r="184">
      <c r="A184" t="s">
        <v>223</v>
      </c>
      <c r="B184" t="s">
        <v>183</v>
      </c>
      <c r="C184" t="n">
        <v>0.675770564909726</v>
      </c>
      <c r="D184" t="n">
        <v>0.139719028813524</v>
      </c>
    </row>
    <row r="185">
      <c r="A185" t="s">
        <v>223</v>
      </c>
      <c r="B185" t="s">
        <v>191</v>
      </c>
      <c r="C185" t="n">
        <v>0.00443602900889811</v>
      </c>
      <c r="D185" t="n">
        <v>0.000801165627661365</v>
      </c>
    </row>
    <row r="186">
      <c r="A186" t="s">
        <v>223</v>
      </c>
      <c r="B186" t="s">
        <v>192</v>
      </c>
      <c r="C186" t="n">
        <v>0.0647350426133381</v>
      </c>
      <c r="D186" t="n">
        <v>0.00437712494239523</v>
      </c>
    </row>
    <row r="187">
      <c r="A187" t="s">
        <v>223</v>
      </c>
      <c r="B187" t="s">
        <v>184</v>
      </c>
      <c r="C187" t="n">
        <v>0.809568427946561</v>
      </c>
      <c r="D187" t="n">
        <v>0.0520642707940501</v>
      </c>
    </row>
    <row r="188">
      <c r="A188" t="s">
        <v>223</v>
      </c>
      <c r="B188" t="s">
        <v>193</v>
      </c>
      <c r="C188" t="n">
        <v>-0.0749210871284105</v>
      </c>
      <c r="D188" t="n">
        <v>0.00546422354614779</v>
      </c>
    </row>
    <row r="189">
      <c r="A189" t="s">
        <v>224</v>
      </c>
      <c r="B189" t="s">
        <v>181</v>
      </c>
      <c r="C189" t="n">
        <v>0.00630917005967377</v>
      </c>
      <c r="D189" t="n">
        <v>0.00261463939958888</v>
      </c>
    </row>
    <row r="190">
      <c r="A190" t="s">
        <v>224</v>
      </c>
      <c r="B190" t="s">
        <v>182</v>
      </c>
      <c r="C190" t="n">
        <v>-0.0369221532858876</v>
      </c>
      <c r="D190" t="n">
        <v>0.012962147680626</v>
      </c>
    </row>
    <row r="191">
      <c r="A191" t="s">
        <v>224</v>
      </c>
      <c r="B191" t="s">
        <v>191</v>
      </c>
      <c r="C191" t="n">
        <v>0.00294753208872388</v>
      </c>
      <c r="D191" t="n">
        <v>0.000424850805602725</v>
      </c>
    </row>
    <row r="192">
      <c r="A192" t="s">
        <v>224</v>
      </c>
      <c r="B192" t="s">
        <v>192</v>
      </c>
      <c r="C192" t="n">
        <v>0.0503005819171045</v>
      </c>
      <c r="D192" t="n">
        <v>0.0237652304407061</v>
      </c>
    </row>
    <row r="193">
      <c r="A193" t="s">
        <v>224</v>
      </c>
      <c r="B193" t="s">
        <v>184</v>
      </c>
      <c r="C193" t="n">
        <v>0.0377370729539087</v>
      </c>
      <c r="D193" t="n">
        <v>0.0245693266104171</v>
      </c>
    </row>
    <row r="194">
      <c r="A194" t="s">
        <v>225</v>
      </c>
      <c r="B194" t="s">
        <v>181</v>
      </c>
      <c r="C194" t="n">
        <v>0.00152903710037033</v>
      </c>
      <c r="D194" t="n">
        <v>0.00527480845927315</v>
      </c>
    </row>
    <row r="195">
      <c r="A195" t="s">
        <v>225</v>
      </c>
      <c r="B195" t="s">
        <v>182</v>
      </c>
      <c r="C195" t="n">
        <v>-0.0553332876237556</v>
      </c>
      <c r="D195" t="n">
        <v>0.0212620690293847</v>
      </c>
    </row>
    <row r="196">
      <c r="A196" t="s">
        <v>225</v>
      </c>
      <c r="B196" t="s">
        <v>191</v>
      </c>
      <c r="C196" t="n">
        <v>-0.134232740081939</v>
      </c>
      <c r="D196" t="n">
        <v>0.0664862940435821</v>
      </c>
    </row>
    <row r="197">
      <c r="A197" t="s">
        <v>225</v>
      </c>
      <c r="B197" t="s">
        <v>192</v>
      </c>
      <c r="C197" t="n">
        <v>-0.149687152868131</v>
      </c>
      <c r="D197" t="n">
        <v>0.0671382150415806</v>
      </c>
    </row>
    <row r="198">
      <c r="A198" t="s">
        <v>225</v>
      </c>
      <c r="B198" t="s">
        <v>184</v>
      </c>
      <c r="C198" t="n">
        <v>1.15084768739938</v>
      </c>
      <c r="D198" t="n">
        <v>0.287130421042586</v>
      </c>
    </row>
    <row r="199">
      <c r="A199" t="s">
        <v>225</v>
      </c>
      <c r="B199" t="s">
        <v>193</v>
      </c>
      <c r="C199" t="n">
        <v>-0.317497254532368</v>
      </c>
      <c r="D199" t="n">
        <v>0.0596151296873075</v>
      </c>
    </row>
    <row r="200">
      <c r="A200" t="s">
        <v>225</v>
      </c>
      <c r="B200" t="s">
        <v>185</v>
      </c>
      <c r="C200" t="n">
        <v>-0.250543817619208</v>
      </c>
      <c r="D200" t="n">
        <v>0.0422550732499023</v>
      </c>
    </row>
    <row r="201">
      <c r="A201" t="s">
        <v>226</v>
      </c>
      <c r="B201" t="s">
        <v>227</v>
      </c>
      <c r="C201" t="n">
        <v>0.127057325201708</v>
      </c>
      <c r="D201" t="n">
        <v>0.125247842972247</v>
      </c>
    </row>
    <row r="202">
      <c r="A202" t="s">
        <v>228</v>
      </c>
      <c r="B202" t="s">
        <v>181</v>
      </c>
      <c r="C202" t="n">
        <v>-0.0139467161134572</v>
      </c>
      <c r="D202" t="n">
        <v>0.0128594138618697</v>
      </c>
    </row>
    <row r="203">
      <c r="A203" t="s">
        <v>228</v>
      </c>
      <c r="B203" t="s">
        <v>182</v>
      </c>
      <c r="C203" t="n">
        <v>-0.00442970903690194</v>
      </c>
      <c r="D203" t="n">
        <v>0.00548431928365421</v>
      </c>
    </row>
    <row r="204">
      <c r="A204" t="s">
        <v>228</v>
      </c>
      <c r="B204" t="s">
        <v>191</v>
      </c>
      <c r="C204" t="n">
        <v>29.4303749992413</v>
      </c>
      <c r="D204" t="n">
        <v>22.9665751021869</v>
      </c>
    </row>
    <row r="205">
      <c r="A205" t="s">
        <v>228</v>
      </c>
      <c r="B205" t="s">
        <v>192</v>
      </c>
      <c r="C205" t="n">
        <v>0.0401932395085156</v>
      </c>
      <c r="D205" t="n">
        <v>0.0125672585392203</v>
      </c>
    </row>
    <row r="206">
      <c r="A206" t="s">
        <v>228</v>
      </c>
      <c r="B206" t="s">
        <v>184</v>
      </c>
      <c r="C206" t="n">
        <v>-0.0525271360762529</v>
      </c>
      <c r="D206" t="n">
        <v>0.0475192744501363</v>
      </c>
    </row>
    <row r="207">
      <c r="A207" t="s">
        <v>228</v>
      </c>
      <c r="B207" t="s">
        <v>193</v>
      </c>
      <c r="C207" t="n">
        <v>0.154233191279578</v>
      </c>
      <c r="D207" t="n">
        <v>0.0466094477687899</v>
      </c>
    </row>
    <row r="208">
      <c r="A208" t="s">
        <v>228</v>
      </c>
      <c r="B208" t="s">
        <v>185</v>
      </c>
      <c r="C208" t="n">
        <v>0.676034577665969</v>
      </c>
      <c r="D208" t="n">
        <v>0.0790194073247282</v>
      </c>
    </row>
    <row r="209">
      <c r="A209" t="s">
        <v>229</v>
      </c>
      <c r="B209" t="s">
        <v>181</v>
      </c>
      <c r="C209" t="n">
        <v>-0.419700820179509</v>
      </c>
      <c r="D209" t="n">
        <v>0.222959876473013</v>
      </c>
    </row>
    <row r="210">
      <c r="A210" t="s">
        <v>229</v>
      </c>
      <c r="B210" t="s">
        <v>182</v>
      </c>
      <c r="C210" t="n">
        <v>-0.0506279036358868</v>
      </c>
      <c r="D210" t="n">
        <v>0.0269804360071625</v>
      </c>
    </row>
    <row r="211">
      <c r="A211" t="s">
        <v>229</v>
      </c>
      <c r="B211" t="s">
        <v>192</v>
      </c>
      <c r="C211" t="n">
        <v>0.877198452474456</v>
      </c>
      <c r="D211" t="n">
        <v>0.249828218336434</v>
      </c>
    </row>
    <row r="212">
      <c r="A212" t="s">
        <v>229</v>
      </c>
      <c r="B212" t="s">
        <v>184</v>
      </c>
      <c r="C212" t="n">
        <v>0.761284867689189</v>
      </c>
      <c r="D212" t="n">
        <v>0.260037626387587</v>
      </c>
    </row>
    <row r="213">
      <c r="A213" t="s">
        <v>229</v>
      </c>
      <c r="B213" t="s">
        <v>193</v>
      </c>
      <c r="C213" t="n">
        <v>0.466483278131633</v>
      </c>
      <c r="D213" t="n">
        <v>0.250848213565577</v>
      </c>
    </row>
    <row r="214">
      <c r="A214" t="s">
        <v>229</v>
      </c>
      <c r="B214" t="s">
        <v>185</v>
      </c>
      <c r="C214" t="n">
        <v>0.33853777414992</v>
      </c>
      <c r="D214" t="n">
        <v>0.254992376142709</v>
      </c>
    </row>
    <row r="215">
      <c r="A215" t="s">
        <v>229</v>
      </c>
      <c r="B215" t="s">
        <v>186</v>
      </c>
      <c r="C215" t="n">
        <v>-0.288612086118259</v>
      </c>
      <c r="D215" t="n">
        <v>0.0911918851797859</v>
      </c>
    </row>
    <row r="216">
      <c r="A216" t="s">
        <v>229</v>
      </c>
      <c r="B216" t="s">
        <v>187</v>
      </c>
      <c r="C216" t="n">
        <v>-0.176028008389923</v>
      </c>
      <c r="D216" t="n">
        <v>0.0345044371275593</v>
      </c>
    </row>
    <row r="217">
      <c r="A217" t="s">
        <v>229</v>
      </c>
      <c r="B217" t="s">
        <v>188</v>
      </c>
      <c r="C217" t="n">
        <v>-0.50689820176045</v>
      </c>
      <c r="D217" t="n">
        <v>0.48220800388094</v>
      </c>
    </row>
    <row r="218">
      <c r="A218" t="s">
        <v>230</v>
      </c>
      <c r="B218" t="s">
        <v>181</v>
      </c>
      <c r="C218" t="n">
        <v>0.117409867336902</v>
      </c>
      <c r="D218" t="n">
        <v>0.0297859713279876</v>
      </c>
    </row>
    <row r="219">
      <c r="A219" t="s">
        <v>230</v>
      </c>
      <c r="B219" t="s">
        <v>231</v>
      </c>
      <c r="C219" t="n">
        <v>-0.489152075010871</v>
      </c>
      <c r="D219" t="n">
        <v>0.138922251187899</v>
      </c>
    </row>
    <row r="220">
      <c r="A220" t="s">
        <v>230</v>
      </c>
      <c r="B220" t="s">
        <v>232</v>
      </c>
      <c r="C220" t="n">
        <v>-0.0277252005151064</v>
      </c>
      <c r="D220" t="n">
        <v>0.21138920219739</v>
      </c>
    </row>
    <row r="221">
      <c r="A221" t="s">
        <v>230</v>
      </c>
      <c r="B221" t="s">
        <v>233</v>
      </c>
      <c r="C221" t="n">
        <v>0.193827246327542</v>
      </c>
      <c r="D221" t="n">
        <v>0.339987481649685</v>
      </c>
    </row>
    <row r="222">
      <c r="A222" t="s">
        <v>230</v>
      </c>
      <c r="B222" t="s">
        <v>234</v>
      </c>
      <c r="C222" t="n">
        <v>-0.450042666268074</v>
      </c>
      <c r="D222" t="n">
        <v>0.339640547702663</v>
      </c>
    </row>
    <row r="223">
      <c r="A223" t="s">
        <v>230</v>
      </c>
      <c r="B223" t="s">
        <v>235</v>
      </c>
      <c r="C223" t="n">
        <v>0.241181274151784</v>
      </c>
      <c r="D223" t="n">
        <v>0.211531544300953</v>
      </c>
    </row>
    <row r="224">
      <c r="A224" t="s">
        <v>230</v>
      </c>
      <c r="B224" t="s">
        <v>236</v>
      </c>
      <c r="C224" t="n">
        <v>0.710666390029421</v>
      </c>
      <c r="D224" t="n">
        <v>0.0676758294805386</v>
      </c>
    </row>
    <row r="225">
      <c r="A225" t="s">
        <v>237</v>
      </c>
      <c r="B225" t="s">
        <v>181</v>
      </c>
      <c r="C225" t="n">
        <v>-1.09346914302213</v>
      </c>
      <c r="D225" t="n">
        <v>0.293525441346812</v>
      </c>
    </row>
    <row r="226">
      <c r="A226" t="s">
        <v>237</v>
      </c>
      <c r="B226" t="s">
        <v>182</v>
      </c>
      <c r="C226" t="n">
        <v>-0.31252733075661</v>
      </c>
      <c r="D226" t="n">
        <v>0.0774243365789166</v>
      </c>
    </row>
    <row r="227">
      <c r="A227" t="s">
        <v>237</v>
      </c>
      <c r="B227" t="s">
        <v>183</v>
      </c>
      <c r="C227" t="n">
        <v>0.524226673029985</v>
      </c>
      <c r="D227" t="n">
        <v>0.19496963700923</v>
      </c>
    </row>
    <row r="228">
      <c r="A228" t="s">
        <v>237</v>
      </c>
      <c r="B228" t="s">
        <v>191</v>
      </c>
      <c r="C228" t="n">
        <v>-1.37759850830995</v>
      </c>
      <c r="D228" t="n">
        <v>0.43673277519111</v>
      </c>
    </row>
    <row r="229">
      <c r="A229" t="s">
        <v>237</v>
      </c>
      <c r="B229" t="s">
        <v>192</v>
      </c>
      <c r="C229" t="n">
        <v>-0.00915208215881414</v>
      </c>
      <c r="D229" t="n">
        <v>0.00147442266604699</v>
      </c>
    </row>
    <row r="230">
      <c r="A230" t="s">
        <v>237</v>
      </c>
      <c r="B230" t="s">
        <v>193</v>
      </c>
      <c r="C230" t="n">
        <v>0.0674170529022015</v>
      </c>
      <c r="D230" t="n">
        <v>0.0974362709318084</v>
      </c>
    </row>
    <row r="231">
      <c r="A231" t="s">
        <v>237</v>
      </c>
      <c r="B231" t="s">
        <v>185</v>
      </c>
      <c r="C231" t="n">
        <v>-0.762939842436345</v>
      </c>
      <c r="D231" t="n">
        <v>0.288783340017967</v>
      </c>
    </row>
    <row r="232">
      <c r="A232" t="s">
        <v>237</v>
      </c>
      <c r="B232" t="s">
        <v>186</v>
      </c>
      <c r="C232" t="n">
        <v>0.221509560994141</v>
      </c>
      <c r="D232" t="n">
        <v>0.339678540453521</v>
      </c>
    </row>
    <row r="233">
      <c r="A233" t="s">
        <v>237</v>
      </c>
      <c r="B233" t="s">
        <v>187</v>
      </c>
      <c r="C233" t="n">
        <v>0.154975617149441</v>
      </c>
      <c r="D233" t="n">
        <v>0.350505974802919</v>
      </c>
    </row>
    <row r="234">
      <c r="A234" t="s">
        <v>237</v>
      </c>
      <c r="B234" t="s">
        <v>188</v>
      </c>
      <c r="C234" t="n">
        <v>0.0633959915677222</v>
      </c>
      <c r="D234" t="n">
        <v>0.368881212097205</v>
      </c>
    </row>
    <row r="235">
      <c r="A235" t="s">
        <v>237</v>
      </c>
      <c r="B235" t="s">
        <v>189</v>
      </c>
      <c r="C235" t="n">
        <v>0.490461959032883</v>
      </c>
      <c r="D235" t="n">
        <v>0.354848282485467</v>
      </c>
    </row>
    <row r="236">
      <c r="A236" t="s">
        <v>237</v>
      </c>
      <c r="B236" t="s">
        <v>194</v>
      </c>
      <c r="C236" t="n">
        <v>0.575240251504449</v>
      </c>
      <c r="D236" t="n">
        <v>0.352448095336335</v>
      </c>
    </row>
    <row r="237">
      <c r="A237" t="s">
        <v>238</v>
      </c>
      <c r="B237" t="s">
        <v>181</v>
      </c>
      <c r="C237" t="n">
        <v>-0.170876728023149</v>
      </c>
      <c r="D237" t="n">
        <v>0.120226872098535</v>
      </c>
    </row>
    <row r="238">
      <c r="A238" t="s">
        <v>238</v>
      </c>
      <c r="B238" t="s">
        <v>182</v>
      </c>
      <c r="C238" t="n">
        <v>-0.0755708647956413</v>
      </c>
      <c r="D238" t="n">
        <v>0.0454497632215965</v>
      </c>
    </row>
    <row r="239">
      <c r="A239" t="s">
        <v>238</v>
      </c>
      <c r="B239" t="s">
        <v>183</v>
      </c>
      <c r="C239" t="n">
        <v>0.0477617495366563</v>
      </c>
      <c r="D239" t="n">
        <v>0.0216494214058893</v>
      </c>
    </row>
    <row r="240">
      <c r="A240" t="s">
        <v>238</v>
      </c>
      <c r="B240" t="s">
        <v>191</v>
      </c>
      <c r="C240" t="n">
        <v>-0.00257479417687779</v>
      </c>
      <c r="D240" t="n">
        <v>0.00129567035970719</v>
      </c>
    </row>
    <row r="241">
      <c r="A241" t="s">
        <v>238</v>
      </c>
      <c r="B241" t="s">
        <v>192</v>
      </c>
      <c r="C241" t="n">
        <v>0.72095582876821</v>
      </c>
      <c r="D241" t="n">
        <v>0.0811713941426452</v>
      </c>
    </row>
    <row r="242">
      <c r="A242" t="s">
        <v>238</v>
      </c>
      <c r="B242" t="s">
        <v>184</v>
      </c>
      <c r="C242" t="n">
        <v>-0.0834746106908187</v>
      </c>
      <c r="D242" t="n">
        <v>0.0789200154859938</v>
      </c>
    </row>
    <row r="243">
      <c r="A243" t="s">
        <v>238</v>
      </c>
      <c r="B243" t="s">
        <v>193</v>
      </c>
      <c r="C243" t="n">
        <v>-0.12282884114374</v>
      </c>
      <c r="D243" t="n">
        <v>0.0796382874219298</v>
      </c>
    </row>
    <row r="244">
      <c r="A244" t="s">
        <v>238</v>
      </c>
      <c r="B244" t="s">
        <v>185</v>
      </c>
      <c r="C244" t="n">
        <v>-0.181651641952986</v>
      </c>
      <c r="D244" t="n">
        <v>0.0782069054040431</v>
      </c>
    </row>
    <row r="245">
      <c r="A245" t="s">
        <v>238</v>
      </c>
      <c r="B245" t="s">
        <v>186</v>
      </c>
      <c r="C245" t="n">
        <v>-0.171140927329529</v>
      </c>
      <c r="D245" t="n">
        <v>0.0767073340560159</v>
      </c>
    </row>
    <row r="246">
      <c r="A246" t="s">
        <v>239</v>
      </c>
      <c r="B246" t="s">
        <v>181</v>
      </c>
      <c r="C246" t="n">
        <v>-0.142440986848068</v>
      </c>
      <c r="D246" t="n">
        <v>0.061503357365307</v>
      </c>
    </row>
    <row r="247">
      <c r="A247" t="s">
        <v>239</v>
      </c>
      <c r="B247" t="s">
        <v>182</v>
      </c>
      <c r="C247" t="n">
        <v>-0.0476568234663109</v>
      </c>
      <c r="D247" t="n">
        <v>0.0169911164970499</v>
      </c>
    </row>
    <row r="248">
      <c r="A248" t="s">
        <v>239</v>
      </c>
      <c r="B248" t="s">
        <v>183</v>
      </c>
      <c r="C248" t="n">
        <v>-0.135308914767441</v>
      </c>
      <c r="D248" t="n">
        <v>0.777197141618763</v>
      </c>
    </row>
    <row r="249">
      <c r="A249" t="s">
        <v>239</v>
      </c>
      <c r="B249" t="s">
        <v>191</v>
      </c>
      <c r="C249" t="n">
        <v>0.700685147220633</v>
      </c>
      <c r="D249" t="n">
        <v>0.435137777903976</v>
      </c>
    </row>
    <row r="250">
      <c r="A250" t="s">
        <v>239</v>
      </c>
      <c r="B250" t="s">
        <v>192</v>
      </c>
      <c r="C250" t="n">
        <v>-0.00630249065168664</v>
      </c>
      <c r="D250" t="n">
        <v>0.00323948674293388</v>
      </c>
    </row>
    <row r="251">
      <c r="A251" t="s">
        <v>239</v>
      </c>
      <c r="B251" t="s">
        <v>184</v>
      </c>
      <c r="C251" t="n">
        <v>-0.12320865931891</v>
      </c>
      <c r="D251" t="n">
        <v>0.0737051959621862</v>
      </c>
    </row>
    <row r="252">
      <c r="A252" t="s">
        <v>239</v>
      </c>
      <c r="B252" t="s">
        <v>193</v>
      </c>
      <c r="C252" t="n">
        <v>0.951820865490213</v>
      </c>
      <c r="D252" t="n">
        <v>0.279556308906805</v>
      </c>
    </row>
    <row r="253">
      <c r="A253" t="s">
        <v>240</v>
      </c>
      <c r="B253" t="s">
        <v>181</v>
      </c>
      <c r="C253" t="n">
        <v>-0.0544409521749936</v>
      </c>
      <c r="D253" t="n">
        <v>0.0206808223600685</v>
      </c>
    </row>
    <row r="254">
      <c r="A254" t="s">
        <v>240</v>
      </c>
      <c r="B254" t="s">
        <v>182</v>
      </c>
      <c r="C254" t="n">
        <v>-0.0786331977014844</v>
      </c>
      <c r="D254" t="n">
        <v>0.0261953336102509</v>
      </c>
    </row>
    <row r="255">
      <c r="A255" t="s">
        <v>240</v>
      </c>
      <c r="B255" t="s">
        <v>183</v>
      </c>
      <c r="C255" t="n">
        <v>0.412289921914963</v>
      </c>
      <c r="D255" t="n">
        <v>0.0624645114779038</v>
      </c>
    </row>
    <row r="256">
      <c r="A256" t="s">
        <v>240</v>
      </c>
      <c r="B256" t="s">
        <v>191</v>
      </c>
      <c r="C256" t="n">
        <v>-1.1047048399867</v>
      </c>
      <c r="D256" t="n">
        <v>0.131858501535839</v>
      </c>
    </row>
    <row r="257">
      <c r="A257" t="s">
        <v>241</v>
      </c>
      <c r="B257" t="s">
        <v>181</v>
      </c>
      <c r="C257" t="n">
        <v>-0.317272797049624</v>
      </c>
      <c r="D257" t="n">
        <v>0.110211978941157</v>
      </c>
    </row>
    <row r="258">
      <c r="A258" t="s">
        <v>241</v>
      </c>
      <c r="B258" t="s">
        <v>182</v>
      </c>
      <c r="C258" t="n">
        <v>-0.148357271350116</v>
      </c>
      <c r="D258" t="n">
        <v>0.0435359073527735</v>
      </c>
    </row>
    <row r="259">
      <c r="A259" t="s">
        <v>241</v>
      </c>
      <c r="B259" t="s">
        <v>183</v>
      </c>
      <c r="C259" t="n">
        <v>0.44288439332474</v>
      </c>
      <c r="D259" t="n">
        <v>0.142640159491509</v>
      </c>
    </row>
    <row r="260">
      <c r="A260" t="s">
        <v>241</v>
      </c>
      <c r="B260" t="s">
        <v>191</v>
      </c>
      <c r="C260" t="n">
        <v>0.00128189358024023</v>
      </c>
      <c r="D260" t="n">
        <v>0.00043688449029075</v>
      </c>
    </row>
    <row r="261">
      <c r="A261" t="s">
        <v>241</v>
      </c>
      <c r="B261" t="s">
        <v>192</v>
      </c>
      <c r="C261" t="n">
        <v>0.510440603920721</v>
      </c>
      <c r="D261" t="n">
        <v>0.135397965497951</v>
      </c>
    </row>
    <row r="262">
      <c r="A262" t="s">
        <v>241</v>
      </c>
      <c r="B262" t="s">
        <v>184</v>
      </c>
      <c r="C262" t="n">
        <v>0.715400739526584</v>
      </c>
      <c r="D262" t="n">
        <v>0.0783889285748898</v>
      </c>
    </row>
    <row r="263">
      <c r="A263" t="s">
        <v>242</v>
      </c>
      <c r="B263" t="s">
        <v>181</v>
      </c>
      <c r="C263" t="n">
        <v>-0.222429841532435</v>
      </c>
      <c r="D263" t="n">
        <v>0.062436252148694</v>
      </c>
    </row>
    <row r="264">
      <c r="A264" t="s">
        <v>242</v>
      </c>
      <c r="B264" t="s">
        <v>182</v>
      </c>
      <c r="C264" t="n">
        <v>-0.0664230384846361</v>
      </c>
      <c r="D264" t="n">
        <v>0.018339879362545</v>
      </c>
    </row>
    <row r="265">
      <c r="A265" t="s">
        <v>242</v>
      </c>
      <c r="B265" t="s">
        <v>183</v>
      </c>
      <c r="C265" t="n">
        <v>0.744993236893048</v>
      </c>
      <c r="D265" t="n">
        <v>0.024725934841153</v>
      </c>
    </row>
    <row r="266">
      <c r="A266" t="s">
        <v>242</v>
      </c>
      <c r="B266" t="s">
        <v>191</v>
      </c>
      <c r="C266" t="n">
        <v>-0.00867550971951202</v>
      </c>
      <c r="D266" t="n">
        <v>0.00509029336195908</v>
      </c>
    </row>
    <row r="267">
      <c r="A267" t="s">
        <v>242</v>
      </c>
      <c r="B267" t="s">
        <v>192</v>
      </c>
      <c r="C267" t="n">
        <v>0.046161211827329</v>
      </c>
      <c r="D267" t="n">
        <v>0.0237495881394001</v>
      </c>
    </row>
    <row r="268">
      <c r="A268" t="s">
        <v>242</v>
      </c>
      <c r="B268" t="s">
        <v>184</v>
      </c>
      <c r="C268" t="n">
        <v>0.0264026312051708</v>
      </c>
      <c r="D268" t="n">
        <v>0.0124028633346974</v>
      </c>
    </row>
    <row r="269">
      <c r="A269" t="s">
        <v>242</v>
      </c>
      <c r="B269" t="s">
        <v>186</v>
      </c>
      <c r="C269" t="n">
        <v>0.0206835938688956</v>
      </c>
      <c r="D269" t="n">
        <v>0.00355051823997442</v>
      </c>
    </row>
    <row r="270">
      <c r="A270" t="s">
        <v>242</v>
      </c>
      <c r="B270" t="s">
        <v>187</v>
      </c>
      <c r="C270" t="n">
        <v>-0.0114387602804176</v>
      </c>
      <c r="D270" t="n">
        <v>0.00801361995033746</v>
      </c>
    </row>
    <row r="271">
      <c r="A271" t="s">
        <v>243</v>
      </c>
      <c r="B271" t="s">
        <v>181</v>
      </c>
      <c r="C271" t="n">
        <v>0.800039725866337</v>
      </c>
      <c r="D271" t="n">
        <v>0.0048155153153414</v>
      </c>
    </row>
    <row r="272">
      <c r="A272" t="s">
        <v>244</v>
      </c>
      <c r="B272" t="s">
        <v>181</v>
      </c>
      <c r="C272" t="n">
        <v>-0.885777868854203</v>
      </c>
      <c r="D272" t="n">
        <v>0.350538719801897</v>
      </c>
    </row>
    <row r="273">
      <c r="A273" t="s">
        <v>244</v>
      </c>
      <c r="B273" t="s">
        <v>182</v>
      </c>
      <c r="C273" t="n">
        <v>-0.0871206710746647</v>
      </c>
      <c r="D273" t="n">
        <v>0.0363775266689701</v>
      </c>
    </row>
    <row r="274">
      <c r="A274" t="s">
        <v>244</v>
      </c>
      <c r="B274" t="s">
        <v>183</v>
      </c>
      <c r="C274" t="n">
        <v>-0.00767807441707942</v>
      </c>
      <c r="D274" t="n">
        <v>0.0127222426537585</v>
      </c>
    </row>
    <row r="275">
      <c r="A275" t="s">
        <v>244</v>
      </c>
      <c r="B275" t="s">
        <v>191</v>
      </c>
      <c r="C275" t="n">
        <v>0.640586482786634</v>
      </c>
      <c r="D275" t="n">
        <v>0.16435083675379</v>
      </c>
    </row>
    <row r="276">
      <c r="A276" t="s">
        <v>244</v>
      </c>
      <c r="B276" t="s">
        <v>192</v>
      </c>
      <c r="C276" t="n">
        <v>-0.00265517890473069</v>
      </c>
      <c r="D276" t="n">
        <v>0.00279666995098122</v>
      </c>
    </row>
    <row r="277">
      <c r="A277" t="s">
        <v>244</v>
      </c>
      <c r="B277" t="s">
        <v>184</v>
      </c>
      <c r="C277" t="n">
        <v>1.38749252856311</v>
      </c>
      <c r="D277" t="n">
        <v>0.445232362647087</v>
      </c>
    </row>
    <row r="278">
      <c r="A278" t="s">
        <v>244</v>
      </c>
      <c r="B278" t="s">
        <v>193</v>
      </c>
      <c r="C278" t="n">
        <v>0.258934645608867</v>
      </c>
      <c r="D278" t="n">
        <v>0.0300349320855349</v>
      </c>
    </row>
    <row r="279">
      <c r="A279" t="s">
        <v>244</v>
      </c>
      <c r="B279" t="s">
        <v>185</v>
      </c>
      <c r="C279" t="n">
        <v>-0.120920326000098</v>
      </c>
      <c r="D279" t="n">
        <v>0.02469600952438</v>
      </c>
    </row>
    <row r="280">
      <c r="A280" t="s">
        <v>244</v>
      </c>
      <c r="B280" t="s">
        <v>186</v>
      </c>
      <c r="C280" t="n">
        <v>-0.156150052557339</v>
      </c>
      <c r="D280" t="n">
        <v>0.0426655551153641</v>
      </c>
    </row>
    <row r="281">
      <c r="A281" t="s">
        <v>244</v>
      </c>
      <c r="B281" t="s">
        <v>187</v>
      </c>
      <c r="C281" t="n">
        <v>-0.119785064236841</v>
      </c>
      <c r="D281" t="n">
        <v>0.0270332641828213</v>
      </c>
    </row>
    <row r="282">
      <c r="A282" t="s">
        <v>245</v>
      </c>
      <c r="B282" t="s">
        <v>181</v>
      </c>
      <c r="C282" t="n">
        <v>-0.0418097149733937</v>
      </c>
      <c r="D282" t="n">
        <v>0.0137805624158975</v>
      </c>
    </row>
    <row r="283">
      <c r="A283" t="s">
        <v>245</v>
      </c>
      <c r="B283" t="s">
        <v>182</v>
      </c>
      <c r="C283" t="n">
        <v>-0.0885210103328543</v>
      </c>
      <c r="D283" t="n">
        <v>0.0229884608978412</v>
      </c>
    </row>
    <row r="284">
      <c r="A284" t="s">
        <v>245</v>
      </c>
      <c r="B284" t="s">
        <v>183</v>
      </c>
      <c r="C284" t="n">
        <v>-1.0958513146467</v>
      </c>
      <c r="D284" t="n">
        <v>0.0624709940441146</v>
      </c>
    </row>
    <row r="285">
      <c r="A285" t="s">
        <v>245</v>
      </c>
      <c r="B285" t="s">
        <v>191</v>
      </c>
      <c r="C285" t="n">
        <v>1.36001433294212</v>
      </c>
      <c r="D285" t="n">
        <v>0.144014432828633</v>
      </c>
    </row>
    <row r="286">
      <c r="A286" t="s">
        <v>245</v>
      </c>
      <c r="B286" t="s">
        <v>192</v>
      </c>
      <c r="C286" t="n">
        <v>0.580694011901158</v>
      </c>
      <c r="D286" t="n">
        <v>0.142275142637712</v>
      </c>
    </row>
    <row r="287">
      <c r="A287" t="s">
        <v>245</v>
      </c>
      <c r="B287" t="s">
        <v>184</v>
      </c>
      <c r="C287" t="n">
        <v>-21.4875516107823</v>
      </c>
      <c r="D287" t="n">
        <v>4.81563776151436</v>
      </c>
    </row>
    <row r="288">
      <c r="A288" t="s">
        <v>246</v>
      </c>
      <c r="B288" t="s">
        <v>181</v>
      </c>
      <c r="C288" t="n">
        <v>0.3</v>
      </c>
      <c r="D288"/>
    </row>
    <row r="289">
      <c r="A289" t="s">
        <v>246</v>
      </c>
      <c r="B289" t="s">
        <v>182</v>
      </c>
      <c r="C289" t="n">
        <v>-2</v>
      </c>
      <c r="D289"/>
    </row>
    <row r="290">
      <c r="A290" t="s">
        <v>246</v>
      </c>
      <c r="B290" t="s">
        <v>183</v>
      </c>
      <c r="C290" t="n">
        <v>1</v>
      </c>
      <c r="D290"/>
    </row>
    <row r="291">
      <c r="A291" t="s">
        <v>246</v>
      </c>
      <c r="B291" t="s">
        <v>191</v>
      </c>
      <c r="C291" t="n">
        <v>-1</v>
      </c>
      <c r="D291"/>
    </row>
    <row r="292">
      <c r="A292" t="s">
        <v>246</v>
      </c>
      <c r="B292" t="s">
        <v>247</v>
      </c>
      <c r="C292" t="n">
        <v>-4.19882042861591</v>
      </c>
      <c r="D292" t="n">
        <v>0.176876920520489</v>
      </c>
    </row>
    <row r="293">
      <c r="A293" t="s">
        <v>246</v>
      </c>
      <c r="B293" t="s">
        <v>248</v>
      </c>
      <c r="C293" t="n">
        <v>-4.85242395451925</v>
      </c>
      <c r="D293" t="n">
        <v>0.0822222035299333</v>
      </c>
    </row>
    <row r="294">
      <c r="A294" t="s">
        <v>249</v>
      </c>
      <c r="B294" t="s">
        <v>181</v>
      </c>
      <c r="C294" t="n">
        <v>-0.000194016391020685</v>
      </c>
      <c r="D294" t="n">
        <v>0.000414787585170908</v>
      </c>
    </row>
    <row r="295">
      <c r="A295" t="s">
        <v>249</v>
      </c>
      <c r="B295" t="s">
        <v>250</v>
      </c>
      <c r="C295" t="n">
        <v>0.00718466096095776</v>
      </c>
      <c r="D295" t="n">
        <v>0.0164245681523676</v>
      </c>
    </row>
    <row r="296">
      <c r="A296" t="s">
        <v>249</v>
      </c>
      <c r="B296" t="s">
        <v>251</v>
      </c>
      <c r="C296" t="n">
        <v>0.0607463716997146</v>
      </c>
      <c r="D296" t="n">
        <v>0.0265976375413725</v>
      </c>
    </row>
  </sheetData>
  <pageMargins left="0.7" right="0.7" top="0.75" bottom="0.75" header="0.3" footer="0.3"/>
  <pageSetup paperSize="9" orientation="portrait" horizontalDpi="300" verticalDpi="300" r:id="rId2"/>
  <tableParts count="1">
    <tablePart r:id="rId5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showGridLines="0" topLeftCell="A3" workbookViewId="0">
      <selection activeCell="B30" sqref="B30"/>
    </sheetView>
  </sheetViews>
  <sheetFormatPr defaultRowHeight="15.0" baseColWidth="10"/>
  <cols>
    <col min="1" max="1" width="28.7109375" hidden="0" customWidth="1"/>
    <col min="2" max="2" width="18.7109375" hidden="0" customWidth="1"/>
  </cols>
  <sheetData>
    <row r="1" ht="26.25" customHeight="1">
      <c r="A1" s="3" t="s">
        <v>169</v>
      </c>
    </row>
    <row r="4">
      <c r="A4" s="4" t="s">
        <v>170</v>
      </c>
      <c r="B4" s="4" t="s">
        <v>171</v>
      </c>
    </row>
    <row r="5">
      <c r="A5" t="s">
        <v>172</v>
      </c>
      <c r="B5" s="2" t="n">
        <v>45992</v>
      </c>
    </row>
    <row r="6">
      <c r="A6" t="s">
        <v>173</v>
      </c>
      <c r="B6" s="2" t="n">
        <v>50010</v>
      </c>
    </row>
    <row r="7">
      <c r="A7" t="s">
        <v>174</v>
      </c>
      <c r="B7" s="5" t="n">
        <v>0.0476355452146825</v>
      </c>
    </row>
    <row r="8">
      <c r="A8" t="s">
        <v>175</v>
      </c>
      <c r="B8" s="5" t="n">
        <v>0.0314049553003385</v>
      </c>
    </row>
    <row r="9">
      <c r="A9" t="s">
        <v>176</v>
      </c>
      <c r="B9" s="5" t="n">
        <v>0.0567202434040637</v>
      </c>
    </row>
    <row r="10">
      <c r="A10" t="s">
        <v>177</v>
      </c>
      <c r="B10" s="5" t="n">
        <v>0.0325329998302493</v>
      </c>
    </row>
  </sheetData>
  <pageMargins left="0.7" right="0.7" top="0.75" bottom="0.75" header="0.3" footer="0.3"/>
  <pageSetup paperSize="9" orientation="portrait" horizontalDpi="300" verticalDpi="300" r:id="rId2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Quekett, Reid</cp:lastModifiedBy>
  <dcterms:created xsi:type="dcterms:W3CDTF">2026-08-18T03:17:00Z</dcterms:created>
  <dcterms:modified xsi:type="dcterms:W3CDTF">2026-08-18T03:26:10Z</dcterms:modified>
</cp:coreProperties>
</file>