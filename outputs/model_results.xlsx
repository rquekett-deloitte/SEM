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720" yWindow="1725" windowWidth="23760" windowHeight="14235" firstSheet="0" activeTab="0"/>
  </bookViews>
  <sheets>
    <sheet name="Comparison" sheetId="1" state="visible" r:id="rId1"/>
    <sheet name="Forecast" sheetId="2" state="visible" r:id="rId2"/>
    <sheet name="Coefficients" sheetId="3" state="visible" r:id="rId3"/>
    <sheet name="Dashboard" sheetId="4" state="visible" r:id="rId4"/>
  </sheets>
  <calcPr calcId="191029"/>
</workbook>
</file>

<file path=xl/sharedStrings.xml><?xml version="1.0" encoding="utf-8"?>
<sst xmlns="http://schemas.openxmlformats.org/spreadsheetml/2006/main" count="252" uniqueCount="252">
  <si>
    <t>date</t>
  </si>
  <si>
    <t>Ygdp</t>
  </si>
  <si>
    <t>Cpr</t>
  </si>
  <si>
    <t>Pcpi</t>
  </si>
  <si>
    <t>Lemp</t>
  </si>
  <si>
    <t>Lhrs</t>
  </si>
  <si>
    <t>Lur</t>
  </si>
  <si>
    <t>Lpar</t>
  </si>
  <si>
    <t>R90d</t>
  </si>
  <si>
    <t>R10y</t>
  </si>
  <si>
    <t>period</t>
  </si>
  <si>
    <t>GDP_annual_growth</t>
  </si>
  <si>
    <t>Consumption_annual_growth</t>
  </si>
  <si>
    <t>CPI_inflation</t>
  </si>
  <si>
    <t>Unemployment_rate</t>
  </si>
  <si>
    <t>Participation_rate</t>
  </si>
  <si>
    <t>Cash_rate</t>
  </si>
  <si>
    <t>Ten_year_rate</t>
  </si>
  <si>
    <t>Employment_index</t>
  </si>
  <si>
    <t>Hours_index</t>
  </si>
  <si>
    <t>GDP_annual_growth_actual</t>
  </si>
  <si>
    <t>GDP_annual_growth_forecast</t>
  </si>
  <si>
    <t>Consumption_annual_growth_actual</t>
  </si>
  <si>
    <t>Consumption_annual_growth_forecast</t>
  </si>
  <si>
    <t>Employment_index_actual</t>
  </si>
  <si>
    <t>Employment_index_forecast</t>
  </si>
  <si>
    <t>Hours_index_actual</t>
  </si>
  <si>
    <t>Hours_index_forecast</t>
  </si>
  <si>
    <t>Unemployment_rate_actual</t>
  </si>
  <si>
    <t>Unemployment_rate_forecast</t>
  </si>
  <si>
    <t>Cash_rate_actual</t>
  </si>
  <si>
    <t>Cash_rate_forecast</t>
  </si>
  <si>
    <t>Ten_year_rate_actual</t>
  </si>
  <si>
    <t>Ten_year_rate_forecast</t>
  </si>
  <si>
    <t>CPI_inflation_actual</t>
  </si>
  <si>
    <t>CPI_inflation_forecast</t>
  </si>
  <si>
    <t>Idwell</t>
  </si>
  <si>
    <t>Imin</t>
  </si>
  <si>
    <t>IvtNonfarm</t>
  </si>
  <si>
    <t>Tcit</t>
  </si>
  <si>
    <t>Tprl</t>
  </si>
  <si>
    <t>Toth</t>
  </si>
  <si>
    <t>Ytsf</t>
  </si>
  <si>
    <t>Xmin</t>
  </si>
  <si>
    <t>LavhMkt</t>
  </si>
  <si>
    <t>LempNonmkt</t>
  </si>
  <si>
    <t>Lwge</t>
  </si>
  <si>
    <t>Piret</t>
  </si>
  <si>
    <t>Pxagr</t>
  </si>
  <si>
    <t>Pmgs</t>
  </si>
  <si>
    <t>Rmort</t>
  </si>
  <si>
    <t>Peq</t>
  </si>
  <si>
    <t>Rtwi</t>
  </si>
  <si>
    <t>Rusd</t>
  </si>
  <si>
    <t>Whh</t>
  </si>
  <si>
    <t>Ygdw</t>
  </si>
  <si>
    <t>PhouseSa</t>
  </si>
  <si>
    <t>Pimin</t>
  </si>
  <si>
    <t>Pinonmin</t>
  </si>
  <si>
    <t>Pgov</t>
  </si>
  <si>
    <t>Pidwell</t>
  </si>
  <si>
    <t>Pxsvc</t>
  </si>
  <si>
    <t>Tpit</t>
  </si>
  <si>
    <t>GovDebt</t>
  </si>
  <si>
    <t>PcpiRent</t>
  </si>
  <si>
    <t>Inonmin</t>
  </si>
  <si>
    <t>Ynli</t>
  </si>
  <si>
    <t>EqEarn</t>
  </si>
  <si>
    <t>Tgst</t>
  </si>
  <si>
    <t>Xoth</t>
  </si>
  <si>
    <t>Pxmin</t>
  </si>
  <si>
    <t>Pxoth</t>
  </si>
  <si>
    <t>PconsExrent</t>
  </si>
  <si>
    <t>Ppcd</t>
  </si>
  <si>
    <t>Xsvc</t>
  </si>
  <si>
    <t>Mtot</t>
  </si>
  <si>
    <t>GapAvh</t>
  </si>
  <si>
    <t>Ivt</t>
  </si>
  <si>
    <t>Iotc</t>
  </si>
  <si>
    <t>Xagr</t>
  </si>
  <si>
    <t>Xtot</t>
  </si>
  <si>
    <t>CprNom</t>
  </si>
  <si>
    <t>CgovNom</t>
  </si>
  <si>
    <t>IdwellNom</t>
  </si>
  <si>
    <t>IotcNom</t>
  </si>
  <si>
    <t>IminNom</t>
  </si>
  <si>
    <t>InonminNom</t>
  </si>
  <si>
    <t>YgovIvtNom</t>
  </si>
  <si>
    <t>XminNom</t>
  </si>
  <si>
    <t>XagrNom</t>
  </si>
  <si>
    <t>XothNom</t>
  </si>
  <si>
    <t>XsvcNom</t>
  </si>
  <si>
    <t>XtotNom</t>
  </si>
  <si>
    <t>MtotNom</t>
  </si>
  <si>
    <t>YgdpNom</t>
  </si>
  <si>
    <t>Ygne</t>
  </si>
  <si>
    <t>Pgne</t>
  </si>
  <si>
    <t>Pgdp</t>
  </si>
  <si>
    <t>Pxtot</t>
  </si>
  <si>
    <t>Ptot</t>
  </si>
  <si>
    <t>CconsRent</t>
  </si>
  <si>
    <t>PconsRent</t>
  </si>
  <si>
    <t>CconsRentNom</t>
  </si>
  <si>
    <t>LempMkt</t>
  </si>
  <si>
    <t>Lsup</t>
  </si>
  <si>
    <t>Lune</t>
  </si>
  <si>
    <t>Lhh</t>
  </si>
  <si>
    <t>Ywss</t>
  </si>
  <si>
    <t>Yhdi</t>
  </si>
  <si>
    <t>Ygoa</t>
  </si>
  <si>
    <t>SavHh</t>
  </si>
  <si>
    <t>Wfor</t>
  </si>
  <si>
    <t>EqYield</t>
  </si>
  <si>
    <t>PeRatio</t>
  </si>
  <si>
    <t>KMin</t>
  </si>
  <si>
    <t>KNbiz</t>
  </si>
  <si>
    <t>KDwell</t>
  </si>
  <si>
    <t>KBiz</t>
  </si>
  <si>
    <t>KTotal</t>
  </si>
  <si>
    <t>R90dReal</t>
  </si>
  <si>
    <t>R10yReal</t>
  </si>
  <si>
    <t>RmortReal</t>
  </si>
  <si>
    <t>PcpiExGst</t>
  </si>
  <si>
    <t>RmortRealExgst</t>
  </si>
  <si>
    <t>Fr10y</t>
  </si>
  <si>
    <t>Fr10yReal</t>
  </si>
  <si>
    <t>Rdif10y</t>
  </si>
  <si>
    <t>RtwiNom</t>
  </si>
  <si>
    <t>PhouseReal</t>
  </si>
  <si>
    <t>Rbiz</t>
  </si>
  <si>
    <t>RbizReal</t>
  </si>
  <si>
    <t>KdepAllow</t>
  </si>
  <si>
    <t>CostCap</t>
  </si>
  <si>
    <t>GovDem</t>
  </si>
  <si>
    <t>Pulc</t>
  </si>
  <si>
    <t>UlcDom</t>
  </si>
  <si>
    <t>UlcExp</t>
  </si>
  <si>
    <t>YgdpHpf</t>
  </si>
  <si>
    <t>CprHpf</t>
  </si>
  <si>
    <t>PhouseHpf</t>
  </si>
  <si>
    <t>RmortRealHpf</t>
  </si>
  <si>
    <t>LparHpf</t>
  </si>
  <si>
    <t>PpcdHpf</t>
  </si>
  <si>
    <t>LurHpf</t>
  </si>
  <si>
    <t>InflExp</t>
  </si>
  <si>
    <t>Lpop</t>
  </si>
  <si>
    <t>Lpop15Plus</t>
  </si>
  <si>
    <t>Ustar</t>
  </si>
  <si>
    <t>Cgov</t>
  </si>
  <si>
    <t>Igov</t>
  </si>
  <si>
    <t>Ipubent</t>
  </si>
  <si>
    <t>GovDef</t>
  </si>
  <si>
    <t>IvtFar</t>
  </si>
  <si>
    <t>Lnom</t>
  </si>
  <si>
    <t>IntStu</t>
  </si>
  <si>
    <t>Fpcpi</t>
  </si>
  <si>
    <t>Fpoil</t>
  </si>
  <si>
    <t>Fpcom</t>
  </si>
  <si>
    <t>Fpagr</t>
  </si>
  <si>
    <t>FcGdp</t>
  </si>
  <si>
    <t>FcPpp</t>
  </si>
  <si>
    <t>Fr10yUs</t>
  </si>
  <si>
    <t>Fr10yJp</t>
  </si>
  <si>
    <t>Fr10yDe</t>
  </si>
  <si>
    <t>Fr10yUk</t>
  </si>
  <si>
    <t>equation</t>
  </si>
  <si>
    <t>term</t>
  </si>
  <si>
    <t>estimate</t>
  </si>
  <si>
    <t>std_error</t>
  </si>
  <si>
    <t>Macro scenario model</t>
  </si>
  <si>
    <t>Metric</t>
  </si>
  <si>
    <t>Value</t>
  </si>
  <si>
    <t>Forecast origin</t>
  </si>
  <si>
    <t>Forecast horizon</t>
  </si>
  <si>
    <t>2025Q1 unemployment</t>
  </si>
  <si>
    <t>2025Q1 90-day rate</t>
  </si>
  <si>
    <t>Terminal unemployment</t>
  </si>
  <si>
    <t>Terminal 90-day rate</t>
  </si>
  <si>
    <t xml:space="preserve">Actual</t>
  </si>
  <si>
    <t xml:space="preserve">Forecast</t>
  </si>
  <si>
    <t xml:space="preserve">Cpr</t>
  </si>
  <si>
    <t xml:space="preserve">c1</t>
  </si>
  <si>
    <t xml:space="preserve">c2</t>
  </si>
  <si>
    <t xml:space="preserve">c3</t>
  </si>
  <si>
    <t xml:space="preserve">c6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</si>
  <si>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</si>
  <si>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</si>
  <si>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</si>
  <si>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</si>
  <si>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</si>
  <si>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Idwell</t>
  </si>
  <si>
    <t xml:space="preserve">c4</t>
  </si>
  <si>
    <t xml:space="preserve">c5</t>
  </si>
  <si>
    <t xml:space="preserve">c7</t>
  </si>
  <si>
    <t xml:space="preserve">c13</t>
  </si>
  <si>
    <t xml:space="preserve">c14</t>
  </si>
  <si>
    <t xml:space="preserve">Imin</t>
  </si>
  <si>
    <t xml:space="preserve">IvtNonfarm</t>
  </si>
  <si>
    <t xml:space="preserve">Tcit</t>
  </si>
  <si>
    <t xml:space="preserve">Tprl</t>
  </si>
  <si>
    <t xml:space="preserve">Toth</t>
  </si>
  <si>
    <t xml:space="preserve">Ytsf</t>
  </si>
  <si>
    <t xml:space="preserve">Xmin</t>
  </si>
  <si>
    <t xml:space="preserve">Lavh</t>
  </si>
  <si>
    <t xml:space="preserve">rho</t>
  </si>
  <si>
    <t xml:space="preserve">LempNonmkt</t>
  </si>
  <si>
    <t xml:space="preserve">Lpar</t>
  </si>
  <si>
    <t xml:space="preserve">Lwge</t>
  </si>
  <si>
    <t xml:space="preserve">Pcpi</t>
  </si>
  <si>
    <t xml:space="preserve">Piret</t>
  </si>
  <si>
    <t xml:space="preserve">Pxagr</t>
  </si>
  <si>
    <t xml:space="preserve">Pmgs</t>
  </si>
  <si>
    <t xml:space="preserve">Rmort</t>
  </si>
  <si>
    <t xml:space="preserve">Peq</t>
  </si>
  <si>
    <t xml:space="preserve">Rtwi</t>
  </si>
  <si>
    <t xml:space="preserve">Rusd</t>
  </si>
  <si>
    <t xml:space="preserve">Whh</t>
  </si>
  <si>
    <t xml:space="preserve">Ygdw</t>
  </si>
  <si>
    <t xml:space="preserve">Lhrs</t>
  </si>
  <si>
    <t xml:space="preserve">Phouse</t>
  </si>
  <si>
    <t xml:space="preserve">Pimin</t>
  </si>
  <si>
    <t xml:space="preserve">Pinonmin</t>
  </si>
  <si>
    <t xml:space="preserve">Pgov</t>
  </si>
  <si>
    <t xml:space="preserve">Pidwell</t>
  </si>
  <si>
    <t xml:space="preserve">Pxsvc</t>
  </si>
  <si>
    <t xml:space="preserve">Tpit</t>
  </si>
  <si>
    <t xml:space="preserve">GovDebt</t>
  </si>
  <si>
    <t xml:space="preserve">x</t>
  </si>
  <si>
    <t xml:space="preserve">PcpiRent</t>
  </si>
  <si>
    <t xml:space="preserve">Inonmin</t>
  </si>
  <si>
    <t xml:space="preserve">Ynli</t>
  </si>
  <si>
    <t xml:space="preserve">rm</t>
  </si>
  <si>
    <t xml:space="preserve">pe</t>
  </si>
  <si>
    <t xml:space="preserve">pe1</t>
  </si>
  <si>
    <t xml:space="preserve">pe2</t>
  </si>
  <si>
    <t xml:space="preserve">pe3</t>
  </si>
  <si>
    <t xml:space="preserve">l_r</t>
  </si>
  <si>
    <t xml:space="preserve">EqEarn</t>
  </si>
  <si>
    <t xml:space="preserve">Tgst</t>
  </si>
  <si>
    <t xml:space="preserve">Xoth</t>
  </si>
  <si>
    <t xml:space="preserve">Pxmin</t>
  </si>
  <si>
    <t xml:space="preserve">Pxoth</t>
  </si>
  <si>
    <t xml:space="preserve">PconsExrent</t>
  </si>
  <si>
    <t xml:space="preserve">Ppcd</t>
  </si>
  <si>
    <t xml:space="preserve">Xsvc</t>
  </si>
  <si>
    <t xml:space="preserve">Mtot</t>
  </si>
  <si>
    <t xml:space="preserve">Rcash</t>
  </si>
  <si>
    <t xml:space="preserve">log_sig_state</t>
  </si>
  <si>
    <t xml:space="preserve">log_sig_obs</t>
  </si>
  <si>
    <t xml:space="preserve">R10y</t>
  </si>
  <si>
    <t xml:space="preserve">d_rat</t>
  </si>
  <si>
    <t xml:space="preserve">d_r90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</si>
</sst>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20"/>
      <color rgb="FF0D1C24"/>
      <name val="Calibri"/>
      <family val="2"/>
      <scheme val="minor"/>
      <b/>
    </font>
    <font>
      <sz val="11"/>
      <color rgb="FFFFFFFF"/>
      <name val="Calibri"/>
      <family val="2"/>
      <scheme val="minor"/>
      <b/>
    </font>
  </fonts>
  <fills count="3">
    <fill>
      <patternFill patternType="none"/>
    </fill>
    <fill>
      <patternFill patternType="gray125"/>
    </fill>
    <fill>
      <patternFill patternType="solid">
        <fgColor rgb="FF0D1C2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">
    <xf numFmtId="0" fontId="0" fillId="0" borderId="0"/>
  </cellStyleXfs>
  <cellXfs count="6">
    <xf numFmtId="0" fontId="0" fillId="0" borderId="0" xfId="0"/>
    <xf numFmtId="17" fontId="1" fillId="0" borderId="0" xfId="0" applyFont="1" applyNumberFormat="1"/>
    <xf numFmtId="14" fontId="1" fillId="0" borderId="0" xfId="0" applyFont="1" applyNumberFormat="1"/>
    <xf numFmtId="0" fontId="2" fillId="0" borderId="0" xfId="0" applyFont="1"/>
    <xf numFmtId="0" fontId="3" fillId="2" borderId="1" xfId="0" applyFont="1" applyFill="1" applyBorder="1"/>
    <xf numFmtId="10" fontId="1" fillId="0" borderId="0" xfId="0" applyFont="1" applyNumberFormat="1"/>
  </cellXfs>
  <cellStyles count="1">
    <cellStyle name="Normal" xfId="0" builtinId="0"/>
  </cellStyles>
  <dxfs count="1"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growth in activity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GDP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Comparison!$U$2:$U$201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9-4ED4-BDB8-874CF0EC1F1C}"/>
            </c:ext>
          </c:extLst>
        </c:ser>
        <c:ser>
          <c:idx val="1"/>
          <c:order val="1"/>
          <c:tx>
            <c:v>GDP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Comparison!$V$2:$V$201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39-4ED4-BDB8-874CF0EC1F1C}"/>
            </c:ext>
          </c:extLst>
        </c:ser>
        <c:ser>
          <c:idx val="2"/>
          <c:order val="2"/>
          <c:tx>
            <c:v>Consumption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Comparison!$W$2:$W$201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39-4ED4-BDB8-874CF0EC1F1C}"/>
            </c:ext>
          </c:extLst>
        </c:ser>
        <c:ser>
          <c:idx val="3"/>
          <c:order val="3"/>
          <c:tx>
            <c:v>Consumption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Comparison!$X$2:$X$201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39-4ED4-BDB8-874CF0EC1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Labour market volumes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956730952109249"/>
          <c:y val="0.17369477422133378"/>
          <c:w val="0.86386264216972874"/>
          <c:h val="0.60540763673890607"/>
        </c:manualLayout>
      </c:layout>
      <c:lineChart>
        <c:grouping val="standard"/>
        <c:varyColors val="0"/>
        <c:ser>
          <c:idx val="0"/>
          <c:order val="0"/>
          <c:tx>
            <c:v>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Comparison!$Y$2:$Y$201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83-4701-991B-173EB1CC12E7}"/>
            </c:ext>
          </c:extLst>
        </c:ser>
        <c:ser>
          <c:idx val="1"/>
          <c:order val="1"/>
          <c:tx>
            <c:v>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Comparison!$Z$2:$Z$201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83-4701-991B-173EB1CC12E7}"/>
            </c:ext>
          </c:extLst>
        </c:ser>
        <c:ser>
          <c:idx val="2"/>
          <c:order val="2"/>
          <c:tx>
            <c:v>Market hours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Comparison!$AA$2:$AA$201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83-4701-991B-173EB1CC12E7}"/>
            </c:ext>
          </c:extLst>
        </c:ser>
        <c:ser>
          <c:idx val="3"/>
          <c:order val="3"/>
          <c:tx>
            <c:v>Market hours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Comparison!$AB$2:$AB$201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701-991B-173EB1CC1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title>
          <c:tx>
            <c:rich>
              <a:bodyPr rot="0" vert="horz" anchor="t" anchorCtr="1"/>
              <a:lstStyle/>
              <a:p>
                <a:pPr>
                  <a:defRPr/>
                </a:pPr>
                <a:r>
                  <a:rPr lang="en-US"/>
                  <a:t>2024Q4 = 100</a:t>
                </a:r>
              </a:p>
            </c:rich>
          </c:tx>
          <c:layout>
            <c:manualLayout>
              <c:xMode val="edge"/>
              <c:yMode val="edge"/>
              <c:x val="3.6231884057971016E-2"/>
              <c:y val="5.757506317902213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Unemployment and interest rates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Unemployment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Comparison!$AC$2:$AC$201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84-4AB2-893E-821CEF93DF40}"/>
            </c:ext>
          </c:extLst>
        </c:ser>
        <c:ser>
          <c:idx val="1"/>
          <c:order val="1"/>
          <c:tx>
            <c:v>Unemployment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Comparison!$AD$2:$AD$201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84-4AB2-893E-821CEF93DF40}"/>
            </c:ext>
          </c:extLst>
        </c:ser>
        <c:ser>
          <c:idx val="2"/>
          <c:order val="2"/>
          <c:tx>
            <c:v>90-day rate - Actual</c:v>
          </c:tx>
          <c:spPr>
            <a:ln w="25400">
              <a:solidFill>
                <a:srgbClr val="00A3E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Comparison!$AE$2:$AE$201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84-4AB2-893E-821CEF93DF40}"/>
            </c:ext>
          </c:extLst>
        </c:ser>
        <c:ser>
          <c:idx val="3"/>
          <c:order val="3"/>
          <c:tx>
            <c:v>90-day rate - Forecast</c:v>
          </c:tx>
          <c:spPr>
            <a:ln w="25400">
              <a:solidFill>
                <a:srgbClr val="00A3E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Comparison!$AF$2:$AF$201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4-4AB2-893E-821CEF93DF40}"/>
            </c:ext>
          </c:extLst>
        </c:ser>
        <c:ser>
          <c:idx val="4"/>
          <c:order val="4"/>
          <c:tx>
            <c:v>10-year rate - Actual</c:v>
          </c:tx>
          <c:spPr>
            <a:ln w="25400">
              <a:solidFill>
                <a:srgbClr val="ED8B00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Comparison!$AG$2:$AG$201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84-4AB2-893E-821CEF93DF40}"/>
            </c:ext>
          </c:extLst>
        </c:ser>
        <c:ser>
          <c:idx val="5"/>
          <c:order val="5"/>
          <c:tx>
            <c:v>10-year rate - Forecast</c:v>
          </c:tx>
          <c:spPr>
            <a:ln w="25400">
              <a:solidFill>
                <a:srgbClr val="ED8B00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Comparison!$AH$2:$AH$201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4-4AB2-893E-821CEF93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Consumer price inflation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Annual CPI inflation - Actual</c:v>
          </c:tx>
          <c:spPr>
            <a:ln w="25400">
              <a:solidFill>
                <a:srgbClr val="86BC25"/>
              </a:solidFill>
              <a:prstDash val="solid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Comparison!$AI$2:$AI$201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CC-46AB-8E10-1B2A3540EA4A}"/>
            </c:ext>
          </c:extLst>
        </c:ser>
        <c:ser>
          <c:idx val="1"/>
          <c:order val="1"/>
          <c:tx>
            <c:v>Annual CPI inflation - Forecast</c:v>
          </c:tx>
          <c:spPr>
            <a:ln w="25400">
              <a:solidFill>
                <a:srgbClr val="86BC25"/>
              </a:solidFill>
              <a:prstDash val="dash"/>
            </a:ln>
          </c:spPr>
          <c:marker>
            <c:symbol val="none"/>
          </c:marker>
          <c:cat>
            <c:numRef>
              <c:f>Comparison!$A$2:$A$201</c:f>
              <c:numCache>
                <c:formatCode>m/d/yyyy</c:formatCode>
                <c:ptCount val="200"/>
              </c:numCache>
            </c:numRef>
          </c:cat>
          <c:val>
            <c:numRef>
              <c:f>Comparison!$AJ$2:$AJ$201</c:f>
              <c:numCache>
                <c:formatCode>General</c:formatCode>
                <c:ptCount val="2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C-46AB-8E10-1B2A3540E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40001"/>
        <c:axId val="50040002"/>
      </c:lineChart>
      <c:catAx>
        <c:axId val="5004000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3</xdr:col>
      <xdr:colOff>0</xdr:colOff>
      <xdr:row>3</xdr:row>
      <xdr:rowOff>0</xdr:rowOff>
    </xdr:from>
    <xdr:to>
      <xdr:col>11</xdr:col>
      <xdr:colOff>381000</xdr:colOff>
      <xdr:row>19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21</xdr:col>
      <xdr:colOff>381000</xdr:colOff>
      <xdr:row>19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11</xdr:col>
      <xdr:colOff>381000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21</xdr:col>
      <xdr:colOff>381000</xdr:colOff>
      <xdr:row>37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risonTable" displayName="ComparisonTable" ref="A1:AJ201" totalsRowShown="0">
  <autoFilter ref="A1:AJ201" xr:uid="{00000000-0009-0000-0100-000001000000}"/>
  <tableColumns count="36">
    <tableColumn id="1" xr3:uid="{00000000-0010-0000-0000-000001000000}" name="date" dataDxfId="0"/>
    <tableColumn id="2" xr3:uid="{00000000-0010-0000-0000-000002000000}" name="Ygdp"/>
    <tableColumn id="3" xr3:uid="{00000000-0010-0000-0000-000003000000}" name="Cpr"/>
    <tableColumn id="4" xr3:uid="{00000000-0010-0000-0000-000004000000}" name="Pcpi"/>
    <tableColumn id="5" xr3:uid="{00000000-0010-0000-0000-000005000000}" name="Lemp"/>
    <tableColumn id="6" xr3:uid="{00000000-0010-0000-0000-000006000000}" name="Lhrs"/>
    <tableColumn id="7" xr3:uid="{00000000-0010-0000-0000-000007000000}" name="Lur"/>
    <tableColumn id="8" xr3:uid="{00000000-0010-0000-0000-000008000000}" name="Lpar"/>
    <tableColumn id="9" xr3:uid="{00000000-0010-0000-0000-000009000000}" name="R90d"/>
    <tableColumn id="10" xr3:uid="{00000000-0010-0000-0000-00000A000000}" name="R10y"/>
    <tableColumn id="11" xr3:uid="{00000000-0010-0000-0000-00000B000000}" name="period"/>
    <tableColumn id="12" xr3:uid="{00000000-0010-0000-0000-00000C000000}" name="GDP_annual_growth"/>
    <tableColumn id="13" xr3:uid="{00000000-0010-0000-0000-00000D000000}" name="Consumption_annual_growth"/>
    <tableColumn id="14" xr3:uid="{00000000-0010-0000-0000-00000E000000}" name="CPI_inflation"/>
    <tableColumn id="15" xr3:uid="{00000000-0010-0000-0000-00000F000000}" name="Unemployment_rate"/>
    <tableColumn id="16" xr3:uid="{00000000-0010-0000-0000-000010000000}" name="Participation_rate"/>
    <tableColumn id="17" xr3:uid="{00000000-0010-0000-0000-000011000000}" name="Cash_rate"/>
    <tableColumn id="18" xr3:uid="{00000000-0010-0000-0000-000012000000}" name="Ten_year_rate"/>
    <tableColumn id="19" xr3:uid="{00000000-0010-0000-0000-000013000000}" name="Employment_index"/>
    <tableColumn id="20" xr3:uid="{00000000-0010-0000-0000-000014000000}" name="Hours_index"/>
    <tableColumn id="21" xr3:uid="{00000000-0010-0000-0000-000015000000}" name="GDP_annual_growth_actual"/>
    <tableColumn id="22" xr3:uid="{00000000-0010-0000-0000-000016000000}" name="GDP_annual_growth_forecast"/>
    <tableColumn id="23" xr3:uid="{00000000-0010-0000-0000-000017000000}" name="Consumption_annual_growth_actual"/>
    <tableColumn id="24" xr3:uid="{00000000-0010-0000-0000-000018000000}" name="Consumption_annual_growth_forecast"/>
    <tableColumn id="25" xr3:uid="{00000000-0010-0000-0000-000019000000}" name="Employment_index_actual"/>
    <tableColumn id="26" xr3:uid="{00000000-0010-0000-0000-00001A000000}" name="Employment_index_forecast"/>
    <tableColumn id="27" xr3:uid="{00000000-0010-0000-0000-00001B000000}" name="Hours_index_actual"/>
    <tableColumn id="28" xr3:uid="{00000000-0010-0000-0000-00001C000000}" name="Hours_index_forecast"/>
    <tableColumn id="29" xr3:uid="{00000000-0010-0000-0000-00001D000000}" name="Unemployment_rate_actual"/>
    <tableColumn id="30" xr3:uid="{00000000-0010-0000-0000-00001E000000}" name="Unemployment_rate_forecast"/>
    <tableColumn id="31" xr3:uid="{00000000-0010-0000-0000-00001F000000}" name="Cash_rate_actual"/>
    <tableColumn id="32" xr3:uid="{00000000-0010-0000-0000-000020000000}" name="Cash_rate_forecast"/>
    <tableColumn id="33" xr3:uid="{00000000-0010-0000-0000-000021000000}" name="Ten_year_rate_actual"/>
    <tableColumn id="34" xr3:uid="{00000000-0010-0000-0000-000022000000}" name="Ten_year_rate_forecast"/>
    <tableColumn id="35" xr3:uid="{00000000-0010-0000-0000-000023000000}" name="CPI_inflation_actual"/>
    <tableColumn id="36" xr3:uid="{00000000-0010-0000-0000-000024000000}" name="CPI_inflation_foreca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ForecastTable" displayName="ForecastTable" ref="A1:EI51" totalsRowShown="0">
  <autoFilter ref="A1:EI51" xr:uid="{00000000-0009-0000-0100-000002000000}"/>
  <tableColumns count="139">
    <tableColumn id="1" xr3:uid="{00000000-0010-0000-0100-000001000000}" name="date"/>
    <tableColumn id="2" xr3:uid="{00000000-0010-0000-0100-000002000000}" name="Cpr"/>
    <tableColumn id="3" xr3:uid="{00000000-0010-0000-0100-000003000000}" name="Idwell"/>
    <tableColumn id="4" xr3:uid="{00000000-0010-0000-0100-000004000000}" name="Imin"/>
    <tableColumn id="5" xr3:uid="{00000000-0010-0000-0100-000005000000}" name="IvtNonfarm"/>
    <tableColumn id="6" xr3:uid="{00000000-0010-0000-0100-000006000000}" name="Tcit"/>
    <tableColumn id="7" xr3:uid="{00000000-0010-0000-0100-000007000000}" name="Tprl"/>
    <tableColumn id="8" xr3:uid="{00000000-0010-0000-0100-000008000000}" name="Toth"/>
    <tableColumn id="9" xr3:uid="{00000000-0010-0000-0100-000009000000}" name="Ytsf"/>
    <tableColumn id="10" xr3:uid="{00000000-0010-0000-0100-00000A000000}" name="Xmin"/>
    <tableColumn id="11" xr3:uid="{00000000-0010-0000-0100-00000B000000}" name="LavhMkt"/>
    <tableColumn id="12" xr3:uid="{00000000-0010-0000-0100-00000C000000}" name="LempNonmkt"/>
    <tableColumn id="13" xr3:uid="{00000000-0010-0000-0100-00000D000000}" name="Lpar"/>
    <tableColumn id="14" xr3:uid="{00000000-0010-0000-0100-00000E000000}" name="Lwge"/>
    <tableColumn id="15" xr3:uid="{00000000-0010-0000-0100-00000F000000}" name="Pcpi"/>
    <tableColumn id="16" xr3:uid="{00000000-0010-0000-0100-000010000000}" name="Piret"/>
    <tableColumn id="17" xr3:uid="{00000000-0010-0000-0100-000011000000}" name="Pxagr"/>
    <tableColumn id="18" xr3:uid="{00000000-0010-0000-0100-000012000000}" name="Pmgs"/>
    <tableColumn id="19" xr3:uid="{00000000-0010-0000-0100-000013000000}" name="Rmort"/>
    <tableColumn id="20" xr3:uid="{00000000-0010-0000-0100-000014000000}" name="Peq"/>
    <tableColumn id="21" xr3:uid="{00000000-0010-0000-0100-000015000000}" name="Rtwi"/>
    <tableColumn id="22" xr3:uid="{00000000-0010-0000-0100-000016000000}" name="Rusd"/>
    <tableColumn id="23" xr3:uid="{00000000-0010-0000-0100-000017000000}" name="Whh"/>
    <tableColumn id="24" xr3:uid="{00000000-0010-0000-0100-000018000000}" name="Ygdw"/>
    <tableColumn id="25" xr3:uid="{00000000-0010-0000-0100-000019000000}" name="Lhrs"/>
    <tableColumn id="26" xr3:uid="{00000000-0010-0000-0100-00001A000000}" name="PhouseSa"/>
    <tableColumn id="27" xr3:uid="{00000000-0010-0000-0100-00001B000000}" name="Pimin"/>
    <tableColumn id="28" xr3:uid="{00000000-0010-0000-0100-00001C000000}" name="Pinonmin"/>
    <tableColumn id="29" xr3:uid="{00000000-0010-0000-0100-00001D000000}" name="Pgov"/>
    <tableColumn id="30" xr3:uid="{00000000-0010-0000-0100-00001E000000}" name="Pidwell"/>
    <tableColumn id="31" xr3:uid="{00000000-0010-0000-0100-00001F000000}" name="Pxsvc"/>
    <tableColumn id="32" xr3:uid="{00000000-0010-0000-0100-000020000000}" name="Tpit"/>
    <tableColumn id="33" xr3:uid="{00000000-0010-0000-0100-000021000000}" name="GovDebt"/>
    <tableColumn id="34" xr3:uid="{00000000-0010-0000-0100-000022000000}" name="PcpiRent"/>
    <tableColumn id="35" xr3:uid="{00000000-0010-0000-0100-000023000000}" name="Inonmin"/>
    <tableColumn id="36" xr3:uid="{00000000-0010-0000-0100-000024000000}" name="Ynli"/>
    <tableColumn id="37" xr3:uid="{00000000-0010-0000-0100-000025000000}" name="EqEarn"/>
    <tableColumn id="38" xr3:uid="{00000000-0010-0000-0100-000026000000}" name="Tgst"/>
    <tableColumn id="39" xr3:uid="{00000000-0010-0000-0100-000027000000}" name="Xoth"/>
    <tableColumn id="40" xr3:uid="{00000000-0010-0000-0100-000028000000}" name="Pxmin"/>
    <tableColumn id="41" xr3:uid="{00000000-0010-0000-0100-000029000000}" name="Pxoth"/>
    <tableColumn id="42" xr3:uid="{00000000-0010-0000-0100-00002A000000}" name="PconsExrent"/>
    <tableColumn id="43" xr3:uid="{00000000-0010-0000-0100-00002B000000}" name="Ppcd"/>
    <tableColumn id="44" xr3:uid="{00000000-0010-0000-0100-00002C000000}" name="Xsvc"/>
    <tableColumn id="45" xr3:uid="{00000000-0010-0000-0100-00002D000000}" name="Mtot"/>
    <tableColumn id="46" xr3:uid="{00000000-0010-0000-0100-00002E000000}" name="R90d"/>
    <tableColumn id="47" xr3:uid="{00000000-0010-0000-0100-00002F000000}" name="R10y"/>
    <tableColumn id="48" xr3:uid="{00000000-0010-0000-0100-000030000000}" name="GapAvh"/>
    <tableColumn id="49" xr3:uid="{00000000-0010-0000-0100-000031000000}" name="Ivt"/>
    <tableColumn id="50" xr3:uid="{00000000-0010-0000-0100-000032000000}" name="Iotc"/>
    <tableColumn id="51" xr3:uid="{00000000-0010-0000-0100-000033000000}" name="Xagr"/>
    <tableColumn id="52" xr3:uid="{00000000-0010-0000-0100-000034000000}" name="Xtot"/>
    <tableColumn id="53" xr3:uid="{00000000-0010-0000-0100-000035000000}" name="CprNom"/>
    <tableColumn id="54" xr3:uid="{00000000-0010-0000-0100-000036000000}" name="CgovNom"/>
    <tableColumn id="55" xr3:uid="{00000000-0010-0000-0100-000037000000}" name="IdwellNom"/>
    <tableColumn id="56" xr3:uid="{00000000-0010-0000-0100-000038000000}" name="IotcNom"/>
    <tableColumn id="57" xr3:uid="{00000000-0010-0000-0100-000039000000}" name="IminNom"/>
    <tableColumn id="58" xr3:uid="{00000000-0010-0000-0100-00003A000000}" name="InonminNom"/>
    <tableColumn id="59" xr3:uid="{00000000-0010-0000-0100-00003B000000}" name="YgovIvtNom"/>
    <tableColumn id="60" xr3:uid="{00000000-0010-0000-0100-00003C000000}" name="XminNom"/>
    <tableColumn id="61" xr3:uid="{00000000-0010-0000-0100-00003D000000}" name="XagrNom"/>
    <tableColumn id="62" xr3:uid="{00000000-0010-0000-0100-00003E000000}" name="XothNom"/>
    <tableColumn id="63" xr3:uid="{00000000-0010-0000-0100-00003F000000}" name="XsvcNom"/>
    <tableColumn id="64" xr3:uid="{00000000-0010-0000-0100-000040000000}" name="XtotNom"/>
    <tableColumn id="65" xr3:uid="{00000000-0010-0000-0100-000041000000}" name="MtotNom"/>
    <tableColumn id="66" xr3:uid="{00000000-0010-0000-0100-000042000000}" name="YgdpNom"/>
    <tableColumn id="67" xr3:uid="{00000000-0010-0000-0100-000043000000}" name="Ygdp"/>
    <tableColumn id="68" xr3:uid="{00000000-0010-0000-0100-000044000000}" name="Ygne"/>
    <tableColumn id="69" xr3:uid="{00000000-0010-0000-0100-000045000000}" name="Pgne"/>
    <tableColumn id="70" xr3:uid="{00000000-0010-0000-0100-000046000000}" name="Pgdp"/>
    <tableColumn id="71" xr3:uid="{00000000-0010-0000-0100-000047000000}" name="Pxtot"/>
    <tableColumn id="72" xr3:uid="{00000000-0010-0000-0100-000048000000}" name="Ptot"/>
    <tableColumn id="73" xr3:uid="{00000000-0010-0000-0100-000049000000}" name="CconsRent"/>
    <tableColumn id="74" xr3:uid="{00000000-0010-0000-0100-00004A000000}" name="PconsRent"/>
    <tableColumn id="75" xr3:uid="{00000000-0010-0000-0100-00004B000000}" name="CconsRentNom"/>
    <tableColumn id="76" xr3:uid="{00000000-0010-0000-0100-00004C000000}" name="LempMkt"/>
    <tableColumn id="77" xr3:uid="{00000000-0010-0000-0100-00004D000000}" name="Lemp"/>
    <tableColumn id="78" xr3:uid="{00000000-0010-0000-0100-00004E000000}" name="Lsup"/>
    <tableColumn id="79" xr3:uid="{00000000-0010-0000-0100-00004F000000}" name="Lune"/>
    <tableColumn id="80" xr3:uid="{00000000-0010-0000-0100-000050000000}" name="Lur"/>
    <tableColumn id="81" xr3:uid="{00000000-0010-0000-0100-000051000000}" name="Lhh"/>
    <tableColumn id="82" xr3:uid="{00000000-0010-0000-0100-000052000000}" name="Ywss"/>
    <tableColumn id="83" xr3:uid="{00000000-0010-0000-0100-000053000000}" name="Yhdi"/>
    <tableColumn id="84" xr3:uid="{00000000-0010-0000-0100-000054000000}" name="Ygoa"/>
    <tableColumn id="85" xr3:uid="{00000000-0010-0000-0100-000055000000}" name="SavHh"/>
    <tableColumn id="86" xr3:uid="{00000000-0010-0000-0100-000056000000}" name="Wfor"/>
    <tableColumn id="87" xr3:uid="{00000000-0010-0000-0100-000057000000}" name="EqYield"/>
    <tableColumn id="88" xr3:uid="{00000000-0010-0000-0100-000058000000}" name="PeRatio"/>
    <tableColumn id="89" xr3:uid="{00000000-0010-0000-0100-000059000000}" name="KMin"/>
    <tableColumn id="90" xr3:uid="{00000000-0010-0000-0100-00005A000000}" name="KNbiz"/>
    <tableColumn id="91" xr3:uid="{00000000-0010-0000-0100-00005B000000}" name="KDwell"/>
    <tableColumn id="92" xr3:uid="{00000000-0010-0000-0100-00005C000000}" name="KBiz"/>
    <tableColumn id="93" xr3:uid="{00000000-0010-0000-0100-00005D000000}" name="KTotal"/>
    <tableColumn id="94" xr3:uid="{00000000-0010-0000-0100-00005E000000}" name="R90dReal"/>
    <tableColumn id="95" xr3:uid="{00000000-0010-0000-0100-00005F000000}" name="R10yReal"/>
    <tableColumn id="96" xr3:uid="{00000000-0010-0000-0100-000060000000}" name="RmortReal"/>
    <tableColumn id="97" xr3:uid="{00000000-0010-0000-0100-000061000000}" name="PcpiExGst"/>
    <tableColumn id="98" xr3:uid="{00000000-0010-0000-0100-000062000000}" name="RmortRealExgst"/>
    <tableColumn id="99" xr3:uid="{00000000-0010-0000-0100-000063000000}" name="Fr10y"/>
    <tableColumn id="100" xr3:uid="{00000000-0010-0000-0100-000064000000}" name="Fr10yReal"/>
    <tableColumn id="101" xr3:uid="{00000000-0010-0000-0100-000065000000}" name="Rdif10y"/>
    <tableColumn id="102" xr3:uid="{00000000-0010-0000-0100-000066000000}" name="RtwiNom"/>
    <tableColumn id="103" xr3:uid="{00000000-0010-0000-0100-000067000000}" name="PhouseReal"/>
    <tableColumn id="104" xr3:uid="{00000000-0010-0000-0100-000068000000}" name="Rbiz"/>
    <tableColumn id="105" xr3:uid="{00000000-0010-0000-0100-000069000000}" name="RbizReal"/>
    <tableColumn id="106" xr3:uid="{00000000-0010-0000-0100-00006A000000}" name="KdepAllow"/>
    <tableColumn id="107" xr3:uid="{00000000-0010-0000-0100-00006B000000}" name="CostCap"/>
    <tableColumn id="108" xr3:uid="{00000000-0010-0000-0100-00006C000000}" name="GovDem"/>
    <tableColumn id="109" xr3:uid="{00000000-0010-0000-0100-00006D000000}" name="Pulc"/>
    <tableColumn id="110" xr3:uid="{00000000-0010-0000-0100-00006E000000}" name="UlcDom"/>
    <tableColumn id="111" xr3:uid="{00000000-0010-0000-0100-00006F000000}" name="UlcExp"/>
    <tableColumn id="112" xr3:uid="{00000000-0010-0000-0100-000070000000}" name="YgdpHpf"/>
    <tableColumn id="113" xr3:uid="{00000000-0010-0000-0100-000071000000}" name="CprHpf"/>
    <tableColumn id="114" xr3:uid="{00000000-0010-0000-0100-000072000000}" name="PhouseHpf"/>
    <tableColumn id="115" xr3:uid="{00000000-0010-0000-0100-000073000000}" name="RmortRealHpf"/>
    <tableColumn id="116" xr3:uid="{00000000-0010-0000-0100-000074000000}" name="LparHpf"/>
    <tableColumn id="117" xr3:uid="{00000000-0010-0000-0100-000075000000}" name="PpcdHpf"/>
    <tableColumn id="118" xr3:uid="{00000000-0010-0000-0100-000076000000}" name="LurHpf"/>
    <tableColumn id="119" xr3:uid="{00000000-0010-0000-0100-000077000000}" name="InflExp"/>
    <tableColumn id="120" xr3:uid="{00000000-0010-0000-0100-000078000000}" name="Lpop"/>
    <tableColumn id="121" xr3:uid="{00000000-0010-0000-0100-000079000000}" name="Lpop15Plus"/>
    <tableColumn id="122" xr3:uid="{00000000-0010-0000-0100-00007A000000}" name="Ustar"/>
    <tableColumn id="123" xr3:uid="{00000000-0010-0000-0100-00007B000000}" name="Cgov"/>
    <tableColumn id="124" xr3:uid="{00000000-0010-0000-0100-00007C000000}" name="Igov"/>
    <tableColumn id="125" xr3:uid="{00000000-0010-0000-0100-00007D000000}" name="Ipubent"/>
    <tableColumn id="126" xr3:uid="{00000000-0010-0000-0100-00007E000000}" name="GovDef"/>
    <tableColumn id="127" xr3:uid="{00000000-0010-0000-0100-00007F000000}" name="IvtFar"/>
    <tableColumn id="128" xr3:uid="{00000000-0010-0000-0100-000080000000}" name="Lnom"/>
    <tableColumn id="129" xr3:uid="{00000000-0010-0000-0100-000081000000}" name="IntStu"/>
    <tableColumn id="130" xr3:uid="{00000000-0010-0000-0100-000082000000}" name="Fpcpi"/>
    <tableColumn id="131" xr3:uid="{00000000-0010-0000-0100-000083000000}" name="Fpoil"/>
    <tableColumn id="132" xr3:uid="{00000000-0010-0000-0100-000084000000}" name="Fpcom"/>
    <tableColumn id="133" xr3:uid="{00000000-0010-0000-0100-000085000000}" name="Fpagr"/>
    <tableColumn id="134" xr3:uid="{00000000-0010-0000-0100-000086000000}" name="FcGdp"/>
    <tableColumn id="135" xr3:uid="{00000000-0010-0000-0100-000087000000}" name="FcPpp"/>
    <tableColumn id="136" xr3:uid="{00000000-0010-0000-0100-000088000000}" name="Fr10yUs"/>
    <tableColumn id="137" xr3:uid="{00000000-0010-0000-0100-000089000000}" name="Fr10yJp"/>
    <tableColumn id="138" xr3:uid="{00000000-0010-0000-0100-00008A000000}" name="Fr10yDe"/>
    <tableColumn id="139" xr3:uid="{00000000-0010-0000-0100-00008B000000}" name="Fr10yU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CoefficientsTable" displayName="CoefficientsTable" ref="A1:D301" totalsRowShown="0">
  <autoFilter ref="A1:D301" xr:uid="{00000000-0009-0000-0100-000003000000}"/>
  <tableColumns count="4">
    <tableColumn id="1" xr3:uid="{00000000-0010-0000-0200-000001000000}" name="equation"/>
    <tableColumn id="2" xr3:uid="{00000000-0010-0000-0200-000002000000}" name="term"/>
    <tableColumn id="3" xr3:uid="{00000000-0010-0000-0200-000003000000}" name="estimate"/>
    <tableColumn id="4" xr3:uid="{00000000-0010-0000-0200-000004000000}" name="std_err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abSelected="true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7" sqref="H17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</cols>
  <sheetData>
    <row r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s="2" t="n">
        <v>42064</v>
      </c>
      <c r="B2" t="n">
        <v>546635</v>
      </c>
      <c r="C2" t="n">
        <v>286815</v>
      </c>
      <c r="D2" t="n">
        <v>106.8</v>
      </c>
      <c r="E2" t="n">
        <v>11658.623867</v>
      </c>
      <c r="F2" t="n">
        <v>3769446.35337672</v>
      </c>
      <c r="G2" t="n">
        <v>0.0620243173677172</v>
      </c>
      <c r="H2" t="n">
        <v>0.648434</v>
      </c>
      <c r="I2" t="n">
        <v>0.024533</v>
      </c>
      <c r="J2" t="n">
        <v>0.02529</v>
      </c>
      <c r="K2" t="s">
        <v>178</v>
      </c>
      <c r="L2" t="e">
        <f t="shared" ref="L2:L33" si="0">IF(ROW()&lt;=5,NA(),IFERROR(100*(B2/INDEX(B:B,ROW()-4)-1),NA()))</f>
        <v>#N/A</v>
      </c>
      <c r="M2" t="e">
        <f t="shared" ref="M2:M33" si="1">IF(ROW()&lt;=5,NA(),IFERROR(100*(C2/INDEX(C:C,ROW()-4)-1),NA()))</f>
        <v>#N/A</v>
      </c>
      <c r="N2" t="e">
        <f t="shared" ref="N2:N33" si="2">IF(ROW()&lt;=5,NA(),IFERROR(100*(D2/INDEX(D:D,ROW()-4)-1),NA()))</f>
        <v>#N/A</v>
      </c>
      <c r="O2" t="n">
        <f t="shared" ref="O2:O33" si="3">100*G2</f>
        <v>0</v>
      </c>
      <c r="P2" t="n">
        <f t="shared" ref="P2:P33" si="4">100*H2</f>
        <v>0</v>
      </c>
      <c r="Q2" t="n">
        <f t="shared" ref="Q2:Q33" si="5">100*I2</f>
        <v>0</v>
      </c>
      <c r="R2" t="n">
        <f t="shared" ref="R2:R33" si="6">100*J2</f>
        <v>0</v>
      </c>
      <c r="S2" t="e">
        <f t="shared" ref="S2:S33" si="7">IFERROR(100*E2/INDEX(E:E,MATCH(DATE(2024,12,1),A:A,0)),NA())</f>
        <v>#N/A</v>
      </c>
      <c r="T2" t="e">
        <f t="shared" ref="T2:T33" si="8">IFERROR(100*F2/INDEX(F:F,MATCH(DATE(2024,12,1),A:A,0)),NA())</f>
        <v>#N/A</v>
      </c>
      <c r="U2" t="e">
        <f t="shared" ref="U2:U33" si="9">IF($K2="Actual",L2,NA())</f>
        <v>#N/A</v>
      </c>
      <c r="V2" t="e">
        <f t="shared" ref="V2:V33" si="10">IF($A2&gt;=DATE(2024,12,1),L2,NA())</f>
        <v>#N/A</v>
      </c>
      <c r="W2" t="e">
        <f t="shared" ref="W2:W33" si="11">IF($K2="Actual",M2,NA())</f>
        <v>#N/A</v>
      </c>
      <c r="X2" t="e">
        <f t="shared" ref="X2:X33" si="12">IF($A2&gt;=DATE(2024,12,1),M2,NA())</f>
        <v>#N/A</v>
      </c>
      <c r="Y2" t="e">
        <f t="shared" ref="Y2:Y33" si="13">IF($K2="Actual",S2,NA())</f>
        <v>#N/A</v>
      </c>
      <c r="Z2" t="e">
        <f t="shared" ref="Z2:Z33" si="14">IF($A2&gt;=DATE(2024,12,1),S2,NA())</f>
        <v>#N/A</v>
      </c>
      <c r="AA2" t="e">
        <f t="shared" ref="AA2:AA33" si="15">IF($K2="Actual",T2,NA())</f>
        <v>#N/A</v>
      </c>
      <c r="AB2" t="e">
        <f t="shared" ref="AB2:AB33" si="16">IF($A2&gt;=DATE(2024,12,1),T2,NA())</f>
        <v>#N/A</v>
      </c>
      <c r="AC2" t="e">
        <f t="shared" ref="AC2:AC33" si="17">IF($K2="Actual",O2,NA())</f>
        <v>#N/A</v>
      </c>
      <c r="AD2" t="e">
        <f t="shared" ref="AD2:AD33" si="18">IF($A2&gt;=DATE(2024,12,1),O2,NA())</f>
        <v>#N/A</v>
      </c>
      <c r="AE2" t="e">
        <f t="shared" ref="AE2:AE33" si="19">IF($K2="Actual",Q2,NA())</f>
        <v>#N/A</v>
      </c>
      <c r="AF2" t="e">
        <f t="shared" ref="AF2:AF33" si="20">IF($A2&gt;=DATE(2024,12,1),Q2,NA())</f>
        <v>#N/A</v>
      </c>
      <c r="AG2" t="e">
        <f t="shared" ref="AG2:AG33" si="21">IF($K2="Actual",R2,NA())</f>
        <v>#N/A</v>
      </c>
      <c r="AH2" t="e">
        <f t="shared" ref="AH2:AH33" si="22">IF($A2&gt;=DATE(2024,12,1),R2,NA())</f>
        <v>#N/A</v>
      </c>
      <c r="AI2" t="e">
        <f t="shared" ref="AI2:AI33" si="23">IF($K2="Actual",N2,NA())</f>
        <v>#N/A</v>
      </c>
      <c r="AJ2" t="e">
        <f t="shared" ref="AJ2:AJ33" si="24">IF($A2&gt;=DATE(2024,12,1),N2,NA())</f>
        <v>#N/A</v>
      </c>
    </row>
    <row r="3">
      <c r="A3" s="2" t="n">
        <v>42156</v>
      </c>
      <c r="B3" t="n">
        <v>547281</v>
      </c>
      <c r="C3" t="n">
        <v>288596</v>
      </c>
      <c r="D3" t="n">
        <v>107.7</v>
      </c>
      <c r="E3" t="n">
        <v>11717.694807</v>
      </c>
      <c r="F3" t="n">
        <v>3776457.05720309</v>
      </c>
      <c r="G3" t="n">
        <v>0.0601679800547526</v>
      </c>
      <c r="H3" t="n">
        <v>0.648126</v>
      </c>
      <c r="I3" t="n">
        <v>0.021833</v>
      </c>
      <c r="J3" t="n">
        <v>0.02759</v>
      </c>
      <c r="K3" t="s">
        <v>178</v>
      </c>
      <c r="L3" t="e">
        <f t="shared" si="0"/>
        <v>#N/A</v>
      </c>
      <c r="M3" t="e">
        <f t="shared" si="1"/>
        <v>#N/A</v>
      </c>
      <c r="N3" t="e">
        <f t="shared" si="2"/>
        <v>#N/A</v>
      </c>
      <c r="O3" t="n">
        <f t="shared" si="3"/>
        <v>0</v>
      </c>
      <c r="P3" t="n">
        <f t="shared" si="4"/>
        <v>0</v>
      </c>
      <c r="Q3" t="n">
        <f t="shared" si="5"/>
        <v>0</v>
      </c>
      <c r="R3" t="n">
        <f t="shared" si="6"/>
        <v>0</v>
      </c>
      <c r="S3" t="e">
        <f t="shared" si="7"/>
        <v>#N/A</v>
      </c>
      <c r="T3" t="e">
        <f t="shared" si="8"/>
        <v>#N/A</v>
      </c>
      <c r="U3" t="e">
        <f t="shared" si="9"/>
        <v>#N/A</v>
      </c>
      <c r="V3" t="e">
        <f t="shared" si="10"/>
        <v>#N/A</v>
      </c>
      <c r="W3" t="e">
        <f t="shared" si="11"/>
        <v>#N/A</v>
      </c>
      <c r="X3" t="e">
        <f t="shared" si="12"/>
        <v>#N/A</v>
      </c>
      <c r="Y3" t="e">
        <f t="shared" si="13"/>
        <v>#N/A</v>
      </c>
      <c r="Z3" t="e">
        <f t="shared" si="14"/>
        <v>#N/A</v>
      </c>
      <c r="AA3" t="e">
        <f t="shared" si="15"/>
        <v>#N/A</v>
      </c>
      <c r="AB3" t="e">
        <f t="shared" si="16"/>
        <v>#N/A</v>
      </c>
      <c r="AC3" t="e">
        <f t="shared" si="17"/>
        <v>#N/A</v>
      </c>
      <c r="AD3" t="e">
        <f t="shared" si="18"/>
        <v>#N/A</v>
      </c>
      <c r="AE3" t="e">
        <f t="shared" si="19"/>
        <v>#N/A</v>
      </c>
      <c r="AF3" t="e">
        <f t="shared" si="20"/>
        <v>#N/A</v>
      </c>
      <c r="AG3" t="e">
        <f t="shared" si="21"/>
        <v>#N/A</v>
      </c>
      <c r="AH3" t="e">
        <f t="shared" si="22"/>
        <v>#N/A</v>
      </c>
      <c r="AI3" t="e">
        <f t="shared" si="23"/>
        <v>#N/A</v>
      </c>
      <c r="AJ3" t="e">
        <f t="shared" si="24"/>
        <v>#N/A</v>
      </c>
    </row>
    <row r="4">
      <c r="A4" s="2" t="n">
        <v>42248</v>
      </c>
      <c r="B4" t="n">
        <v>552613</v>
      </c>
      <c r="C4" t="n">
        <v>291248</v>
      </c>
      <c r="D4" t="n">
        <v>107.8</v>
      </c>
      <c r="E4" t="n">
        <v>11769.74154</v>
      </c>
      <c r="F4" t="n">
        <v>3792322.06602759</v>
      </c>
      <c r="G4" t="n">
        <v>0.0617866365869272</v>
      </c>
      <c r="H4" t="n">
        <v>0.649889</v>
      </c>
      <c r="I4" t="n">
        <v>0.0215</v>
      </c>
      <c r="J4" t="n">
        <v>0.0279466666666667</v>
      </c>
      <c r="K4" t="s">
        <v>178</v>
      </c>
      <c r="L4" t="e">
        <f t="shared" si="0"/>
        <v>#N/A</v>
      </c>
      <c r="M4" t="e">
        <f t="shared" si="1"/>
        <v>#N/A</v>
      </c>
      <c r="N4" t="e">
        <f t="shared" si="2"/>
        <v>#N/A</v>
      </c>
      <c r="O4" t="n">
        <f t="shared" si="3"/>
        <v>0</v>
      </c>
      <c r="P4" t="n">
        <f t="shared" si="4"/>
        <v>0</v>
      </c>
      <c r="Q4" t="n">
        <f t="shared" si="5"/>
        <v>0</v>
      </c>
      <c r="R4" t="n">
        <f t="shared" si="6"/>
        <v>0</v>
      </c>
      <c r="S4" t="e">
        <f t="shared" si="7"/>
        <v>#N/A</v>
      </c>
      <c r="T4" t="e">
        <f t="shared" si="8"/>
        <v>#N/A</v>
      </c>
      <c r="U4" t="e">
        <f t="shared" si="9"/>
        <v>#N/A</v>
      </c>
      <c r="V4" t="e">
        <f t="shared" si="10"/>
        <v>#N/A</v>
      </c>
      <c r="W4" t="e">
        <f t="shared" si="11"/>
        <v>#N/A</v>
      </c>
      <c r="X4" t="e">
        <f t="shared" si="12"/>
        <v>#N/A</v>
      </c>
      <c r="Y4" t="e">
        <f t="shared" si="13"/>
        <v>#N/A</v>
      </c>
      <c r="Z4" t="e">
        <f t="shared" si="14"/>
        <v>#N/A</v>
      </c>
      <c r="AA4" t="e">
        <f t="shared" si="15"/>
        <v>#N/A</v>
      </c>
      <c r="AB4" t="e">
        <f t="shared" si="16"/>
        <v>#N/A</v>
      </c>
      <c r="AC4" t="e">
        <f t="shared" si="17"/>
        <v>#N/A</v>
      </c>
      <c r="AD4" t="e">
        <f t="shared" si="18"/>
        <v>#N/A</v>
      </c>
      <c r="AE4" t="e">
        <f t="shared" si="19"/>
        <v>#N/A</v>
      </c>
      <c r="AF4" t="e">
        <f t="shared" si="20"/>
        <v>#N/A</v>
      </c>
      <c r="AG4" t="e">
        <f t="shared" si="21"/>
        <v>#N/A</v>
      </c>
      <c r="AH4" t="e">
        <f t="shared" si="22"/>
        <v>#N/A</v>
      </c>
      <c r="AI4" t="e">
        <f t="shared" si="23"/>
        <v>#N/A</v>
      </c>
      <c r="AJ4" t="e">
        <f t="shared" si="24"/>
        <v>#N/A</v>
      </c>
    </row>
    <row r="5">
      <c r="A5" s="2" t="n">
        <v>42339</v>
      </c>
      <c r="B5" t="n">
        <v>556043</v>
      </c>
      <c r="C5" t="n">
        <v>292696</v>
      </c>
      <c r="D5" t="n">
        <v>108.3</v>
      </c>
      <c r="E5" t="n">
        <v>11887.446556</v>
      </c>
      <c r="F5" t="n">
        <v>3811970.88689508</v>
      </c>
      <c r="G5" t="n">
        <v>0.0583482820901764</v>
      </c>
      <c r="H5" t="n">
        <v>0.651735</v>
      </c>
      <c r="I5" t="n">
        <v>0.022367</v>
      </c>
      <c r="J5" t="n">
        <v>0.0279933333333333</v>
      </c>
      <c r="K5" t="s">
        <v>178</v>
      </c>
      <c r="L5" t="e">
        <f t="shared" si="0"/>
        <v>#N/A</v>
      </c>
      <c r="M5" t="e">
        <f t="shared" si="1"/>
        <v>#N/A</v>
      </c>
      <c r="N5" t="e">
        <f t="shared" si="2"/>
        <v>#N/A</v>
      </c>
      <c r="O5" t="n">
        <f t="shared" si="3"/>
        <v>0</v>
      </c>
      <c r="P5" t="n">
        <f t="shared" si="4"/>
        <v>0</v>
      </c>
      <c r="Q5" t="n">
        <f t="shared" si="5"/>
        <v>0</v>
      </c>
      <c r="R5" t="n">
        <f t="shared" si="6"/>
        <v>0</v>
      </c>
      <c r="S5" t="e">
        <f t="shared" si="7"/>
        <v>#N/A</v>
      </c>
      <c r="T5" t="e">
        <f t="shared" si="8"/>
        <v>#N/A</v>
      </c>
      <c r="U5" t="e">
        <f t="shared" si="9"/>
        <v>#N/A</v>
      </c>
      <c r="V5" t="e">
        <f t="shared" si="10"/>
        <v>#N/A</v>
      </c>
      <c r="W5" t="e">
        <f t="shared" si="11"/>
        <v>#N/A</v>
      </c>
      <c r="X5" t="e">
        <f t="shared" si="12"/>
        <v>#N/A</v>
      </c>
      <c r="Y5" t="e">
        <f t="shared" si="13"/>
        <v>#N/A</v>
      </c>
      <c r="Z5" t="e">
        <f t="shared" si="14"/>
        <v>#N/A</v>
      </c>
      <c r="AA5" t="e">
        <f t="shared" si="15"/>
        <v>#N/A</v>
      </c>
      <c r="AB5" t="e">
        <f t="shared" si="16"/>
        <v>#N/A</v>
      </c>
      <c r="AC5" t="e">
        <f t="shared" si="17"/>
        <v>#N/A</v>
      </c>
      <c r="AD5" t="e">
        <f t="shared" si="18"/>
        <v>#N/A</v>
      </c>
      <c r="AE5" t="e">
        <f t="shared" si="19"/>
        <v>#N/A</v>
      </c>
      <c r="AF5" t="e">
        <f t="shared" si="20"/>
        <v>#N/A</v>
      </c>
      <c r="AG5" t="e">
        <f t="shared" si="21"/>
        <v>#N/A</v>
      </c>
      <c r="AH5" t="e">
        <f t="shared" si="22"/>
        <v>#N/A</v>
      </c>
      <c r="AI5" t="e">
        <f t="shared" si="23"/>
        <v>#N/A</v>
      </c>
      <c r="AJ5" t="e">
        <f t="shared" si="24"/>
        <v>#N/A</v>
      </c>
    </row>
    <row r="6">
      <c r="A6" s="2" t="n">
        <v>42430</v>
      </c>
      <c r="B6" t="n">
        <v>561139</v>
      </c>
      <c r="C6" t="n">
        <v>295146</v>
      </c>
      <c r="D6" t="n">
        <v>108.2</v>
      </c>
      <c r="E6" t="n">
        <v>11926.963195</v>
      </c>
      <c r="F6" t="n">
        <v>3818430.38167379</v>
      </c>
      <c r="G6" t="n">
        <v>0.0579634872433593</v>
      </c>
      <c r="H6" t="n">
        <v>0.650715</v>
      </c>
      <c r="I6" t="n">
        <v>0.022967</v>
      </c>
      <c r="J6" t="n">
        <v>0.02578</v>
      </c>
      <c r="K6" t="s">
        <v>178</v>
      </c>
      <c r="L6" t="e">
        <f t="shared" si="0"/>
        <v>#N/A</v>
      </c>
      <c r="M6" t="e">
        <f t="shared" si="1"/>
        <v>#N/A</v>
      </c>
      <c r="N6" t="e">
        <f t="shared" si="2"/>
        <v>#N/A</v>
      </c>
      <c r="O6" t="n">
        <f t="shared" si="3"/>
        <v>0</v>
      </c>
      <c r="P6" t="n">
        <f t="shared" si="4"/>
        <v>0</v>
      </c>
      <c r="Q6" t="n">
        <f t="shared" si="5"/>
        <v>0</v>
      </c>
      <c r="R6" t="n">
        <f t="shared" si="6"/>
        <v>0</v>
      </c>
      <c r="S6" t="e">
        <f t="shared" si="7"/>
        <v>#N/A</v>
      </c>
      <c r="T6" t="e">
        <f t="shared" si="8"/>
        <v>#N/A</v>
      </c>
      <c r="U6" t="e">
        <f t="shared" si="9"/>
        <v>#N/A</v>
      </c>
      <c r="V6" t="e">
        <f t="shared" si="10"/>
        <v>#N/A</v>
      </c>
      <c r="W6" t="e">
        <f t="shared" si="11"/>
        <v>#N/A</v>
      </c>
      <c r="X6" t="e">
        <f t="shared" si="12"/>
        <v>#N/A</v>
      </c>
      <c r="Y6" t="e">
        <f t="shared" si="13"/>
        <v>#N/A</v>
      </c>
      <c r="Z6" t="e">
        <f t="shared" si="14"/>
        <v>#N/A</v>
      </c>
      <c r="AA6" t="e">
        <f t="shared" si="15"/>
        <v>#N/A</v>
      </c>
      <c r="AB6" t="e">
        <f t="shared" si="16"/>
        <v>#N/A</v>
      </c>
      <c r="AC6" t="e">
        <f t="shared" si="17"/>
        <v>#N/A</v>
      </c>
      <c r="AD6" t="e">
        <f t="shared" si="18"/>
        <v>#N/A</v>
      </c>
      <c r="AE6" t="e">
        <f t="shared" si="19"/>
        <v>#N/A</v>
      </c>
      <c r="AF6" t="e">
        <f t="shared" si="20"/>
        <v>#N/A</v>
      </c>
      <c r="AG6" t="e">
        <f t="shared" si="21"/>
        <v>#N/A</v>
      </c>
      <c r="AH6" t="e">
        <f t="shared" si="22"/>
        <v>#N/A</v>
      </c>
      <c r="AI6" t="e">
        <f t="shared" si="23"/>
        <v>#N/A</v>
      </c>
      <c r="AJ6" t="e">
        <f t="shared" si="24"/>
        <v>#N/A</v>
      </c>
    </row>
    <row r="7">
      <c r="A7" s="2" t="n">
        <v>42522</v>
      </c>
      <c r="B7" t="n">
        <v>564835</v>
      </c>
      <c r="C7" t="n">
        <v>296578</v>
      </c>
      <c r="D7" t="n">
        <v>108.8</v>
      </c>
      <c r="E7" t="n">
        <v>11950.907038</v>
      </c>
      <c r="F7" t="n">
        <v>3797465.66136787</v>
      </c>
      <c r="G7" t="n">
        <v>0.0568709502282777</v>
      </c>
      <c r="H7" t="n">
        <v>0.648702</v>
      </c>
      <c r="I7" t="n">
        <v>0.020833</v>
      </c>
      <c r="J7" t="n">
        <v>0.0231966666666667</v>
      </c>
      <c r="K7" t="s">
        <v>178</v>
      </c>
      <c r="L7" t="e">
        <f t="shared" si="0"/>
        <v>#N/A</v>
      </c>
      <c r="M7" t="e">
        <f t="shared" si="1"/>
        <v>#N/A</v>
      </c>
      <c r="N7" t="e">
        <f t="shared" si="2"/>
        <v>#N/A</v>
      </c>
      <c r="O7" t="n">
        <f t="shared" si="3"/>
        <v>0</v>
      </c>
      <c r="P7" t="n">
        <f t="shared" si="4"/>
        <v>0</v>
      </c>
      <c r="Q7" t="n">
        <f t="shared" si="5"/>
        <v>0</v>
      </c>
      <c r="R7" t="n">
        <f t="shared" si="6"/>
        <v>0</v>
      </c>
      <c r="S7" t="e">
        <f t="shared" si="7"/>
        <v>#N/A</v>
      </c>
      <c r="T7" t="e">
        <f t="shared" si="8"/>
        <v>#N/A</v>
      </c>
      <c r="U7" t="e">
        <f t="shared" si="9"/>
        <v>#N/A</v>
      </c>
      <c r="V7" t="e">
        <f t="shared" si="10"/>
        <v>#N/A</v>
      </c>
      <c r="W7" t="e">
        <f t="shared" si="11"/>
        <v>#N/A</v>
      </c>
      <c r="X7" t="e">
        <f t="shared" si="12"/>
        <v>#N/A</v>
      </c>
      <c r="Y7" t="e">
        <f t="shared" si="13"/>
        <v>#N/A</v>
      </c>
      <c r="Z7" t="e">
        <f t="shared" si="14"/>
        <v>#N/A</v>
      </c>
      <c r="AA7" t="e">
        <f t="shared" si="15"/>
        <v>#N/A</v>
      </c>
      <c r="AB7" t="e">
        <f t="shared" si="16"/>
        <v>#N/A</v>
      </c>
      <c r="AC7" t="e">
        <f t="shared" si="17"/>
        <v>#N/A</v>
      </c>
      <c r="AD7" t="e">
        <f t="shared" si="18"/>
        <v>#N/A</v>
      </c>
      <c r="AE7" t="e">
        <f t="shared" si="19"/>
        <v>#N/A</v>
      </c>
      <c r="AF7" t="e">
        <f t="shared" si="20"/>
        <v>#N/A</v>
      </c>
      <c r="AG7" t="e">
        <f t="shared" si="21"/>
        <v>#N/A</v>
      </c>
      <c r="AH7" t="e">
        <f t="shared" si="22"/>
        <v>#N/A</v>
      </c>
      <c r="AI7" t="e">
        <f t="shared" si="23"/>
        <v>#N/A</v>
      </c>
      <c r="AJ7" t="e">
        <f t="shared" si="24"/>
        <v>#N/A</v>
      </c>
    </row>
    <row r="8">
      <c r="A8" s="2" t="n">
        <v>42614</v>
      </c>
      <c r="B8" t="n">
        <v>564782</v>
      </c>
      <c r="C8" t="n">
        <v>298417</v>
      </c>
      <c r="D8" t="n">
        <v>109.3</v>
      </c>
      <c r="E8" t="n">
        <v>11964.826742</v>
      </c>
      <c r="F8" t="n">
        <v>3802039.48557808</v>
      </c>
      <c r="G8" t="n">
        <v>0.0565779985288589</v>
      </c>
      <c r="H8" t="n">
        <v>0.646575</v>
      </c>
      <c r="I8" t="n">
        <v>0.018067</v>
      </c>
      <c r="J8" t="n">
        <v>0.01944</v>
      </c>
      <c r="K8" t="s">
        <v>178</v>
      </c>
      <c r="L8" t="e">
        <f t="shared" si="0"/>
        <v>#N/A</v>
      </c>
      <c r="M8" t="e">
        <f t="shared" si="1"/>
        <v>#N/A</v>
      </c>
      <c r="N8" t="e">
        <f t="shared" si="2"/>
        <v>#N/A</v>
      </c>
      <c r="O8" t="n">
        <f t="shared" si="3"/>
        <v>0</v>
      </c>
      <c r="P8" t="n">
        <f t="shared" si="4"/>
        <v>0</v>
      </c>
      <c r="Q8" t="n">
        <f t="shared" si="5"/>
        <v>0</v>
      </c>
      <c r="R8" t="n">
        <f t="shared" si="6"/>
        <v>0</v>
      </c>
      <c r="S8" t="e">
        <f t="shared" si="7"/>
        <v>#N/A</v>
      </c>
      <c r="T8" t="e">
        <f t="shared" si="8"/>
        <v>#N/A</v>
      </c>
      <c r="U8" t="e">
        <f t="shared" si="9"/>
        <v>#N/A</v>
      </c>
      <c r="V8" t="e">
        <f t="shared" si="10"/>
        <v>#N/A</v>
      </c>
      <c r="W8" t="e">
        <f t="shared" si="11"/>
        <v>#N/A</v>
      </c>
      <c r="X8" t="e">
        <f t="shared" si="12"/>
        <v>#N/A</v>
      </c>
      <c r="Y8" t="e">
        <f t="shared" si="13"/>
        <v>#N/A</v>
      </c>
      <c r="Z8" t="e">
        <f t="shared" si="14"/>
        <v>#N/A</v>
      </c>
      <c r="AA8" t="e">
        <f t="shared" si="15"/>
        <v>#N/A</v>
      </c>
      <c r="AB8" t="e">
        <f t="shared" si="16"/>
        <v>#N/A</v>
      </c>
      <c r="AC8" t="e">
        <f t="shared" si="17"/>
        <v>#N/A</v>
      </c>
      <c r="AD8" t="e">
        <f t="shared" si="18"/>
        <v>#N/A</v>
      </c>
      <c r="AE8" t="e">
        <f t="shared" si="19"/>
        <v>#N/A</v>
      </c>
      <c r="AF8" t="e">
        <f t="shared" si="20"/>
        <v>#N/A</v>
      </c>
      <c r="AG8" t="e">
        <f t="shared" si="21"/>
        <v>#N/A</v>
      </c>
      <c r="AH8" t="e">
        <f t="shared" si="22"/>
        <v>#N/A</v>
      </c>
      <c r="AI8" t="e">
        <f t="shared" si="23"/>
        <v>#N/A</v>
      </c>
      <c r="AJ8" t="e">
        <f t="shared" si="24"/>
        <v>#N/A</v>
      </c>
    </row>
    <row r="9">
      <c r="A9" s="2" t="n">
        <v>42705</v>
      </c>
      <c r="B9" t="n">
        <v>571367</v>
      </c>
      <c r="C9" t="n">
        <v>300485</v>
      </c>
      <c r="D9" t="n">
        <v>109.8</v>
      </c>
      <c r="E9" t="n">
        <v>11988.801731</v>
      </c>
      <c r="F9" t="n">
        <v>3808368.25855266</v>
      </c>
      <c r="G9" t="n">
        <v>0.057342796322902</v>
      </c>
      <c r="H9" t="n">
        <v>0.645826</v>
      </c>
      <c r="I9" t="n">
        <v>0.0176</v>
      </c>
      <c r="J9" t="n">
        <v>0.0252166666666667</v>
      </c>
      <c r="K9" t="s">
        <v>178</v>
      </c>
      <c r="L9" t="e">
        <f t="shared" si="0"/>
        <v>#N/A</v>
      </c>
      <c r="M9" t="e">
        <f t="shared" si="1"/>
        <v>#N/A</v>
      </c>
      <c r="N9" t="e">
        <f t="shared" si="2"/>
        <v>#N/A</v>
      </c>
      <c r="O9" t="n">
        <f t="shared" si="3"/>
        <v>0</v>
      </c>
      <c r="P9" t="n">
        <f t="shared" si="4"/>
        <v>0</v>
      </c>
      <c r="Q9" t="n">
        <f t="shared" si="5"/>
        <v>0</v>
      </c>
      <c r="R9" t="n">
        <f t="shared" si="6"/>
        <v>0</v>
      </c>
      <c r="S9" t="e">
        <f t="shared" si="7"/>
        <v>#N/A</v>
      </c>
      <c r="T9" t="e">
        <f t="shared" si="8"/>
        <v>#N/A</v>
      </c>
      <c r="U9" t="e">
        <f t="shared" si="9"/>
        <v>#N/A</v>
      </c>
      <c r="V9" t="e">
        <f t="shared" si="10"/>
        <v>#N/A</v>
      </c>
      <c r="W9" t="e">
        <f t="shared" si="11"/>
        <v>#N/A</v>
      </c>
      <c r="X9" t="e">
        <f t="shared" si="12"/>
        <v>#N/A</v>
      </c>
      <c r="Y9" t="e">
        <f t="shared" si="13"/>
        <v>#N/A</v>
      </c>
      <c r="Z9" t="e">
        <f t="shared" si="14"/>
        <v>#N/A</v>
      </c>
      <c r="AA9" t="e">
        <f t="shared" si="15"/>
        <v>#N/A</v>
      </c>
      <c r="AB9" t="e">
        <f t="shared" si="16"/>
        <v>#N/A</v>
      </c>
      <c r="AC9" t="e">
        <f t="shared" si="17"/>
        <v>#N/A</v>
      </c>
      <c r="AD9" t="e">
        <f t="shared" si="18"/>
        <v>#N/A</v>
      </c>
      <c r="AE9" t="e">
        <f t="shared" si="19"/>
        <v>#N/A</v>
      </c>
      <c r="AF9" t="e">
        <f t="shared" si="20"/>
        <v>#N/A</v>
      </c>
      <c r="AG9" t="e">
        <f t="shared" si="21"/>
        <v>#N/A</v>
      </c>
      <c r="AH9" t="e">
        <f t="shared" si="22"/>
        <v>#N/A</v>
      </c>
      <c r="AI9" t="e">
        <f t="shared" si="23"/>
        <v>#N/A</v>
      </c>
      <c r="AJ9" t="e">
        <f t="shared" si="24"/>
        <v>#N/A</v>
      </c>
    </row>
    <row r="10">
      <c r="A10" s="2" t="n">
        <v>42795</v>
      </c>
      <c r="B10" t="n">
        <v>573149</v>
      </c>
      <c r="C10" t="n">
        <v>302058</v>
      </c>
      <c r="D10" t="n">
        <v>110.5</v>
      </c>
      <c r="E10" t="n">
        <v>12043.410558</v>
      </c>
      <c r="F10" t="n">
        <v>3859223.7415055</v>
      </c>
      <c r="G10" t="n">
        <v>0.0580743791081485</v>
      </c>
      <c r="H10" t="n">
        <v>0.646085</v>
      </c>
      <c r="I10" t="n">
        <v>0.017833</v>
      </c>
      <c r="J10" t="n">
        <v>0.02751</v>
      </c>
      <c r="K10" t="s">
        <v>178</v>
      </c>
      <c r="L10" t="e">
        <f t="shared" si="0"/>
        <v>#N/A</v>
      </c>
      <c r="M10" t="e">
        <f t="shared" si="1"/>
        <v>#N/A</v>
      </c>
      <c r="N10" t="e">
        <f t="shared" si="2"/>
        <v>#N/A</v>
      </c>
      <c r="O10" t="n">
        <f t="shared" si="3"/>
        <v>0</v>
      </c>
      <c r="P10" t="n">
        <f t="shared" si="4"/>
        <v>0</v>
      </c>
      <c r="Q10" t="n">
        <f t="shared" si="5"/>
        <v>0</v>
      </c>
      <c r="R10" t="n">
        <f t="shared" si="6"/>
        <v>0</v>
      </c>
      <c r="S10" t="e">
        <f t="shared" si="7"/>
        <v>#N/A</v>
      </c>
      <c r="T10" t="e">
        <f t="shared" si="8"/>
        <v>#N/A</v>
      </c>
      <c r="U10" t="e">
        <f t="shared" si="9"/>
        <v>#N/A</v>
      </c>
      <c r="V10" t="e">
        <f t="shared" si="10"/>
        <v>#N/A</v>
      </c>
      <c r="W10" t="e">
        <f t="shared" si="11"/>
        <v>#N/A</v>
      </c>
      <c r="X10" t="e">
        <f t="shared" si="12"/>
        <v>#N/A</v>
      </c>
      <c r="Y10" t="e">
        <f t="shared" si="13"/>
        <v>#N/A</v>
      </c>
      <c r="Z10" t="e">
        <f t="shared" si="14"/>
        <v>#N/A</v>
      </c>
      <c r="AA10" t="e">
        <f t="shared" si="15"/>
        <v>#N/A</v>
      </c>
      <c r="AB10" t="e">
        <f t="shared" si="16"/>
        <v>#N/A</v>
      </c>
      <c r="AC10" t="e">
        <f t="shared" si="17"/>
        <v>#N/A</v>
      </c>
      <c r="AD10" t="e">
        <f t="shared" si="18"/>
        <v>#N/A</v>
      </c>
      <c r="AE10" t="e">
        <f t="shared" si="19"/>
        <v>#N/A</v>
      </c>
      <c r="AF10" t="e">
        <f t="shared" si="20"/>
        <v>#N/A</v>
      </c>
      <c r="AG10" t="e">
        <f t="shared" si="21"/>
        <v>#N/A</v>
      </c>
      <c r="AH10" t="e">
        <f t="shared" si="22"/>
        <v>#N/A</v>
      </c>
      <c r="AI10" t="e">
        <f t="shared" si="23"/>
        <v>#N/A</v>
      </c>
      <c r="AJ10" t="e">
        <f t="shared" si="24"/>
        <v>#N/A</v>
      </c>
    </row>
    <row r="11">
      <c r="A11" s="2" t="n">
        <v>42887</v>
      </c>
      <c r="B11" t="n">
        <v>576579</v>
      </c>
      <c r="C11" t="n">
        <v>303774</v>
      </c>
      <c r="D11" t="n">
        <v>110.9</v>
      </c>
      <c r="E11" t="n">
        <v>12164.858767</v>
      </c>
      <c r="F11" t="n">
        <v>3892724.24700024</v>
      </c>
      <c r="G11" t="n">
        <v>0.0559253059887055</v>
      </c>
      <c r="H11" t="n">
        <v>0.648426</v>
      </c>
      <c r="I11" t="n">
        <v>0.0174</v>
      </c>
      <c r="J11" t="n">
        <v>0.0250866666666667</v>
      </c>
      <c r="K11" t="s">
        <v>178</v>
      </c>
      <c r="L11" t="e">
        <f t="shared" si="0"/>
        <v>#N/A</v>
      </c>
      <c r="M11" t="e">
        <f t="shared" si="1"/>
        <v>#N/A</v>
      </c>
      <c r="N11" t="e">
        <f t="shared" si="2"/>
        <v>#N/A</v>
      </c>
      <c r="O11" t="n">
        <f t="shared" si="3"/>
        <v>0</v>
      </c>
      <c r="P11" t="n">
        <f t="shared" si="4"/>
        <v>0</v>
      </c>
      <c r="Q11" t="n">
        <f t="shared" si="5"/>
        <v>0</v>
      </c>
      <c r="R11" t="n">
        <f t="shared" si="6"/>
        <v>0</v>
      </c>
      <c r="S11" t="e">
        <f t="shared" si="7"/>
        <v>#N/A</v>
      </c>
      <c r="T11" t="e">
        <f t="shared" si="8"/>
        <v>#N/A</v>
      </c>
      <c r="U11" t="e">
        <f t="shared" si="9"/>
        <v>#N/A</v>
      </c>
      <c r="V11" t="e">
        <f t="shared" si="10"/>
        <v>#N/A</v>
      </c>
      <c r="W11" t="e">
        <f t="shared" si="11"/>
        <v>#N/A</v>
      </c>
      <c r="X11" t="e">
        <f t="shared" si="12"/>
        <v>#N/A</v>
      </c>
      <c r="Y11" t="e">
        <f t="shared" si="13"/>
        <v>#N/A</v>
      </c>
      <c r="Z11" t="e">
        <f t="shared" si="14"/>
        <v>#N/A</v>
      </c>
      <c r="AA11" t="e">
        <f t="shared" si="15"/>
        <v>#N/A</v>
      </c>
      <c r="AB11" t="e">
        <f t="shared" si="16"/>
        <v>#N/A</v>
      </c>
      <c r="AC11" t="e">
        <f t="shared" si="17"/>
        <v>#N/A</v>
      </c>
      <c r="AD11" t="e">
        <f t="shared" si="18"/>
        <v>#N/A</v>
      </c>
      <c r="AE11" t="e">
        <f t="shared" si="19"/>
        <v>#N/A</v>
      </c>
      <c r="AF11" t="e">
        <f t="shared" si="20"/>
        <v>#N/A</v>
      </c>
      <c r="AG11" t="e">
        <f t="shared" si="21"/>
        <v>#N/A</v>
      </c>
      <c r="AH11" t="e">
        <f t="shared" si="22"/>
        <v>#N/A</v>
      </c>
      <c r="AI11" t="e">
        <f t="shared" si="23"/>
        <v>#N/A</v>
      </c>
      <c r="AJ11" t="e">
        <f t="shared" si="24"/>
        <v>#N/A</v>
      </c>
    </row>
    <row r="12">
      <c r="A12" s="2" t="n">
        <v>42979</v>
      </c>
      <c r="B12" t="n">
        <v>582043</v>
      </c>
      <c r="C12" t="n">
        <v>305893</v>
      </c>
      <c r="D12" t="n">
        <v>111.3</v>
      </c>
      <c r="E12" t="n">
        <v>12278.939818</v>
      </c>
      <c r="F12" t="n">
        <v>3916980.42735031</v>
      </c>
      <c r="G12" t="n">
        <v>0.05532785461866</v>
      </c>
      <c r="H12" t="n">
        <v>0.651535</v>
      </c>
      <c r="I12" t="n">
        <v>0.017067</v>
      </c>
      <c r="J12" t="n">
        <v>0.0266666666666667</v>
      </c>
      <c r="K12" t="s">
        <v>178</v>
      </c>
      <c r="L12" t="e">
        <f t="shared" si="0"/>
        <v>#N/A</v>
      </c>
      <c r="M12" t="e">
        <f t="shared" si="1"/>
        <v>#N/A</v>
      </c>
      <c r="N12" t="e">
        <f t="shared" si="2"/>
        <v>#N/A</v>
      </c>
      <c r="O12" t="n">
        <f t="shared" si="3"/>
        <v>0</v>
      </c>
      <c r="P12" t="n">
        <f t="shared" si="4"/>
        <v>0</v>
      </c>
      <c r="Q12" t="n">
        <f t="shared" si="5"/>
        <v>0</v>
      </c>
      <c r="R12" t="n">
        <f t="shared" si="6"/>
        <v>0</v>
      </c>
      <c r="S12" t="e">
        <f t="shared" si="7"/>
        <v>#N/A</v>
      </c>
      <c r="T12" t="e">
        <f t="shared" si="8"/>
        <v>#N/A</v>
      </c>
      <c r="U12" t="e">
        <f t="shared" si="9"/>
        <v>#N/A</v>
      </c>
      <c r="V12" t="e">
        <f t="shared" si="10"/>
        <v>#N/A</v>
      </c>
      <c r="W12" t="e">
        <f t="shared" si="11"/>
        <v>#N/A</v>
      </c>
      <c r="X12" t="e">
        <f t="shared" si="12"/>
        <v>#N/A</v>
      </c>
      <c r="Y12" t="e">
        <f t="shared" si="13"/>
        <v>#N/A</v>
      </c>
      <c r="Z12" t="e">
        <f t="shared" si="14"/>
        <v>#N/A</v>
      </c>
      <c r="AA12" t="e">
        <f t="shared" si="15"/>
        <v>#N/A</v>
      </c>
      <c r="AB12" t="e">
        <f t="shared" si="16"/>
        <v>#N/A</v>
      </c>
      <c r="AC12" t="e">
        <f t="shared" si="17"/>
        <v>#N/A</v>
      </c>
      <c r="AD12" t="e">
        <f t="shared" si="18"/>
        <v>#N/A</v>
      </c>
      <c r="AE12" t="e">
        <f t="shared" si="19"/>
        <v>#N/A</v>
      </c>
      <c r="AF12" t="e">
        <f t="shared" si="20"/>
        <v>#N/A</v>
      </c>
      <c r="AG12" t="e">
        <f t="shared" si="21"/>
        <v>#N/A</v>
      </c>
      <c r="AH12" t="e">
        <f t="shared" si="22"/>
        <v>#N/A</v>
      </c>
      <c r="AI12" t="e">
        <f t="shared" si="23"/>
        <v>#N/A</v>
      </c>
      <c r="AJ12" t="e">
        <f t="shared" si="24"/>
        <v>#N/A</v>
      </c>
    </row>
    <row r="13">
      <c r="A13" s="2" t="n">
        <v>43070</v>
      </c>
      <c r="B13" t="n">
        <v>584367</v>
      </c>
      <c r="C13" t="n">
        <v>308870</v>
      </c>
      <c r="D13" t="n">
        <v>112.1</v>
      </c>
      <c r="E13" t="n">
        <v>12364.052443</v>
      </c>
      <c r="F13" t="n">
        <v>3942553.45980164</v>
      </c>
      <c r="G13" t="n">
        <v>0.054926167739918</v>
      </c>
      <c r="H13" t="n">
        <v>0.65356</v>
      </c>
      <c r="I13" t="n">
        <v>0.0173</v>
      </c>
      <c r="J13" t="n">
        <v>0.0263866666666667</v>
      </c>
      <c r="K13" t="s">
        <v>178</v>
      </c>
      <c r="L13" t="e">
        <f t="shared" si="0"/>
        <v>#N/A</v>
      </c>
      <c r="M13" t="e">
        <f t="shared" si="1"/>
        <v>#N/A</v>
      </c>
      <c r="N13" t="e">
        <f t="shared" si="2"/>
        <v>#N/A</v>
      </c>
      <c r="O13" t="n">
        <f t="shared" si="3"/>
        <v>0</v>
      </c>
      <c r="P13" t="n">
        <f t="shared" si="4"/>
        <v>0</v>
      </c>
      <c r="Q13" t="n">
        <f t="shared" si="5"/>
        <v>0</v>
      </c>
      <c r="R13" t="n">
        <f t="shared" si="6"/>
        <v>0</v>
      </c>
      <c r="S13" t="e">
        <f t="shared" si="7"/>
        <v>#N/A</v>
      </c>
      <c r="T13" t="e">
        <f t="shared" si="8"/>
        <v>#N/A</v>
      </c>
      <c r="U13" t="e">
        <f t="shared" si="9"/>
        <v>#N/A</v>
      </c>
      <c r="V13" t="e">
        <f t="shared" si="10"/>
        <v>#N/A</v>
      </c>
      <c r="W13" t="e">
        <f t="shared" si="11"/>
        <v>#N/A</v>
      </c>
      <c r="X13" t="e">
        <f t="shared" si="12"/>
        <v>#N/A</v>
      </c>
      <c r="Y13" t="e">
        <f t="shared" si="13"/>
        <v>#N/A</v>
      </c>
      <c r="Z13" t="e">
        <f t="shared" si="14"/>
        <v>#N/A</v>
      </c>
      <c r="AA13" t="e">
        <f t="shared" si="15"/>
        <v>#N/A</v>
      </c>
      <c r="AB13" t="e">
        <f t="shared" si="16"/>
        <v>#N/A</v>
      </c>
      <c r="AC13" t="e">
        <f t="shared" si="17"/>
        <v>#N/A</v>
      </c>
      <c r="AD13" t="e">
        <f t="shared" si="18"/>
        <v>#N/A</v>
      </c>
      <c r="AE13" t="e">
        <f t="shared" si="19"/>
        <v>#N/A</v>
      </c>
      <c r="AF13" t="e">
        <f t="shared" si="20"/>
        <v>#N/A</v>
      </c>
      <c r="AG13" t="e">
        <f t="shared" si="21"/>
        <v>#N/A</v>
      </c>
      <c r="AH13" t="e">
        <f t="shared" si="22"/>
        <v>#N/A</v>
      </c>
      <c r="AI13" t="e">
        <f t="shared" si="23"/>
        <v>#N/A</v>
      </c>
      <c r="AJ13" t="e">
        <f t="shared" si="24"/>
        <v>#N/A</v>
      </c>
    </row>
    <row r="14">
      <c r="A14" s="2" t="n">
        <v>43160</v>
      </c>
      <c r="B14" t="n">
        <v>590393</v>
      </c>
      <c r="C14" t="n">
        <v>310941</v>
      </c>
      <c r="D14" t="n">
        <v>112.7</v>
      </c>
      <c r="E14" t="n">
        <v>12433.919949</v>
      </c>
      <c r="F14" t="n">
        <v>3933747.46438219</v>
      </c>
      <c r="G14" t="n">
        <v>0.0554492248274031</v>
      </c>
      <c r="H14" t="n">
        <v>0.654609</v>
      </c>
      <c r="I14" t="n">
        <v>0.0183</v>
      </c>
      <c r="J14" t="n">
        <v>0.0276833333333333</v>
      </c>
      <c r="K14" t="s">
        <v>178</v>
      </c>
      <c r="L14" t="e">
        <f t="shared" si="0"/>
        <v>#N/A</v>
      </c>
      <c r="M14" t="e">
        <f t="shared" si="1"/>
        <v>#N/A</v>
      </c>
      <c r="N14" t="e">
        <f t="shared" si="2"/>
        <v>#N/A</v>
      </c>
      <c r="O14" t="n">
        <f t="shared" si="3"/>
        <v>0</v>
      </c>
      <c r="P14" t="n">
        <f t="shared" si="4"/>
        <v>0</v>
      </c>
      <c r="Q14" t="n">
        <f t="shared" si="5"/>
        <v>0</v>
      </c>
      <c r="R14" t="n">
        <f t="shared" si="6"/>
        <v>0</v>
      </c>
      <c r="S14" t="e">
        <f t="shared" si="7"/>
        <v>#N/A</v>
      </c>
      <c r="T14" t="e">
        <f t="shared" si="8"/>
        <v>#N/A</v>
      </c>
      <c r="U14" t="e">
        <f t="shared" si="9"/>
        <v>#N/A</v>
      </c>
      <c r="V14" t="e">
        <f t="shared" si="10"/>
        <v>#N/A</v>
      </c>
      <c r="W14" t="e">
        <f t="shared" si="11"/>
        <v>#N/A</v>
      </c>
      <c r="X14" t="e">
        <f t="shared" si="12"/>
        <v>#N/A</v>
      </c>
      <c r="Y14" t="e">
        <f t="shared" si="13"/>
        <v>#N/A</v>
      </c>
      <c r="Z14" t="e">
        <f t="shared" si="14"/>
        <v>#N/A</v>
      </c>
      <c r="AA14" t="e">
        <f t="shared" si="15"/>
        <v>#N/A</v>
      </c>
      <c r="AB14" t="e">
        <f t="shared" si="16"/>
        <v>#N/A</v>
      </c>
      <c r="AC14" t="e">
        <f t="shared" si="17"/>
        <v>#N/A</v>
      </c>
      <c r="AD14" t="e">
        <f t="shared" si="18"/>
        <v>#N/A</v>
      </c>
      <c r="AE14" t="e">
        <f t="shared" si="19"/>
        <v>#N/A</v>
      </c>
      <c r="AF14" t="e">
        <f t="shared" si="20"/>
        <v>#N/A</v>
      </c>
      <c r="AG14" t="e">
        <f t="shared" si="21"/>
        <v>#N/A</v>
      </c>
      <c r="AH14" t="e">
        <f t="shared" si="22"/>
        <v>#N/A</v>
      </c>
      <c r="AI14" t="e">
        <f t="shared" si="23"/>
        <v>#N/A</v>
      </c>
      <c r="AJ14" t="e">
        <f t="shared" si="24"/>
        <v>#N/A</v>
      </c>
    </row>
    <row r="15">
      <c r="A15" s="2" t="n">
        <v>43252</v>
      </c>
      <c r="B15" t="n">
        <v>594775</v>
      </c>
      <c r="C15" t="n">
        <v>313022</v>
      </c>
      <c r="D15" t="n">
        <v>113.2</v>
      </c>
      <c r="E15" t="n">
        <v>12478.009327</v>
      </c>
      <c r="F15" t="n">
        <v>3959064.51928848</v>
      </c>
      <c r="G15" t="n">
        <v>0.0543996186481243</v>
      </c>
      <c r="H15" t="n">
        <v>0.653505</v>
      </c>
      <c r="I15" t="n">
        <v>0.0203</v>
      </c>
      <c r="J15" t="n">
        <v>0.0274033333333333</v>
      </c>
      <c r="K15" t="s">
        <v>178</v>
      </c>
      <c r="L15" t="e">
        <f t="shared" si="0"/>
        <v>#N/A</v>
      </c>
      <c r="M15" t="e">
        <f t="shared" si="1"/>
        <v>#N/A</v>
      </c>
      <c r="N15" t="e">
        <f t="shared" si="2"/>
        <v>#N/A</v>
      </c>
      <c r="O15" t="n">
        <f t="shared" si="3"/>
        <v>0</v>
      </c>
      <c r="P15" t="n">
        <f t="shared" si="4"/>
        <v>0</v>
      </c>
      <c r="Q15" t="n">
        <f t="shared" si="5"/>
        <v>0</v>
      </c>
      <c r="R15" t="n">
        <f t="shared" si="6"/>
        <v>0</v>
      </c>
      <c r="S15" t="e">
        <f t="shared" si="7"/>
        <v>#N/A</v>
      </c>
      <c r="T15" t="e">
        <f t="shared" si="8"/>
        <v>#N/A</v>
      </c>
      <c r="U15" t="e">
        <f t="shared" si="9"/>
        <v>#N/A</v>
      </c>
      <c r="V15" t="e">
        <f t="shared" si="10"/>
        <v>#N/A</v>
      </c>
      <c r="W15" t="e">
        <f t="shared" si="11"/>
        <v>#N/A</v>
      </c>
      <c r="X15" t="e">
        <f t="shared" si="12"/>
        <v>#N/A</v>
      </c>
      <c r="Y15" t="e">
        <f t="shared" si="13"/>
        <v>#N/A</v>
      </c>
      <c r="Z15" t="e">
        <f t="shared" si="14"/>
        <v>#N/A</v>
      </c>
      <c r="AA15" t="e">
        <f t="shared" si="15"/>
        <v>#N/A</v>
      </c>
      <c r="AB15" t="e">
        <f t="shared" si="16"/>
        <v>#N/A</v>
      </c>
      <c r="AC15" t="e">
        <f t="shared" si="17"/>
        <v>#N/A</v>
      </c>
      <c r="AD15" t="e">
        <f t="shared" si="18"/>
        <v>#N/A</v>
      </c>
      <c r="AE15" t="e">
        <f t="shared" si="19"/>
        <v>#N/A</v>
      </c>
      <c r="AF15" t="e">
        <f t="shared" si="20"/>
        <v>#N/A</v>
      </c>
      <c r="AG15" t="e">
        <f t="shared" si="21"/>
        <v>#N/A</v>
      </c>
      <c r="AH15" t="e">
        <f t="shared" si="22"/>
        <v>#N/A</v>
      </c>
      <c r="AI15" t="e">
        <f t="shared" si="23"/>
        <v>#N/A</v>
      </c>
      <c r="AJ15" t="e">
        <f t="shared" si="24"/>
        <v>#N/A</v>
      </c>
    </row>
    <row r="16">
      <c r="A16" s="2" t="n">
        <v>43344</v>
      </c>
      <c r="B16" t="n">
        <v>597020</v>
      </c>
      <c r="C16" t="n">
        <v>313517</v>
      </c>
      <c r="D16" t="n">
        <v>113.5</v>
      </c>
      <c r="E16" t="n">
        <v>12570.276526</v>
      </c>
      <c r="F16" t="n">
        <v>3975923.37448344</v>
      </c>
      <c r="G16" t="n">
        <v>0.0518595543565067</v>
      </c>
      <c r="H16" t="n">
        <v>0.65384</v>
      </c>
      <c r="I16" t="n">
        <v>0.0197</v>
      </c>
      <c r="J16" t="n">
        <v>0.0261933333333333</v>
      </c>
      <c r="K16" t="s">
        <v>178</v>
      </c>
      <c r="L16" t="e">
        <f t="shared" si="0"/>
        <v>#N/A</v>
      </c>
      <c r="M16" t="e">
        <f t="shared" si="1"/>
        <v>#N/A</v>
      </c>
      <c r="N16" t="e">
        <f t="shared" si="2"/>
        <v>#N/A</v>
      </c>
      <c r="O16" t="n">
        <f t="shared" si="3"/>
        <v>0</v>
      </c>
      <c r="P16" t="n">
        <f t="shared" si="4"/>
        <v>0</v>
      </c>
      <c r="Q16" t="n">
        <f t="shared" si="5"/>
        <v>0</v>
      </c>
      <c r="R16" t="n">
        <f t="shared" si="6"/>
        <v>0</v>
      </c>
      <c r="S16" t="e">
        <f t="shared" si="7"/>
        <v>#N/A</v>
      </c>
      <c r="T16" t="e">
        <f t="shared" si="8"/>
        <v>#N/A</v>
      </c>
      <c r="U16" t="e">
        <f t="shared" si="9"/>
        <v>#N/A</v>
      </c>
      <c r="V16" t="e">
        <f t="shared" si="10"/>
        <v>#N/A</v>
      </c>
      <c r="W16" t="e">
        <f t="shared" si="11"/>
        <v>#N/A</v>
      </c>
      <c r="X16" t="e">
        <f t="shared" si="12"/>
        <v>#N/A</v>
      </c>
      <c r="Y16" t="e">
        <f t="shared" si="13"/>
        <v>#N/A</v>
      </c>
      <c r="Z16" t="e">
        <f t="shared" si="14"/>
        <v>#N/A</v>
      </c>
      <c r="AA16" t="e">
        <f t="shared" si="15"/>
        <v>#N/A</v>
      </c>
      <c r="AB16" t="e">
        <f t="shared" si="16"/>
        <v>#N/A</v>
      </c>
      <c r="AC16" t="e">
        <f t="shared" si="17"/>
        <v>#N/A</v>
      </c>
      <c r="AD16" t="e">
        <f t="shared" si="18"/>
        <v>#N/A</v>
      </c>
      <c r="AE16" t="e">
        <f t="shared" si="19"/>
        <v>#N/A</v>
      </c>
      <c r="AF16" t="e">
        <f t="shared" si="20"/>
        <v>#N/A</v>
      </c>
      <c r="AG16" t="e">
        <f t="shared" si="21"/>
        <v>#N/A</v>
      </c>
      <c r="AH16" t="e">
        <f t="shared" si="22"/>
        <v>#N/A</v>
      </c>
      <c r="AI16" t="e">
        <f t="shared" si="23"/>
        <v>#N/A</v>
      </c>
      <c r="AJ16" t="e">
        <f t="shared" si="24"/>
        <v>#N/A</v>
      </c>
    </row>
    <row r="17">
      <c r="A17" s="2" t="n">
        <v>43435</v>
      </c>
      <c r="B17" t="n">
        <v>598542</v>
      </c>
      <c r="C17" t="n">
        <v>314333</v>
      </c>
      <c r="D17" t="n">
        <v>114</v>
      </c>
      <c r="E17" t="n">
        <v>12646.703814</v>
      </c>
      <c r="F17" t="n">
        <v>3977120.95194437</v>
      </c>
      <c r="G17" t="n">
        <v>0.0504399106899071</v>
      </c>
      <c r="H17" t="n">
        <v>0.654362</v>
      </c>
      <c r="I17" t="n">
        <v>0.019633</v>
      </c>
      <c r="J17" t="n">
        <v>0.0259866666666667</v>
      </c>
      <c r="K17" t="s">
        <v>178</v>
      </c>
      <c r="L17" t="e">
        <f t="shared" si="0"/>
        <v>#N/A</v>
      </c>
      <c r="M17" t="e">
        <f t="shared" si="1"/>
        <v>#N/A</v>
      </c>
      <c r="N17" t="e">
        <f t="shared" si="2"/>
        <v>#N/A</v>
      </c>
      <c r="O17" t="n">
        <f t="shared" si="3"/>
        <v>0</v>
      </c>
      <c r="P17" t="n">
        <f t="shared" si="4"/>
        <v>0</v>
      </c>
      <c r="Q17" t="n">
        <f t="shared" si="5"/>
        <v>0</v>
      </c>
      <c r="R17" t="n">
        <f t="shared" si="6"/>
        <v>0</v>
      </c>
      <c r="S17" t="e">
        <f t="shared" si="7"/>
        <v>#N/A</v>
      </c>
      <c r="T17" t="e">
        <f t="shared" si="8"/>
        <v>#N/A</v>
      </c>
      <c r="U17" t="e">
        <f t="shared" si="9"/>
        <v>#N/A</v>
      </c>
      <c r="V17" t="e">
        <f t="shared" si="10"/>
        <v>#N/A</v>
      </c>
      <c r="W17" t="e">
        <f t="shared" si="11"/>
        <v>#N/A</v>
      </c>
      <c r="X17" t="e">
        <f t="shared" si="12"/>
        <v>#N/A</v>
      </c>
      <c r="Y17" t="e">
        <f t="shared" si="13"/>
        <v>#N/A</v>
      </c>
      <c r="Z17" t="e">
        <f t="shared" si="14"/>
        <v>#N/A</v>
      </c>
      <c r="AA17" t="e">
        <f t="shared" si="15"/>
        <v>#N/A</v>
      </c>
      <c r="AB17" t="e">
        <f t="shared" si="16"/>
        <v>#N/A</v>
      </c>
      <c r="AC17" t="e">
        <f t="shared" si="17"/>
        <v>#N/A</v>
      </c>
      <c r="AD17" t="e">
        <f t="shared" si="18"/>
        <v>#N/A</v>
      </c>
      <c r="AE17" t="e">
        <f t="shared" si="19"/>
        <v>#N/A</v>
      </c>
      <c r="AF17" t="e">
        <f t="shared" si="20"/>
        <v>#N/A</v>
      </c>
      <c r="AG17" t="e">
        <f t="shared" si="21"/>
        <v>#N/A</v>
      </c>
      <c r="AH17" t="e">
        <f t="shared" si="22"/>
        <v>#N/A</v>
      </c>
      <c r="AI17" t="e">
        <f t="shared" si="23"/>
        <v>#N/A</v>
      </c>
      <c r="AJ17" t="e">
        <f t="shared" si="24"/>
        <v>#N/A</v>
      </c>
    </row>
    <row r="18">
      <c r="A18" s="2" t="n">
        <v>43525</v>
      </c>
      <c r="B18" t="n">
        <v>602883</v>
      </c>
      <c r="C18" t="n">
        <v>315449</v>
      </c>
      <c r="D18" t="n">
        <v>114.1</v>
      </c>
      <c r="E18" t="n">
        <v>12729.579042</v>
      </c>
      <c r="F18" t="n">
        <v>4027958.72715031</v>
      </c>
      <c r="G18" t="n">
        <v>0.0504307754410345</v>
      </c>
      <c r="H18" t="n">
        <v>0.655638</v>
      </c>
      <c r="I18" t="n">
        <v>0.019533</v>
      </c>
      <c r="J18" t="n">
        <v>0.02118</v>
      </c>
      <c r="K18" t="s">
        <v>178</v>
      </c>
      <c r="L18" t="e">
        <f t="shared" si="0"/>
        <v>#N/A</v>
      </c>
      <c r="M18" t="e">
        <f t="shared" si="1"/>
        <v>#N/A</v>
      </c>
      <c r="N18" t="e">
        <f t="shared" si="2"/>
        <v>#N/A</v>
      </c>
      <c r="O18" t="n">
        <f t="shared" si="3"/>
        <v>0</v>
      </c>
      <c r="P18" t="n">
        <f t="shared" si="4"/>
        <v>0</v>
      </c>
      <c r="Q18" t="n">
        <f t="shared" si="5"/>
        <v>0</v>
      </c>
      <c r="R18" t="n">
        <f t="shared" si="6"/>
        <v>0</v>
      </c>
      <c r="S18" t="e">
        <f t="shared" si="7"/>
        <v>#N/A</v>
      </c>
      <c r="T18" t="e">
        <f t="shared" si="8"/>
        <v>#N/A</v>
      </c>
      <c r="U18" t="e">
        <f t="shared" si="9"/>
        <v>#N/A</v>
      </c>
      <c r="V18" t="e">
        <f t="shared" si="10"/>
        <v>#N/A</v>
      </c>
      <c r="W18" t="e">
        <f t="shared" si="11"/>
        <v>#N/A</v>
      </c>
      <c r="X18" t="e">
        <f t="shared" si="12"/>
        <v>#N/A</v>
      </c>
      <c r="Y18" t="e">
        <f t="shared" si="13"/>
        <v>#N/A</v>
      </c>
      <c r="Z18" t="e">
        <f t="shared" si="14"/>
        <v>#N/A</v>
      </c>
      <c r="AA18" t="e">
        <f t="shared" si="15"/>
        <v>#N/A</v>
      </c>
      <c r="AB18" t="e">
        <f t="shared" si="16"/>
        <v>#N/A</v>
      </c>
      <c r="AC18" t="e">
        <f t="shared" si="17"/>
        <v>#N/A</v>
      </c>
      <c r="AD18" t="e">
        <f t="shared" si="18"/>
        <v>#N/A</v>
      </c>
      <c r="AE18" t="e">
        <f t="shared" si="19"/>
        <v>#N/A</v>
      </c>
      <c r="AF18" t="e">
        <f t="shared" si="20"/>
        <v>#N/A</v>
      </c>
      <c r="AG18" t="e">
        <f t="shared" si="21"/>
        <v>#N/A</v>
      </c>
      <c r="AH18" t="e">
        <f t="shared" si="22"/>
        <v>#N/A</v>
      </c>
      <c r="AI18" t="e">
        <f t="shared" si="23"/>
        <v>#N/A</v>
      </c>
      <c r="AJ18" t="e">
        <f t="shared" si="24"/>
        <v>#N/A</v>
      </c>
    </row>
    <row r="19">
      <c r="A19" s="2" t="n">
        <v>43617</v>
      </c>
      <c r="B19" t="n">
        <v>604726</v>
      </c>
      <c r="C19" t="n">
        <v>316413</v>
      </c>
      <c r="D19" t="n">
        <v>114.9</v>
      </c>
      <c r="E19" t="n">
        <v>12793.659652</v>
      </c>
      <c r="F19" t="n">
        <v>4003510.6395793</v>
      </c>
      <c r="G19" t="n">
        <v>0.0522382976142941</v>
      </c>
      <c r="H19" t="n">
        <v>0.657779</v>
      </c>
      <c r="I19" t="n">
        <v>0.015033</v>
      </c>
      <c r="J19" t="n">
        <v>0.0163533333333333</v>
      </c>
      <c r="K19" t="s">
        <v>178</v>
      </c>
      <c r="L19" t="e">
        <f t="shared" si="0"/>
        <v>#N/A</v>
      </c>
      <c r="M19" t="e">
        <f t="shared" si="1"/>
        <v>#N/A</v>
      </c>
      <c r="N19" t="e">
        <f t="shared" si="2"/>
        <v>#N/A</v>
      </c>
      <c r="O19" t="n">
        <f t="shared" si="3"/>
        <v>0</v>
      </c>
      <c r="P19" t="n">
        <f t="shared" si="4"/>
        <v>0</v>
      </c>
      <c r="Q19" t="n">
        <f t="shared" si="5"/>
        <v>0</v>
      </c>
      <c r="R19" t="n">
        <f t="shared" si="6"/>
        <v>0</v>
      </c>
      <c r="S19" t="e">
        <f t="shared" si="7"/>
        <v>#N/A</v>
      </c>
      <c r="T19" t="e">
        <f t="shared" si="8"/>
        <v>#N/A</v>
      </c>
      <c r="U19" t="e">
        <f t="shared" si="9"/>
        <v>#N/A</v>
      </c>
      <c r="V19" t="e">
        <f t="shared" si="10"/>
        <v>#N/A</v>
      </c>
      <c r="W19" t="e">
        <f t="shared" si="11"/>
        <v>#N/A</v>
      </c>
      <c r="X19" t="e">
        <f t="shared" si="12"/>
        <v>#N/A</v>
      </c>
      <c r="Y19" t="e">
        <f t="shared" si="13"/>
        <v>#N/A</v>
      </c>
      <c r="Z19" t="e">
        <f t="shared" si="14"/>
        <v>#N/A</v>
      </c>
      <c r="AA19" t="e">
        <f t="shared" si="15"/>
        <v>#N/A</v>
      </c>
      <c r="AB19" t="e">
        <f t="shared" si="16"/>
        <v>#N/A</v>
      </c>
      <c r="AC19" t="e">
        <f t="shared" si="17"/>
        <v>#N/A</v>
      </c>
      <c r="AD19" t="e">
        <f t="shared" si="18"/>
        <v>#N/A</v>
      </c>
      <c r="AE19" t="e">
        <f t="shared" si="19"/>
        <v>#N/A</v>
      </c>
      <c r="AF19" t="e">
        <f t="shared" si="20"/>
        <v>#N/A</v>
      </c>
      <c r="AG19" t="e">
        <f t="shared" si="21"/>
        <v>#N/A</v>
      </c>
      <c r="AH19" t="e">
        <f t="shared" si="22"/>
        <v>#N/A</v>
      </c>
      <c r="AI19" t="e">
        <f t="shared" si="23"/>
        <v>#N/A</v>
      </c>
      <c r="AJ19" t="e">
        <f t="shared" si="24"/>
        <v>#N/A</v>
      </c>
    </row>
    <row r="20">
      <c r="A20" s="2" t="n">
        <v>43709</v>
      </c>
      <c r="B20" t="n">
        <v>608257</v>
      </c>
      <c r="C20" t="n">
        <v>315922</v>
      </c>
      <c r="D20" t="n">
        <v>115.4</v>
      </c>
      <c r="E20" t="n">
        <v>12874.640957</v>
      </c>
      <c r="F20" t="n">
        <v>4025581.10808277</v>
      </c>
      <c r="G20" t="n">
        <v>0.0525426238659941</v>
      </c>
      <c r="H20" t="n">
        <v>0.659533</v>
      </c>
      <c r="I20" t="n">
        <v>0.010233</v>
      </c>
      <c r="J20" t="n">
        <v>0.0110466666666667</v>
      </c>
      <c r="K20" t="s">
        <v>178</v>
      </c>
      <c r="L20" t="e">
        <f t="shared" si="0"/>
        <v>#N/A</v>
      </c>
      <c r="M20" t="e">
        <f t="shared" si="1"/>
        <v>#N/A</v>
      </c>
      <c r="N20" t="e">
        <f t="shared" si="2"/>
        <v>#N/A</v>
      </c>
      <c r="O20" t="n">
        <f t="shared" si="3"/>
        <v>0</v>
      </c>
      <c r="P20" t="n">
        <f t="shared" si="4"/>
        <v>0</v>
      </c>
      <c r="Q20" t="n">
        <f t="shared" si="5"/>
        <v>0</v>
      </c>
      <c r="R20" t="n">
        <f t="shared" si="6"/>
        <v>0</v>
      </c>
      <c r="S20" t="e">
        <f t="shared" si="7"/>
        <v>#N/A</v>
      </c>
      <c r="T20" t="e">
        <f t="shared" si="8"/>
        <v>#N/A</v>
      </c>
      <c r="U20" t="e">
        <f t="shared" si="9"/>
        <v>#N/A</v>
      </c>
      <c r="V20" t="e">
        <f t="shared" si="10"/>
        <v>#N/A</v>
      </c>
      <c r="W20" t="e">
        <f t="shared" si="11"/>
        <v>#N/A</v>
      </c>
      <c r="X20" t="e">
        <f t="shared" si="12"/>
        <v>#N/A</v>
      </c>
      <c r="Y20" t="e">
        <f t="shared" si="13"/>
        <v>#N/A</v>
      </c>
      <c r="Z20" t="e">
        <f t="shared" si="14"/>
        <v>#N/A</v>
      </c>
      <c r="AA20" t="e">
        <f t="shared" si="15"/>
        <v>#N/A</v>
      </c>
      <c r="AB20" t="e">
        <f t="shared" si="16"/>
        <v>#N/A</v>
      </c>
      <c r="AC20" t="e">
        <f t="shared" si="17"/>
        <v>#N/A</v>
      </c>
      <c r="AD20" t="e">
        <f t="shared" si="18"/>
        <v>#N/A</v>
      </c>
      <c r="AE20" t="e">
        <f t="shared" si="19"/>
        <v>#N/A</v>
      </c>
      <c r="AF20" t="e">
        <f t="shared" si="20"/>
        <v>#N/A</v>
      </c>
      <c r="AG20" t="e">
        <f t="shared" si="21"/>
        <v>#N/A</v>
      </c>
      <c r="AH20" t="e">
        <f t="shared" si="22"/>
        <v>#N/A</v>
      </c>
      <c r="AI20" t="e">
        <f t="shared" si="23"/>
        <v>#N/A</v>
      </c>
      <c r="AJ20" t="e">
        <f t="shared" si="24"/>
        <v>#N/A</v>
      </c>
    </row>
    <row r="21">
      <c r="A21" s="2" t="n">
        <v>43800</v>
      </c>
      <c r="B21" t="n">
        <v>611850</v>
      </c>
      <c r="C21" t="n">
        <v>316940</v>
      </c>
      <c r="D21" t="n">
        <v>116.1</v>
      </c>
      <c r="E21" t="n">
        <v>12884.316473</v>
      </c>
      <c r="F21" t="n">
        <v>4021089.25625408</v>
      </c>
      <c r="G21" t="n">
        <v>0.0517266784772572</v>
      </c>
      <c r="H21" t="n">
        <v>0.656882</v>
      </c>
      <c r="I21" t="n">
        <v>0.008967</v>
      </c>
      <c r="J21" t="n">
        <v>0.0113033333333333</v>
      </c>
      <c r="K21" t="s">
        <v>178</v>
      </c>
      <c r="L21" t="e">
        <f t="shared" si="0"/>
        <v>#N/A</v>
      </c>
      <c r="M21" t="e">
        <f t="shared" si="1"/>
        <v>#N/A</v>
      </c>
      <c r="N21" t="e">
        <f t="shared" si="2"/>
        <v>#N/A</v>
      </c>
      <c r="O21" t="n">
        <f t="shared" si="3"/>
        <v>0</v>
      </c>
      <c r="P21" t="n">
        <f t="shared" si="4"/>
        <v>0</v>
      </c>
      <c r="Q21" t="n">
        <f t="shared" si="5"/>
        <v>0</v>
      </c>
      <c r="R21" t="n">
        <f t="shared" si="6"/>
        <v>0</v>
      </c>
      <c r="S21" t="e">
        <f t="shared" si="7"/>
        <v>#N/A</v>
      </c>
      <c r="T21" t="e">
        <f t="shared" si="8"/>
        <v>#N/A</v>
      </c>
      <c r="U21" t="e">
        <f t="shared" si="9"/>
        <v>#N/A</v>
      </c>
      <c r="V21" t="e">
        <f t="shared" si="10"/>
        <v>#N/A</v>
      </c>
      <c r="W21" t="e">
        <f t="shared" si="11"/>
        <v>#N/A</v>
      </c>
      <c r="X21" t="e">
        <f t="shared" si="12"/>
        <v>#N/A</v>
      </c>
      <c r="Y21" t="e">
        <f t="shared" si="13"/>
        <v>#N/A</v>
      </c>
      <c r="Z21" t="e">
        <f t="shared" si="14"/>
        <v>#N/A</v>
      </c>
      <c r="AA21" t="e">
        <f t="shared" si="15"/>
        <v>#N/A</v>
      </c>
      <c r="AB21" t="e">
        <f t="shared" si="16"/>
        <v>#N/A</v>
      </c>
      <c r="AC21" t="e">
        <f t="shared" si="17"/>
        <v>#N/A</v>
      </c>
      <c r="AD21" t="e">
        <f t="shared" si="18"/>
        <v>#N/A</v>
      </c>
      <c r="AE21" t="e">
        <f t="shared" si="19"/>
        <v>#N/A</v>
      </c>
      <c r="AF21" t="e">
        <f t="shared" si="20"/>
        <v>#N/A</v>
      </c>
      <c r="AG21" t="e">
        <f t="shared" si="21"/>
        <v>#N/A</v>
      </c>
      <c r="AH21" t="e">
        <f t="shared" si="22"/>
        <v>#N/A</v>
      </c>
      <c r="AI21" t="e">
        <f t="shared" si="23"/>
        <v>#N/A</v>
      </c>
      <c r="AJ21" t="e">
        <f t="shared" si="24"/>
        <v>#N/A</v>
      </c>
    </row>
    <row r="22">
      <c r="A22" s="2" t="n">
        <v>43891</v>
      </c>
      <c r="B22" t="n">
        <v>610510</v>
      </c>
      <c r="C22" t="n">
        <v>312729</v>
      </c>
      <c r="D22" t="n">
        <v>116.7</v>
      </c>
      <c r="E22" t="n">
        <v>12929.135971</v>
      </c>
      <c r="F22" t="n">
        <v>3959140.08962837</v>
      </c>
      <c r="G22" t="n">
        <v>0.0518602080022416</v>
      </c>
      <c r="H22" t="n">
        <v>0.656401</v>
      </c>
      <c r="I22" t="n">
        <v>0.0077</v>
      </c>
      <c r="J22" t="n">
        <v>0.01009</v>
      </c>
      <c r="K22" t="s">
        <v>178</v>
      </c>
      <c r="L22" t="e">
        <f t="shared" si="0"/>
        <v>#N/A</v>
      </c>
      <c r="M22" t="e">
        <f t="shared" si="1"/>
        <v>#N/A</v>
      </c>
      <c r="N22" t="e">
        <f t="shared" si="2"/>
        <v>#N/A</v>
      </c>
      <c r="O22" t="n">
        <f t="shared" si="3"/>
        <v>0</v>
      </c>
      <c r="P22" t="n">
        <f t="shared" si="4"/>
        <v>0</v>
      </c>
      <c r="Q22" t="n">
        <f t="shared" si="5"/>
        <v>0</v>
      </c>
      <c r="R22" t="n">
        <f t="shared" si="6"/>
        <v>0</v>
      </c>
      <c r="S22" t="e">
        <f t="shared" si="7"/>
        <v>#N/A</v>
      </c>
      <c r="T22" t="e">
        <f t="shared" si="8"/>
        <v>#N/A</v>
      </c>
      <c r="U22" t="e">
        <f t="shared" si="9"/>
        <v>#N/A</v>
      </c>
      <c r="V22" t="e">
        <f t="shared" si="10"/>
        <v>#N/A</v>
      </c>
      <c r="W22" t="e">
        <f t="shared" si="11"/>
        <v>#N/A</v>
      </c>
      <c r="X22" t="e">
        <f t="shared" si="12"/>
        <v>#N/A</v>
      </c>
      <c r="Y22" t="e">
        <f t="shared" si="13"/>
        <v>#N/A</v>
      </c>
      <c r="Z22" t="e">
        <f t="shared" si="14"/>
        <v>#N/A</v>
      </c>
      <c r="AA22" t="e">
        <f t="shared" si="15"/>
        <v>#N/A</v>
      </c>
      <c r="AB22" t="e">
        <f t="shared" si="16"/>
        <v>#N/A</v>
      </c>
      <c r="AC22" t="e">
        <f t="shared" si="17"/>
        <v>#N/A</v>
      </c>
      <c r="AD22" t="e">
        <f t="shared" si="18"/>
        <v>#N/A</v>
      </c>
      <c r="AE22" t="e">
        <f t="shared" si="19"/>
        <v>#N/A</v>
      </c>
      <c r="AF22" t="e">
        <f t="shared" si="20"/>
        <v>#N/A</v>
      </c>
      <c r="AG22" t="e">
        <f t="shared" si="21"/>
        <v>#N/A</v>
      </c>
      <c r="AH22" t="e">
        <f t="shared" si="22"/>
        <v>#N/A</v>
      </c>
      <c r="AI22" t="e">
        <f t="shared" si="23"/>
        <v>#N/A</v>
      </c>
      <c r="AJ22" t="e">
        <f t="shared" si="24"/>
        <v>#N/A</v>
      </c>
    </row>
    <row r="23">
      <c r="A23" s="2" t="n">
        <v>43983</v>
      </c>
      <c r="B23" t="n">
        <v>569344</v>
      </c>
      <c r="C23" t="n">
        <v>272877</v>
      </c>
      <c r="D23" t="n">
        <v>114.5</v>
      </c>
      <c r="E23" t="n">
        <v>12225.515873</v>
      </c>
      <c r="F23" t="n">
        <v>3534557.67160583</v>
      </c>
      <c r="G23" t="n">
        <v>0.0690281934928773</v>
      </c>
      <c r="H23" t="n">
        <v>0.630689</v>
      </c>
      <c r="I23" t="n">
        <v>0.001233</v>
      </c>
      <c r="J23" t="n">
        <v>0.00895</v>
      </c>
      <c r="K23" t="s">
        <v>178</v>
      </c>
      <c r="L23" t="e">
        <f t="shared" si="0"/>
        <v>#N/A</v>
      </c>
      <c r="M23" t="e">
        <f t="shared" si="1"/>
        <v>#N/A</v>
      </c>
      <c r="N23" t="e">
        <f t="shared" si="2"/>
        <v>#N/A</v>
      </c>
      <c r="O23" t="n">
        <f t="shared" si="3"/>
        <v>0</v>
      </c>
      <c r="P23" t="n">
        <f t="shared" si="4"/>
        <v>0</v>
      </c>
      <c r="Q23" t="n">
        <f t="shared" si="5"/>
        <v>0</v>
      </c>
      <c r="R23" t="n">
        <f t="shared" si="6"/>
        <v>0</v>
      </c>
      <c r="S23" t="e">
        <f t="shared" si="7"/>
        <v>#N/A</v>
      </c>
      <c r="T23" t="e">
        <f t="shared" si="8"/>
        <v>#N/A</v>
      </c>
      <c r="U23" t="e">
        <f t="shared" si="9"/>
        <v>#N/A</v>
      </c>
      <c r="V23" t="e">
        <f t="shared" si="10"/>
        <v>#N/A</v>
      </c>
      <c r="W23" t="e">
        <f t="shared" si="11"/>
        <v>#N/A</v>
      </c>
      <c r="X23" t="e">
        <f t="shared" si="12"/>
        <v>#N/A</v>
      </c>
      <c r="Y23" t="e">
        <f t="shared" si="13"/>
        <v>#N/A</v>
      </c>
      <c r="Z23" t="e">
        <f t="shared" si="14"/>
        <v>#N/A</v>
      </c>
      <c r="AA23" t="e">
        <f t="shared" si="15"/>
        <v>#N/A</v>
      </c>
      <c r="AB23" t="e">
        <f t="shared" si="16"/>
        <v>#N/A</v>
      </c>
      <c r="AC23" t="e">
        <f t="shared" si="17"/>
        <v>#N/A</v>
      </c>
      <c r="AD23" t="e">
        <f t="shared" si="18"/>
        <v>#N/A</v>
      </c>
      <c r="AE23" t="e">
        <f t="shared" si="19"/>
        <v>#N/A</v>
      </c>
      <c r="AF23" t="e">
        <f t="shared" si="20"/>
        <v>#N/A</v>
      </c>
      <c r="AG23" t="e">
        <f t="shared" si="21"/>
        <v>#N/A</v>
      </c>
      <c r="AH23" t="e">
        <f t="shared" si="22"/>
        <v>#N/A</v>
      </c>
      <c r="AI23" t="e">
        <f t="shared" si="23"/>
        <v>#N/A</v>
      </c>
      <c r="AJ23" t="e">
        <f t="shared" si="24"/>
        <v>#N/A</v>
      </c>
    </row>
    <row r="24">
      <c r="A24" s="2" t="n">
        <v>44075</v>
      </c>
      <c r="B24" t="n">
        <v>589128</v>
      </c>
      <c r="C24" t="n">
        <v>293617</v>
      </c>
      <c r="D24" t="n">
        <v>116.2</v>
      </c>
      <c r="E24" t="n">
        <v>12496.494381</v>
      </c>
      <c r="F24" t="n">
        <v>3735643.44120986</v>
      </c>
      <c r="G24" t="n">
        <v>0.0705323842145587</v>
      </c>
      <c r="H24" t="n">
        <v>0.645676</v>
      </c>
      <c r="I24" t="n">
        <v>0.000967</v>
      </c>
      <c r="J24" t="n">
        <v>0.00898666666666667</v>
      </c>
      <c r="K24" t="s">
        <v>178</v>
      </c>
      <c r="L24" t="e">
        <f t="shared" si="0"/>
        <v>#N/A</v>
      </c>
      <c r="M24" t="e">
        <f t="shared" si="1"/>
        <v>#N/A</v>
      </c>
      <c r="N24" t="e">
        <f t="shared" si="2"/>
        <v>#N/A</v>
      </c>
      <c r="O24" t="n">
        <f t="shared" si="3"/>
        <v>0</v>
      </c>
      <c r="P24" t="n">
        <f t="shared" si="4"/>
        <v>0</v>
      </c>
      <c r="Q24" t="n">
        <f t="shared" si="5"/>
        <v>0</v>
      </c>
      <c r="R24" t="n">
        <f t="shared" si="6"/>
        <v>0</v>
      </c>
      <c r="S24" t="e">
        <f t="shared" si="7"/>
        <v>#N/A</v>
      </c>
      <c r="T24" t="e">
        <f t="shared" si="8"/>
        <v>#N/A</v>
      </c>
      <c r="U24" t="e">
        <f t="shared" si="9"/>
        <v>#N/A</v>
      </c>
      <c r="V24" t="e">
        <f t="shared" si="10"/>
        <v>#N/A</v>
      </c>
      <c r="W24" t="e">
        <f t="shared" si="11"/>
        <v>#N/A</v>
      </c>
      <c r="X24" t="e">
        <f t="shared" si="12"/>
        <v>#N/A</v>
      </c>
      <c r="Y24" t="e">
        <f t="shared" si="13"/>
        <v>#N/A</v>
      </c>
      <c r="Z24" t="e">
        <f t="shared" si="14"/>
        <v>#N/A</v>
      </c>
      <c r="AA24" t="e">
        <f t="shared" si="15"/>
        <v>#N/A</v>
      </c>
      <c r="AB24" t="e">
        <f t="shared" si="16"/>
        <v>#N/A</v>
      </c>
      <c r="AC24" t="e">
        <f t="shared" si="17"/>
        <v>#N/A</v>
      </c>
      <c r="AD24" t="e">
        <f t="shared" si="18"/>
        <v>#N/A</v>
      </c>
      <c r="AE24" t="e">
        <f t="shared" si="19"/>
        <v>#N/A</v>
      </c>
      <c r="AF24" t="e">
        <f t="shared" si="20"/>
        <v>#N/A</v>
      </c>
      <c r="AG24" t="e">
        <f t="shared" si="21"/>
        <v>#N/A</v>
      </c>
      <c r="AH24" t="e">
        <f t="shared" si="22"/>
        <v>#N/A</v>
      </c>
      <c r="AI24" t="e">
        <f t="shared" si="23"/>
        <v>#N/A</v>
      </c>
      <c r="AJ24" t="e">
        <f t="shared" si="24"/>
        <v>#N/A</v>
      </c>
    </row>
    <row r="25">
      <c r="A25" s="2" t="n">
        <v>44166</v>
      </c>
      <c r="B25" t="n">
        <v>609184</v>
      </c>
      <c r="C25" t="n">
        <v>307188</v>
      </c>
      <c r="D25" t="n">
        <v>117.2</v>
      </c>
      <c r="E25" t="n">
        <v>12733.051407</v>
      </c>
      <c r="F25" t="n">
        <v>3862619.7083979</v>
      </c>
      <c r="G25" t="n">
        <v>0.0677508883121203</v>
      </c>
      <c r="H25" t="n">
        <v>0.655935</v>
      </c>
      <c r="I25" t="n">
        <v>0.000367</v>
      </c>
      <c r="J25" t="n">
        <v>0.00878</v>
      </c>
      <c r="K25" t="s">
        <v>178</v>
      </c>
      <c r="L25" t="e">
        <f t="shared" si="0"/>
        <v>#N/A</v>
      </c>
      <c r="M25" t="e">
        <f t="shared" si="1"/>
        <v>#N/A</v>
      </c>
      <c r="N25" t="e">
        <f t="shared" si="2"/>
        <v>#N/A</v>
      </c>
      <c r="O25" t="n">
        <f t="shared" si="3"/>
        <v>0</v>
      </c>
      <c r="P25" t="n">
        <f t="shared" si="4"/>
        <v>0</v>
      </c>
      <c r="Q25" t="n">
        <f t="shared" si="5"/>
        <v>0</v>
      </c>
      <c r="R25" t="n">
        <f t="shared" si="6"/>
        <v>0</v>
      </c>
      <c r="S25" t="e">
        <f t="shared" si="7"/>
        <v>#N/A</v>
      </c>
      <c r="T25" t="e">
        <f t="shared" si="8"/>
        <v>#N/A</v>
      </c>
      <c r="U25" t="e">
        <f t="shared" si="9"/>
        <v>#N/A</v>
      </c>
      <c r="V25" t="e">
        <f t="shared" si="10"/>
        <v>#N/A</v>
      </c>
      <c r="W25" t="e">
        <f t="shared" si="11"/>
        <v>#N/A</v>
      </c>
      <c r="X25" t="e">
        <f t="shared" si="12"/>
        <v>#N/A</v>
      </c>
      <c r="Y25" t="e">
        <f t="shared" si="13"/>
        <v>#N/A</v>
      </c>
      <c r="Z25" t="e">
        <f t="shared" si="14"/>
        <v>#N/A</v>
      </c>
      <c r="AA25" t="e">
        <f t="shared" si="15"/>
        <v>#N/A</v>
      </c>
      <c r="AB25" t="e">
        <f t="shared" si="16"/>
        <v>#N/A</v>
      </c>
      <c r="AC25" t="e">
        <f t="shared" si="17"/>
        <v>#N/A</v>
      </c>
      <c r="AD25" t="e">
        <f t="shared" si="18"/>
        <v>#N/A</v>
      </c>
      <c r="AE25" t="e">
        <f t="shared" si="19"/>
        <v>#N/A</v>
      </c>
      <c r="AF25" t="e">
        <f t="shared" si="20"/>
        <v>#N/A</v>
      </c>
      <c r="AG25" t="e">
        <f t="shared" si="21"/>
        <v>#N/A</v>
      </c>
      <c r="AH25" t="e">
        <f t="shared" si="22"/>
        <v>#N/A</v>
      </c>
      <c r="AI25" t="e">
        <f t="shared" si="23"/>
        <v>#N/A</v>
      </c>
      <c r="AJ25" t="e">
        <f t="shared" si="24"/>
        <v>#N/A</v>
      </c>
    </row>
    <row r="26">
      <c r="A26" s="2" t="n">
        <v>44256</v>
      </c>
      <c r="B26" t="n">
        <v>622355</v>
      </c>
      <c r="C26" t="n">
        <v>311619</v>
      </c>
      <c r="D26" t="n">
        <v>117.8</v>
      </c>
      <c r="E26" t="n">
        <v>12895.861091</v>
      </c>
      <c r="F26" t="n">
        <v>3903028.8998349</v>
      </c>
      <c r="G26" t="n">
        <v>0.0593127498965818</v>
      </c>
      <c r="H26" t="n">
        <v>0.657915</v>
      </c>
      <c r="I26" t="n">
        <v>0.000167</v>
      </c>
      <c r="J26" t="n">
        <v>0.0136466666666667</v>
      </c>
      <c r="K26" t="s">
        <v>178</v>
      </c>
      <c r="L26" t="e">
        <f t="shared" si="0"/>
        <v>#N/A</v>
      </c>
      <c r="M26" t="e">
        <f t="shared" si="1"/>
        <v>#N/A</v>
      </c>
      <c r="N26" t="e">
        <f t="shared" si="2"/>
        <v>#N/A</v>
      </c>
      <c r="O26" t="n">
        <f t="shared" si="3"/>
        <v>0</v>
      </c>
      <c r="P26" t="n">
        <f t="shared" si="4"/>
        <v>0</v>
      </c>
      <c r="Q26" t="n">
        <f t="shared" si="5"/>
        <v>0</v>
      </c>
      <c r="R26" t="n">
        <f t="shared" si="6"/>
        <v>0</v>
      </c>
      <c r="S26" t="e">
        <f t="shared" si="7"/>
        <v>#N/A</v>
      </c>
      <c r="T26" t="e">
        <f t="shared" si="8"/>
        <v>#N/A</v>
      </c>
      <c r="U26" t="e">
        <f t="shared" si="9"/>
        <v>#N/A</v>
      </c>
      <c r="V26" t="e">
        <f t="shared" si="10"/>
        <v>#N/A</v>
      </c>
      <c r="W26" t="e">
        <f t="shared" si="11"/>
        <v>#N/A</v>
      </c>
      <c r="X26" t="e">
        <f t="shared" si="12"/>
        <v>#N/A</v>
      </c>
      <c r="Y26" t="e">
        <f t="shared" si="13"/>
        <v>#N/A</v>
      </c>
      <c r="Z26" t="e">
        <f t="shared" si="14"/>
        <v>#N/A</v>
      </c>
      <c r="AA26" t="e">
        <f t="shared" si="15"/>
        <v>#N/A</v>
      </c>
      <c r="AB26" t="e">
        <f t="shared" si="16"/>
        <v>#N/A</v>
      </c>
      <c r="AC26" t="e">
        <f t="shared" si="17"/>
        <v>#N/A</v>
      </c>
      <c r="AD26" t="e">
        <f t="shared" si="18"/>
        <v>#N/A</v>
      </c>
      <c r="AE26" t="e">
        <f t="shared" si="19"/>
        <v>#N/A</v>
      </c>
      <c r="AF26" t="e">
        <f t="shared" si="20"/>
        <v>#N/A</v>
      </c>
      <c r="AG26" t="e">
        <f t="shared" si="21"/>
        <v>#N/A</v>
      </c>
      <c r="AH26" t="e">
        <f t="shared" si="22"/>
        <v>#N/A</v>
      </c>
      <c r="AI26" t="e">
        <f t="shared" si="23"/>
        <v>#N/A</v>
      </c>
      <c r="AJ26" t="e">
        <f t="shared" si="24"/>
        <v>#N/A</v>
      </c>
    </row>
    <row r="27">
      <c r="A27" s="2" t="n">
        <v>44348</v>
      </c>
      <c r="B27" t="n">
        <v>627461</v>
      </c>
      <c r="C27" t="n">
        <v>314822</v>
      </c>
      <c r="D27" t="n">
        <v>118.8</v>
      </c>
      <c r="E27" t="n">
        <v>13014.420581</v>
      </c>
      <c r="F27" t="n">
        <v>3982844.10540793</v>
      </c>
      <c r="G27" t="n">
        <v>0.0519670410869772</v>
      </c>
      <c r="H27" t="n">
        <v>0.657996</v>
      </c>
      <c r="I27" t="n">
        <v>0.000367</v>
      </c>
      <c r="J27" t="n">
        <v>0.0162233333333333</v>
      </c>
      <c r="K27" t="s">
        <v>178</v>
      </c>
      <c r="L27" t="e">
        <f t="shared" si="0"/>
        <v>#N/A</v>
      </c>
      <c r="M27" t="e">
        <f t="shared" si="1"/>
        <v>#N/A</v>
      </c>
      <c r="N27" t="e">
        <f t="shared" si="2"/>
        <v>#N/A</v>
      </c>
      <c r="O27" t="n">
        <f t="shared" si="3"/>
        <v>0</v>
      </c>
      <c r="P27" t="n">
        <f t="shared" si="4"/>
        <v>0</v>
      </c>
      <c r="Q27" t="n">
        <f t="shared" si="5"/>
        <v>0</v>
      </c>
      <c r="R27" t="n">
        <f t="shared" si="6"/>
        <v>0</v>
      </c>
      <c r="S27" t="e">
        <f t="shared" si="7"/>
        <v>#N/A</v>
      </c>
      <c r="T27" t="e">
        <f t="shared" si="8"/>
        <v>#N/A</v>
      </c>
      <c r="U27" t="e">
        <f t="shared" si="9"/>
        <v>#N/A</v>
      </c>
      <c r="V27" t="e">
        <f t="shared" si="10"/>
        <v>#N/A</v>
      </c>
      <c r="W27" t="e">
        <f t="shared" si="11"/>
        <v>#N/A</v>
      </c>
      <c r="X27" t="e">
        <f t="shared" si="12"/>
        <v>#N/A</v>
      </c>
      <c r="Y27" t="e">
        <f t="shared" si="13"/>
        <v>#N/A</v>
      </c>
      <c r="Z27" t="e">
        <f t="shared" si="14"/>
        <v>#N/A</v>
      </c>
      <c r="AA27" t="e">
        <f t="shared" si="15"/>
        <v>#N/A</v>
      </c>
      <c r="AB27" t="e">
        <f t="shared" si="16"/>
        <v>#N/A</v>
      </c>
      <c r="AC27" t="e">
        <f t="shared" si="17"/>
        <v>#N/A</v>
      </c>
      <c r="AD27" t="e">
        <f t="shared" si="18"/>
        <v>#N/A</v>
      </c>
      <c r="AE27" t="e">
        <f t="shared" si="19"/>
        <v>#N/A</v>
      </c>
      <c r="AF27" t="e">
        <f t="shared" si="20"/>
        <v>#N/A</v>
      </c>
      <c r="AG27" t="e">
        <f t="shared" si="21"/>
        <v>#N/A</v>
      </c>
      <c r="AH27" t="e">
        <f t="shared" si="22"/>
        <v>#N/A</v>
      </c>
      <c r="AI27" t="e">
        <f t="shared" si="23"/>
        <v>#N/A</v>
      </c>
      <c r="AJ27" t="e">
        <f t="shared" si="24"/>
        <v>#N/A</v>
      </c>
    </row>
    <row r="28">
      <c r="A28" s="2" t="n">
        <v>44440</v>
      </c>
      <c r="B28" t="n">
        <v>616714</v>
      </c>
      <c r="C28" t="n">
        <v>300006</v>
      </c>
      <c r="D28" t="n">
        <v>119.7</v>
      </c>
      <c r="E28" t="n">
        <v>12955.356707</v>
      </c>
      <c r="F28" t="n">
        <v>3826670.36287593</v>
      </c>
      <c r="G28" t="n">
        <v>0.0466852634326635</v>
      </c>
      <c r="H28" t="n">
        <v>0.650655</v>
      </c>
      <c r="I28" t="n">
        <v>0.000133</v>
      </c>
      <c r="J28" t="n">
        <v>0.0122366666666667</v>
      </c>
      <c r="K28" t="s">
        <v>178</v>
      </c>
      <c r="L28" t="e">
        <f t="shared" si="0"/>
        <v>#N/A</v>
      </c>
      <c r="M28" t="e">
        <f t="shared" si="1"/>
        <v>#N/A</v>
      </c>
      <c r="N28" t="e">
        <f t="shared" si="2"/>
        <v>#N/A</v>
      </c>
      <c r="O28" t="n">
        <f t="shared" si="3"/>
        <v>0</v>
      </c>
      <c r="P28" t="n">
        <f t="shared" si="4"/>
        <v>0</v>
      </c>
      <c r="Q28" t="n">
        <f t="shared" si="5"/>
        <v>0</v>
      </c>
      <c r="R28" t="n">
        <f t="shared" si="6"/>
        <v>0</v>
      </c>
      <c r="S28" t="e">
        <f t="shared" si="7"/>
        <v>#N/A</v>
      </c>
      <c r="T28" t="e">
        <f t="shared" si="8"/>
        <v>#N/A</v>
      </c>
      <c r="U28" t="e">
        <f t="shared" si="9"/>
        <v>#N/A</v>
      </c>
      <c r="V28" t="e">
        <f t="shared" si="10"/>
        <v>#N/A</v>
      </c>
      <c r="W28" t="e">
        <f t="shared" si="11"/>
        <v>#N/A</v>
      </c>
      <c r="X28" t="e">
        <f t="shared" si="12"/>
        <v>#N/A</v>
      </c>
      <c r="Y28" t="e">
        <f t="shared" si="13"/>
        <v>#N/A</v>
      </c>
      <c r="Z28" t="e">
        <f t="shared" si="14"/>
        <v>#N/A</v>
      </c>
      <c r="AA28" t="e">
        <f t="shared" si="15"/>
        <v>#N/A</v>
      </c>
      <c r="AB28" t="e">
        <f t="shared" si="16"/>
        <v>#N/A</v>
      </c>
      <c r="AC28" t="e">
        <f t="shared" si="17"/>
        <v>#N/A</v>
      </c>
      <c r="AD28" t="e">
        <f t="shared" si="18"/>
        <v>#N/A</v>
      </c>
      <c r="AE28" t="e">
        <f t="shared" si="19"/>
        <v>#N/A</v>
      </c>
      <c r="AF28" t="e">
        <f t="shared" si="20"/>
        <v>#N/A</v>
      </c>
      <c r="AG28" t="e">
        <f t="shared" si="21"/>
        <v>#N/A</v>
      </c>
      <c r="AH28" t="e">
        <f t="shared" si="22"/>
        <v>#N/A</v>
      </c>
      <c r="AI28" t="e">
        <f t="shared" si="23"/>
        <v>#N/A</v>
      </c>
      <c r="AJ28" t="e">
        <f t="shared" si="24"/>
        <v>#N/A</v>
      </c>
    </row>
    <row r="29">
      <c r="A29" s="2" t="n">
        <v>44531</v>
      </c>
      <c r="B29" t="n">
        <v>639091</v>
      </c>
      <c r="C29" t="n">
        <v>319366</v>
      </c>
      <c r="D29" t="n">
        <v>121.4</v>
      </c>
      <c r="E29" t="n">
        <v>13050.07785</v>
      </c>
      <c r="F29" t="n">
        <v>3941634.6613706</v>
      </c>
      <c r="G29" t="n">
        <v>0.0469089134968146</v>
      </c>
      <c r="H29" t="n">
        <v>0.653976</v>
      </c>
      <c r="I29" t="n">
        <v>0.000467</v>
      </c>
      <c r="J29" t="n">
        <v>0.0170833333333333</v>
      </c>
      <c r="K29" t="s">
        <v>178</v>
      </c>
      <c r="L29" t="e">
        <f t="shared" si="0"/>
        <v>#N/A</v>
      </c>
      <c r="M29" t="e">
        <f t="shared" si="1"/>
        <v>#N/A</v>
      </c>
      <c r="N29" t="e">
        <f t="shared" si="2"/>
        <v>#N/A</v>
      </c>
      <c r="O29" t="n">
        <f t="shared" si="3"/>
        <v>0</v>
      </c>
      <c r="P29" t="n">
        <f t="shared" si="4"/>
        <v>0</v>
      </c>
      <c r="Q29" t="n">
        <f t="shared" si="5"/>
        <v>0</v>
      </c>
      <c r="R29" t="n">
        <f t="shared" si="6"/>
        <v>0</v>
      </c>
      <c r="S29" t="e">
        <f t="shared" si="7"/>
        <v>#N/A</v>
      </c>
      <c r="T29" t="e">
        <f t="shared" si="8"/>
        <v>#N/A</v>
      </c>
      <c r="U29" t="e">
        <f t="shared" si="9"/>
        <v>#N/A</v>
      </c>
      <c r="V29" t="e">
        <f t="shared" si="10"/>
        <v>#N/A</v>
      </c>
      <c r="W29" t="e">
        <f t="shared" si="11"/>
        <v>#N/A</v>
      </c>
      <c r="X29" t="e">
        <f t="shared" si="12"/>
        <v>#N/A</v>
      </c>
      <c r="Y29" t="e">
        <f t="shared" si="13"/>
        <v>#N/A</v>
      </c>
      <c r="Z29" t="e">
        <f t="shared" si="14"/>
        <v>#N/A</v>
      </c>
      <c r="AA29" t="e">
        <f t="shared" si="15"/>
        <v>#N/A</v>
      </c>
      <c r="AB29" t="e">
        <f t="shared" si="16"/>
        <v>#N/A</v>
      </c>
      <c r="AC29" t="e">
        <f t="shared" si="17"/>
        <v>#N/A</v>
      </c>
      <c r="AD29" t="e">
        <f t="shared" si="18"/>
        <v>#N/A</v>
      </c>
      <c r="AE29" t="e">
        <f t="shared" si="19"/>
        <v>#N/A</v>
      </c>
      <c r="AF29" t="e">
        <f t="shared" si="20"/>
        <v>#N/A</v>
      </c>
      <c r="AG29" t="e">
        <f t="shared" si="21"/>
        <v>#N/A</v>
      </c>
      <c r="AH29" t="e">
        <f t="shared" si="22"/>
        <v>#N/A</v>
      </c>
      <c r="AI29" t="e">
        <f t="shared" si="23"/>
        <v>#N/A</v>
      </c>
      <c r="AJ29" t="e">
        <f t="shared" si="24"/>
        <v>#N/A</v>
      </c>
    </row>
    <row r="30">
      <c r="A30" s="2" t="n">
        <v>44621</v>
      </c>
      <c r="B30" t="n">
        <v>645027</v>
      </c>
      <c r="C30" t="n">
        <v>327173</v>
      </c>
      <c r="D30" t="n">
        <v>123.9</v>
      </c>
      <c r="E30" t="n">
        <v>13349.002641</v>
      </c>
      <c r="F30" t="n">
        <v>3949598.28210217</v>
      </c>
      <c r="G30" t="n">
        <v>0.0405919990569748</v>
      </c>
      <c r="H30" t="n">
        <v>0.661077</v>
      </c>
      <c r="I30" t="n">
        <v>0.001033</v>
      </c>
      <c r="J30" t="n">
        <v>0.0216633333333333</v>
      </c>
      <c r="K30" t="s">
        <v>178</v>
      </c>
      <c r="L30" t="e">
        <f t="shared" si="0"/>
        <v>#N/A</v>
      </c>
      <c r="M30" t="e">
        <f t="shared" si="1"/>
        <v>#N/A</v>
      </c>
      <c r="N30" t="e">
        <f t="shared" si="2"/>
        <v>#N/A</v>
      </c>
      <c r="O30" t="n">
        <f t="shared" si="3"/>
        <v>0</v>
      </c>
      <c r="P30" t="n">
        <f t="shared" si="4"/>
        <v>0</v>
      </c>
      <c r="Q30" t="n">
        <f t="shared" si="5"/>
        <v>0</v>
      </c>
      <c r="R30" t="n">
        <f t="shared" si="6"/>
        <v>0</v>
      </c>
      <c r="S30" t="e">
        <f t="shared" si="7"/>
        <v>#N/A</v>
      </c>
      <c r="T30" t="e">
        <f t="shared" si="8"/>
        <v>#N/A</v>
      </c>
      <c r="U30" t="e">
        <f t="shared" si="9"/>
        <v>#N/A</v>
      </c>
      <c r="V30" t="e">
        <f t="shared" si="10"/>
        <v>#N/A</v>
      </c>
      <c r="W30" t="e">
        <f t="shared" si="11"/>
        <v>#N/A</v>
      </c>
      <c r="X30" t="e">
        <f t="shared" si="12"/>
        <v>#N/A</v>
      </c>
      <c r="Y30" t="e">
        <f t="shared" si="13"/>
        <v>#N/A</v>
      </c>
      <c r="Z30" t="e">
        <f t="shared" si="14"/>
        <v>#N/A</v>
      </c>
      <c r="AA30" t="e">
        <f t="shared" si="15"/>
        <v>#N/A</v>
      </c>
      <c r="AB30" t="e">
        <f t="shared" si="16"/>
        <v>#N/A</v>
      </c>
      <c r="AC30" t="e">
        <f t="shared" si="17"/>
        <v>#N/A</v>
      </c>
      <c r="AD30" t="e">
        <f t="shared" si="18"/>
        <v>#N/A</v>
      </c>
      <c r="AE30" t="e">
        <f t="shared" si="19"/>
        <v>#N/A</v>
      </c>
      <c r="AF30" t="e">
        <f t="shared" si="20"/>
        <v>#N/A</v>
      </c>
      <c r="AG30" t="e">
        <f t="shared" si="21"/>
        <v>#N/A</v>
      </c>
      <c r="AH30" t="e">
        <f t="shared" si="22"/>
        <v>#N/A</v>
      </c>
      <c r="AI30" t="e">
        <f t="shared" si="23"/>
        <v>#N/A</v>
      </c>
      <c r="AJ30" t="e">
        <f t="shared" si="24"/>
        <v>#N/A</v>
      </c>
    </row>
    <row r="31">
      <c r="A31" s="2" t="n">
        <v>44713</v>
      </c>
      <c r="B31" t="n">
        <v>651417</v>
      </c>
      <c r="C31" t="n">
        <v>333484</v>
      </c>
      <c r="D31" t="n">
        <v>126.1</v>
      </c>
      <c r="E31" t="n">
        <v>13506.008714</v>
      </c>
      <c r="F31" t="n">
        <v>4112822.97651498</v>
      </c>
      <c r="G31" t="n">
        <v>0.0379588046758488</v>
      </c>
      <c r="H31" t="n">
        <v>0.663506</v>
      </c>
      <c r="I31" t="n">
        <v>0.010033</v>
      </c>
      <c r="J31" t="n">
        <v>0.0338533333333333</v>
      </c>
      <c r="K31" t="s">
        <v>178</v>
      </c>
      <c r="L31" t="e">
        <f t="shared" si="0"/>
        <v>#N/A</v>
      </c>
      <c r="M31" t="e">
        <f t="shared" si="1"/>
        <v>#N/A</v>
      </c>
      <c r="N31" t="e">
        <f t="shared" si="2"/>
        <v>#N/A</v>
      </c>
      <c r="O31" t="n">
        <f t="shared" si="3"/>
        <v>0</v>
      </c>
      <c r="P31" t="n">
        <f t="shared" si="4"/>
        <v>0</v>
      </c>
      <c r="Q31" t="n">
        <f t="shared" si="5"/>
        <v>0</v>
      </c>
      <c r="R31" t="n">
        <f t="shared" si="6"/>
        <v>0</v>
      </c>
      <c r="S31" t="e">
        <f t="shared" si="7"/>
        <v>#N/A</v>
      </c>
      <c r="T31" t="e">
        <f t="shared" si="8"/>
        <v>#N/A</v>
      </c>
      <c r="U31" t="e">
        <f t="shared" si="9"/>
        <v>#N/A</v>
      </c>
      <c r="V31" t="e">
        <f t="shared" si="10"/>
        <v>#N/A</v>
      </c>
      <c r="W31" t="e">
        <f t="shared" si="11"/>
        <v>#N/A</v>
      </c>
      <c r="X31" t="e">
        <f t="shared" si="12"/>
        <v>#N/A</v>
      </c>
      <c r="Y31" t="e">
        <f t="shared" si="13"/>
        <v>#N/A</v>
      </c>
      <c r="Z31" t="e">
        <f t="shared" si="14"/>
        <v>#N/A</v>
      </c>
      <c r="AA31" t="e">
        <f t="shared" si="15"/>
        <v>#N/A</v>
      </c>
      <c r="AB31" t="e">
        <f t="shared" si="16"/>
        <v>#N/A</v>
      </c>
      <c r="AC31" t="e">
        <f t="shared" si="17"/>
        <v>#N/A</v>
      </c>
      <c r="AD31" t="e">
        <f t="shared" si="18"/>
        <v>#N/A</v>
      </c>
      <c r="AE31" t="e">
        <f t="shared" si="19"/>
        <v>#N/A</v>
      </c>
      <c r="AF31" t="e">
        <f t="shared" si="20"/>
        <v>#N/A</v>
      </c>
      <c r="AG31" t="e">
        <f t="shared" si="21"/>
        <v>#N/A</v>
      </c>
      <c r="AH31" t="e">
        <f t="shared" si="22"/>
        <v>#N/A</v>
      </c>
      <c r="AI31" t="e">
        <f t="shared" si="23"/>
        <v>#N/A</v>
      </c>
      <c r="AJ31" t="e">
        <f t="shared" si="24"/>
        <v>#N/A</v>
      </c>
    </row>
    <row r="32">
      <c r="A32" s="2" t="n">
        <v>44805</v>
      </c>
      <c r="B32" t="n">
        <v>654547</v>
      </c>
      <c r="C32" t="n">
        <v>337055</v>
      </c>
      <c r="D32" t="n">
        <v>128.4</v>
      </c>
      <c r="E32" t="n">
        <v>13644.972892</v>
      </c>
      <c r="F32" t="n">
        <v>4178287.32615383</v>
      </c>
      <c r="G32" t="n">
        <v>0.0352684223454813</v>
      </c>
      <c r="H32" t="n">
        <v>0.664339</v>
      </c>
      <c r="I32" t="n">
        <v>0.0238</v>
      </c>
      <c r="J32" t="n">
        <v>0.0351233333333333</v>
      </c>
      <c r="K32" t="s">
        <v>178</v>
      </c>
      <c r="L32" t="e">
        <f t="shared" si="0"/>
        <v>#N/A</v>
      </c>
      <c r="M32" t="e">
        <f t="shared" si="1"/>
        <v>#N/A</v>
      </c>
      <c r="N32" t="e">
        <f t="shared" si="2"/>
        <v>#N/A</v>
      </c>
      <c r="O32" t="n">
        <f t="shared" si="3"/>
        <v>0</v>
      </c>
      <c r="P32" t="n">
        <f t="shared" si="4"/>
        <v>0</v>
      </c>
      <c r="Q32" t="n">
        <f t="shared" si="5"/>
        <v>0</v>
      </c>
      <c r="R32" t="n">
        <f t="shared" si="6"/>
        <v>0</v>
      </c>
      <c r="S32" t="e">
        <f t="shared" si="7"/>
        <v>#N/A</v>
      </c>
      <c r="T32" t="e">
        <f t="shared" si="8"/>
        <v>#N/A</v>
      </c>
      <c r="U32" t="e">
        <f t="shared" si="9"/>
        <v>#N/A</v>
      </c>
      <c r="V32" t="e">
        <f t="shared" si="10"/>
        <v>#N/A</v>
      </c>
      <c r="W32" t="e">
        <f t="shared" si="11"/>
        <v>#N/A</v>
      </c>
      <c r="X32" t="e">
        <f t="shared" si="12"/>
        <v>#N/A</v>
      </c>
      <c r="Y32" t="e">
        <f t="shared" si="13"/>
        <v>#N/A</v>
      </c>
      <c r="Z32" t="e">
        <f t="shared" si="14"/>
        <v>#N/A</v>
      </c>
      <c r="AA32" t="e">
        <f t="shared" si="15"/>
        <v>#N/A</v>
      </c>
      <c r="AB32" t="e">
        <f t="shared" si="16"/>
        <v>#N/A</v>
      </c>
      <c r="AC32" t="e">
        <f t="shared" si="17"/>
        <v>#N/A</v>
      </c>
      <c r="AD32" t="e">
        <f t="shared" si="18"/>
        <v>#N/A</v>
      </c>
      <c r="AE32" t="e">
        <f t="shared" si="19"/>
        <v>#N/A</v>
      </c>
      <c r="AF32" t="e">
        <f t="shared" si="20"/>
        <v>#N/A</v>
      </c>
      <c r="AG32" t="e">
        <f t="shared" si="21"/>
        <v>#N/A</v>
      </c>
      <c r="AH32" t="e">
        <f t="shared" si="22"/>
        <v>#N/A</v>
      </c>
      <c r="AI32" t="e">
        <f t="shared" si="23"/>
        <v>#N/A</v>
      </c>
      <c r="AJ32" t="e">
        <f t="shared" si="24"/>
        <v>#N/A</v>
      </c>
    </row>
    <row r="33">
      <c r="A33" s="2" t="n">
        <v>44896</v>
      </c>
      <c r="B33" t="n">
        <v>659948</v>
      </c>
      <c r="C33" t="n">
        <v>340288</v>
      </c>
      <c r="D33" t="n">
        <v>131</v>
      </c>
      <c r="E33" t="n">
        <v>13758.089693</v>
      </c>
      <c r="F33" t="n">
        <v>4259335.84565513</v>
      </c>
      <c r="G33" t="n">
        <v>0.0349457150685535</v>
      </c>
      <c r="H33" t="n">
        <v>0.665023</v>
      </c>
      <c r="I33" t="n">
        <v>0.0306</v>
      </c>
      <c r="J33" t="n">
        <v>0.03722</v>
      </c>
      <c r="K33" t="s">
        <v>178</v>
      </c>
      <c r="L33" t="e">
        <f t="shared" si="0"/>
        <v>#N/A</v>
      </c>
      <c r="M33" t="e">
        <f t="shared" si="1"/>
        <v>#N/A</v>
      </c>
      <c r="N33" t="e">
        <f t="shared" si="2"/>
        <v>#N/A</v>
      </c>
      <c r="O33" t="n">
        <f t="shared" si="3"/>
        <v>0</v>
      </c>
      <c r="P33" t="n">
        <f t="shared" si="4"/>
        <v>0</v>
      </c>
      <c r="Q33" t="n">
        <f t="shared" si="5"/>
        <v>0</v>
      </c>
      <c r="R33" t="n">
        <f t="shared" si="6"/>
        <v>0</v>
      </c>
      <c r="S33" t="e">
        <f t="shared" si="7"/>
        <v>#N/A</v>
      </c>
      <c r="T33" t="e">
        <f t="shared" si="8"/>
        <v>#N/A</v>
      </c>
      <c r="U33" t="e">
        <f t="shared" si="9"/>
        <v>#N/A</v>
      </c>
      <c r="V33" t="e">
        <f t="shared" si="10"/>
        <v>#N/A</v>
      </c>
      <c r="W33" t="e">
        <f t="shared" si="11"/>
        <v>#N/A</v>
      </c>
      <c r="X33" t="e">
        <f t="shared" si="12"/>
        <v>#N/A</v>
      </c>
      <c r="Y33" t="e">
        <f t="shared" si="13"/>
        <v>#N/A</v>
      </c>
      <c r="Z33" t="e">
        <f t="shared" si="14"/>
        <v>#N/A</v>
      </c>
      <c r="AA33" t="e">
        <f t="shared" si="15"/>
        <v>#N/A</v>
      </c>
      <c r="AB33" t="e">
        <f t="shared" si="16"/>
        <v>#N/A</v>
      </c>
      <c r="AC33" t="e">
        <f t="shared" si="17"/>
        <v>#N/A</v>
      </c>
      <c r="AD33" t="e">
        <f t="shared" si="18"/>
        <v>#N/A</v>
      </c>
      <c r="AE33" t="e">
        <f t="shared" si="19"/>
        <v>#N/A</v>
      </c>
      <c r="AF33" t="e">
        <f t="shared" si="20"/>
        <v>#N/A</v>
      </c>
      <c r="AG33" t="e">
        <f t="shared" si="21"/>
        <v>#N/A</v>
      </c>
      <c r="AH33" t="e">
        <f t="shared" si="22"/>
        <v>#N/A</v>
      </c>
      <c r="AI33" t="e">
        <f t="shared" si="23"/>
        <v>#N/A</v>
      </c>
      <c r="AJ33" t="e">
        <f t="shared" si="24"/>
        <v>#N/A</v>
      </c>
    </row>
    <row r="34">
      <c r="A34" s="2" t="n">
        <v>44986</v>
      </c>
      <c r="B34" t="n">
        <v>663102</v>
      </c>
      <c r="C34" t="n">
        <v>342730</v>
      </c>
      <c r="D34" t="n">
        <v>132.7</v>
      </c>
      <c r="E34" t="n">
        <v>13856.299855</v>
      </c>
      <c r="F34" t="n">
        <v>4276769.59044419</v>
      </c>
      <c r="G34" t="n">
        <v>0.0362092240928786</v>
      </c>
      <c r="H34" t="n">
        <v>0.665194</v>
      </c>
      <c r="I34" t="n">
        <v>0.034733</v>
      </c>
      <c r="J34" t="n">
        <v>0.0359133333333333</v>
      </c>
      <c r="K34" t="s">
        <v>178</v>
      </c>
      <c r="L34" t="e">
        <f t="shared" ref="L34:L65" si="25">IF(ROW()&lt;=5,NA(),IFERROR(100*(B34/INDEX(B:B,ROW()-4)-1),NA()))</f>
        <v>#N/A</v>
      </c>
      <c r="M34" t="e">
        <f t="shared" ref="M34:M65" si="26">IF(ROW()&lt;=5,NA(),IFERROR(100*(C34/INDEX(C:C,ROW()-4)-1),NA()))</f>
        <v>#N/A</v>
      </c>
      <c r="N34" t="e">
        <f t="shared" ref="N34:N65" si="27">IF(ROW()&lt;=5,NA(),IFERROR(100*(D34/INDEX(D:D,ROW()-4)-1),NA()))</f>
        <v>#N/A</v>
      </c>
      <c r="O34" t="n">
        <f t="shared" ref="O34:O65" si="28">100*G34</f>
        <v>0</v>
      </c>
      <c r="P34" t="n">
        <f t="shared" ref="P34:P65" si="29">100*H34</f>
        <v>0</v>
      </c>
      <c r="Q34" t="n">
        <f t="shared" ref="Q34:Q65" si="30">100*I34</f>
        <v>0</v>
      </c>
      <c r="R34" t="n">
        <f t="shared" ref="R34:R65" si="31">100*J34</f>
        <v>0</v>
      </c>
      <c r="S34" t="e">
        <f t="shared" ref="S34:S65" si="32">IFERROR(100*E34/INDEX(E:E,MATCH(DATE(2024,12,1),A:A,0)),NA())</f>
        <v>#N/A</v>
      </c>
      <c r="T34" t="e">
        <f t="shared" ref="T34:T65" si="33">IFERROR(100*F34/INDEX(F:F,MATCH(DATE(2024,12,1),A:A,0)),NA())</f>
        <v>#N/A</v>
      </c>
      <c r="U34" t="e">
        <f t="shared" ref="U34:U65" si="34">IF($K34="Actual",L34,NA())</f>
        <v>#N/A</v>
      </c>
      <c r="V34" t="e">
        <f t="shared" ref="V34:V65" si="35">IF($A34&gt;=DATE(2024,12,1),L34,NA())</f>
        <v>#N/A</v>
      </c>
      <c r="W34" t="e">
        <f t="shared" ref="W34:W65" si="36">IF($K34="Actual",M34,NA())</f>
        <v>#N/A</v>
      </c>
      <c r="X34" t="e">
        <f t="shared" ref="X34:X65" si="37">IF($A34&gt;=DATE(2024,12,1),M34,NA())</f>
        <v>#N/A</v>
      </c>
      <c r="Y34" t="e">
        <f t="shared" ref="Y34:Y65" si="38">IF($K34="Actual",S34,NA())</f>
        <v>#N/A</v>
      </c>
      <c r="Z34" t="e">
        <f t="shared" ref="Z34:Z65" si="39">IF($A34&gt;=DATE(2024,12,1),S34,NA())</f>
        <v>#N/A</v>
      </c>
      <c r="AA34" t="e">
        <f t="shared" ref="AA34:AA65" si="40">IF($K34="Actual",T34,NA())</f>
        <v>#N/A</v>
      </c>
      <c r="AB34" t="e">
        <f t="shared" ref="AB34:AB65" si="41">IF($A34&gt;=DATE(2024,12,1),T34,NA())</f>
        <v>#N/A</v>
      </c>
      <c r="AC34" t="e">
        <f t="shared" ref="AC34:AC65" si="42">IF($K34="Actual",O34,NA())</f>
        <v>#N/A</v>
      </c>
      <c r="AD34" t="e">
        <f t="shared" ref="AD34:AD65" si="43">IF($A34&gt;=DATE(2024,12,1),O34,NA())</f>
        <v>#N/A</v>
      </c>
      <c r="AE34" t="e">
        <f t="shared" ref="AE34:AE65" si="44">IF($K34="Actual",Q34,NA())</f>
        <v>#N/A</v>
      </c>
      <c r="AF34" t="e">
        <f t="shared" ref="AF34:AF65" si="45">IF($A34&gt;=DATE(2024,12,1),Q34,NA())</f>
        <v>#N/A</v>
      </c>
      <c r="AG34" t="e">
        <f t="shared" ref="AG34:AG65" si="46">IF($K34="Actual",R34,NA())</f>
        <v>#N/A</v>
      </c>
      <c r="AH34" t="e">
        <f t="shared" ref="AH34:AH65" si="47">IF($A34&gt;=DATE(2024,12,1),R34,NA())</f>
        <v>#N/A</v>
      </c>
      <c r="AI34" t="e">
        <f t="shared" ref="AI34:AI65" si="48">IF($K34="Actual",N34,NA())</f>
        <v>#N/A</v>
      </c>
      <c r="AJ34" t="e">
        <f t="shared" ref="AJ34:AJ65" si="49">IF($A34&gt;=DATE(2024,12,1),N34,NA())</f>
        <v>#N/A</v>
      </c>
    </row>
    <row r="35">
      <c r="A35" s="2" t="n">
        <v>45078</v>
      </c>
      <c r="B35" t="n">
        <v>666120</v>
      </c>
      <c r="C35" t="n">
        <v>344199</v>
      </c>
      <c r="D35" t="n">
        <v>133.8</v>
      </c>
      <c r="E35" t="n">
        <v>13991.100267</v>
      </c>
      <c r="F35" t="n">
        <v>4350284.54943123</v>
      </c>
      <c r="G35" t="n">
        <v>0.0359961860534151</v>
      </c>
      <c r="H35" t="n">
        <v>0.666657</v>
      </c>
      <c r="I35" t="n">
        <v>0.039367</v>
      </c>
      <c r="J35" t="n">
        <v>0.0358633333333333</v>
      </c>
      <c r="K35" t="s">
        <v>178</v>
      </c>
      <c r="L35" t="e">
        <f t="shared" si="25"/>
        <v>#N/A</v>
      </c>
      <c r="M35" t="e">
        <f t="shared" si="26"/>
        <v>#N/A</v>
      </c>
      <c r="N35" t="e">
        <f t="shared" si="27"/>
        <v>#N/A</v>
      </c>
      <c r="O35" t="n">
        <f t="shared" si="28"/>
        <v>0</v>
      </c>
      <c r="P35" t="n">
        <f t="shared" si="29"/>
        <v>0</v>
      </c>
      <c r="Q35" t="n">
        <f t="shared" si="30"/>
        <v>0</v>
      </c>
      <c r="R35" t="n">
        <f t="shared" si="31"/>
        <v>0</v>
      </c>
      <c r="S35" t="e">
        <f t="shared" si="32"/>
        <v>#N/A</v>
      </c>
      <c r="T35" t="e">
        <f t="shared" si="33"/>
        <v>#N/A</v>
      </c>
      <c r="U35" t="e">
        <f t="shared" si="34"/>
        <v>#N/A</v>
      </c>
      <c r="V35" t="e">
        <f t="shared" si="35"/>
        <v>#N/A</v>
      </c>
      <c r="W35" t="e">
        <f t="shared" si="36"/>
        <v>#N/A</v>
      </c>
      <c r="X35" t="e">
        <f t="shared" si="37"/>
        <v>#N/A</v>
      </c>
      <c r="Y35" t="e">
        <f t="shared" si="38"/>
        <v>#N/A</v>
      </c>
      <c r="Z35" t="e">
        <f t="shared" si="39"/>
        <v>#N/A</v>
      </c>
      <c r="AA35" t="e">
        <f t="shared" si="40"/>
        <v>#N/A</v>
      </c>
      <c r="AB35" t="e">
        <f t="shared" si="41"/>
        <v>#N/A</v>
      </c>
      <c r="AC35" t="e">
        <f t="shared" si="42"/>
        <v>#N/A</v>
      </c>
      <c r="AD35" t="e">
        <f t="shared" si="43"/>
        <v>#N/A</v>
      </c>
      <c r="AE35" t="e">
        <f t="shared" si="44"/>
        <v>#N/A</v>
      </c>
      <c r="AF35" t="e">
        <f t="shared" si="45"/>
        <v>#N/A</v>
      </c>
      <c r="AG35" t="e">
        <f t="shared" si="46"/>
        <v>#N/A</v>
      </c>
      <c r="AH35" t="e">
        <f t="shared" si="47"/>
        <v>#N/A</v>
      </c>
      <c r="AI35" t="e">
        <f t="shared" si="48"/>
        <v>#N/A</v>
      </c>
      <c r="AJ35" t="e">
        <f t="shared" si="49"/>
        <v>#N/A</v>
      </c>
    </row>
    <row r="36">
      <c r="A36" s="2" t="n">
        <v>45170</v>
      </c>
      <c r="B36" t="n">
        <v>668806</v>
      </c>
      <c r="C36" t="n">
        <v>343778</v>
      </c>
      <c r="D36" t="n">
        <v>135.2</v>
      </c>
      <c r="E36" t="n">
        <v>14075.518732</v>
      </c>
      <c r="F36" t="n">
        <v>4289763.61514883</v>
      </c>
      <c r="G36" t="n">
        <v>0.0365386456051881</v>
      </c>
      <c r="H36" t="n">
        <v>0.666233</v>
      </c>
      <c r="I36" t="n">
        <v>0.041933</v>
      </c>
      <c r="J36" t="n">
        <v>0.04125</v>
      </c>
      <c r="K36" t="s">
        <v>178</v>
      </c>
      <c r="L36" t="e">
        <f t="shared" si="25"/>
        <v>#N/A</v>
      </c>
      <c r="M36" t="e">
        <f t="shared" si="26"/>
        <v>#N/A</v>
      </c>
      <c r="N36" t="e">
        <f t="shared" si="27"/>
        <v>#N/A</v>
      </c>
      <c r="O36" t="n">
        <f t="shared" si="28"/>
        <v>0</v>
      </c>
      <c r="P36" t="n">
        <f t="shared" si="29"/>
        <v>0</v>
      </c>
      <c r="Q36" t="n">
        <f t="shared" si="30"/>
        <v>0</v>
      </c>
      <c r="R36" t="n">
        <f t="shared" si="31"/>
        <v>0</v>
      </c>
      <c r="S36" t="e">
        <f t="shared" si="32"/>
        <v>#N/A</v>
      </c>
      <c r="T36" t="e">
        <f t="shared" si="33"/>
        <v>#N/A</v>
      </c>
      <c r="U36" t="e">
        <f t="shared" si="34"/>
        <v>#N/A</v>
      </c>
      <c r="V36" t="e">
        <f t="shared" si="35"/>
        <v>#N/A</v>
      </c>
      <c r="W36" t="e">
        <f t="shared" si="36"/>
        <v>#N/A</v>
      </c>
      <c r="X36" t="e">
        <f t="shared" si="37"/>
        <v>#N/A</v>
      </c>
      <c r="Y36" t="e">
        <f t="shared" si="38"/>
        <v>#N/A</v>
      </c>
      <c r="Z36" t="e">
        <f t="shared" si="39"/>
        <v>#N/A</v>
      </c>
      <c r="AA36" t="e">
        <f t="shared" si="40"/>
        <v>#N/A</v>
      </c>
      <c r="AB36" t="e">
        <f t="shared" si="41"/>
        <v>#N/A</v>
      </c>
      <c r="AC36" t="e">
        <f t="shared" si="42"/>
        <v>#N/A</v>
      </c>
      <c r="AD36" t="e">
        <f t="shared" si="43"/>
        <v>#N/A</v>
      </c>
      <c r="AE36" t="e">
        <f t="shared" si="44"/>
        <v>#N/A</v>
      </c>
      <c r="AF36" t="e">
        <f t="shared" si="45"/>
        <v>#N/A</v>
      </c>
      <c r="AG36" t="e">
        <f t="shared" si="46"/>
        <v>#N/A</v>
      </c>
      <c r="AH36" t="e">
        <f t="shared" si="47"/>
        <v>#N/A</v>
      </c>
      <c r="AI36" t="e">
        <f t="shared" si="48"/>
        <v>#N/A</v>
      </c>
      <c r="AJ36" t="e">
        <f t="shared" si="49"/>
        <v>#N/A</v>
      </c>
    </row>
    <row r="37">
      <c r="A37" s="2" t="n">
        <v>45261</v>
      </c>
      <c r="B37" t="n">
        <v>668754</v>
      </c>
      <c r="C37" t="n">
        <v>343920</v>
      </c>
      <c r="D37" t="n">
        <v>136.3</v>
      </c>
      <c r="E37" t="n">
        <v>14166.989552</v>
      </c>
      <c r="F37" t="n">
        <v>4254744.49400786</v>
      </c>
      <c r="G37" t="n">
        <v>0.0390093830373431</v>
      </c>
      <c r="H37" t="n">
        <v>0.668105</v>
      </c>
      <c r="I37" t="n">
        <v>0.043133</v>
      </c>
      <c r="J37" t="n">
        <v>0.04466</v>
      </c>
      <c r="K37" t="s">
        <v>178</v>
      </c>
      <c r="L37" t="e">
        <f t="shared" si="25"/>
        <v>#N/A</v>
      </c>
      <c r="M37" t="e">
        <f t="shared" si="26"/>
        <v>#N/A</v>
      </c>
      <c r="N37" t="e">
        <f t="shared" si="27"/>
        <v>#N/A</v>
      </c>
      <c r="O37" t="n">
        <f t="shared" si="28"/>
        <v>0</v>
      </c>
      <c r="P37" t="n">
        <f t="shared" si="29"/>
        <v>0</v>
      </c>
      <c r="Q37" t="n">
        <f t="shared" si="30"/>
        <v>0</v>
      </c>
      <c r="R37" t="n">
        <f t="shared" si="31"/>
        <v>0</v>
      </c>
      <c r="S37" t="e">
        <f t="shared" si="32"/>
        <v>#N/A</v>
      </c>
      <c r="T37" t="e">
        <f t="shared" si="33"/>
        <v>#N/A</v>
      </c>
      <c r="U37" t="e">
        <f t="shared" si="34"/>
        <v>#N/A</v>
      </c>
      <c r="V37" t="e">
        <f t="shared" si="35"/>
        <v>#N/A</v>
      </c>
      <c r="W37" t="e">
        <f t="shared" si="36"/>
        <v>#N/A</v>
      </c>
      <c r="X37" t="e">
        <f t="shared" si="37"/>
        <v>#N/A</v>
      </c>
      <c r="Y37" t="e">
        <f t="shared" si="38"/>
        <v>#N/A</v>
      </c>
      <c r="Z37" t="e">
        <f t="shared" si="39"/>
        <v>#N/A</v>
      </c>
      <c r="AA37" t="e">
        <f t="shared" si="40"/>
        <v>#N/A</v>
      </c>
      <c r="AB37" t="e">
        <f t="shared" si="41"/>
        <v>#N/A</v>
      </c>
      <c r="AC37" t="e">
        <f t="shared" si="42"/>
        <v>#N/A</v>
      </c>
      <c r="AD37" t="e">
        <f t="shared" si="43"/>
        <v>#N/A</v>
      </c>
      <c r="AE37" t="e">
        <f t="shared" si="44"/>
        <v>#N/A</v>
      </c>
      <c r="AF37" t="e">
        <f t="shared" si="45"/>
        <v>#N/A</v>
      </c>
      <c r="AG37" t="e">
        <f t="shared" si="46"/>
        <v>#N/A</v>
      </c>
      <c r="AH37" t="e">
        <f t="shared" si="47"/>
        <v>#N/A</v>
      </c>
      <c r="AI37" t="e">
        <f t="shared" si="48"/>
        <v>#N/A</v>
      </c>
      <c r="AJ37" t="e">
        <f t="shared" si="49"/>
        <v>#N/A</v>
      </c>
    </row>
    <row r="38">
      <c r="A38" s="2" t="n">
        <v>45352</v>
      </c>
      <c r="B38" t="n">
        <v>670388</v>
      </c>
      <c r="C38" t="n">
        <v>345893</v>
      </c>
      <c r="D38" t="n">
        <v>137.5</v>
      </c>
      <c r="E38" t="n">
        <v>14208.53199</v>
      </c>
      <c r="F38" t="n">
        <v>4235443.53587773</v>
      </c>
      <c r="G38" t="n">
        <v>0.0390837834383326</v>
      </c>
      <c r="H38" t="n">
        <v>0.665831</v>
      </c>
      <c r="I38" t="n">
        <v>0.043467</v>
      </c>
      <c r="J38" t="n">
        <v>0.0411133333333333</v>
      </c>
      <c r="K38" t="s">
        <v>178</v>
      </c>
      <c r="L38" t="e">
        <f t="shared" si="25"/>
        <v>#N/A</v>
      </c>
      <c r="M38" t="e">
        <f t="shared" si="26"/>
        <v>#N/A</v>
      </c>
      <c r="N38" t="e">
        <f t="shared" si="27"/>
        <v>#N/A</v>
      </c>
      <c r="O38" t="n">
        <f t="shared" si="28"/>
        <v>0</v>
      </c>
      <c r="P38" t="n">
        <f t="shared" si="29"/>
        <v>0</v>
      </c>
      <c r="Q38" t="n">
        <f t="shared" si="30"/>
        <v>0</v>
      </c>
      <c r="R38" t="n">
        <f t="shared" si="31"/>
        <v>0</v>
      </c>
      <c r="S38" t="e">
        <f t="shared" si="32"/>
        <v>#N/A</v>
      </c>
      <c r="T38" t="e">
        <f t="shared" si="33"/>
        <v>#N/A</v>
      </c>
      <c r="U38" t="e">
        <f t="shared" si="34"/>
        <v>#N/A</v>
      </c>
      <c r="V38" t="e">
        <f t="shared" si="35"/>
        <v>#N/A</v>
      </c>
      <c r="W38" t="e">
        <f t="shared" si="36"/>
        <v>#N/A</v>
      </c>
      <c r="X38" t="e">
        <f t="shared" si="37"/>
        <v>#N/A</v>
      </c>
      <c r="Y38" t="e">
        <f t="shared" si="38"/>
        <v>#N/A</v>
      </c>
      <c r="Z38" t="e">
        <f t="shared" si="39"/>
        <v>#N/A</v>
      </c>
      <c r="AA38" t="e">
        <f t="shared" si="40"/>
        <v>#N/A</v>
      </c>
      <c r="AB38" t="e">
        <f t="shared" si="41"/>
        <v>#N/A</v>
      </c>
      <c r="AC38" t="e">
        <f t="shared" si="42"/>
        <v>#N/A</v>
      </c>
      <c r="AD38" t="e">
        <f t="shared" si="43"/>
        <v>#N/A</v>
      </c>
      <c r="AE38" t="e">
        <f t="shared" si="44"/>
        <v>#N/A</v>
      </c>
      <c r="AF38" t="e">
        <f t="shared" si="45"/>
        <v>#N/A</v>
      </c>
      <c r="AG38" t="e">
        <f t="shared" si="46"/>
        <v>#N/A</v>
      </c>
      <c r="AH38" t="e">
        <f t="shared" si="47"/>
        <v>#N/A</v>
      </c>
      <c r="AI38" t="e">
        <f t="shared" si="48"/>
        <v>#N/A</v>
      </c>
      <c r="AJ38" t="e">
        <f t="shared" si="49"/>
        <v>#N/A</v>
      </c>
    </row>
    <row r="39">
      <c r="A39" s="2" t="n">
        <v>45444</v>
      </c>
      <c r="B39" t="n">
        <v>672076</v>
      </c>
      <c r="C39" t="n">
        <v>344825</v>
      </c>
      <c r="D39" t="n">
        <v>138.9</v>
      </c>
      <c r="E39" t="n">
        <v>14294.694591</v>
      </c>
      <c r="F39" t="n">
        <v>4269391.93882602</v>
      </c>
      <c r="G39" t="n">
        <v>0.0403470551307376</v>
      </c>
      <c r="H39" t="n">
        <v>0.667638</v>
      </c>
      <c r="I39" t="n">
        <v>0.043733</v>
      </c>
      <c r="J39" t="n">
        <v>0.0427833333333333</v>
      </c>
      <c r="K39" t="s">
        <v>178</v>
      </c>
      <c r="L39" t="e">
        <f t="shared" si="25"/>
        <v>#N/A</v>
      </c>
      <c r="M39" t="e">
        <f t="shared" si="26"/>
        <v>#N/A</v>
      </c>
      <c r="N39" t="e">
        <f t="shared" si="27"/>
        <v>#N/A</v>
      </c>
      <c r="O39" t="n">
        <f t="shared" si="28"/>
        <v>0</v>
      </c>
      <c r="P39" t="n">
        <f t="shared" si="29"/>
        <v>0</v>
      </c>
      <c r="Q39" t="n">
        <f t="shared" si="30"/>
        <v>0</v>
      </c>
      <c r="R39" t="n">
        <f t="shared" si="31"/>
        <v>0</v>
      </c>
      <c r="S39" t="e">
        <f t="shared" si="32"/>
        <v>#N/A</v>
      </c>
      <c r="T39" t="e">
        <f t="shared" si="33"/>
        <v>#N/A</v>
      </c>
      <c r="U39" t="e">
        <f t="shared" si="34"/>
        <v>#N/A</v>
      </c>
      <c r="V39" t="e">
        <f t="shared" si="35"/>
        <v>#N/A</v>
      </c>
      <c r="W39" t="e">
        <f t="shared" si="36"/>
        <v>#N/A</v>
      </c>
      <c r="X39" t="e">
        <f t="shared" si="37"/>
        <v>#N/A</v>
      </c>
      <c r="Y39" t="e">
        <f t="shared" si="38"/>
        <v>#N/A</v>
      </c>
      <c r="Z39" t="e">
        <f t="shared" si="39"/>
        <v>#N/A</v>
      </c>
      <c r="AA39" t="e">
        <f t="shared" si="40"/>
        <v>#N/A</v>
      </c>
      <c r="AB39" t="e">
        <f t="shared" si="41"/>
        <v>#N/A</v>
      </c>
      <c r="AC39" t="e">
        <f t="shared" si="42"/>
        <v>#N/A</v>
      </c>
      <c r="AD39" t="e">
        <f t="shared" si="43"/>
        <v>#N/A</v>
      </c>
      <c r="AE39" t="e">
        <f t="shared" si="44"/>
        <v>#N/A</v>
      </c>
      <c r="AF39" t="e">
        <f t="shared" si="45"/>
        <v>#N/A</v>
      </c>
      <c r="AG39" t="e">
        <f t="shared" si="46"/>
        <v>#N/A</v>
      </c>
      <c r="AH39" t="e">
        <f t="shared" si="47"/>
        <v>#N/A</v>
      </c>
      <c r="AI39" t="e">
        <f t="shared" si="48"/>
        <v>#N/A</v>
      </c>
      <c r="AJ39" t="e">
        <f t="shared" si="49"/>
        <v>#N/A</v>
      </c>
    </row>
    <row r="40">
      <c r="A40" s="2" t="n">
        <v>45536</v>
      </c>
      <c r="B40" t="n">
        <v>674130</v>
      </c>
      <c r="C40" t="n">
        <v>345185</v>
      </c>
      <c r="D40" t="n">
        <v>139.1</v>
      </c>
      <c r="E40" t="n">
        <v>14411.248641</v>
      </c>
      <c r="F40" t="n">
        <v>4300033.45461782</v>
      </c>
      <c r="G40" t="n">
        <v>0.0411696778876828</v>
      </c>
      <c r="H40" t="n">
        <v>0.670805</v>
      </c>
      <c r="I40" t="n">
        <v>0.0442</v>
      </c>
      <c r="J40" t="n">
        <v>0.0407466666666667</v>
      </c>
      <c r="K40" t="s">
        <v>178</v>
      </c>
      <c r="L40" t="e">
        <f t="shared" si="25"/>
        <v>#N/A</v>
      </c>
      <c r="M40" t="e">
        <f t="shared" si="26"/>
        <v>#N/A</v>
      </c>
      <c r="N40" t="e">
        <f t="shared" si="27"/>
        <v>#N/A</v>
      </c>
      <c r="O40" t="n">
        <f t="shared" si="28"/>
        <v>0</v>
      </c>
      <c r="P40" t="n">
        <f t="shared" si="29"/>
        <v>0</v>
      </c>
      <c r="Q40" t="n">
        <f t="shared" si="30"/>
        <v>0</v>
      </c>
      <c r="R40" t="n">
        <f t="shared" si="31"/>
        <v>0</v>
      </c>
      <c r="S40" t="e">
        <f t="shared" si="32"/>
        <v>#N/A</v>
      </c>
      <c r="T40" t="e">
        <f t="shared" si="33"/>
        <v>#N/A</v>
      </c>
      <c r="U40" t="e">
        <f t="shared" si="34"/>
        <v>#N/A</v>
      </c>
      <c r="V40" t="e">
        <f t="shared" si="35"/>
        <v>#N/A</v>
      </c>
      <c r="W40" t="e">
        <f t="shared" si="36"/>
        <v>#N/A</v>
      </c>
      <c r="X40" t="e">
        <f t="shared" si="37"/>
        <v>#N/A</v>
      </c>
      <c r="Y40" t="e">
        <f t="shared" si="38"/>
        <v>#N/A</v>
      </c>
      <c r="Z40" t="e">
        <f t="shared" si="39"/>
        <v>#N/A</v>
      </c>
      <c r="AA40" t="e">
        <f t="shared" si="40"/>
        <v>#N/A</v>
      </c>
      <c r="AB40" t="e">
        <f t="shared" si="41"/>
        <v>#N/A</v>
      </c>
      <c r="AC40" t="e">
        <f t="shared" si="42"/>
        <v>#N/A</v>
      </c>
      <c r="AD40" t="e">
        <f t="shared" si="43"/>
        <v>#N/A</v>
      </c>
      <c r="AE40" t="e">
        <f t="shared" si="44"/>
        <v>#N/A</v>
      </c>
      <c r="AF40" t="e">
        <f t="shared" si="45"/>
        <v>#N/A</v>
      </c>
      <c r="AG40" t="e">
        <f t="shared" si="46"/>
        <v>#N/A</v>
      </c>
      <c r="AH40" t="e">
        <f t="shared" si="47"/>
        <v>#N/A</v>
      </c>
      <c r="AI40" t="e">
        <f t="shared" si="48"/>
        <v>#N/A</v>
      </c>
      <c r="AJ40" t="e">
        <f t="shared" si="49"/>
        <v>#N/A</v>
      </c>
    </row>
    <row r="41">
      <c r="A41" s="2" t="n">
        <v>45627</v>
      </c>
      <c r="B41" t="n">
        <v>677077</v>
      </c>
      <c r="C41" t="n">
        <v>347360</v>
      </c>
      <c r="D41" t="n">
        <v>139.6</v>
      </c>
      <c r="E41" t="n">
        <v>14473.697393</v>
      </c>
      <c r="F41" t="n">
        <v>4306318.00469064</v>
      </c>
      <c r="G41" t="n">
        <v>0.0401043172136999</v>
      </c>
      <c r="H41" t="n">
        <v>0.670117</v>
      </c>
      <c r="I41" t="n">
        <v>0.044233</v>
      </c>
      <c r="J41" t="n">
        <v>0.0437466666666667</v>
      </c>
      <c r="K41" t="s">
        <v>178</v>
      </c>
      <c r="L41" t="e">
        <f t="shared" si="25"/>
        <v>#N/A</v>
      </c>
      <c r="M41" t="e">
        <f t="shared" si="26"/>
        <v>#N/A</v>
      </c>
      <c r="N41" t="e">
        <f t="shared" si="27"/>
        <v>#N/A</v>
      </c>
      <c r="O41" t="n">
        <f t="shared" si="28"/>
        <v>0</v>
      </c>
      <c r="P41" t="n">
        <f t="shared" si="29"/>
        <v>0</v>
      </c>
      <c r="Q41" t="n">
        <f t="shared" si="30"/>
        <v>0</v>
      </c>
      <c r="R41" t="n">
        <f t="shared" si="31"/>
        <v>0</v>
      </c>
      <c r="S41" t="e">
        <f t="shared" si="32"/>
        <v>#N/A</v>
      </c>
      <c r="T41" t="e">
        <f t="shared" si="33"/>
        <v>#N/A</v>
      </c>
      <c r="U41" t="e">
        <f t="shared" si="34"/>
        <v>#N/A</v>
      </c>
      <c r="V41" t="e">
        <f t="shared" si="35"/>
        <v>#N/A</v>
      </c>
      <c r="W41" t="e">
        <f t="shared" si="36"/>
        <v>#N/A</v>
      </c>
      <c r="X41" t="e">
        <f t="shared" si="37"/>
        <v>#N/A</v>
      </c>
      <c r="Y41" t="e">
        <f t="shared" si="38"/>
        <v>#N/A</v>
      </c>
      <c r="Z41" t="e">
        <f t="shared" si="39"/>
        <v>#N/A</v>
      </c>
      <c r="AA41" t="e">
        <f t="shared" si="40"/>
        <v>#N/A</v>
      </c>
      <c r="AB41" t="e">
        <f t="shared" si="41"/>
        <v>#N/A</v>
      </c>
      <c r="AC41" t="e">
        <f t="shared" si="42"/>
        <v>#N/A</v>
      </c>
      <c r="AD41" t="e">
        <f t="shared" si="43"/>
        <v>#N/A</v>
      </c>
      <c r="AE41" t="e">
        <f t="shared" si="44"/>
        <v>#N/A</v>
      </c>
      <c r="AF41" t="e">
        <f t="shared" si="45"/>
        <v>#N/A</v>
      </c>
      <c r="AG41" t="e">
        <f t="shared" si="46"/>
        <v>#N/A</v>
      </c>
      <c r="AH41" t="e">
        <f t="shared" si="47"/>
        <v>#N/A</v>
      </c>
      <c r="AI41" t="e">
        <f t="shared" si="48"/>
        <v>#N/A</v>
      </c>
      <c r="AJ41" t="e">
        <f t="shared" si="49"/>
        <v>#N/A</v>
      </c>
    </row>
    <row r="42">
      <c r="A42" s="2" t="n">
        <v>45717</v>
      </c>
      <c r="B42" t="n">
        <v>679519</v>
      </c>
      <c r="C42" t="n">
        <v>349205</v>
      </c>
      <c r="D42" t="n">
        <v>140.9</v>
      </c>
      <c r="E42" t="n">
        <v>14503.3755150333</v>
      </c>
      <c r="F42" t="n">
        <v>4301301.39505132</v>
      </c>
      <c r="G42" t="n">
        <v>0.040946291793016</v>
      </c>
      <c r="H42" t="n">
        <v>0.668511013333333</v>
      </c>
      <c r="I42" t="n">
        <v>0.0420666666666667</v>
      </c>
      <c r="J42" t="n">
        <v>0.0444166666666667</v>
      </c>
      <c r="K42" t="s">
        <v>178</v>
      </c>
      <c r="L42" t="e">
        <f t="shared" si="25"/>
        <v>#N/A</v>
      </c>
      <c r="M42" t="e">
        <f t="shared" si="26"/>
        <v>#N/A</v>
      </c>
      <c r="N42" t="e">
        <f t="shared" si="27"/>
        <v>#N/A</v>
      </c>
      <c r="O42" t="n">
        <f t="shared" si="28"/>
        <v>0</v>
      </c>
      <c r="P42" t="n">
        <f t="shared" si="29"/>
        <v>0</v>
      </c>
      <c r="Q42" t="n">
        <f t="shared" si="30"/>
        <v>0</v>
      </c>
      <c r="R42" t="n">
        <f t="shared" si="31"/>
        <v>0</v>
      </c>
      <c r="S42" t="e">
        <f t="shared" si="32"/>
        <v>#N/A</v>
      </c>
      <c r="T42" t="e">
        <f t="shared" si="33"/>
        <v>#N/A</v>
      </c>
      <c r="U42" t="e">
        <f t="shared" si="34"/>
        <v>#N/A</v>
      </c>
      <c r="V42" t="e">
        <f t="shared" si="35"/>
        <v>#N/A</v>
      </c>
      <c r="W42" t="e">
        <f t="shared" si="36"/>
        <v>#N/A</v>
      </c>
      <c r="X42" t="e">
        <f t="shared" si="37"/>
        <v>#N/A</v>
      </c>
      <c r="Y42" t="e">
        <f t="shared" si="38"/>
        <v>#N/A</v>
      </c>
      <c r="Z42" t="e">
        <f t="shared" si="39"/>
        <v>#N/A</v>
      </c>
      <c r="AA42" t="e">
        <f t="shared" si="40"/>
        <v>#N/A</v>
      </c>
      <c r="AB42" t="e">
        <f t="shared" si="41"/>
        <v>#N/A</v>
      </c>
      <c r="AC42" t="e">
        <f t="shared" si="42"/>
        <v>#N/A</v>
      </c>
      <c r="AD42" t="e">
        <f t="shared" si="43"/>
        <v>#N/A</v>
      </c>
      <c r="AE42" t="e">
        <f t="shared" si="44"/>
        <v>#N/A</v>
      </c>
      <c r="AF42" t="e">
        <f t="shared" si="45"/>
        <v>#N/A</v>
      </c>
      <c r="AG42" t="e">
        <f t="shared" si="46"/>
        <v>#N/A</v>
      </c>
      <c r="AH42" t="e">
        <f t="shared" si="47"/>
        <v>#N/A</v>
      </c>
      <c r="AI42" t="e">
        <f t="shared" si="48"/>
        <v>#N/A</v>
      </c>
      <c r="AJ42" t="e">
        <f t="shared" si="49"/>
        <v>#N/A</v>
      </c>
    </row>
    <row r="43">
      <c r="A43" s="2" t="n">
        <v>45809</v>
      </c>
      <c r="B43" t="n">
        <v>684822</v>
      </c>
      <c r="C43" t="n">
        <v>352663</v>
      </c>
      <c r="D43" t="n">
        <v>141.9</v>
      </c>
      <c r="E43" t="n">
        <v>14589.9722275667</v>
      </c>
      <c r="F43" t="n">
        <v>4309477.70314058</v>
      </c>
      <c r="G43" t="n">
        <v>0.0415799332516735</v>
      </c>
      <c r="H43" t="n">
        <v>0.670083922</v>
      </c>
      <c r="I43" t="n">
        <v>0.0383</v>
      </c>
      <c r="J43" t="n">
        <v>0.04275</v>
      </c>
      <c r="K43" t="s">
        <v>178</v>
      </c>
      <c r="L43" t="e">
        <f t="shared" si="25"/>
        <v>#N/A</v>
      </c>
      <c r="M43" t="e">
        <f t="shared" si="26"/>
        <v>#N/A</v>
      </c>
      <c r="N43" t="e">
        <f t="shared" si="27"/>
        <v>#N/A</v>
      </c>
      <c r="O43" t="n">
        <f t="shared" si="28"/>
        <v>0</v>
      </c>
      <c r="P43" t="n">
        <f t="shared" si="29"/>
        <v>0</v>
      </c>
      <c r="Q43" t="n">
        <f t="shared" si="30"/>
        <v>0</v>
      </c>
      <c r="R43" t="n">
        <f t="shared" si="31"/>
        <v>0</v>
      </c>
      <c r="S43" t="e">
        <f t="shared" si="32"/>
        <v>#N/A</v>
      </c>
      <c r="T43" t="e">
        <f t="shared" si="33"/>
        <v>#N/A</v>
      </c>
      <c r="U43" t="e">
        <f t="shared" si="34"/>
        <v>#N/A</v>
      </c>
      <c r="V43" t="e">
        <f t="shared" si="35"/>
        <v>#N/A</v>
      </c>
      <c r="W43" t="e">
        <f t="shared" si="36"/>
        <v>#N/A</v>
      </c>
      <c r="X43" t="e">
        <f t="shared" si="37"/>
        <v>#N/A</v>
      </c>
      <c r="Y43" t="e">
        <f t="shared" si="38"/>
        <v>#N/A</v>
      </c>
      <c r="Z43" t="e">
        <f t="shared" si="39"/>
        <v>#N/A</v>
      </c>
      <c r="AA43" t="e">
        <f t="shared" si="40"/>
        <v>#N/A</v>
      </c>
      <c r="AB43" t="e">
        <f t="shared" si="41"/>
        <v>#N/A</v>
      </c>
      <c r="AC43" t="e">
        <f t="shared" si="42"/>
        <v>#N/A</v>
      </c>
      <c r="AD43" t="e">
        <f t="shared" si="43"/>
        <v>#N/A</v>
      </c>
      <c r="AE43" t="e">
        <f t="shared" si="44"/>
        <v>#N/A</v>
      </c>
      <c r="AF43" t="e">
        <f t="shared" si="45"/>
        <v>#N/A</v>
      </c>
      <c r="AG43" t="e">
        <f t="shared" si="46"/>
        <v>#N/A</v>
      </c>
      <c r="AH43" t="e">
        <f t="shared" si="47"/>
        <v>#N/A</v>
      </c>
      <c r="AI43" t="e">
        <f t="shared" si="48"/>
        <v>#N/A</v>
      </c>
      <c r="AJ43" t="e">
        <f t="shared" si="49"/>
        <v>#N/A</v>
      </c>
    </row>
    <row r="44">
      <c r="A44" s="2" t="n">
        <v>45901</v>
      </c>
      <c r="B44" t="n">
        <v>688271</v>
      </c>
      <c r="C44" t="n">
        <v>354377</v>
      </c>
      <c r="D44" t="n">
        <v>143.5</v>
      </c>
      <c r="E44" t="n">
        <v>14608.7589597667</v>
      </c>
      <c r="F44" t="n">
        <v>4314963.97352389</v>
      </c>
      <c r="G44" t="n">
        <v>0.0430614370315685</v>
      </c>
      <c r="H44" t="n">
        <v>0.669101939</v>
      </c>
      <c r="I44" t="n">
        <v>0.0362333333333333</v>
      </c>
      <c r="J44" t="n">
        <v>0.04288</v>
      </c>
      <c r="K44" t="s">
        <v>178</v>
      </c>
      <c r="L44" t="e">
        <f t="shared" si="25"/>
        <v>#N/A</v>
      </c>
      <c r="M44" t="e">
        <f t="shared" si="26"/>
        <v>#N/A</v>
      </c>
      <c r="N44" t="e">
        <f t="shared" si="27"/>
        <v>#N/A</v>
      </c>
      <c r="O44" t="n">
        <f t="shared" si="28"/>
        <v>0</v>
      </c>
      <c r="P44" t="n">
        <f t="shared" si="29"/>
        <v>0</v>
      </c>
      <c r="Q44" t="n">
        <f t="shared" si="30"/>
        <v>0</v>
      </c>
      <c r="R44" t="n">
        <f t="shared" si="31"/>
        <v>0</v>
      </c>
      <c r="S44" t="e">
        <f t="shared" si="32"/>
        <v>#N/A</v>
      </c>
      <c r="T44" t="e">
        <f t="shared" si="33"/>
        <v>#N/A</v>
      </c>
      <c r="U44" t="e">
        <f t="shared" si="34"/>
        <v>#N/A</v>
      </c>
      <c r="V44" t="e">
        <f t="shared" si="35"/>
        <v>#N/A</v>
      </c>
      <c r="W44" t="e">
        <f t="shared" si="36"/>
        <v>#N/A</v>
      </c>
      <c r="X44" t="e">
        <f t="shared" si="37"/>
        <v>#N/A</v>
      </c>
      <c r="Y44" t="e">
        <f t="shared" si="38"/>
        <v>#N/A</v>
      </c>
      <c r="Z44" t="e">
        <f t="shared" si="39"/>
        <v>#N/A</v>
      </c>
      <c r="AA44" t="e">
        <f t="shared" si="40"/>
        <v>#N/A</v>
      </c>
      <c r="AB44" t="e">
        <f t="shared" si="41"/>
        <v>#N/A</v>
      </c>
      <c r="AC44" t="e">
        <f t="shared" si="42"/>
        <v>#N/A</v>
      </c>
      <c r="AD44" t="e">
        <f t="shared" si="43"/>
        <v>#N/A</v>
      </c>
      <c r="AE44" t="e">
        <f t="shared" si="44"/>
        <v>#N/A</v>
      </c>
      <c r="AF44" t="e">
        <f t="shared" si="45"/>
        <v>#N/A</v>
      </c>
      <c r="AG44" t="e">
        <f t="shared" si="46"/>
        <v>#N/A</v>
      </c>
      <c r="AH44" t="e">
        <f t="shared" si="47"/>
        <v>#N/A</v>
      </c>
      <c r="AI44" t="e">
        <f t="shared" si="48"/>
        <v>#N/A</v>
      </c>
      <c r="AJ44" t="e">
        <f t="shared" si="49"/>
        <v>#N/A</v>
      </c>
    </row>
    <row r="45">
      <c r="A45" s="2" t="n">
        <v>45992</v>
      </c>
      <c r="B45" t="n">
        <v>694551</v>
      </c>
      <c r="C45" t="n">
        <v>355990</v>
      </c>
      <c r="D45" t="n">
        <v>144.6</v>
      </c>
      <c r="E45" t="n">
        <v>14636.2891356667</v>
      </c>
      <c r="F45" t="n">
        <v>4354933.52552386</v>
      </c>
      <c r="G45" t="n">
        <v>0.0425731268402279</v>
      </c>
      <c r="H45" t="n">
        <v>0.667316483666667</v>
      </c>
      <c r="I45" t="n">
        <v>0.0364</v>
      </c>
      <c r="J45" t="n">
        <v>0.0445633333333333</v>
      </c>
      <c r="K45" t="s">
        <v>178</v>
      </c>
      <c r="L45" t="e">
        <f t="shared" si="25"/>
        <v>#N/A</v>
      </c>
      <c r="M45" t="e">
        <f t="shared" si="26"/>
        <v>#N/A</v>
      </c>
      <c r="N45" t="e">
        <f t="shared" si="27"/>
        <v>#N/A</v>
      </c>
      <c r="O45" t="n">
        <f t="shared" si="28"/>
        <v>0</v>
      </c>
      <c r="P45" t="n">
        <f t="shared" si="29"/>
        <v>0</v>
      </c>
      <c r="Q45" t="n">
        <f t="shared" si="30"/>
        <v>0</v>
      </c>
      <c r="R45" t="n">
        <f t="shared" si="31"/>
        <v>0</v>
      </c>
      <c r="S45" t="e">
        <f t="shared" si="32"/>
        <v>#N/A</v>
      </c>
      <c r="T45" t="e">
        <f t="shared" si="33"/>
        <v>#N/A</v>
      </c>
      <c r="U45" t="e">
        <f t="shared" si="34"/>
        <v>#N/A</v>
      </c>
      <c r="V45" t="e">
        <f t="shared" si="35"/>
        <v>#N/A</v>
      </c>
      <c r="W45" t="e">
        <f t="shared" si="36"/>
        <v>#N/A</v>
      </c>
      <c r="X45" t="e">
        <f t="shared" si="37"/>
        <v>#N/A</v>
      </c>
      <c r="Y45" t="e">
        <f t="shared" si="38"/>
        <v>#N/A</v>
      </c>
      <c r="Z45" t="e">
        <f t="shared" si="39"/>
        <v>#N/A</v>
      </c>
      <c r="AA45" t="e">
        <f t="shared" si="40"/>
        <v>#N/A</v>
      </c>
      <c r="AB45" t="e">
        <f t="shared" si="41"/>
        <v>#N/A</v>
      </c>
      <c r="AC45" t="e">
        <f t="shared" si="42"/>
        <v>#N/A</v>
      </c>
      <c r="AD45" t="e">
        <f t="shared" si="43"/>
        <v>#N/A</v>
      </c>
      <c r="AE45" t="e">
        <f t="shared" si="44"/>
        <v>#N/A</v>
      </c>
      <c r="AF45" t="e">
        <f t="shared" si="45"/>
        <v>#N/A</v>
      </c>
      <c r="AG45" t="e">
        <f t="shared" si="46"/>
        <v>#N/A</v>
      </c>
      <c r="AH45" t="e">
        <f t="shared" si="47"/>
        <v>#N/A</v>
      </c>
      <c r="AI45" t="e">
        <f t="shared" si="48"/>
        <v>#N/A</v>
      </c>
      <c r="AJ45" t="e">
        <f t="shared" si="49"/>
        <v>#N/A</v>
      </c>
    </row>
    <row r="46">
      <c r="A46" s="2" t="n">
        <v>45992</v>
      </c>
      <c r="B46" t="n">
        <v>688864.763365552</v>
      </c>
      <c r="C46" t="n">
        <v>355091.626663159</v>
      </c>
      <c r="D46" t="n">
        <v>144.861693768467</v>
      </c>
      <c r="E46" t="n">
        <v>14660.0841628213</v>
      </c>
      <c r="F46" t="n">
        <v>4306589.10680436</v>
      </c>
      <c r="G46" t="n">
        <v>0.047638941993144</v>
      </c>
      <c r="H46" t="n">
        <v>0.668738350026895</v>
      </c>
      <c r="I46" t="n">
        <v>0.0313989538539444</v>
      </c>
      <c r="J46" t="n">
        <v>0.0420176539960489</v>
      </c>
      <c r="K46" t="s">
        <v>179</v>
      </c>
      <c r="L46" t="e">
        <f t="shared" si="25"/>
        <v>#N/A</v>
      </c>
      <c r="M46" t="e">
        <f t="shared" si="26"/>
        <v>#N/A</v>
      </c>
      <c r="N46" t="e">
        <f t="shared" si="27"/>
        <v>#N/A</v>
      </c>
      <c r="O46" t="n">
        <f t="shared" si="28"/>
        <v>0</v>
      </c>
      <c r="P46" t="n">
        <f t="shared" si="29"/>
        <v>0</v>
      </c>
      <c r="Q46" t="n">
        <f t="shared" si="30"/>
        <v>0</v>
      </c>
      <c r="R46" t="n">
        <f t="shared" si="31"/>
        <v>0</v>
      </c>
      <c r="S46" t="e">
        <f t="shared" si="32"/>
        <v>#N/A</v>
      </c>
      <c r="T46" t="e">
        <f t="shared" si="33"/>
        <v>#N/A</v>
      </c>
      <c r="U46" t="e">
        <f t="shared" si="34"/>
        <v>#N/A</v>
      </c>
      <c r="V46" t="e">
        <f t="shared" si="35"/>
        <v>#N/A</v>
      </c>
      <c r="W46" t="e">
        <f t="shared" si="36"/>
        <v>#N/A</v>
      </c>
      <c r="X46" t="e">
        <f t="shared" si="37"/>
        <v>#N/A</v>
      </c>
      <c r="Y46" t="e">
        <f t="shared" si="38"/>
        <v>#N/A</v>
      </c>
      <c r="Z46" t="e">
        <f t="shared" si="39"/>
        <v>#N/A</v>
      </c>
      <c r="AA46" t="e">
        <f t="shared" si="40"/>
        <v>#N/A</v>
      </c>
      <c r="AB46" t="e">
        <f t="shared" si="41"/>
        <v>#N/A</v>
      </c>
      <c r="AC46" t="e">
        <f t="shared" si="42"/>
        <v>#N/A</v>
      </c>
      <c r="AD46" t="e">
        <f t="shared" si="43"/>
        <v>#N/A</v>
      </c>
      <c r="AE46" t="e">
        <f t="shared" si="44"/>
        <v>#N/A</v>
      </c>
      <c r="AF46" t="e">
        <f t="shared" si="45"/>
        <v>#N/A</v>
      </c>
      <c r="AG46" t="e">
        <f t="shared" si="46"/>
        <v>#N/A</v>
      </c>
      <c r="AH46" t="e">
        <f t="shared" si="47"/>
        <v>#N/A</v>
      </c>
      <c r="AI46" t="e">
        <f t="shared" si="48"/>
        <v>#N/A</v>
      </c>
      <c r="AJ46" t="e">
        <f t="shared" si="49"/>
        <v>#N/A</v>
      </c>
    </row>
    <row r="47">
      <c r="A47" s="2" t="n">
        <v>46082</v>
      </c>
      <c r="B47" t="n">
        <v>696539</v>
      </c>
      <c r="C47" t="n">
        <v>357486</v>
      </c>
      <c r="D47" t="n">
        <v>146.6</v>
      </c>
      <c r="E47" t="n">
        <v>14718.9240242333</v>
      </c>
      <c r="F47"/>
      <c r="G47" t="n">
        <v>0.0422401232211014</v>
      </c>
      <c r="H47" t="n">
        <v>0.667597298</v>
      </c>
      <c r="I47" t="n">
        <v>0.0397333333333333</v>
      </c>
      <c r="J47" t="n">
        <v>0.0481133333333333</v>
      </c>
      <c r="K47" t="s">
        <v>178</v>
      </c>
      <c r="L47" t="e">
        <f t="shared" si="25"/>
        <v>#N/A</v>
      </c>
      <c r="M47" t="e">
        <f t="shared" si="26"/>
        <v>#N/A</v>
      </c>
      <c r="N47" t="e">
        <f t="shared" si="27"/>
        <v>#N/A</v>
      </c>
      <c r="O47" t="n">
        <f t="shared" si="28"/>
        <v>0</v>
      </c>
      <c r="P47" t="n">
        <f t="shared" si="29"/>
        <v>0</v>
      </c>
      <c r="Q47" t="n">
        <f t="shared" si="30"/>
        <v>0</v>
      </c>
      <c r="R47" t="n">
        <f t="shared" si="31"/>
        <v>0</v>
      </c>
      <c r="S47" t="e">
        <f t="shared" si="32"/>
        <v>#N/A</v>
      </c>
      <c r="T47" t="e">
        <f t="shared" si="33"/>
        <v>#N/A</v>
      </c>
      <c r="U47" t="e">
        <f t="shared" si="34"/>
        <v>#N/A</v>
      </c>
      <c r="V47" t="e">
        <f t="shared" si="35"/>
        <v>#N/A</v>
      </c>
      <c r="W47" t="e">
        <f t="shared" si="36"/>
        <v>#N/A</v>
      </c>
      <c r="X47" t="e">
        <f t="shared" si="37"/>
        <v>#N/A</v>
      </c>
      <c r="Y47" t="e">
        <f t="shared" si="38"/>
        <v>#N/A</v>
      </c>
      <c r="Z47" t="e">
        <f t="shared" si="39"/>
        <v>#N/A</v>
      </c>
      <c r="AA47" t="e">
        <f t="shared" si="40"/>
        <v>#N/A</v>
      </c>
      <c r="AB47" t="e">
        <f t="shared" si="41"/>
        <v>#N/A</v>
      </c>
      <c r="AC47" t="e">
        <f t="shared" si="42"/>
        <v>#N/A</v>
      </c>
      <c r="AD47" t="e">
        <f t="shared" si="43"/>
        <v>#N/A</v>
      </c>
      <c r="AE47" t="e">
        <f t="shared" si="44"/>
        <v>#N/A</v>
      </c>
      <c r="AF47" t="e">
        <f t="shared" si="45"/>
        <v>#N/A</v>
      </c>
      <c r="AG47" t="e">
        <f t="shared" si="46"/>
        <v>#N/A</v>
      </c>
      <c r="AH47" t="e">
        <f t="shared" si="47"/>
        <v>#N/A</v>
      </c>
      <c r="AI47" t="e">
        <f t="shared" si="48"/>
        <v>#N/A</v>
      </c>
      <c r="AJ47" t="e">
        <f t="shared" si="49"/>
        <v>#N/A</v>
      </c>
    </row>
    <row r="48">
      <c r="A48" s="2" t="n">
        <v>46082</v>
      </c>
      <c r="B48" t="n">
        <v>703830.84954872</v>
      </c>
      <c r="C48" t="n">
        <v>360111.637408295</v>
      </c>
      <c r="D48" t="n">
        <v>146.572442197371</v>
      </c>
      <c r="E48" t="n">
        <v>14786.4151985371</v>
      </c>
      <c r="F48" t="n">
        <v>4342786.42645362</v>
      </c>
      <c r="G48" t="n">
        <v>0.042820119813057</v>
      </c>
      <c r="H48" t="n">
        <v>0.668210262714031</v>
      </c>
      <c r="I48" t="n">
        <v>0.0421150864010787</v>
      </c>
      <c r="J48" t="n">
        <v>0.0418648542175487</v>
      </c>
      <c r="K48" t="s">
        <v>179</v>
      </c>
      <c r="L48" t="e">
        <f t="shared" si="25"/>
        <v>#N/A</v>
      </c>
      <c r="M48" t="e">
        <f t="shared" si="26"/>
        <v>#N/A</v>
      </c>
      <c r="N48" t="e">
        <f t="shared" si="27"/>
        <v>#N/A</v>
      </c>
      <c r="O48" t="n">
        <f t="shared" si="28"/>
        <v>0</v>
      </c>
      <c r="P48" t="n">
        <f t="shared" si="29"/>
        <v>0</v>
      </c>
      <c r="Q48" t="n">
        <f t="shared" si="30"/>
        <v>0</v>
      </c>
      <c r="R48" t="n">
        <f t="shared" si="31"/>
        <v>0</v>
      </c>
      <c r="S48" t="e">
        <f t="shared" si="32"/>
        <v>#N/A</v>
      </c>
      <c r="T48" t="e">
        <f t="shared" si="33"/>
        <v>#N/A</v>
      </c>
      <c r="U48" t="e">
        <f t="shared" si="34"/>
        <v>#N/A</v>
      </c>
      <c r="V48" t="e">
        <f t="shared" si="35"/>
        <v>#N/A</v>
      </c>
      <c r="W48" t="e">
        <f t="shared" si="36"/>
        <v>#N/A</v>
      </c>
      <c r="X48" t="e">
        <f t="shared" si="37"/>
        <v>#N/A</v>
      </c>
      <c r="Y48" t="e">
        <f t="shared" si="38"/>
        <v>#N/A</v>
      </c>
      <c r="Z48" t="e">
        <f t="shared" si="39"/>
        <v>#N/A</v>
      </c>
      <c r="AA48" t="e">
        <f t="shared" si="40"/>
        <v>#N/A</v>
      </c>
      <c r="AB48" t="e">
        <f t="shared" si="41"/>
        <v>#N/A</v>
      </c>
      <c r="AC48" t="e">
        <f t="shared" si="42"/>
        <v>#N/A</v>
      </c>
      <c r="AD48" t="e">
        <f t="shared" si="43"/>
        <v>#N/A</v>
      </c>
      <c r="AE48" t="e">
        <f t="shared" si="44"/>
        <v>#N/A</v>
      </c>
      <c r="AF48" t="e">
        <f t="shared" si="45"/>
        <v>#N/A</v>
      </c>
      <c r="AG48" t="e">
        <f t="shared" si="46"/>
        <v>#N/A</v>
      </c>
      <c r="AH48" t="e">
        <f t="shared" si="47"/>
        <v>#N/A</v>
      </c>
      <c r="AI48" t="e">
        <f t="shared" si="48"/>
        <v>#N/A</v>
      </c>
      <c r="AJ48" t="e">
        <f t="shared" si="49"/>
        <v>#N/A</v>
      </c>
    </row>
    <row r="49">
      <c r="A49" s="2" t="n">
        <v>46174</v>
      </c>
      <c r="B49"/>
      <c r="C49"/>
      <c r="D49" t="n">
        <v>147.5</v>
      </c>
      <c r="E49" t="n">
        <v>14756.8534456</v>
      </c>
      <c r="F49"/>
      <c r="G49" t="n">
        <v>0.0443404596118933</v>
      </c>
      <c r="H49" t="n">
        <v>0.667944264333333</v>
      </c>
      <c r="I49" t="n">
        <v>0.0441</v>
      </c>
      <c r="J49" t="n">
        <v>0.0492733333333333</v>
      </c>
      <c r="K49" t="s">
        <v>178</v>
      </c>
      <c r="L49" t="e">
        <f t="shared" si="25"/>
        <v>#N/A</v>
      </c>
      <c r="M49" t="e">
        <f t="shared" si="26"/>
        <v>#N/A</v>
      </c>
      <c r="N49" t="e">
        <f t="shared" si="27"/>
        <v>#N/A</v>
      </c>
      <c r="O49" t="n">
        <f t="shared" si="28"/>
        <v>0</v>
      </c>
      <c r="P49" t="n">
        <f t="shared" si="29"/>
        <v>0</v>
      </c>
      <c r="Q49" t="n">
        <f t="shared" si="30"/>
        <v>0</v>
      </c>
      <c r="R49" t="n">
        <f t="shared" si="31"/>
        <v>0</v>
      </c>
      <c r="S49" t="e">
        <f t="shared" si="32"/>
        <v>#N/A</v>
      </c>
      <c r="T49" t="e">
        <f t="shared" si="33"/>
        <v>#N/A</v>
      </c>
      <c r="U49" t="e">
        <f t="shared" si="34"/>
        <v>#N/A</v>
      </c>
      <c r="V49" t="e">
        <f t="shared" si="35"/>
        <v>#N/A</v>
      </c>
      <c r="W49" t="e">
        <f t="shared" si="36"/>
        <v>#N/A</v>
      </c>
      <c r="X49" t="e">
        <f t="shared" si="37"/>
        <v>#N/A</v>
      </c>
      <c r="Y49" t="e">
        <f t="shared" si="38"/>
        <v>#N/A</v>
      </c>
      <c r="Z49" t="e">
        <f t="shared" si="39"/>
        <v>#N/A</v>
      </c>
      <c r="AA49" t="e">
        <f t="shared" si="40"/>
        <v>#N/A</v>
      </c>
      <c r="AB49" t="e">
        <f t="shared" si="41"/>
        <v>#N/A</v>
      </c>
      <c r="AC49" t="e">
        <f t="shared" si="42"/>
        <v>#N/A</v>
      </c>
      <c r="AD49" t="e">
        <f t="shared" si="43"/>
        <v>#N/A</v>
      </c>
      <c r="AE49" t="e">
        <f t="shared" si="44"/>
        <v>#N/A</v>
      </c>
      <c r="AF49" t="e">
        <f t="shared" si="45"/>
        <v>#N/A</v>
      </c>
      <c r="AG49" t="e">
        <f t="shared" si="46"/>
        <v>#N/A</v>
      </c>
      <c r="AH49" t="e">
        <f t="shared" si="47"/>
        <v>#N/A</v>
      </c>
      <c r="AI49" t="e">
        <f t="shared" si="48"/>
        <v>#N/A</v>
      </c>
      <c r="AJ49" t="e">
        <f t="shared" si="49"/>
        <v>#N/A</v>
      </c>
    </row>
    <row r="50">
      <c r="A50" s="2" t="n">
        <v>46174</v>
      </c>
      <c r="B50" t="n">
        <v>704132.055984009</v>
      </c>
      <c r="C50" t="n">
        <v>362966.815723289</v>
      </c>
      <c r="D50" t="n">
        <v>148.246978513999</v>
      </c>
      <c r="E50" t="n">
        <v>14875.5153552457</v>
      </c>
      <c r="F50" t="n">
        <v>4354684.3554574</v>
      </c>
      <c r="G50" t="n">
        <v>0.0421785988397355</v>
      </c>
      <c r="H50" t="n">
        <v>0.668897178462775</v>
      </c>
      <c r="I50" t="n">
        <v>0.0487508300487732</v>
      </c>
      <c r="J50" t="n">
        <v>0.0421255316359192</v>
      </c>
      <c r="K50" t="s">
        <v>179</v>
      </c>
      <c r="L50" t="e">
        <f t="shared" si="25"/>
        <v>#N/A</v>
      </c>
      <c r="M50" t="e">
        <f t="shared" si="26"/>
        <v>#N/A</v>
      </c>
      <c r="N50" t="e">
        <f t="shared" si="27"/>
        <v>#N/A</v>
      </c>
      <c r="O50" t="n">
        <f t="shared" si="28"/>
        <v>0</v>
      </c>
      <c r="P50" t="n">
        <f t="shared" si="29"/>
        <v>0</v>
      </c>
      <c r="Q50" t="n">
        <f t="shared" si="30"/>
        <v>0</v>
      </c>
      <c r="R50" t="n">
        <f t="shared" si="31"/>
        <v>0</v>
      </c>
      <c r="S50" t="e">
        <f t="shared" si="32"/>
        <v>#N/A</v>
      </c>
      <c r="T50" t="e">
        <f t="shared" si="33"/>
        <v>#N/A</v>
      </c>
      <c r="U50" t="e">
        <f t="shared" si="34"/>
        <v>#N/A</v>
      </c>
      <c r="V50" t="e">
        <f t="shared" si="35"/>
        <v>#N/A</v>
      </c>
      <c r="W50" t="e">
        <f t="shared" si="36"/>
        <v>#N/A</v>
      </c>
      <c r="X50" t="e">
        <f t="shared" si="37"/>
        <v>#N/A</v>
      </c>
      <c r="Y50" t="e">
        <f t="shared" si="38"/>
        <v>#N/A</v>
      </c>
      <c r="Z50" t="e">
        <f t="shared" si="39"/>
        <v>#N/A</v>
      </c>
      <c r="AA50" t="e">
        <f t="shared" si="40"/>
        <v>#N/A</v>
      </c>
      <c r="AB50" t="e">
        <f t="shared" si="41"/>
        <v>#N/A</v>
      </c>
      <c r="AC50" t="e">
        <f t="shared" si="42"/>
        <v>#N/A</v>
      </c>
      <c r="AD50" t="e">
        <f t="shared" si="43"/>
        <v>#N/A</v>
      </c>
      <c r="AE50" t="e">
        <f t="shared" si="44"/>
        <v>#N/A</v>
      </c>
      <c r="AF50" t="e">
        <f t="shared" si="45"/>
        <v>#N/A</v>
      </c>
      <c r="AG50" t="e">
        <f t="shared" si="46"/>
        <v>#N/A</v>
      </c>
      <c r="AH50" t="e">
        <f t="shared" si="47"/>
        <v>#N/A</v>
      </c>
      <c r="AI50" t="e">
        <f t="shared" si="48"/>
        <v>#N/A</v>
      </c>
      <c r="AJ50" t="e">
        <f t="shared" si="49"/>
        <v>#N/A</v>
      </c>
    </row>
    <row r="51">
      <c r="A51" s="2" t="n">
        <v>46266</v>
      </c>
      <c r="B51"/>
      <c r="C51"/>
      <c r="D51"/>
      <c r="E51"/>
      <c r="F51"/>
      <c r="G51"/>
      <c r="H51"/>
      <c r="I51" t="n">
        <v>0.04495</v>
      </c>
      <c r="J51" t="n">
        <v>0.04919</v>
      </c>
      <c r="K51" t="s">
        <v>178</v>
      </c>
      <c r="L51" t="e">
        <f t="shared" si="25"/>
        <v>#N/A</v>
      </c>
      <c r="M51" t="e">
        <f t="shared" si="26"/>
        <v>#N/A</v>
      </c>
      <c r="N51" t="e">
        <f t="shared" si="27"/>
        <v>#N/A</v>
      </c>
      <c r="O51" t="n">
        <f t="shared" si="28"/>
        <v>0</v>
      </c>
      <c r="P51" t="n">
        <f t="shared" si="29"/>
        <v>0</v>
      </c>
      <c r="Q51" t="n">
        <f t="shared" si="30"/>
        <v>0</v>
      </c>
      <c r="R51" t="n">
        <f t="shared" si="31"/>
        <v>0</v>
      </c>
      <c r="S51" t="e">
        <f t="shared" si="32"/>
        <v>#N/A</v>
      </c>
      <c r="T51" t="e">
        <f t="shared" si="33"/>
        <v>#N/A</v>
      </c>
      <c r="U51" t="e">
        <f t="shared" si="34"/>
        <v>#N/A</v>
      </c>
      <c r="V51" t="e">
        <f t="shared" si="35"/>
        <v>#N/A</v>
      </c>
      <c r="W51" t="e">
        <f t="shared" si="36"/>
        <v>#N/A</v>
      </c>
      <c r="X51" t="e">
        <f t="shared" si="37"/>
        <v>#N/A</v>
      </c>
      <c r="Y51" t="e">
        <f t="shared" si="38"/>
        <v>#N/A</v>
      </c>
      <c r="Z51" t="e">
        <f t="shared" si="39"/>
        <v>#N/A</v>
      </c>
      <c r="AA51" t="e">
        <f t="shared" si="40"/>
        <v>#N/A</v>
      </c>
      <c r="AB51" t="e">
        <f t="shared" si="41"/>
        <v>#N/A</v>
      </c>
      <c r="AC51" t="e">
        <f t="shared" si="42"/>
        <v>#N/A</v>
      </c>
      <c r="AD51" t="e">
        <f t="shared" si="43"/>
        <v>#N/A</v>
      </c>
      <c r="AE51" t="e">
        <f t="shared" si="44"/>
        <v>#N/A</v>
      </c>
      <c r="AF51" t="e">
        <f t="shared" si="45"/>
        <v>#N/A</v>
      </c>
      <c r="AG51" t="e">
        <f t="shared" si="46"/>
        <v>#N/A</v>
      </c>
      <c r="AH51" t="e">
        <f t="shared" si="47"/>
        <v>#N/A</v>
      </c>
      <c r="AI51" t="e">
        <f t="shared" si="48"/>
        <v>#N/A</v>
      </c>
      <c r="AJ51" t="e">
        <f t="shared" si="49"/>
        <v>#N/A</v>
      </c>
    </row>
    <row r="52">
      <c r="A52" s="2" t="n">
        <v>46266</v>
      </c>
      <c r="B52" t="n">
        <v>714750.021573421</v>
      </c>
      <c r="C52" t="n">
        <v>366513.56131485</v>
      </c>
      <c r="D52" t="n">
        <v>150.071786547243</v>
      </c>
      <c r="E52" t="n">
        <v>14981.754526318</v>
      </c>
      <c r="F52" t="n">
        <v>4385748.14303785</v>
      </c>
      <c r="G52" t="n">
        <v>0.039601450334911</v>
      </c>
      <c r="H52" t="n">
        <v>0.669289317781248</v>
      </c>
      <c r="I52" t="n">
        <v>0.0577389160734196</v>
      </c>
      <c r="J52" t="n">
        <v>0.0429144945825906</v>
      </c>
      <c r="K52" t="s">
        <v>179</v>
      </c>
      <c r="L52" t="e">
        <f t="shared" si="25"/>
        <v>#N/A</v>
      </c>
      <c r="M52" t="e">
        <f t="shared" si="26"/>
        <v>#N/A</v>
      </c>
      <c r="N52" t="e">
        <f t="shared" si="27"/>
        <v>#N/A</v>
      </c>
      <c r="O52" t="n">
        <f t="shared" si="28"/>
        <v>0</v>
      </c>
      <c r="P52" t="n">
        <f t="shared" si="29"/>
        <v>0</v>
      </c>
      <c r="Q52" t="n">
        <f t="shared" si="30"/>
        <v>0</v>
      </c>
      <c r="R52" t="n">
        <f t="shared" si="31"/>
        <v>0</v>
      </c>
      <c r="S52" t="e">
        <f t="shared" si="32"/>
        <v>#N/A</v>
      </c>
      <c r="T52" t="e">
        <f t="shared" si="33"/>
        <v>#N/A</v>
      </c>
      <c r="U52" t="e">
        <f t="shared" si="34"/>
        <v>#N/A</v>
      </c>
      <c r="V52" t="e">
        <f t="shared" si="35"/>
        <v>#N/A</v>
      </c>
      <c r="W52" t="e">
        <f t="shared" si="36"/>
        <v>#N/A</v>
      </c>
      <c r="X52" t="e">
        <f t="shared" si="37"/>
        <v>#N/A</v>
      </c>
      <c r="Y52" t="e">
        <f t="shared" si="38"/>
        <v>#N/A</v>
      </c>
      <c r="Z52" t="e">
        <f t="shared" si="39"/>
        <v>#N/A</v>
      </c>
      <c r="AA52" t="e">
        <f t="shared" si="40"/>
        <v>#N/A</v>
      </c>
      <c r="AB52" t="e">
        <f t="shared" si="41"/>
        <v>#N/A</v>
      </c>
      <c r="AC52" t="e">
        <f t="shared" si="42"/>
        <v>#N/A</v>
      </c>
      <c r="AD52" t="e">
        <f t="shared" si="43"/>
        <v>#N/A</v>
      </c>
      <c r="AE52" t="e">
        <f t="shared" si="44"/>
        <v>#N/A</v>
      </c>
      <c r="AF52" t="e">
        <f t="shared" si="45"/>
        <v>#N/A</v>
      </c>
      <c r="AG52" t="e">
        <f t="shared" si="46"/>
        <v>#N/A</v>
      </c>
      <c r="AH52" t="e">
        <f t="shared" si="47"/>
        <v>#N/A</v>
      </c>
      <c r="AI52" t="e">
        <f t="shared" si="48"/>
        <v>#N/A</v>
      </c>
      <c r="AJ52" t="e">
        <f t="shared" si="49"/>
        <v>#N/A</v>
      </c>
    </row>
    <row r="53">
      <c r="A53" s="2" t="n">
        <v>46357</v>
      </c>
      <c r="B53" t="n">
        <v>719498.731692409</v>
      </c>
      <c r="C53" t="n">
        <v>369343.65653203</v>
      </c>
      <c r="D53" t="n">
        <v>151.922234841203</v>
      </c>
      <c r="E53" t="n">
        <v>15075.0817687218</v>
      </c>
      <c r="F53" t="n">
        <v>4408406.75066759</v>
      </c>
      <c r="G53" t="n">
        <v>0.0383648270973903</v>
      </c>
      <c r="H53" t="n">
        <v>0.670019318874565</v>
      </c>
      <c r="I53" t="n">
        <v>0.0653964703296235</v>
      </c>
      <c r="J53" t="n">
        <v>0.0441150310987217</v>
      </c>
      <c r="K53" t="s">
        <v>179</v>
      </c>
      <c r="L53" t="e">
        <f t="shared" si="25"/>
        <v>#N/A</v>
      </c>
      <c r="M53" t="e">
        <f t="shared" si="26"/>
        <v>#N/A</v>
      </c>
      <c r="N53" t="e">
        <f t="shared" si="27"/>
        <v>#N/A</v>
      </c>
      <c r="O53" t="n">
        <f t="shared" si="28"/>
        <v>0</v>
      </c>
      <c r="P53" t="n">
        <f t="shared" si="29"/>
        <v>0</v>
      </c>
      <c r="Q53" t="n">
        <f t="shared" si="30"/>
        <v>0</v>
      </c>
      <c r="R53" t="n">
        <f t="shared" si="31"/>
        <v>0</v>
      </c>
      <c r="S53" t="e">
        <f t="shared" si="32"/>
        <v>#N/A</v>
      </c>
      <c r="T53" t="e">
        <f t="shared" si="33"/>
        <v>#N/A</v>
      </c>
      <c r="U53" t="e">
        <f t="shared" si="34"/>
        <v>#N/A</v>
      </c>
      <c r="V53" t="e">
        <f t="shared" si="35"/>
        <v>#N/A</v>
      </c>
      <c r="W53" t="e">
        <f t="shared" si="36"/>
        <v>#N/A</v>
      </c>
      <c r="X53" t="e">
        <f t="shared" si="37"/>
        <v>#N/A</v>
      </c>
      <c r="Y53" t="e">
        <f t="shared" si="38"/>
        <v>#N/A</v>
      </c>
      <c r="Z53" t="e">
        <f t="shared" si="39"/>
        <v>#N/A</v>
      </c>
      <c r="AA53" t="e">
        <f t="shared" si="40"/>
        <v>#N/A</v>
      </c>
      <c r="AB53" t="e">
        <f t="shared" si="41"/>
        <v>#N/A</v>
      </c>
      <c r="AC53" t="e">
        <f t="shared" si="42"/>
        <v>#N/A</v>
      </c>
      <c r="AD53" t="e">
        <f t="shared" si="43"/>
        <v>#N/A</v>
      </c>
      <c r="AE53" t="e">
        <f t="shared" si="44"/>
        <v>#N/A</v>
      </c>
      <c r="AF53" t="e">
        <f t="shared" si="45"/>
        <v>#N/A</v>
      </c>
      <c r="AG53" t="e">
        <f t="shared" si="46"/>
        <v>#N/A</v>
      </c>
      <c r="AH53" t="e">
        <f t="shared" si="47"/>
        <v>#N/A</v>
      </c>
      <c r="AI53" t="e">
        <f t="shared" si="48"/>
        <v>#N/A</v>
      </c>
      <c r="AJ53" t="e">
        <f t="shared" si="49"/>
        <v>#N/A</v>
      </c>
    </row>
    <row r="54">
      <c r="A54" s="2" t="n">
        <v>46447</v>
      </c>
      <c r="B54" t="n">
        <v>724423.374010534</v>
      </c>
      <c r="C54" t="n">
        <v>371764.515144055</v>
      </c>
      <c r="D54" t="n">
        <v>153.814321481773</v>
      </c>
      <c r="E54" t="n">
        <v>15155.1216279783</v>
      </c>
      <c r="F54" t="n">
        <v>4424433.72011974</v>
      </c>
      <c r="G54" t="n">
        <v>0.0377576647260996</v>
      </c>
      <c r="H54" t="n">
        <v>0.670583167884301</v>
      </c>
      <c r="I54" t="n">
        <v>0.071071119062714</v>
      </c>
      <c r="J54" t="n">
        <v>0.0455787282507709</v>
      </c>
      <c r="K54" t="s">
        <v>179</v>
      </c>
      <c r="L54" t="e">
        <f t="shared" si="25"/>
        <v>#N/A</v>
      </c>
      <c r="M54" t="e">
        <f t="shared" si="26"/>
        <v>#N/A</v>
      </c>
      <c r="N54" t="e">
        <f t="shared" si="27"/>
        <v>#N/A</v>
      </c>
      <c r="O54" t="n">
        <f t="shared" si="28"/>
        <v>0</v>
      </c>
      <c r="P54" t="n">
        <f t="shared" si="29"/>
        <v>0</v>
      </c>
      <c r="Q54" t="n">
        <f t="shared" si="30"/>
        <v>0</v>
      </c>
      <c r="R54" t="n">
        <f t="shared" si="31"/>
        <v>0</v>
      </c>
      <c r="S54" t="e">
        <f t="shared" si="32"/>
        <v>#N/A</v>
      </c>
      <c r="T54" t="e">
        <f t="shared" si="33"/>
        <v>#N/A</v>
      </c>
      <c r="U54" t="e">
        <f t="shared" si="34"/>
        <v>#N/A</v>
      </c>
      <c r="V54" t="e">
        <f t="shared" si="35"/>
        <v>#N/A</v>
      </c>
      <c r="W54" t="e">
        <f t="shared" si="36"/>
        <v>#N/A</v>
      </c>
      <c r="X54" t="e">
        <f t="shared" si="37"/>
        <v>#N/A</v>
      </c>
      <c r="Y54" t="e">
        <f t="shared" si="38"/>
        <v>#N/A</v>
      </c>
      <c r="Z54" t="e">
        <f t="shared" si="39"/>
        <v>#N/A</v>
      </c>
      <c r="AA54" t="e">
        <f t="shared" si="40"/>
        <v>#N/A</v>
      </c>
      <c r="AB54" t="e">
        <f t="shared" si="41"/>
        <v>#N/A</v>
      </c>
      <c r="AC54" t="e">
        <f t="shared" si="42"/>
        <v>#N/A</v>
      </c>
      <c r="AD54" t="e">
        <f t="shared" si="43"/>
        <v>#N/A</v>
      </c>
      <c r="AE54" t="e">
        <f t="shared" si="44"/>
        <v>#N/A</v>
      </c>
      <c r="AF54" t="e">
        <f t="shared" si="45"/>
        <v>#N/A</v>
      </c>
      <c r="AG54" t="e">
        <f t="shared" si="46"/>
        <v>#N/A</v>
      </c>
      <c r="AH54" t="e">
        <f t="shared" si="47"/>
        <v>#N/A</v>
      </c>
      <c r="AI54" t="e">
        <f t="shared" si="48"/>
        <v>#N/A</v>
      </c>
      <c r="AJ54" t="e">
        <f t="shared" si="49"/>
        <v>#N/A</v>
      </c>
    </row>
    <row r="55">
      <c r="A55" s="2" t="n">
        <v>46539</v>
      </c>
      <c r="B55" t="n">
        <v>728989.507649247</v>
      </c>
      <c r="C55" t="n">
        <v>373741.073389824</v>
      </c>
      <c r="D55" t="n">
        <v>155.7401265663</v>
      </c>
      <c r="E55" t="n">
        <v>15222.3257128973</v>
      </c>
      <c r="F55" t="n">
        <v>4434603.36342379</v>
      </c>
      <c r="G55" t="n">
        <v>0.0375282277070139</v>
      </c>
      <c r="H55" t="n">
        <v>0.67083355469851</v>
      </c>
      <c r="I55" t="n">
        <v>0.0756460953604322</v>
      </c>
      <c r="J55" t="n">
        <v>0.0472209081544774</v>
      </c>
      <c r="K55" t="s">
        <v>179</v>
      </c>
      <c r="L55" t="e">
        <f t="shared" si="25"/>
        <v>#N/A</v>
      </c>
      <c r="M55" t="e">
        <f t="shared" si="26"/>
        <v>#N/A</v>
      </c>
      <c r="N55" t="e">
        <f t="shared" si="27"/>
        <v>#N/A</v>
      </c>
      <c r="O55" t="n">
        <f t="shared" si="28"/>
        <v>0</v>
      </c>
      <c r="P55" t="n">
        <f t="shared" si="29"/>
        <v>0</v>
      </c>
      <c r="Q55" t="n">
        <f t="shared" si="30"/>
        <v>0</v>
      </c>
      <c r="R55" t="n">
        <f t="shared" si="31"/>
        <v>0</v>
      </c>
      <c r="S55" t="e">
        <f t="shared" si="32"/>
        <v>#N/A</v>
      </c>
      <c r="T55" t="e">
        <f t="shared" si="33"/>
        <v>#N/A</v>
      </c>
      <c r="U55" t="e">
        <f t="shared" si="34"/>
        <v>#N/A</v>
      </c>
      <c r="V55" t="e">
        <f t="shared" si="35"/>
        <v>#N/A</v>
      </c>
      <c r="W55" t="e">
        <f t="shared" si="36"/>
        <v>#N/A</v>
      </c>
      <c r="X55" t="e">
        <f t="shared" si="37"/>
        <v>#N/A</v>
      </c>
      <c r="Y55" t="e">
        <f t="shared" si="38"/>
        <v>#N/A</v>
      </c>
      <c r="Z55" t="e">
        <f t="shared" si="39"/>
        <v>#N/A</v>
      </c>
      <c r="AA55" t="e">
        <f t="shared" si="40"/>
        <v>#N/A</v>
      </c>
      <c r="AB55" t="e">
        <f t="shared" si="41"/>
        <v>#N/A</v>
      </c>
      <c r="AC55" t="e">
        <f t="shared" si="42"/>
        <v>#N/A</v>
      </c>
      <c r="AD55" t="e">
        <f t="shared" si="43"/>
        <v>#N/A</v>
      </c>
      <c r="AE55" t="e">
        <f t="shared" si="44"/>
        <v>#N/A</v>
      </c>
      <c r="AF55" t="e">
        <f t="shared" si="45"/>
        <v>#N/A</v>
      </c>
      <c r="AG55" t="e">
        <f t="shared" si="46"/>
        <v>#N/A</v>
      </c>
      <c r="AH55" t="e">
        <f t="shared" si="47"/>
        <v>#N/A</v>
      </c>
      <c r="AI55" t="e">
        <f t="shared" si="48"/>
        <v>#N/A</v>
      </c>
      <c r="AJ55" t="e">
        <f t="shared" si="49"/>
        <v>#N/A</v>
      </c>
    </row>
    <row r="56">
      <c r="A56" s="2" t="n">
        <v>46631</v>
      </c>
      <c r="B56" t="n">
        <v>732449.466179321</v>
      </c>
      <c r="C56" t="n">
        <v>375470.918781582</v>
      </c>
      <c r="D56" t="n">
        <v>157.671477678942</v>
      </c>
      <c r="E56" t="n">
        <v>15276.2876915861</v>
      </c>
      <c r="F56" t="n">
        <v>4437508.75285939</v>
      </c>
      <c r="G56" t="n">
        <v>0.0379136900922971</v>
      </c>
      <c r="H56" t="n">
        <v>0.671046577454215</v>
      </c>
      <c r="I56" t="n">
        <v>0.0782042206508805</v>
      </c>
      <c r="J56" t="n">
        <v>0.0489069299112585</v>
      </c>
      <c r="K56" t="s">
        <v>179</v>
      </c>
      <c r="L56" t="e">
        <f t="shared" si="25"/>
        <v>#N/A</v>
      </c>
      <c r="M56" t="e">
        <f t="shared" si="26"/>
        <v>#N/A</v>
      </c>
      <c r="N56" t="e">
        <f t="shared" si="27"/>
        <v>#N/A</v>
      </c>
      <c r="O56" t="n">
        <f t="shared" si="28"/>
        <v>0</v>
      </c>
      <c r="P56" t="n">
        <f t="shared" si="29"/>
        <v>0</v>
      </c>
      <c r="Q56" t="n">
        <f t="shared" si="30"/>
        <v>0</v>
      </c>
      <c r="R56" t="n">
        <f t="shared" si="31"/>
        <v>0</v>
      </c>
      <c r="S56" t="e">
        <f t="shared" si="32"/>
        <v>#N/A</v>
      </c>
      <c r="T56" t="e">
        <f t="shared" si="33"/>
        <v>#N/A</v>
      </c>
      <c r="U56" t="e">
        <f t="shared" si="34"/>
        <v>#N/A</v>
      </c>
      <c r="V56" t="e">
        <f t="shared" si="35"/>
        <v>#N/A</v>
      </c>
      <c r="W56" t="e">
        <f t="shared" si="36"/>
        <v>#N/A</v>
      </c>
      <c r="X56" t="e">
        <f t="shared" si="37"/>
        <v>#N/A</v>
      </c>
      <c r="Y56" t="e">
        <f t="shared" si="38"/>
        <v>#N/A</v>
      </c>
      <c r="Z56" t="e">
        <f t="shared" si="39"/>
        <v>#N/A</v>
      </c>
      <c r="AA56" t="e">
        <f t="shared" si="40"/>
        <v>#N/A</v>
      </c>
      <c r="AB56" t="e">
        <f t="shared" si="41"/>
        <v>#N/A</v>
      </c>
      <c r="AC56" t="e">
        <f t="shared" si="42"/>
        <v>#N/A</v>
      </c>
      <c r="AD56" t="e">
        <f t="shared" si="43"/>
        <v>#N/A</v>
      </c>
      <c r="AE56" t="e">
        <f t="shared" si="44"/>
        <v>#N/A</v>
      </c>
      <c r="AF56" t="e">
        <f t="shared" si="45"/>
        <v>#N/A</v>
      </c>
      <c r="AG56" t="e">
        <f t="shared" si="46"/>
        <v>#N/A</v>
      </c>
      <c r="AH56" t="e">
        <f t="shared" si="47"/>
        <v>#N/A</v>
      </c>
      <c r="AI56" t="e">
        <f t="shared" si="48"/>
        <v>#N/A</v>
      </c>
      <c r="AJ56" t="e">
        <f t="shared" si="49"/>
        <v>#N/A</v>
      </c>
    </row>
    <row r="57">
      <c r="A57" s="2" t="n">
        <v>46722</v>
      </c>
      <c r="B57" t="n">
        <v>736348.54674915</v>
      </c>
      <c r="C57" t="n">
        <v>377283.567466032</v>
      </c>
      <c r="D57" t="n">
        <v>159.601649428925</v>
      </c>
      <c r="E57" t="n">
        <v>15323.2132188084</v>
      </c>
      <c r="F57" t="n">
        <v>4437318.02555719</v>
      </c>
      <c r="G57" t="n">
        <v>0.0384670586359749</v>
      </c>
      <c r="H57" t="n">
        <v>0.671066602822236</v>
      </c>
      <c r="I57" t="n">
        <v>0.0795699053926581</v>
      </c>
      <c r="J57" t="n">
        <v>0.0505613788619618</v>
      </c>
      <c r="K57" t="s">
        <v>179</v>
      </c>
      <c r="L57" t="e">
        <f t="shared" si="25"/>
        <v>#N/A</v>
      </c>
      <c r="M57" t="e">
        <f t="shared" si="26"/>
        <v>#N/A</v>
      </c>
      <c r="N57" t="e">
        <f t="shared" si="27"/>
        <v>#N/A</v>
      </c>
      <c r="O57" t="n">
        <f t="shared" si="28"/>
        <v>0</v>
      </c>
      <c r="P57" t="n">
        <f t="shared" si="29"/>
        <v>0</v>
      </c>
      <c r="Q57" t="n">
        <f t="shared" si="30"/>
        <v>0</v>
      </c>
      <c r="R57" t="n">
        <f t="shared" si="31"/>
        <v>0</v>
      </c>
      <c r="S57" t="e">
        <f t="shared" si="32"/>
        <v>#N/A</v>
      </c>
      <c r="T57" t="e">
        <f t="shared" si="33"/>
        <v>#N/A</v>
      </c>
      <c r="U57" t="e">
        <f t="shared" si="34"/>
        <v>#N/A</v>
      </c>
      <c r="V57" t="e">
        <f t="shared" si="35"/>
        <v>#N/A</v>
      </c>
      <c r="W57" t="e">
        <f t="shared" si="36"/>
        <v>#N/A</v>
      </c>
      <c r="X57" t="e">
        <f t="shared" si="37"/>
        <v>#N/A</v>
      </c>
      <c r="Y57" t="e">
        <f t="shared" si="38"/>
        <v>#N/A</v>
      </c>
      <c r="Z57" t="e">
        <f t="shared" si="39"/>
        <v>#N/A</v>
      </c>
      <c r="AA57" t="e">
        <f t="shared" si="40"/>
        <v>#N/A</v>
      </c>
      <c r="AB57" t="e">
        <f t="shared" si="41"/>
        <v>#N/A</v>
      </c>
      <c r="AC57" t="e">
        <f t="shared" si="42"/>
        <v>#N/A</v>
      </c>
      <c r="AD57" t="e">
        <f t="shared" si="43"/>
        <v>#N/A</v>
      </c>
      <c r="AE57" t="e">
        <f t="shared" si="44"/>
        <v>#N/A</v>
      </c>
      <c r="AF57" t="e">
        <f t="shared" si="45"/>
        <v>#N/A</v>
      </c>
      <c r="AG57" t="e">
        <f t="shared" si="46"/>
        <v>#N/A</v>
      </c>
      <c r="AH57" t="e">
        <f t="shared" si="47"/>
        <v>#N/A</v>
      </c>
      <c r="AI57" t="e">
        <f t="shared" si="48"/>
        <v>#N/A</v>
      </c>
      <c r="AJ57" t="e">
        <f t="shared" si="49"/>
        <v>#N/A</v>
      </c>
    </row>
    <row r="58">
      <c r="A58" s="2" t="n">
        <v>46813</v>
      </c>
      <c r="B58" t="n">
        <v>740122.999693959</v>
      </c>
      <c r="C58" t="n">
        <v>379125.691403618</v>
      </c>
      <c r="D58" t="n">
        <v>161.516062281551</v>
      </c>
      <c r="E58" t="n">
        <v>15365.5244142257</v>
      </c>
      <c r="F58" t="n">
        <v>4434710.63069253</v>
      </c>
      <c r="G58" t="n">
        <v>0.0392118206718482</v>
      </c>
      <c r="H58" t="n">
        <v>0.671018836037757</v>
      </c>
      <c r="I58" t="n">
        <v>0.0797187810770761</v>
      </c>
      <c r="J58" t="n">
        <v>0.0521124830446222</v>
      </c>
      <c r="K58" t="s">
        <v>179</v>
      </c>
      <c r="L58" t="e">
        <f t="shared" si="25"/>
        <v>#N/A</v>
      </c>
      <c r="M58" t="e">
        <f t="shared" si="26"/>
        <v>#N/A</v>
      </c>
      <c r="N58" t="e">
        <f t="shared" si="27"/>
        <v>#N/A</v>
      </c>
      <c r="O58" t="n">
        <f t="shared" si="28"/>
        <v>0</v>
      </c>
      <c r="P58" t="n">
        <f t="shared" si="29"/>
        <v>0</v>
      </c>
      <c r="Q58" t="n">
        <f t="shared" si="30"/>
        <v>0</v>
      </c>
      <c r="R58" t="n">
        <f t="shared" si="31"/>
        <v>0</v>
      </c>
      <c r="S58" t="e">
        <f t="shared" si="32"/>
        <v>#N/A</v>
      </c>
      <c r="T58" t="e">
        <f t="shared" si="33"/>
        <v>#N/A</v>
      </c>
      <c r="U58" t="e">
        <f t="shared" si="34"/>
        <v>#N/A</v>
      </c>
      <c r="V58" t="e">
        <f t="shared" si="35"/>
        <v>#N/A</v>
      </c>
      <c r="W58" t="e">
        <f t="shared" si="36"/>
        <v>#N/A</v>
      </c>
      <c r="X58" t="e">
        <f t="shared" si="37"/>
        <v>#N/A</v>
      </c>
      <c r="Y58" t="e">
        <f t="shared" si="38"/>
        <v>#N/A</v>
      </c>
      <c r="Z58" t="e">
        <f t="shared" si="39"/>
        <v>#N/A</v>
      </c>
      <c r="AA58" t="e">
        <f t="shared" si="40"/>
        <v>#N/A</v>
      </c>
      <c r="AB58" t="e">
        <f t="shared" si="41"/>
        <v>#N/A</v>
      </c>
      <c r="AC58" t="e">
        <f t="shared" si="42"/>
        <v>#N/A</v>
      </c>
      <c r="AD58" t="e">
        <f t="shared" si="43"/>
        <v>#N/A</v>
      </c>
      <c r="AE58" t="e">
        <f t="shared" si="44"/>
        <v>#N/A</v>
      </c>
      <c r="AF58" t="e">
        <f t="shared" si="45"/>
        <v>#N/A</v>
      </c>
      <c r="AG58" t="e">
        <f t="shared" si="46"/>
        <v>#N/A</v>
      </c>
      <c r="AH58" t="e">
        <f t="shared" si="47"/>
        <v>#N/A</v>
      </c>
      <c r="AI58" t="e">
        <f t="shared" si="48"/>
        <v>#N/A</v>
      </c>
      <c r="AJ58" t="e">
        <f t="shared" si="49"/>
        <v>#N/A</v>
      </c>
    </row>
    <row r="59">
      <c r="A59" s="2" t="n">
        <v>46905</v>
      </c>
      <c r="B59" t="n">
        <v>743788.40869606</v>
      </c>
      <c r="C59" t="n">
        <v>380784.317869581</v>
      </c>
      <c r="D59" t="n">
        <v>163.39466789876</v>
      </c>
      <c r="E59" t="n">
        <v>15403.5976853831</v>
      </c>
      <c r="F59" t="n">
        <v>4430092.43448003</v>
      </c>
      <c r="G59" t="n">
        <v>0.0401018528669038</v>
      </c>
      <c r="H59" t="n">
        <v>0.67088942289252</v>
      </c>
      <c r="I59" t="n">
        <v>0.0786957917261237</v>
      </c>
      <c r="J59" t="n">
        <v>0.0534960762270323</v>
      </c>
      <c r="K59" t="s">
        <v>179</v>
      </c>
      <c r="L59" t="e">
        <f t="shared" si="25"/>
        <v>#N/A</v>
      </c>
      <c r="M59" t="e">
        <f t="shared" si="26"/>
        <v>#N/A</v>
      </c>
      <c r="N59" t="e">
        <f t="shared" si="27"/>
        <v>#N/A</v>
      </c>
      <c r="O59" t="n">
        <f t="shared" si="28"/>
        <v>0</v>
      </c>
      <c r="P59" t="n">
        <f t="shared" si="29"/>
        <v>0</v>
      </c>
      <c r="Q59" t="n">
        <f t="shared" si="30"/>
        <v>0</v>
      </c>
      <c r="R59" t="n">
        <f t="shared" si="31"/>
        <v>0</v>
      </c>
      <c r="S59" t="e">
        <f t="shared" si="32"/>
        <v>#N/A</v>
      </c>
      <c r="T59" t="e">
        <f t="shared" si="33"/>
        <v>#N/A</v>
      </c>
      <c r="U59" t="e">
        <f t="shared" si="34"/>
        <v>#N/A</v>
      </c>
      <c r="V59" t="e">
        <f t="shared" si="35"/>
        <v>#N/A</v>
      </c>
      <c r="W59" t="e">
        <f t="shared" si="36"/>
        <v>#N/A</v>
      </c>
      <c r="X59" t="e">
        <f t="shared" si="37"/>
        <v>#N/A</v>
      </c>
      <c r="Y59" t="e">
        <f t="shared" si="38"/>
        <v>#N/A</v>
      </c>
      <c r="Z59" t="e">
        <f t="shared" si="39"/>
        <v>#N/A</v>
      </c>
      <c r="AA59" t="e">
        <f t="shared" si="40"/>
        <v>#N/A</v>
      </c>
      <c r="AB59" t="e">
        <f t="shared" si="41"/>
        <v>#N/A</v>
      </c>
      <c r="AC59" t="e">
        <f t="shared" si="42"/>
        <v>#N/A</v>
      </c>
      <c r="AD59" t="e">
        <f t="shared" si="43"/>
        <v>#N/A</v>
      </c>
      <c r="AE59" t="e">
        <f t="shared" si="44"/>
        <v>#N/A</v>
      </c>
      <c r="AF59" t="e">
        <f t="shared" si="45"/>
        <v>#N/A</v>
      </c>
      <c r="AG59" t="e">
        <f t="shared" si="46"/>
        <v>#N/A</v>
      </c>
      <c r="AH59" t="e">
        <f t="shared" si="47"/>
        <v>#N/A</v>
      </c>
      <c r="AI59" t="e">
        <f t="shared" si="48"/>
        <v>#N/A</v>
      </c>
      <c r="AJ59" t="e">
        <f t="shared" si="49"/>
        <v>#N/A</v>
      </c>
    </row>
    <row r="60">
      <c r="A60" s="2" t="n">
        <v>46997</v>
      </c>
      <c r="B60" t="n">
        <v>746239.627935882</v>
      </c>
      <c r="C60" t="n">
        <v>382307.490345511</v>
      </c>
      <c r="D60" t="n">
        <v>165.242238262515</v>
      </c>
      <c r="E60" t="n">
        <v>15429.3415231498</v>
      </c>
      <c r="F60" t="n">
        <v>4421305.86637866</v>
      </c>
      <c r="G60" t="n">
        <v>0.041584336870502</v>
      </c>
      <c r="H60" t="n">
        <v>0.670675377966698</v>
      </c>
      <c r="I60" t="n">
        <v>0.0759125952791328</v>
      </c>
      <c r="J60" t="n">
        <v>0.0546166114098969</v>
      </c>
      <c r="K60" t="s">
        <v>179</v>
      </c>
      <c r="L60" t="e">
        <f t="shared" si="25"/>
        <v>#N/A</v>
      </c>
      <c r="M60" t="e">
        <f t="shared" si="26"/>
        <v>#N/A</v>
      </c>
      <c r="N60" t="e">
        <f t="shared" si="27"/>
        <v>#N/A</v>
      </c>
      <c r="O60" t="n">
        <f t="shared" si="28"/>
        <v>0</v>
      </c>
      <c r="P60" t="n">
        <f t="shared" si="29"/>
        <v>0</v>
      </c>
      <c r="Q60" t="n">
        <f t="shared" si="30"/>
        <v>0</v>
      </c>
      <c r="R60" t="n">
        <f t="shared" si="31"/>
        <v>0</v>
      </c>
      <c r="S60" t="e">
        <f t="shared" si="32"/>
        <v>#N/A</v>
      </c>
      <c r="T60" t="e">
        <f t="shared" si="33"/>
        <v>#N/A</v>
      </c>
      <c r="U60" t="e">
        <f t="shared" si="34"/>
        <v>#N/A</v>
      </c>
      <c r="V60" t="e">
        <f t="shared" si="35"/>
        <v>#N/A</v>
      </c>
      <c r="W60" t="e">
        <f t="shared" si="36"/>
        <v>#N/A</v>
      </c>
      <c r="X60" t="e">
        <f t="shared" si="37"/>
        <v>#N/A</v>
      </c>
      <c r="Y60" t="e">
        <f t="shared" si="38"/>
        <v>#N/A</v>
      </c>
      <c r="Z60" t="e">
        <f t="shared" si="39"/>
        <v>#N/A</v>
      </c>
      <c r="AA60" t="e">
        <f t="shared" si="40"/>
        <v>#N/A</v>
      </c>
      <c r="AB60" t="e">
        <f t="shared" si="41"/>
        <v>#N/A</v>
      </c>
      <c r="AC60" t="e">
        <f t="shared" si="42"/>
        <v>#N/A</v>
      </c>
      <c r="AD60" t="e">
        <f t="shared" si="43"/>
        <v>#N/A</v>
      </c>
      <c r="AE60" t="e">
        <f t="shared" si="44"/>
        <v>#N/A</v>
      </c>
      <c r="AF60" t="e">
        <f t="shared" si="45"/>
        <v>#N/A</v>
      </c>
      <c r="AG60" t="e">
        <f t="shared" si="46"/>
        <v>#N/A</v>
      </c>
      <c r="AH60" t="e">
        <f t="shared" si="47"/>
        <v>#N/A</v>
      </c>
      <c r="AI60" t="e">
        <f t="shared" si="48"/>
        <v>#N/A</v>
      </c>
      <c r="AJ60" t="e">
        <f t="shared" si="49"/>
        <v>#N/A</v>
      </c>
    </row>
    <row r="61">
      <c r="A61" s="2" t="n">
        <v>47088</v>
      </c>
      <c r="B61" t="n">
        <v>749171.237096983</v>
      </c>
      <c r="C61" t="n">
        <v>384059.18819393</v>
      </c>
      <c r="D61" t="n">
        <v>167.069663394763</v>
      </c>
      <c r="E61" t="n">
        <v>15452.5589983592</v>
      </c>
      <c r="F61" t="n">
        <v>4412361.23512441</v>
      </c>
      <c r="G61" t="n">
        <v>0.0430282999846384</v>
      </c>
      <c r="H61" t="n">
        <v>0.670330680446722</v>
      </c>
      <c r="I61" t="n">
        <v>0.0724872179027902</v>
      </c>
      <c r="J61" t="n">
        <v>0.0554529482333417</v>
      </c>
      <c r="K61" t="s">
        <v>179</v>
      </c>
      <c r="L61" t="e">
        <f t="shared" si="25"/>
        <v>#N/A</v>
      </c>
      <c r="M61" t="e">
        <f t="shared" si="26"/>
        <v>#N/A</v>
      </c>
      <c r="N61" t="e">
        <f t="shared" si="27"/>
        <v>#N/A</v>
      </c>
      <c r="O61" t="n">
        <f t="shared" si="28"/>
        <v>0</v>
      </c>
      <c r="P61" t="n">
        <f t="shared" si="29"/>
        <v>0</v>
      </c>
      <c r="Q61" t="n">
        <f t="shared" si="30"/>
        <v>0</v>
      </c>
      <c r="R61" t="n">
        <f t="shared" si="31"/>
        <v>0</v>
      </c>
      <c r="S61" t="e">
        <f t="shared" si="32"/>
        <v>#N/A</v>
      </c>
      <c r="T61" t="e">
        <f t="shared" si="33"/>
        <v>#N/A</v>
      </c>
      <c r="U61" t="e">
        <f t="shared" si="34"/>
        <v>#N/A</v>
      </c>
      <c r="V61" t="e">
        <f t="shared" si="35"/>
        <v>#N/A</v>
      </c>
      <c r="W61" t="e">
        <f t="shared" si="36"/>
        <v>#N/A</v>
      </c>
      <c r="X61" t="e">
        <f t="shared" si="37"/>
        <v>#N/A</v>
      </c>
      <c r="Y61" t="e">
        <f t="shared" si="38"/>
        <v>#N/A</v>
      </c>
      <c r="Z61" t="e">
        <f t="shared" si="39"/>
        <v>#N/A</v>
      </c>
      <c r="AA61" t="e">
        <f t="shared" si="40"/>
        <v>#N/A</v>
      </c>
      <c r="AB61" t="e">
        <f t="shared" si="41"/>
        <v>#N/A</v>
      </c>
      <c r="AC61" t="e">
        <f t="shared" si="42"/>
        <v>#N/A</v>
      </c>
      <c r="AD61" t="e">
        <f t="shared" si="43"/>
        <v>#N/A</v>
      </c>
      <c r="AE61" t="e">
        <f t="shared" si="44"/>
        <v>#N/A</v>
      </c>
      <c r="AF61" t="e">
        <f t="shared" si="45"/>
        <v>#N/A</v>
      </c>
      <c r="AG61" t="e">
        <f t="shared" si="46"/>
        <v>#N/A</v>
      </c>
      <c r="AH61" t="e">
        <f t="shared" si="47"/>
        <v>#N/A</v>
      </c>
      <c r="AI61" t="e">
        <f t="shared" si="48"/>
        <v>#N/A</v>
      </c>
      <c r="AJ61" t="e">
        <f t="shared" si="49"/>
        <v>#N/A</v>
      </c>
    </row>
    <row r="62">
      <c r="A62" s="2" t="n">
        <v>47178</v>
      </c>
      <c r="B62" t="n">
        <v>752159.512213833</v>
      </c>
      <c r="C62" t="n">
        <v>386011.016192965</v>
      </c>
      <c r="D62" t="n">
        <v>168.876185763166</v>
      </c>
      <c r="E62" t="n">
        <v>15475.904271072</v>
      </c>
      <c r="F62" t="n">
        <v>4404295.69502573</v>
      </c>
      <c r="G62" t="n">
        <v>0.0443833674735848</v>
      </c>
      <c r="H62" t="n">
        <v>0.669935462460628</v>
      </c>
      <c r="I62" t="n">
        <v>0.0687086049537369</v>
      </c>
      <c r="J62" t="n">
        <v>0.0560029348060052</v>
      </c>
      <c r="K62" t="s">
        <v>179</v>
      </c>
      <c r="L62" t="e">
        <f t="shared" si="25"/>
        <v>#N/A</v>
      </c>
      <c r="M62" t="e">
        <f t="shared" si="26"/>
        <v>#N/A</v>
      </c>
      <c r="N62" t="e">
        <f t="shared" si="27"/>
        <v>#N/A</v>
      </c>
      <c r="O62" t="n">
        <f t="shared" si="28"/>
        <v>0</v>
      </c>
      <c r="P62" t="n">
        <f t="shared" si="29"/>
        <v>0</v>
      </c>
      <c r="Q62" t="n">
        <f t="shared" si="30"/>
        <v>0</v>
      </c>
      <c r="R62" t="n">
        <f t="shared" si="31"/>
        <v>0</v>
      </c>
      <c r="S62" t="e">
        <f t="shared" si="32"/>
        <v>#N/A</v>
      </c>
      <c r="T62" t="e">
        <f t="shared" si="33"/>
        <v>#N/A</v>
      </c>
      <c r="U62" t="e">
        <f t="shared" si="34"/>
        <v>#N/A</v>
      </c>
      <c r="V62" t="e">
        <f t="shared" si="35"/>
        <v>#N/A</v>
      </c>
      <c r="W62" t="e">
        <f t="shared" si="36"/>
        <v>#N/A</v>
      </c>
      <c r="X62" t="e">
        <f t="shared" si="37"/>
        <v>#N/A</v>
      </c>
      <c r="Y62" t="e">
        <f t="shared" si="38"/>
        <v>#N/A</v>
      </c>
      <c r="Z62" t="e">
        <f t="shared" si="39"/>
        <v>#N/A</v>
      </c>
      <c r="AA62" t="e">
        <f t="shared" si="40"/>
        <v>#N/A</v>
      </c>
      <c r="AB62" t="e">
        <f t="shared" si="41"/>
        <v>#N/A</v>
      </c>
      <c r="AC62" t="e">
        <f t="shared" si="42"/>
        <v>#N/A</v>
      </c>
      <c r="AD62" t="e">
        <f t="shared" si="43"/>
        <v>#N/A</v>
      </c>
      <c r="AE62" t="e">
        <f t="shared" si="44"/>
        <v>#N/A</v>
      </c>
      <c r="AF62" t="e">
        <f t="shared" si="45"/>
        <v>#N/A</v>
      </c>
      <c r="AG62" t="e">
        <f t="shared" si="46"/>
        <v>#N/A</v>
      </c>
      <c r="AH62" t="e">
        <f t="shared" si="47"/>
        <v>#N/A</v>
      </c>
      <c r="AI62" t="e">
        <f t="shared" si="48"/>
        <v>#N/A</v>
      </c>
      <c r="AJ62" t="e">
        <f t="shared" si="49"/>
        <v>#N/A</v>
      </c>
    </row>
    <row r="63">
      <c r="A63" s="2" t="n">
        <v>47270</v>
      </c>
      <c r="B63" t="n">
        <v>754653.664396219</v>
      </c>
      <c r="C63" t="n">
        <v>387799.538502192</v>
      </c>
      <c r="D63" t="n">
        <v>170.659398523144</v>
      </c>
      <c r="E63" t="n">
        <v>15497.7356650074</v>
      </c>
      <c r="F63" t="n">
        <v>4395837.37305615</v>
      </c>
      <c r="G63" t="n">
        <v>0.0457941454911124</v>
      </c>
      <c r="H63" t="n">
        <v>0.669520034157097</v>
      </c>
      <c r="I63" t="n">
        <v>0.0645659221147493</v>
      </c>
      <c r="J63" t="n">
        <v>0.056263907271267</v>
      </c>
      <c r="K63" t="s">
        <v>179</v>
      </c>
      <c r="L63" t="e">
        <f t="shared" si="25"/>
        <v>#N/A</v>
      </c>
      <c r="M63" t="e">
        <f t="shared" si="26"/>
        <v>#N/A</v>
      </c>
      <c r="N63" t="e">
        <f t="shared" si="27"/>
        <v>#N/A</v>
      </c>
      <c r="O63" t="n">
        <f t="shared" si="28"/>
        <v>0</v>
      </c>
      <c r="P63" t="n">
        <f t="shared" si="29"/>
        <v>0</v>
      </c>
      <c r="Q63" t="n">
        <f t="shared" si="30"/>
        <v>0</v>
      </c>
      <c r="R63" t="n">
        <f t="shared" si="31"/>
        <v>0</v>
      </c>
      <c r="S63" t="e">
        <f t="shared" si="32"/>
        <v>#N/A</v>
      </c>
      <c r="T63" t="e">
        <f t="shared" si="33"/>
        <v>#N/A</v>
      </c>
      <c r="U63" t="e">
        <f t="shared" si="34"/>
        <v>#N/A</v>
      </c>
      <c r="V63" t="e">
        <f t="shared" si="35"/>
        <v>#N/A</v>
      </c>
      <c r="W63" t="e">
        <f t="shared" si="36"/>
        <v>#N/A</v>
      </c>
      <c r="X63" t="e">
        <f t="shared" si="37"/>
        <v>#N/A</v>
      </c>
      <c r="Y63" t="e">
        <f t="shared" si="38"/>
        <v>#N/A</v>
      </c>
      <c r="Z63" t="e">
        <f t="shared" si="39"/>
        <v>#N/A</v>
      </c>
      <c r="AA63" t="e">
        <f t="shared" si="40"/>
        <v>#N/A</v>
      </c>
      <c r="AB63" t="e">
        <f t="shared" si="41"/>
        <v>#N/A</v>
      </c>
      <c r="AC63" t="e">
        <f t="shared" si="42"/>
        <v>#N/A</v>
      </c>
      <c r="AD63" t="e">
        <f t="shared" si="43"/>
        <v>#N/A</v>
      </c>
      <c r="AE63" t="e">
        <f t="shared" si="44"/>
        <v>#N/A</v>
      </c>
      <c r="AF63" t="e">
        <f t="shared" si="45"/>
        <v>#N/A</v>
      </c>
      <c r="AG63" t="e">
        <f t="shared" si="46"/>
        <v>#N/A</v>
      </c>
      <c r="AH63" t="e">
        <f t="shared" si="47"/>
        <v>#N/A</v>
      </c>
      <c r="AI63" t="e">
        <f t="shared" si="48"/>
        <v>#N/A</v>
      </c>
      <c r="AJ63" t="e">
        <f t="shared" si="49"/>
        <v>#N/A</v>
      </c>
    </row>
    <row r="64">
      <c r="A64" s="2" t="n">
        <v>47362</v>
      </c>
      <c r="B64" t="n">
        <v>757361.091511131</v>
      </c>
      <c r="C64" t="n">
        <v>389804.350803684</v>
      </c>
      <c r="D64" t="n">
        <v>172.432569548588</v>
      </c>
      <c r="E64" t="n">
        <v>15519.973628704</v>
      </c>
      <c r="F64" t="n">
        <v>4388512.41862765</v>
      </c>
      <c r="G64" t="n">
        <v>0.0470249214543294</v>
      </c>
      <c r="H64" t="n">
        <v>0.669085946566653</v>
      </c>
      <c r="I64" t="n">
        <v>0.0606014134008382</v>
      </c>
      <c r="J64" t="n">
        <v>0.0562663220875256</v>
      </c>
      <c r="K64" t="s">
        <v>179</v>
      </c>
      <c r="L64" t="e">
        <f t="shared" si="25"/>
        <v>#N/A</v>
      </c>
      <c r="M64" t="e">
        <f t="shared" si="26"/>
        <v>#N/A</v>
      </c>
      <c r="N64" t="e">
        <f t="shared" si="27"/>
        <v>#N/A</v>
      </c>
      <c r="O64" t="n">
        <f t="shared" si="28"/>
        <v>0</v>
      </c>
      <c r="P64" t="n">
        <f t="shared" si="29"/>
        <v>0</v>
      </c>
      <c r="Q64" t="n">
        <f t="shared" si="30"/>
        <v>0</v>
      </c>
      <c r="R64" t="n">
        <f t="shared" si="31"/>
        <v>0</v>
      </c>
      <c r="S64" t="e">
        <f t="shared" si="32"/>
        <v>#N/A</v>
      </c>
      <c r="T64" t="e">
        <f t="shared" si="33"/>
        <v>#N/A</v>
      </c>
      <c r="U64" t="e">
        <f t="shared" si="34"/>
        <v>#N/A</v>
      </c>
      <c r="V64" t="e">
        <f t="shared" si="35"/>
        <v>#N/A</v>
      </c>
      <c r="W64" t="e">
        <f t="shared" si="36"/>
        <v>#N/A</v>
      </c>
      <c r="X64" t="e">
        <f t="shared" si="37"/>
        <v>#N/A</v>
      </c>
      <c r="Y64" t="e">
        <f t="shared" si="38"/>
        <v>#N/A</v>
      </c>
      <c r="Z64" t="e">
        <f t="shared" si="39"/>
        <v>#N/A</v>
      </c>
      <c r="AA64" t="e">
        <f t="shared" si="40"/>
        <v>#N/A</v>
      </c>
      <c r="AB64" t="e">
        <f t="shared" si="41"/>
        <v>#N/A</v>
      </c>
      <c r="AC64" t="e">
        <f t="shared" si="42"/>
        <v>#N/A</v>
      </c>
      <c r="AD64" t="e">
        <f t="shared" si="43"/>
        <v>#N/A</v>
      </c>
      <c r="AE64" t="e">
        <f t="shared" si="44"/>
        <v>#N/A</v>
      </c>
      <c r="AF64" t="e">
        <f t="shared" si="45"/>
        <v>#N/A</v>
      </c>
      <c r="AG64" t="e">
        <f t="shared" si="46"/>
        <v>#N/A</v>
      </c>
      <c r="AH64" t="e">
        <f t="shared" si="47"/>
        <v>#N/A</v>
      </c>
      <c r="AI64" t="e">
        <f t="shared" si="48"/>
        <v>#N/A</v>
      </c>
      <c r="AJ64" t="e">
        <f t="shared" si="49"/>
        <v>#N/A</v>
      </c>
    </row>
    <row r="65">
      <c r="A65" s="2" t="n">
        <v>47453</v>
      </c>
      <c r="B65" t="n">
        <v>759992.474538354</v>
      </c>
      <c r="C65" t="n">
        <v>392020.281682245</v>
      </c>
      <c r="D65" t="n">
        <v>174.191904282396</v>
      </c>
      <c r="E65" t="n">
        <v>15543.5665950894</v>
      </c>
      <c r="F65" t="n">
        <v>4382096.03908088</v>
      </c>
      <c r="G65" t="n">
        <v>0.0481983373583822</v>
      </c>
      <c r="H65" t="n">
        <v>0.668675887292883</v>
      </c>
      <c r="I65" t="n">
        <v>0.0567054843736665</v>
      </c>
      <c r="J65" t="n">
        <v>0.0560319093100217</v>
      </c>
      <c r="K65" t="s">
        <v>179</v>
      </c>
      <c r="L65" t="e">
        <f t="shared" si="25"/>
        <v>#N/A</v>
      </c>
      <c r="M65" t="e">
        <f t="shared" si="26"/>
        <v>#N/A</v>
      </c>
      <c r="N65" t="e">
        <f t="shared" si="27"/>
        <v>#N/A</v>
      </c>
      <c r="O65" t="n">
        <f t="shared" si="28"/>
        <v>0</v>
      </c>
      <c r="P65" t="n">
        <f t="shared" si="29"/>
        <v>0</v>
      </c>
      <c r="Q65" t="n">
        <f t="shared" si="30"/>
        <v>0</v>
      </c>
      <c r="R65" t="n">
        <f t="shared" si="31"/>
        <v>0</v>
      </c>
      <c r="S65" t="e">
        <f t="shared" si="32"/>
        <v>#N/A</v>
      </c>
      <c r="T65" t="e">
        <f t="shared" si="33"/>
        <v>#N/A</v>
      </c>
      <c r="U65" t="e">
        <f t="shared" si="34"/>
        <v>#N/A</v>
      </c>
      <c r="V65" t="e">
        <f t="shared" si="35"/>
        <v>#N/A</v>
      </c>
      <c r="W65" t="e">
        <f t="shared" si="36"/>
        <v>#N/A</v>
      </c>
      <c r="X65" t="e">
        <f t="shared" si="37"/>
        <v>#N/A</v>
      </c>
      <c r="Y65" t="e">
        <f t="shared" si="38"/>
        <v>#N/A</v>
      </c>
      <c r="Z65" t="e">
        <f t="shared" si="39"/>
        <v>#N/A</v>
      </c>
      <c r="AA65" t="e">
        <f t="shared" si="40"/>
        <v>#N/A</v>
      </c>
      <c r="AB65" t="e">
        <f t="shared" si="41"/>
        <v>#N/A</v>
      </c>
      <c r="AC65" t="e">
        <f t="shared" si="42"/>
        <v>#N/A</v>
      </c>
      <c r="AD65" t="e">
        <f t="shared" si="43"/>
        <v>#N/A</v>
      </c>
      <c r="AE65" t="e">
        <f t="shared" si="44"/>
        <v>#N/A</v>
      </c>
      <c r="AF65" t="e">
        <f t="shared" si="45"/>
        <v>#N/A</v>
      </c>
      <c r="AG65" t="e">
        <f t="shared" si="46"/>
        <v>#N/A</v>
      </c>
      <c r="AH65" t="e">
        <f t="shared" si="47"/>
        <v>#N/A</v>
      </c>
      <c r="AI65" t="e">
        <f t="shared" si="48"/>
        <v>#N/A</v>
      </c>
      <c r="AJ65" t="e">
        <f t="shared" si="49"/>
        <v>#N/A</v>
      </c>
    </row>
    <row r="66">
      <c r="A66" s="2" t="n">
        <v>47543</v>
      </c>
      <c r="B66" t="n">
        <v>762660.573817417</v>
      </c>
      <c r="C66" t="n">
        <v>394422.916539436</v>
      </c>
      <c r="D66" t="n">
        <v>175.943644203024</v>
      </c>
      <c r="E66" t="n">
        <v>15569.1731281506</v>
      </c>
      <c r="F66" t="n">
        <v>4376976.48002457</v>
      </c>
      <c r="G66" t="n">
        <v>0.0492519954716373</v>
      </c>
      <c r="H66" t="n">
        <v>0.668273778135251</v>
      </c>
      <c r="I66" t="n">
        <v>0.0530480658584758</v>
      </c>
      <c r="J66" t="n">
        <v>0.0555912455299774</v>
      </c>
      <c r="K66" t="s">
        <v>179</v>
      </c>
      <c r="L66" t="e">
        <f t="shared" ref="L66:L97" si="50">IF(ROW()&lt;=5,NA(),IFERROR(100*(B66/INDEX(B:B,ROW()-4)-1),NA()))</f>
        <v>#N/A</v>
      </c>
      <c r="M66" t="e">
        <f t="shared" ref="M66:M97" si="51">IF(ROW()&lt;=5,NA(),IFERROR(100*(C66/INDEX(C:C,ROW()-4)-1),NA()))</f>
        <v>#N/A</v>
      </c>
      <c r="N66" t="e">
        <f t="shared" ref="N66:N97" si="52">IF(ROW()&lt;=5,NA(),IFERROR(100*(D66/INDEX(D:D,ROW()-4)-1),NA()))</f>
        <v>#N/A</v>
      </c>
      <c r="O66" t="n">
        <f t="shared" ref="O66:O97" si="53">100*G66</f>
        <v>0</v>
      </c>
      <c r="P66" t="n">
        <f t="shared" ref="P66:P97" si="54">100*H66</f>
        <v>0</v>
      </c>
      <c r="Q66" t="n">
        <f t="shared" ref="Q66:Q97" si="55">100*I66</f>
        <v>0</v>
      </c>
      <c r="R66" t="n">
        <f t="shared" ref="R66:R97" si="56">100*J66</f>
        <v>0</v>
      </c>
      <c r="S66" t="e">
        <f t="shared" ref="S66:S97" si="57">IFERROR(100*E66/INDEX(E:E,MATCH(DATE(2024,12,1),A:A,0)),NA())</f>
        <v>#N/A</v>
      </c>
      <c r="T66" t="e">
        <f t="shared" ref="T66:T97" si="58">IFERROR(100*F66/INDEX(F:F,MATCH(DATE(2024,12,1),A:A,0)),NA())</f>
        <v>#N/A</v>
      </c>
      <c r="U66" t="e">
        <f t="shared" ref="U66:U97" si="59">IF($K66="Actual",L66,NA())</f>
        <v>#N/A</v>
      </c>
      <c r="V66" t="e">
        <f t="shared" ref="V66:V97" si="60">IF($A66&gt;=DATE(2024,12,1),L66,NA())</f>
        <v>#N/A</v>
      </c>
      <c r="W66" t="e">
        <f t="shared" ref="W66:W97" si="61">IF($K66="Actual",M66,NA())</f>
        <v>#N/A</v>
      </c>
      <c r="X66" t="e">
        <f t="shared" ref="X66:X97" si="62">IF($A66&gt;=DATE(2024,12,1),M66,NA())</f>
        <v>#N/A</v>
      </c>
      <c r="Y66" t="e">
        <f t="shared" ref="Y66:Y97" si="63">IF($K66="Actual",S66,NA())</f>
        <v>#N/A</v>
      </c>
      <c r="Z66" t="e">
        <f t="shared" ref="Z66:Z97" si="64">IF($A66&gt;=DATE(2024,12,1),S66,NA())</f>
        <v>#N/A</v>
      </c>
      <c r="AA66" t="e">
        <f t="shared" ref="AA66:AA97" si="65">IF($K66="Actual",T66,NA())</f>
        <v>#N/A</v>
      </c>
      <c r="AB66" t="e">
        <f t="shared" ref="AB66:AB97" si="66">IF($A66&gt;=DATE(2024,12,1),T66,NA())</f>
        <v>#N/A</v>
      </c>
      <c r="AC66" t="e">
        <f t="shared" ref="AC66:AC97" si="67">IF($K66="Actual",O66,NA())</f>
        <v>#N/A</v>
      </c>
      <c r="AD66" t="e">
        <f t="shared" ref="AD66:AD97" si="68">IF($A66&gt;=DATE(2024,12,1),O66,NA())</f>
        <v>#N/A</v>
      </c>
      <c r="AE66" t="e">
        <f t="shared" ref="AE66:AE97" si="69">IF($K66="Actual",Q66,NA())</f>
        <v>#N/A</v>
      </c>
      <c r="AF66" t="e">
        <f t="shared" ref="AF66:AF97" si="70">IF($A66&gt;=DATE(2024,12,1),Q66,NA())</f>
        <v>#N/A</v>
      </c>
      <c r="AG66" t="e">
        <f t="shared" ref="AG66:AG97" si="71">IF($K66="Actual",R66,NA())</f>
        <v>#N/A</v>
      </c>
      <c r="AH66" t="e">
        <f t="shared" ref="AH66:AH97" si="72">IF($A66&gt;=DATE(2024,12,1),R66,NA())</f>
        <v>#N/A</v>
      </c>
      <c r="AI66" t="e">
        <f t="shared" ref="AI66:AI97" si="73">IF($K66="Actual",N66,NA())</f>
        <v>#N/A</v>
      </c>
      <c r="AJ66" t="e">
        <f t="shared" ref="AJ66:AJ97" si="74">IF($A66&gt;=DATE(2024,12,1),N66,NA())</f>
        <v>#N/A</v>
      </c>
    </row>
    <row r="67">
      <c r="A67" s="2" t="n">
        <v>47635</v>
      </c>
      <c r="B67" t="n">
        <v>764841.997617819</v>
      </c>
      <c r="C67" t="n">
        <v>396625.977989916</v>
      </c>
      <c r="D67" t="n">
        <v>177.685588533037</v>
      </c>
      <c r="E67" t="n">
        <v>15594.2685174887</v>
      </c>
      <c r="F67" t="n">
        <v>4371653.82388219</v>
      </c>
      <c r="G67" t="n">
        <v>0.0503545230638067</v>
      </c>
      <c r="H67" t="n">
        <v>0.667889334423273</v>
      </c>
      <c r="I67" t="n">
        <v>0.0494154046841973</v>
      </c>
      <c r="J67" t="n">
        <v>0.0549598455096158</v>
      </c>
      <c r="K67" t="s">
        <v>179</v>
      </c>
      <c r="L67" t="e">
        <f t="shared" si="50"/>
        <v>#N/A</v>
      </c>
      <c r="M67" t="e">
        <f t="shared" si="51"/>
        <v>#N/A</v>
      </c>
      <c r="N67" t="e">
        <f t="shared" si="52"/>
        <v>#N/A</v>
      </c>
      <c r="O67" t="n">
        <f t="shared" si="53"/>
        <v>0</v>
      </c>
      <c r="P67" t="n">
        <f t="shared" si="54"/>
        <v>0</v>
      </c>
      <c r="Q67" t="n">
        <f t="shared" si="55"/>
        <v>0</v>
      </c>
      <c r="R67" t="n">
        <f t="shared" si="56"/>
        <v>0</v>
      </c>
      <c r="S67" t="e">
        <f t="shared" si="57"/>
        <v>#N/A</v>
      </c>
      <c r="T67" t="e">
        <f t="shared" si="58"/>
        <v>#N/A</v>
      </c>
      <c r="U67" t="e">
        <f t="shared" si="59"/>
        <v>#N/A</v>
      </c>
      <c r="V67" t="e">
        <f t="shared" si="60"/>
        <v>#N/A</v>
      </c>
      <c r="W67" t="e">
        <f t="shared" si="61"/>
        <v>#N/A</v>
      </c>
      <c r="X67" t="e">
        <f t="shared" si="62"/>
        <v>#N/A</v>
      </c>
      <c r="Y67" t="e">
        <f t="shared" si="63"/>
        <v>#N/A</v>
      </c>
      <c r="Z67" t="e">
        <f t="shared" si="64"/>
        <v>#N/A</v>
      </c>
      <c r="AA67" t="e">
        <f t="shared" si="65"/>
        <v>#N/A</v>
      </c>
      <c r="AB67" t="e">
        <f t="shared" si="66"/>
        <v>#N/A</v>
      </c>
      <c r="AC67" t="e">
        <f t="shared" si="67"/>
        <v>#N/A</v>
      </c>
      <c r="AD67" t="e">
        <f t="shared" si="68"/>
        <v>#N/A</v>
      </c>
      <c r="AE67" t="e">
        <f t="shared" si="69"/>
        <v>#N/A</v>
      </c>
      <c r="AF67" t="e">
        <f t="shared" si="70"/>
        <v>#N/A</v>
      </c>
      <c r="AG67" t="e">
        <f t="shared" si="71"/>
        <v>#N/A</v>
      </c>
      <c r="AH67" t="e">
        <f t="shared" si="72"/>
        <v>#N/A</v>
      </c>
      <c r="AI67" t="e">
        <f t="shared" si="73"/>
        <v>#N/A</v>
      </c>
      <c r="AJ67" t="e">
        <f t="shared" si="74"/>
        <v>#N/A</v>
      </c>
    </row>
    <row r="68">
      <c r="A68" s="2" t="n">
        <v>47727</v>
      </c>
      <c r="B68" t="n">
        <v>767356.404221362</v>
      </c>
      <c r="C68" t="n">
        <v>399001.770005034</v>
      </c>
      <c r="D68" t="n">
        <v>179.427279954816</v>
      </c>
      <c r="E68" t="n">
        <v>15621.7117540327</v>
      </c>
      <c r="F68" t="n">
        <v>4367639.72298224</v>
      </c>
      <c r="G68" t="n">
        <v>0.0513232247433072</v>
      </c>
      <c r="H68" t="n">
        <v>0.6675080847</v>
      </c>
      <c r="I68" t="n">
        <v>0.0461024303502146</v>
      </c>
      <c r="J68" t="n">
        <v>0.0541700859743356</v>
      </c>
      <c r="K68" t="s">
        <v>179</v>
      </c>
      <c r="L68" t="e">
        <f t="shared" si="50"/>
        <v>#N/A</v>
      </c>
      <c r="M68" t="e">
        <f t="shared" si="51"/>
        <v>#N/A</v>
      </c>
      <c r="N68" t="e">
        <f t="shared" si="52"/>
        <v>#N/A</v>
      </c>
      <c r="O68" t="n">
        <f t="shared" si="53"/>
        <v>0</v>
      </c>
      <c r="P68" t="n">
        <f t="shared" si="54"/>
        <v>0</v>
      </c>
      <c r="Q68" t="n">
        <f t="shared" si="55"/>
        <v>0</v>
      </c>
      <c r="R68" t="n">
        <f t="shared" si="56"/>
        <v>0</v>
      </c>
      <c r="S68" t="e">
        <f t="shared" si="57"/>
        <v>#N/A</v>
      </c>
      <c r="T68" t="e">
        <f t="shared" si="58"/>
        <v>#N/A</v>
      </c>
      <c r="U68" t="e">
        <f t="shared" si="59"/>
        <v>#N/A</v>
      </c>
      <c r="V68" t="e">
        <f t="shared" si="60"/>
        <v>#N/A</v>
      </c>
      <c r="W68" t="e">
        <f t="shared" si="61"/>
        <v>#N/A</v>
      </c>
      <c r="X68" t="e">
        <f t="shared" si="62"/>
        <v>#N/A</v>
      </c>
      <c r="Y68" t="e">
        <f t="shared" si="63"/>
        <v>#N/A</v>
      </c>
      <c r="Z68" t="e">
        <f t="shared" si="64"/>
        <v>#N/A</v>
      </c>
      <c r="AA68" t="e">
        <f t="shared" si="65"/>
        <v>#N/A</v>
      </c>
      <c r="AB68" t="e">
        <f t="shared" si="66"/>
        <v>#N/A</v>
      </c>
      <c r="AC68" t="e">
        <f t="shared" si="67"/>
        <v>#N/A</v>
      </c>
      <c r="AD68" t="e">
        <f t="shared" si="68"/>
        <v>#N/A</v>
      </c>
      <c r="AE68" t="e">
        <f t="shared" si="69"/>
        <v>#N/A</v>
      </c>
      <c r="AF68" t="e">
        <f t="shared" si="70"/>
        <v>#N/A</v>
      </c>
      <c r="AG68" t="e">
        <f t="shared" si="71"/>
        <v>#N/A</v>
      </c>
      <c r="AH68" t="e">
        <f t="shared" si="72"/>
        <v>#N/A</v>
      </c>
      <c r="AI68" t="e">
        <f t="shared" si="73"/>
        <v>#N/A</v>
      </c>
      <c r="AJ68" t="e">
        <f t="shared" si="74"/>
        <v>#N/A</v>
      </c>
    </row>
    <row r="69">
      <c r="A69" s="2" t="n">
        <v>47818</v>
      </c>
      <c r="B69" t="n">
        <v>769834.58665443</v>
      </c>
      <c r="C69" t="n">
        <v>401600.960317238</v>
      </c>
      <c r="D69" t="n">
        <v>181.169140122598</v>
      </c>
      <c r="E69" t="n">
        <v>15651.2247484682</v>
      </c>
      <c r="F69" t="n">
        <v>4364727.77717768</v>
      </c>
      <c r="G69" t="n">
        <v>0.0521933076971457</v>
      </c>
      <c r="H69" t="n">
        <v>0.667150595683309</v>
      </c>
      <c r="I69" t="n">
        <v>0.0430906625040256</v>
      </c>
      <c r="J69" t="n">
        <v>0.0532510216507828</v>
      </c>
      <c r="K69" t="s">
        <v>179</v>
      </c>
      <c r="L69" t="e">
        <f t="shared" si="50"/>
        <v>#N/A</v>
      </c>
      <c r="M69" t="e">
        <f t="shared" si="51"/>
        <v>#N/A</v>
      </c>
      <c r="N69" t="e">
        <f t="shared" si="52"/>
        <v>#N/A</v>
      </c>
      <c r="O69" t="n">
        <f t="shared" si="53"/>
        <v>0</v>
      </c>
      <c r="P69" t="n">
        <f t="shared" si="54"/>
        <v>0</v>
      </c>
      <c r="Q69" t="n">
        <f t="shared" si="55"/>
        <v>0</v>
      </c>
      <c r="R69" t="n">
        <f t="shared" si="56"/>
        <v>0</v>
      </c>
      <c r="S69" t="e">
        <f t="shared" si="57"/>
        <v>#N/A</v>
      </c>
      <c r="T69" t="e">
        <f t="shared" si="58"/>
        <v>#N/A</v>
      </c>
      <c r="U69" t="e">
        <f t="shared" si="59"/>
        <v>#N/A</v>
      </c>
      <c r="V69" t="e">
        <f t="shared" si="60"/>
        <v>#N/A</v>
      </c>
      <c r="W69" t="e">
        <f t="shared" si="61"/>
        <v>#N/A</v>
      </c>
      <c r="X69" t="e">
        <f t="shared" si="62"/>
        <v>#N/A</v>
      </c>
      <c r="Y69" t="e">
        <f t="shared" si="63"/>
        <v>#N/A</v>
      </c>
      <c r="Z69" t="e">
        <f t="shared" si="64"/>
        <v>#N/A</v>
      </c>
      <c r="AA69" t="e">
        <f t="shared" si="65"/>
        <v>#N/A</v>
      </c>
      <c r="AB69" t="e">
        <f t="shared" si="66"/>
        <v>#N/A</v>
      </c>
      <c r="AC69" t="e">
        <f t="shared" si="67"/>
        <v>#N/A</v>
      </c>
      <c r="AD69" t="e">
        <f t="shared" si="68"/>
        <v>#N/A</v>
      </c>
      <c r="AE69" t="e">
        <f t="shared" si="69"/>
        <v>#N/A</v>
      </c>
      <c r="AF69" t="e">
        <f t="shared" si="70"/>
        <v>#N/A</v>
      </c>
      <c r="AG69" t="e">
        <f t="shared" si="71"/>
        <v>#N/A</v>
      </c>
      <c r="AH69" t="e">
        <f t="shared" si="72"/>
        <v>#N/A</v>
      </c>
      <c r="AI69" t="e">
        <f t="shared" si="73"/>
        <v>#N/A</v>
      </c>
      <c r="AJ69" t="e">
        <f t="shared" si="74"/>
        <v>#N/A</v>
      </c>
    </row>
    <row r="70">
      <c r="A70" s="2" t="n">
        <v>47908</v>
      </c>
      <c r="B70" t="n">
        <v>772432.746960698</v>
      </c>
      <c r="C70" t="n">
        <v>404372.766736747</v>
      </c>
      <c r="D70" t="n">
        <v>182.915188843591</v>
      </c>
      <c r="E70" t="n">
        <v>15683.4772501057</v>
      </c>
      <c r="F70" t="n">
        <v>4363203.99734989</v>
      </c>
      <c r="G70" t="n">
        <v>0.0529322867467246</v>
      </c>
      <c r="H70" t="n">
        <v>0.66682171722335</v>
      </c>
      <c r="I70" t="n">
        <v>0.0404445384630477</v>
      </c>
      <c r="J70" t="n">
        <v>0.0522336478812536</v>
      </c>
      <c r="K70" t="s">
        <v>179</v>
      </c>
      <c r="L70" t="e">
        <f t="shared" si="50"/>
        <v>#N/A</v>
      </c>
      <c r="M70" t="e">
        <f t="shared" si="51"/>
        <v>#N/A</v>
      </c>
      <c r="N70" t="e">
        <f t="shared" si="52"/>
        <v>#N/A</v>
      </c>
      <c r="O70" t="n">
        <f t="shared" si="53"/>
        <v>0</v>
      </c>
      <c r="P70" t="n">
        <f t="shared" si="54"/>
        <v>0</v>
      </c>
      <c r="Q70" t="n">
        <f t="shared" si="55"/>
        <v>0</v>
      </c>
      <c r="R70" t="n">
        <f t="shared" si="56"/>
        <v>0</v>
      </c>
      <c r="S70" t="e">
        <f t="shared" si="57"/>
        <v>#N/A</v>
      </c>
      <c r="T70" t="e">
        <f t="shared" si="58"/>
        <v>#N/A</v>
      </c>
      <c r="U70" t="e">
        <f t="shared" si="59"/>
        <v>#N/A</v>
      </c>
      <c r="V70" t="e">
        <f t="shared" si="60"/>
        <v>#N/A</v>
      </c>
      <c r="W70" t="e">
        <f t="shared" si="61"/>
        <v>#N/A</v>
      </c>
      <c r="X70" t="e">
        <f t="shared" si="62"/>
        <v>#N/A</v>
      </c>
      <c r="Y70" t="e">
        <f t="shared" si="63"/>
        <v>#N/A</v>
      </c>
      <c r="Z70" t="e">
        <f t="shared" si="64"/>
        <v>#N/A</v>
      </c>
      <c r="AA70" t="e">
        <f t="shared" si="65"/>
        <v>#N/A</v>
      </c>
      <c r="AB70" t="e">
        <f t="shared" si="66"/>
        <v>#N/A</v>
      </c>
      <c r="AC70" t="e">
        <f t="shared" si="67"/>
        <v>#N/A</v>
      </c>
      <c r="AD70" t="e">
        <f t="shared" si="68"/>
        <v>#N/A</v>
      </c>
      <c r="AE70" t="e">
        <f t="shared" si="69"/>
        <v>#N/A</v>
      </c>
      <c r="AF70" t="e">
        <f t="shared" si="70"/>
        <v>#N/A</v>
      </c>
      <c r="AG70" t="e">
        <f t="shared" si="71"/>
        <v>#N/A</v>
      </c>
      <c r="AH70" t="e">
        <f t="shared" si="72"/>
        <v>#N/A</v>
      </c>
      <c r="AI70" t="e">
        <f t="shared" si="73"/>
        <v>#N/A</v>
      </c>
      <c r="AJ70" t="e">
        <f t="shared" si="74"/>
        <v>#N/A</v>
      </c>
    </row>
    <row r="71">
      <c r="A71" s="2" t="n">
        <v>48000</v>
      </c>
      <c r="B71" t="n">
        <v>774832.516786322</v>
      </c>
      <c r="C71" t="n">
        <v>406945.693507214</v>
      </c>
      <c r="D71" t="n">
        <v>184.665705424226</v>
      </c>
      <c r="E71" t="n">
        <v>15716.9262464326</v>
      </c>
      <c r="F71" t="n">
        <v>4362207.39558917</v>
      </c>
      <c r="G71" t="n">
        <v>0.0536404373561586</v>
      </c>
      <c r="H71" t="n">
        <v>0.66652563566975</v>
      </c>
      <c r="I71" t="n">
        <v>0.0380238394740192</v>
      </c>
      <c r="J71" t="n">
        <v>0.0511383366819299</v>
      </c>
      <c r="K71" t="s">
        <v>179</v>
      </c>
      <c r="L71" t="e">
        <f t="shared" si="50"/>
        <v>#N/A</v>
      </c>
      <c r="M71" t="e">
        <f t="shared" si="51"/>
        <v>#N/A</v>
      </c>
      <c r="N71" t="e">
        <f t="shared" si="52"/>
        <v>#N/A</v>
      </c>
      <c r="O71" t="n">
        <f t="shared" si="53"/>
        <v>0</v>
      </c>
      <c r="P71" t="n">
        <f t="shared" si="54"/>
        <v>0</v>
      </c>
      <c r="Q71" t="n">
        <f t="shared" si="55"/>
        <v>0</v>
      </c>
      <c r="R71" t="n">
        <f t="shared" si="56"/>
        <v>0</v>
      </c>
      <c r="S71" t="e">
        <f t="shared" si="57"/>
        <v>#N/A</v>
      </c>
      <c r="T71" t="e">
        <f t="shared" si="58"/>
        <v>#N/A</v>
      </c>
      <c r="U71" t="e">
        <f t="shared" si="59"/>
        <v>#N/A</v>
      </c>
      <c r="V71" t="e">
        <f t="shared" si="60"/>
        <v>#N/A</v>
      </c>
      <c r="W71" t="e">
        <f t="shared" si="61"/>
        <v>#N/A</v>
      </c>
      <c r="X71" t="e">
        <f t="shared" si="62"/>
        <v>#N/A</v>
      </c>
      <c r="Y71" t="e">
        <f t="shared" si="63"/>
        <v>#N/A</v>
      </c>
      <c r="Z71" t="e">
        <f t="shared" si="64"/>
        <v>#N/A</v>
      </c>
      <c r="AA71" t="e">
        <f t="shared" si="65"/>
        <v>#N/A</v>
      </c>
      <c r="AB71" t="e">
        <f t="shared" si="66"/>
        <v>#N/A</v>
      </c>
      <c r="AC71" t="e">
        <f t="shared" si="67"/>
        <v>#N/A</v>
      </c>
      <c r="AD71" t="e">
        <f t="shared" si="68"/>
        <v>#N/A</v>
      </c>
      <c r="AE71" t="e">
        <f t="shared" si="69"/>
        <v>#N/A</v>
      </c>
      <c r="AF71" t="e">
        <f t="shared" si="70"/>
        <v>#N/A</v>
      </c>
      <c r="AG71" t="e">
        <f t="shared" si="71"/>
        <v>#N/A</v>
      </c>
      <c r="AH71" t="e">
        <f t="shared" si="72"/>
        <v>#N/A</v>
      </c>
      <c r="AI71" t="e">
        <f t="shared" si="73"/>
        <v>#N/A</v>
      </c>
      <c r="AJ71" t="e">
        <f t="shared" si="74"/>
        <v>#N/A</v>
      </c>
    </row>
    <row r="72">
      <c r="A72" s="2" t="n">
        <v>48092</v>
      </c>
      <c r="B72" t="n">
        <v>777415.971921536</v>
      </c>
      <c r="C72" t="n">
        <v>409686.461696267</v>
      </c>
      <c r="D72" t="n">
        <v>186.429953443277</v>
      </c>
      <c r="E72" t="n">
        <v>15752.3422455204</v>
      </c>
      <c r="F72" t="n">
        <v>4362410.15404074</v>
      </c>
      <c r="G72" t="n">
        <v>0.0541561327556985</v>
      </c>
      <c r="H72" t="n">
        <v>0.666255995128093</v>
      </c>
      <c r="I72" t="n">
        <v>0.0360858200850291</v>
      </c>
      <c r="J72" t="n">
        <v>0.0499997034572961</v>
      </c>
      <c r="K72" t="s">
        <v>179</v>
      </c>
      <c r="L72" t="e">
        <f t="shared" si="50"/>
        <v>#N/A</v>
      </c>
      <c r="M72" t="e">
        <f t="shared" si="51"/>
        <v>#N/A</v>
      </c>
      <c r="N72" t="e">
        <f t="shared" si="52"/>
        <v>#N/A</v>
      </c>
      <c r="O72" t="n">
        <f t="shared" si="53"/>
        <v>0</v>
      </c>
      <c r="P72" t="n">
        <f t="shared" si="54"/>
        <v>0</v>
      </c>
      <c r="Q72" t="n">
        <f t="shared" si="55"/>
        <v>0</v>
      </c>
      <c r="R72" t="n">
        <f t="shared" si="56"/>
        <v>0</v>
      </c>
      <c r="S72" t="e">
        <f t="shared" si="57"/>
        <v>#N/A</v>
      </c>
      <c r="T72" t="e">
        <f t="shared" si="58"/>
        <v>#N/A</v>
      </c>
      <c r="U72" t="e">
        <f t="shared" si="59"/>
        <v>#N/A</v>
      </c>
      <c r="V72" t="e">
        <f t="shared" si="60"/>
        <v>#N/A</v>
      </c>
      <c r="W72" t="e">
        <f t="shared" si="61"/>
        <v>#N/A</v>
      </c>
      <c r="X72" t="e">
        <f t="shared" si="62"/>
        <v>#N/A</v>
      </c>
      <c r="Y72" t="e">
        <f t="shared" si="63"/>
        <v>#N/A</v>
      </c>
      <c r="Z72" t="e">
        <f t="shared" si="64"/>
        <v>#N/A</v>
      </c>
      <c r="AA72" t="e">
        <f t="shared" si="65"/>
        <v>#N/A</v>
      </c>
      <c r="AB72" t="e">
        <f t="shared" si="66"/>
        <v>#N/A</v>
      </c>
      <c r="AC72" t="e">
        <f t="shared" si="67"/>
        <v>#N/A</v>
      </c>
      <c r="AD72" t="e">
        <f t="shared" si="68"/>
        <v>#N/A</v>
      </c>
      <c r="AE72" t="e">
        <f t="shared" si="69"/>
        <v>#N/A</v>
      </c>
      <c r="AF72" t="e">
        <f t="shared" si="70"/>
        <v>#N/A</v>
      </c>
      <c r="AG72" t="e">
        <f t="shared" si="71"/>
        <v>#N/A</v>
      </c>
      <c r="AH72" t="e">
        <f t="shared" si="72"/>
        <v>#N/A</v>
      </c>
      <c r="AI72" t="e">
        <f t="shared" si="73"/>
        <v>#N/A</v>
      </c>
      <c r="AJ72" t="e">
        <f t="shared" si="74"/>
        <v>#N/A</v>
      </c>
    </row>
    <row r="73">
      <c r="A73" s="2" t="n">
        <v>48183</v>
      </c>
      <c r="B73" t="n">
        <v>780159.847202067</v>
      </c>
      <c r="C73" t="n">
        <v>412616.81008759</v>
      </c>
      <c r="D73" t="n">
        <v>188.207223893322</v>
      </c>
      <c r="E73" t="n">
        <v>15790.7055481895</v>
      </c>
      <c r="F73" t="n">
        <v>4363939.67061127</v>
      </c>
      <c r="G73" t="n">
        <v>0.0545541557683491</v>
      </c>
      <c r="H73" t="n">
        <v>0.666030795073682</v>
      </c>
      <c r="I73" t="n">
        <v>0.0345243135412693</v>
      </c>
      <c r="J73" t="n">
        <v>0.0488435629065147</v>
      </c>
      <c r="K73" t="s">
        <v>179</v>
      </c>
      <c r="L73" t="e">
        <f t="shared" si="50"/>
        <v>#N/A</v>
      </c>
      <c r="M73" t="e">
        <f t="shared" si="51"/>
        <v>#N/A</v>
      </c>
      <c r="N73" t="e">
        <f t="shared" si="52"/>
        <v>#N/A</v>
      </c>
      <c r="O73" t="n">
        <f t="shared" si="53"/>
        <v>0</v>
      </c>
      <c r="P73" t="n">
        <f t="shared" si="54"/>
        <v>0</v>
      </c>
      <c r="Q73" t="n">
        <f t="shared" si="55"/>
        <v>0</v>
      </c>
      <c r="R73" t="n">
        <f t="shared" si="56"/>
        <v>0</v>
      </c>
      <c r="S73" t="e">
        <f t="shared" si="57"/>
        <v>#N/A</v>
      </c>
      <c r="T73" t="e">
        <f t="shared" si="58"/>
        <v>#N/A</v>
      </c>
      <c r="U73" t="e">
        <f t="shared" si="59"/>
        <v>#N/A</v>
      </c>
      <c r="V73" t="e">
        <f t="shared" si="60"/>
        <v>#N/A</v>
      </c>
      <c r="W73" t="e">
        <f t="shared" si="61"/>
        <v>#N/A</v>
      </c>
      <c r="X73" t="e">
        <f t="shared" si="62"/>
        <v>#N/A</v>
      </c>
      <c r="Y73" t="e">
        <f t="shared" si="63"/>
        <v>#N/A</v>
      </c>
      <c r="Z73" t="e">
        <f t="shared" si="64"/>
        <v>#N/A</v>
      </c>
      <c r="AA73" t="e">
        <f t="shared" si="65"/>
        <v>#N/A</v>
      </c>
      <c r="AB73" t="e">
        <f t="shared" si="66"/>
        <v>#N/A</v>
      </c>
      <c r="AC73" t="e">
        <f t="shared" si="67"/>
        <v>#N/A</v>
      </c>
      <c r="AD73" t="e">
        <f t="shared" si="68"/>
        <v>#N/A</v>
      </c>
      <c r="AE73" t="e">
        <f t="shared" si="69"/>
        <v>#N/A</v>
      </c>
      <c r="AF73" t="e">
        <f t="shared" si="70"/>
        <v>#N/A</v>
      </c>
      <c r="AG73" t="e">
        <f t="shared" si="71"/>
        <v>#N/A</v>
      </c>
      <c r="AH73" t="e">
        <f t="shared" si="72"/>
        <v>#N/A</v>
      </c>
      <c r="AI73" t="e">
        <f t="shared" si="73"/>
        <v>#N/A</v>
      </c>
      <c r="AJ73" t="e">
        <f t="shared" si="74"/>
        <v>#N/A</v>
      </c>
    </row>
    <row r="74">
      <c r="A74" s="2" t="n">
        <v>48274</v>
      </c>
      <c r="B74" t="n">
        <v>783037.389057773</v>
      </c>
      <c r="C74" t="n">
        <v>415689.571892267</v>
      </c>
      <c r="D74" t="n">
        <v>190.002523766819</v>
      </c>
      <c r="E74" t="n">
        <v>15832.59851018</v>
      </c>
      <c r="F74" t="n">
        <v>4367082.1769696</v>
      </c>
      <c r="G74" t="n">
        <v>0.0547963529653803</v>
      </c>
      <c r="H74" t="n">
        <v>0.665846575317287</v>
      </c>
      <c r="I74" t="n">
        <v>0.0334025273280607</v>
      </c>
      <c r="J74" t="n">
        <v>0.0476978157349736</v>
      </c>
      <c r="K74" t="s">
        <v>179</v>
      </c>
      <c r="L74" t="e">
        <f t="shared" si="50"/>
        <v>#N/A</v>
      </c>
      <c r="M74" t="e">
        <f t="shared" si="51"/>
        <v>#N/A</v>
      </c>
      <c r="N74" t="e">
        <f t="shared" si="52"/>
        <v>#N/A</v>
      </c>
      <c r="O74" t="n">
        <f t="shared" si="53"/>
        <v>0</v>
      </c>
      <c r="P74" t="n">
        <f t="shared" si="54"/>
        <v>0</v>
      </c>
      <c r="Q74" t="n">
        <f t="shared" si="55"/>
        <v>0</v>
      </c>
      <c r="R74" t="n">
        <f t="shared" si="56"/>
        <v>0</v>
      </c>
      <c r="S74" t="e">
        <f t="shared" si="57"/>
        <v>#N/A</v>
      </c>
      <c r="T74" t="e">
        <f t="shared" si="58"/>
        <v>#N/A</v>
      </c>
      <c r="U74" t="e">
        <f t="shared" si="59"/>
        <v>#N/A</v>
      </c>
      <c r="V74" t="e">
        <f t="shared" si="60"/>
        <v>#N/A</v>
      </c>
      <c r="W74" t="e">
        <f t="shared" si="61"/>
        <v>#N/A</v>
      </c>
      <c r="X74" t="e">
        <f t="shared" si="62"/>
        <v>#N/A</v>
      </c>
      <c r="Y74" t="e">
        <f t="shared" si="63"/>
        <v>#N/A</v>
      </c>
      <c r="Z74" t="e">
        <f t="shared" si="64"/>
        <v>#N/A</v>
      </c>
      <c r="AA74" t="e">
        <f t="shared" si="65"/>
        <v>#N/A</v>
      </c>
      <c r="AB74" t="e">
        <f t="shared" si="66"/>
        <v>#N/A</v>
      </c>
      <c r="AC74" t="e">
        <f t="shared" si="67"/>
        <v>#N/A</v>
      </c>
      <c r="AD74" t="e">
        <f t="shared" si="68"/>
        <v>#N/A</v>
      </c>
      <c r="AE74" t="e">
        <f t="shared" si="69"/>
        <v>#N/A</v>
      </c>
      <c r="AF74" t="e">
        <f t="shared" si="70"/>
        <v>#N/A</v>
      </c>
      <c r="AG74" t="e">
        <f t="shared" si="71"/>
        <v>#N/A</v>
      </c>
      <c r="AH74" t="e">
        <f t="shared" si="72"/>
        <v>#N/A</v>
      </c>
      <c r="AI74" t="e">
        <f t="shared" si="73"/>
        <v>#N/A</v>
      </c>
      <c r="AJ74" t="e">
        <f t="shared" si="74"/>
        <v>#N/A</v>
      </c>
    </row>
    <row r="75">
      <c r="A75" s="2" t="n">
        <v>48366</v>
      </c>
      <c r="B75" t="n">
        <v>785274.251252425</v>
      </c>
      <c r="C75" t="n">
        <v>418425.864141988</v>
      </c>
      <c r="D75" t="n">
        <v>191.812302508562</v>
      </c>
      <c r="E75" t="n">
        <v>15873.4466149731</v>
      </c>
      <c r="F75" t="n">
        <v>4369511.0869691</v>
      </c>
      <c r="G75" t="n">
        <v>0.0551551349157153</v>
      </c>
      <c r="H75" t="n">
        <v>0.665702108430934</v>
      </c>
      <c r="I75" t="n">
        <v>0.0322771316768383</v>
      </c>
      <c r="J75" t="n">
        <v>0.0465615366494249</v>
      </c>
      <c r="K75" t="s">
        <v>179</v>
      </c>
      <c r="L75" t="e">
        <f t="shared" si="50"/>
        <v>#N/A</v>
      </c>
      <c r="M75" t="e">
        <f t="shared" si="51"/>
        <v>#N/A</v>
      </c>
      <c r="N75" t="e">
        <f t="shared" si="52"/>
        <v>#N/A</v>
      </c>
      <c r="O75" t="n">
        <f t="shared" si="53"/>
        <v>0</v>
      </c>
      <c r="P75" t="n">
        <f t="shared" si="54"/>
        <v>0</v>
      </c>
      <c r="Q75" t="n">
        <f t="shared" si="55"/>
        <v>0</v>
      </c>
      <c r="R75" t="n">
        <f t="shared" si="56"/>
        <v>0</v>
      </c>
      <c r="S75" t="e">
        <f t="shared" si="57"/>
        <v>#N/A</v>
      </c>
      <c r="T75" t="e">
        <f t="shared" si="58"/>
        <v>#N/A</v>
      </c>
      <c r="U75" t="e">
        <f t="shared" si="59"/>
        <v>#N/A</v>
      </c>
      <c r="V75" t="e">
        <f t="shared" si="60"/>
        <v>#N/A</v>
      </c>
      <c r="W75" t="e">
        <f t="shared" si="61"/>
        <v>#N/A</v>
      </c>
      <c r="X75" t="e">
        <f t="shared" si="62"/>
        <v>#N/A</v>
      </c>
      <c r="Y75" t="e">
        <f t="shared" si="63"/>
        <v>#N/A</v>
      </c>
      <c r="Z75" t="e">
        <f t="shared" si="64"/>
        <v>#N/A</v>
      </c>
      <c r="AA75" t="e">
        <f t="shared" si="65"/>
        <v>#N/A</v>
      </c>
      <c r="AB75" t="e">
        <f t="shared" si="66"/>
        <v>#N/A</v>
      </c>
      <c r="AC75" t="e">
        <f t="shared" si="67"/>
        <v>#N/A</v>
      </c>
      <c r="AD75" t="e">
        <f t="shared" si="68"/>
        <v>#N/A</v>
      </c>
      <c r="AE75" t="e">
        <f t="shared" si="69"/>
        <v>#N/A</v>
      </c>
      <c r="AF75" t="e">
        <f t="shared" si="70"/>
        <v>#N/A</v>
      </c>
      <c r="AG75" t="e">
        <f t="shared" si="71"/>
        <v>#N/A</v>
      </c>
      <c r="AH75" t="e">
        <f t="shared" si="72"/>
        <v>#N/A</v>
      </c>
      <c r="AI75" t="e">
        <f t="shared" si="73"/>
        <v>#N/A</v>
      </c>
      <c r="AJ75" t="e">
        <f t="shared" si="74"/>
        <v>#N/A</v>
      </c>
    </row>
    <row r="76">
      <c r="A76" s="2" t="n">
        <v>48458</v>
      </c>
      <c r="B76" t="n">
        <v>788246.832876149</v>
      </c>
      <c r="C76" t="n">
        <v>421316.136811352</v>
      </c>
      <c r="D76" t="n">
        <v>193.649904101166</v>
      </c>
      <c r="E76" t="n">
        <v>15917.4689822978</v>
      </c>
      <c r="F76" t="n">
        <v>4373718.95202668</v>
      </c>
      <c r="G76" t="n">
        <v>0.0552532161444418</v>
      </c>
      <c r="H76" t="n">
        <v>0.665566555365318</v>
      </c>
      <c r="I76" t="n">
        <v>0.0317251274730424</v>
      </c>
      <c r="J76" t="n">
        <v>0.0454689139230046</v>
      </c>
      <c r="K76" t="s">
        <v>179</v>
      </c>
      <c r="L76" t="e">
        <f t="shared" si="50"/>
        <v>#N/A</v>
      </c>
      <c r="M76" t="e">
        <f t="shared" si="51"/>
        <v>#N/A</v>
      </c>
      <c r="N76" t="e">
        <f t="shared" si="52"/>
        <v>#N/A</v>
      </c>
      <c r="O76" t="n">
        <f t="shared" si="53"/>
        <v>0</v>
      </c>
      <c r="P76" t="n">
        <f t="shared" si="54"/>
        <v>0</v>
      </c>
      <c r="Q76" t="n">
        <f t="shared" si="55"/>
        <v>0</v>
      </c>
      <c r="R76" t="n">
        <f t="shared" si="56"/>
        <v>0</v>
      </c>
      <c r="S76" t="e">
        <f t="shared" si="57"/>
        <v>#N/A</v>
      </c>
      <c r="T76" t="e">
        <f t="shared" si="58"/>
        <v>#N/A</v>
      </c>
      <c r="U76" t="e">
        <f t="shared" si="59"/>
        <v>#N/A</v>
      </c>
      <c r="V76" t="e">
        <f t="shared" si="60"/>
        <v>#N/A</v>
      </c>
      <c r="W76" t="e">
        <f t="shared" si="61"/>
        <v>#N/A</v>
      </c>
      <c r="X76" t="e">
        <f t="shared" si="62"/>
        <v>#N/A</v>
      </c>
      <c r="Y76" t="e">
        <f t="shared" si="63"/>
        <v>#N/A</v>
      </c>
      <c r="Z76" t="e">
        <f t="shared" si="64"/>
        <v>#N/A</v>
      </c>
      <c r="AA76" t="e">
        <f t="shared" si="65"/>
        <v>#N/A</v>
      </c>
      <c r="AB76" t="e">
        <f t="shared" si="66"/>
        <v>#N/A</v>
      </c>
      <c r="AC76" t="e">
        <f t="shared" si="67"/>
        <v>#N/A</v>
      </c>
      <c r="AD76" t="e">
        <f t="shared" si="68"/>
        <v>#N/A</v>
      </c>
      <c r="AE76" t="e">
        <f t="shared" si="69"/>
        <v>#N/A</v>
      </c>
      <c r="AF76" t="e">
        <f t="shared" si="70"/>
        <v>#N/A</v>
      </c>
      <c r="AG76" t="e">
        <f t="shared" si="71"/>
        <v>#N/A</v>
      </c>
      <c r="AH76" t="e">
        <f t="shared" si="72"/>
        <v>#N/A</v>
      </c>
      <c r="AI76" t="e">
        <f t="shared" si="73"/>
        <v>#N/A</v>
      </c>
      <c r="AJ76" t="e">
        <f t="shared" si="74"/>
        <v>#N/A</v>
      </c>
    </row>
    <row r="77">
      <c r="A77" s="2" t="n">
        <v>48549</v>
      </c>
      <c r="B77" t="n">
        <v>790993.572697295</v>
      </c>
      <c r="C77" t="n">
        <v>424308.953161687</v>
      </c>
      <c r="D77" t="n">
        <v>195.509052412018</v>
      </c>
      <c r="E77" t="n">
        <v>15962.9273050483</v>
      </c>
      <c r="F77" t="n">
        <v>4378418.76301605</v>
      </c>
      <c r="G77" t="n">
        <v>0.0553342236378556</v>
      </c>
      <c r="H77" t="n">
        <v>0.665479652936596</v>
      </c>
      <c r="I77" t="n">
        <v>0.031364616446779</v>
      </c>
      <c r="J77" t="n">
        <v>0.0444286144498954</v>
      </c>
      <c r="K77" t="s">
        <v>179</v>
      </c>
      <c r="L77" t="e">
        <f t="shared" si="50"/>
        <v>#N/A</v>
      </c>
      <c r="M77" t="e">
        <f t="shared" si="51"/>
        <v>#N/A</v>
      </c>
      <c r="N77" t="e">
        <f t="shared" si="52"/>
        <v>#N/A</v>
      </c>
      <c r="O77" t="n">
        <f t="shared" si="53"/>
        <v>0</v>
      </c>
      <c r="P77" t="n">
        <f t="shared" si="54"/>
        <v>0</v>
      </c>
      <c r="Q77" t="n">
        <f t="shared" si="55"/>
        <v>0</v>
      </c>
      <c r="R77" t="n">
        <f t="shared" si="56"/>
        <v>0</v>
      </c>
      <c r="S77" t="e">
        <f t="shared" si="57"/>
        <v>#N/A</v>
      </c>
      <c r="T77" t="e">
        <f t="shared" si="58"/>
        <v>#N/A</v>
      </c>
      <c r="U77" t="e">
        <f t="shared" si="59"/>
        <v>#N/A</v>
      </c>
      <c r="V77" t="e">
        <f t="shared" si="60"/>
        <v>#N/A</v>
      </c>
      <c r="W77" t="e">
        <f t="shared" si="61"/>
        <v>#N/A</v>
      </c>
      <c r="X77" t="e">
        <f t="shared" si="62"/>
        <v>#N/A</v>
      </c>
      <c r="Y77" t="e">
        <f t="shared" si="63"/>
        <v>#N/A</v>
      </c>
      <c r="Z77" t="e">
        <f t="shared" si="64"/>
        <v>#N/A</v>
      </c>
      <c r="AA77" t="e">
        <f t="shared" si="65"/>
        <v>#N/A</v>
      </c>
      <c r="AB77" t="e">
        <f t="shared" si="66"/>
        <v>#N/A</v>
      </c>
      <c r="AC77" t="e">
        <f t="shared" si="67"/>
        <v>#N/A</v>
      </c>
      <c r="AD77" t="e">
        <f t="shared" si="68"/>
        <v>#N/A</v>
      </c>
      <c r="AE77" t="e">
        <f t="shared" si="69"/>
        <v>#N/A</v>
      </c>
      <c r="AF77" t="e">
        <f t="shared" si="70"/>
        <v>#N/A</v>
      </c>
      <c r="AG77" t="e">
        <f t="shared" si="71"/>
        <v>#N/A</v>
      </c>
      <c r="AH77" t="e">
        <f t="shared" si="72"/>
        <v>#N/A</v>
      </c>
      <c r="AI77" t="e">
        <f t="shared" si="73"/>
        <v>#N/A</v>
      </c>
      <c r="AJ77" t="e">
        <f t="shared" si="74"/>
        <v>#N/A</v>
      </c>
    </row>
    <row r="78">
      <c r="A78" s="2" t="n">
        <v>48639</v>
      </c>
      <c r="B78" t="n">
        <v>793874.03583562</v>
      </c>
      <c r="C78" t="n">
        <v>427360.250800108</v>
      </c>
      <c r="D78" t="n">
        <v>197.394813030331</v>
      </c>
      <c r="E78" t="n">
        <v>16010.0970849613</v>
      </c>
      <c r="F78" t="n">
        <v>4383843.11861897</v>
      </c>
      <c r="G78" t="n">
        <v>0.0553472655612472</v>
      </c>
      <c r="H78" t="n">
        <v>0.665416462469405</v>
      </c>
      <c r="I78" t="n">
        <v>0.0312523518173651</v>
      </c>
      <c r="J78" t="n">
        <v>0.0434521639253637</v>
      </c>
      <c r="K78" t="s">
        <v>179</v>
      </c>
      <c r="L78" t="e">
        <f t="shared" si="50"/>
        <v>#N/A</v>
      </c>
      <c r="M78" t="e">
        <f t="shared" si="51"/>
        <v>#N/A</v>
      </c>
      <c r="N78" t="e">
        <f t="shared" si="52"/>
        <v>#N/A</v>
      </c>
      <c r="O78" t="n">
        <f t="shared" si="53"/>
        <v>0</v>
      </c>
      <c r="P78" t="n">
        <f t="shared" si="54"/>
        <v>0</v>
      </c>
      <c r="Q78" t="n">
        <f t="shared" si="55"/>
        <v>0</v>
      </c>
      <c r="R78" t="n">
        <f t="shared" si="56"/>
        <v>0</v>
      </c>
      <c r="S78" t="e">
        <f t="shared" si="57"/>
        <v>#N/A</v>
      </c>
      <c r="T78" t="e">
        <f t="shared" si="58"/>
        <v>#N/A</v>
      </c>
      <c r="U78" t="e">
        <f t="shared" si="59"/>
        <v>#N/A</v>
      </c>
      <c r="V78" t="e">
        <f t="shared" si="60"/>
        <v>#N/A</v>
      </c>
      <c r="W78" t="e">
        <f t="shared" si="61"/>
        <v>#N/A</v>
      </c>
      <c r="X78" t="e">
        <f t="shared" si="62"/>
        <v>#N/A</v>
      </c>
      <c r="Y78" t="e">
        <f t="shared" si="63"/>
        <v>#N/A</v>
      </c>
      <c r="Z78" t="e">
        <f t="shared" si="64"/>
        <v>#N/A</v>
      </c>
      <c r="AA78" t="e">
        <f t="shared" si="65"/>
        <v>#N/A</v>
      </c>
      <c r="AB78" t="e">
        <f t="shared" si="66"/>
        <v>#N/A</v>
      </c>
      <c r="AC78" t="e">
        <f t="shared" si="67"/>
        <v>#N/A</v>
      </c>
      <c r="AD78" t="e">
        <f t="shared" si="68"/>
        <v>#N/A</v>
      </c>
      <c r="AE78" t="e">
        <f t="shared" si="69"/>
        <v>#N/A</v>
      </c>
      <c r="AF78" t="e">
        <f t="shared" si="70"/>
        <v>#N/A</v>
      </c>
      <c r="AG78" t="e">
        <f t="shared" si="71"/>
        <v>#N/A</v>
      </c>
      <c r="AH78" t="e">
        <f t="shared" si="72"/>
        <v>#N/A</v>
      </c>
      <c r="AI78" t="e">
        <f t="shared" si="73"/>
        <v>#N/A</v>
      </c>
      <c r="AJ78" t="e">
        <f t="shared" si="74"/>
        <v>#N/A</v>
      </c>
    </row>
    <row r="79">
      <c r="A79" s="2" t="n">
        <v>48731</v>
      </c>
      <c r="B79" t="n">
        <v>796528.326599885</v>
      </c>
      <c r="C79" t="n">
        <v>430071.644645782</v>
      </c>
      <c r="D79" t="n">
        <v>199.304926863459</v>
      </c>
      <c r="E79" t="n">
        <v>16057.0335658978</v>
      </c>
      <c r="F79" t="n">
        <v>4389017.23062986</v>
      </c>
      <c r="G79" t="n">
        <v>0.0554065973024424</v>
      </c>
      <c r="H79" t="n">
        <v>0.665376240024433</v>
      </c>
      <c r="I79" t="n">
        <v>0.0311982967626562</v>
      </c>
      <c r="J79" t="n">
        <v>0.0425387610448599</v>
      </c>
      <c r="K79" t="s">
        <v>179</v>
      </c>
      <c r="L79" t="e">
        <f t="shared" si="50"/>
        <v>#N/A</v>
      </c>
      <c r="M79" t="e">
        <f t="shared" si="51"/>
        <v>#N/A</v>
      </c>
      <c r="N79" t="e">
        <f t="shared" si="52"/>
        <v>#N/A</v>
      </c>
      <c r="O79" t="n">
        <f t="shared" si="53"/>
        <v>0</v>
      </c>
      <c r="P79" t="n">
        <f t="shared" si="54"/>
        <v>0</v>
      </c>
      <c r="Q79" t="n">
        <f t="shared" si="55"/>
        <v>0</v>
      </c>
      <c r="R79" t="n">
        <f t="shared" si="56"/>
        <v>0</v>
      </c>
      <c r="S79" t="e">
        <f t="shared" si="57"/>
        <v>#N/A</v>
      </c>
      <c r="T79" t="e">
        <f t="shared" si="58"/>
        <v>#N/A</v>
      </c>
      <c r="U79" t="e">
        <f t="shared" si="59"/>
        <v>#N/A</v>
      </c>
      <c r="V79" t="e">
        <f t="shared" si="60"/>
        <v>#N/A</v>
      </c>
      <c r="W79" t="e">
        <f t="shared" si="61"/>
        <v>#N/A</v>
      </c>
      <c r="X79" t="e">
        <f t="shared" si="62"/>
        <v>#N/A</v>
      </c>
      <c r="Y79" t="e">
        <f t="shared" si="63"/>
        <v>#N/A</v>
      </c>
      <c r="Z79" t="e">
        <f t="shared" si="64"/>
        <v>#N/A</v>
      </c>
      <c r="AA79" t="e">
        <f t="shared" si="65"/>
        <v>#N/A</v>
      </c>
      <c r="AB79" t="e">
        <f t="shared" si="66"/>
        <v>#N/A</v>
      </c>
      <c r="AC79" t="e">
        <f t="shared" si="67"/>
        <v>#N/A</v>
      </c>
      <c r="AD79" t="e">
        <f t="shared" si="68"/>
        <v>#N/A</v>
      </c>
      <c r="AE79" t="e">
        <f t="shared" si="69"/>
        <v>#N/A</v>
      </c>
      <c r="AF79" t="e">
        <f t="shared" si="70"/>
        <v>#N/A</v>
      </c>
      <c r="AG79" t="e">
        <f t="shared" si="71"/>
        <v>#N/A</v>
      </c>
      <c r="AH79" t="e">
        <f t="shared" si="72"/>
        <v>#N/A</v>
      </c>
      <c r="AI79" t="e">
        <f t="shared" si="73"/>
        <v>#N/A</v>
      </c>
      <c r="AJ79" t="e">
        <f t="shared" si="74"/>
        <v>#N/A</v>
      </c>
    </row>
    <row r="80">
      <c r="A80" s="2" t="n">
        <v>48823</v>
      </c>
      <c r="B80" t="n">
        <v>799276.483460888</v>
      </c>
      <c r="C80" t="n">
        <v>432810.305022509</v>
      </c>
      <c r="D80" t="n">
        <v>201.243989917157</v>
      </c>
      <c r="E80" t="n">
        <v>16104.1631580298</v>
      </c>
      <c r="F80" t="n">
        <v>4394344.16353747</v>
      </c>
      <c r="G80" t="n">
        <v>0.055423322310881</v>
      </c>
      <c r="H80" t="n">
        <v>0.665345047743474</v>
      </c>
      <c r="I80" t="n">
        <v>0.0312965268498377</v>
      </c>
      <c r="J80" t="n">
        <v>0.041693373686652</v>
      </c>
      <c r="K80" t="s">
        <v>179</v>
      </c>
      <c r="L80" t="e">
        <f t="shared" si="50"/>
        <v>#N/A</v>
      </c>
      <c r="M80" t="e">
        <f t="shared" si="51"/>
        <v>#N/A</v>
      </c>
      <c r="N80" t="e">
        <f t="shared" si="52"/>
        <v>#N/A</v>
      </c>
      <c r="O80" t="n">
        <f t="shared" si="53"/>
        <v>0</v>
      </c>
      <c r="P80" t="n">
        <f t="shared" si="54"/>
        <v>0</v>
      </c>
      <c r="Q80" t="n">
        <f t="shared" si="55"/>
        <v>0</v>
      </c>
      <c r="R80" t="n">
        <f t="shared" si="56"/>
        <v>0</v>
      </c>
      <c r="S80" t="e">
        <f t="shared" si="57"/>
        <v>#N/A</v>
      </c>
      <c r="T80" t="e">
        <f t="shared" si="58"/>
        <v>#N/A</v>
      </c>
      <c r="U80" t="e">
        <f t="shared" si="59"/>
        <v>#N/A</v>
      </c>
      <c r="V80" t="e">
        <f t="shared" si="60"/>
        <v>#N/A</v>
      </c>
      <c r="W80" t="e">
        <f t="shared" si="61"/>
        <v>#N/A</v>
      </c>
      <c r="X80" t="e">
        <f t="shared" si="62"/>
        <v>#N/A</v>
      </c>
      <c r="Y80" t="e">
        <f t="shared" si="63"/>
        <v>#N/A</v>
      </c>
      <c r="Z80" t="e">
        <f t="shared" si="64"/>
        <v>#N/A</v>
      </c>
      <c r="AA80" t="e">
        <f t="shared" si="65"/>
        <v>#N/A</v>
      </c>
      <c r="AB80" t="e">
        <f t="shared" si="66"/>
        <v>#N/A</v>
      </c>
      <c r="AC80" t="e">
        <f t="shared" si="67"/>
        <v>#N/A</v>
      </c>
      <c r="AD80" t="e">
        <f t="shared" si="68"/>
        <v>#N/A</v>
      </c>
      <c r="AE80" t="e">
        <f t="shared" si="69"/>
        <v>#N/A</v>
      </c>
      <c r="AF80" t="e">
        <f t="shared" si="70"/>
        <v>#N/A</v>
      </c>
      <c r="AG80" t="e">
        <f t="shared" si="71"/>
        <v>#N/A</v>
      </c>
      <c r="AH80" t="e">
        <f t="shared" si="72"/>
        <v>#N/A</v>
      </c>
      <c r="AI80" t="e">
        <f t="shared" si="73"/>
        <v>#N/A</v>
      </c>
      <c r="AJ80" t="e">
        <f t="shared" si="74"/>
        <v>#N/A</v>
      </c>
    </row>
    <row r="81">
      <c r="A81" s="2" t="n">
        <v>48914</v>
      </c>
      <c r="B81" t="n">
        <v>802156.242258312</v>
      </c>
      <c r="C81" t="n">
        <v>435654.380400393</v>
      </c>
      <c r="D81" t="n">
        <v>203.211414099388</v>
      </c>
      <c r="E81" t="n">
        <v>16152.3105114046</v>
      </c>
      <c r="F81" t="n">
        <v>4400094.43258326</v>
      </c>
      <c r="G81" t="n">
        <v>0.0553956218826285</v>
      </c>
      <c r="H81" t="n">
        <v>0.665324469772037</v>
      </c>
      <c r="I81" t="n">
        <v>0.0315452577287459</v>
      </c>
      <c r="J81" t="n">
        <v>0.0409205238631088</v>
      </c>
      <c r="K81" t="s">
        <v>179</v>
      </c>
      <c r="L81" t="e">
        <f t="shared" si="50"/>
        <v>#N/A</v>
      </c>
      <c r="M81" t="e">
        <f t="shared" si="51"/>
        <v>#N/A</v>
      </c>
      <c r="N81" t="e">
        <f t="shared" si="52"/>
        <v>#N/A</v>
      </c>
      <c r="O81" t="n">
        <f t="shared" si="53"/>
        <v>0</v>
      </c>
      <c r="P81" t="n">
        <f t="shared" si="54"/>
        <v>0</v>
      </c>
      <c r="Q81" t="n">
        <f t="shared" si="55"/>
        <v>0</v>
      </c>
      <c r="R81" t="n">
        <f t="shared" si="56"/>
        <v>0</v>
      </c>
      <c r="S81" t="e">
        <f t="shared" si="57"/>
        <v>#N/A</v>
      </c>
      <c r="T81" t="e">
        <f t="shared" si="58"/>
        <v>#N/A</v>
      </c>
      <c r="U81" t="e">
        <f t="shared" si="59"/>
        <v>#N/A</v>
      </c>
      <c r="V81" t="e">
        <f t="shared" si="60"/>
        <v>#N/A</v>
      </c>
      <c r="W81" t="e">
        <f t="shared" si="61"/>
        <v>#N/A</v>
      </c>
      <c r="X81" t="e">
        <f t="shared" si="62"/>
        <v>#N/A</v>
      </c>
      <c r="Y81" t="e">
        <f t="shared" si="63"/>
        <v>#N/A</v>
      </c>
      <c r="Z81" t="e">
        <f t="shared" si="64"/>
        <v>#N/A</v>
      </c>
      <c r="AA81" t="e">
        <f t="shared" si="65"/>
        <v>#N/A</v>
      </c>
      <c r="AB81" t="e">
        <f t="shared" si="66"/>
        <v>#N/A</v>
      </c>
      <c r="AC81" t="e">
        <f t="shared" si="67"/>
        <v>#N/A</v>
      </c>
      <c r="AD81" t="e">
        <f t="shared" si="68"/>
        <v>#N/A</v>
      </c>
      <c r="AE81" t="e">
        <f t="shared" si="69"/>
        <v>#N/A</v>
      </c>
      <c r="AF81" t="e">
        <f t="shared" si="70"/>
        <v>#N/A</v>
      </c>
      <c r="AG81" t="e">
        <f t="shared" si="71"/>
        <v>#N/A</v>
      </c>
      <c r="AH81" t="e">
        <f t="shared" si="72"/>
        <v>#N/A</v>
      </c>
      <c r="AI81" t="e">
        <f t="shared" si="73"/>
        <v>#N/A</v>
      </c>
      <c r="AJ81" t="e">
        <f t="shared" si="74"/>
        <v>#N/A</v>
      </c>
    </row>
    <row r="82">
      <c r="A82" s="2" t="n">
        <v>49004</v>
      </c>
      <c r="B82" t="n">
        <v>805083.61810318</v>
      </c>
      <c r="C82" t="n">
        <v>438529.293802569</v>
      </c>
      <c r="D82" t="n">
        <v>205.207627810989</v>
      </c>
      <c r="E82" t="n">
        <v>16201.368606645</v>
      </c>
      <c r="F82" t="n">
        <v>4406192.32748888</v>
      </c>
      <c r="G82" t="n">
        <v>0.0553375940419492</v>
      </c>
      <c r="H82" t="n">
        <v>0.665319669279469</v>
      </c>
      <c r="I82" t="n">
        <v>0.0319037713355789</v>
      </c>
      <c r="J82" t="n">
        <v>0.0402219529269906</v>
      </c>
      <c r="K82" t="s">
        <v>179</v>
      </c>
      <c r="L82" t="e">
        <f t="shared" si="50"/>
        <v>#N/A</v>
      </c>
      <c r="M82" t="e">
        <f t="shared" si="51"/>
        <v>#N/A</v>
      </c>
      <c r="N82" t="e">
        <f t="shared" si="52"/>
        <v>#N/A</v>
      </c>
      <c r="O82" t="n">
        <f t="shared" si="53"/>
        <v>0</v>
      </c>
      <c r="P82" t="n">
        <f t="shared" si="54"/>
        <v>0</v>
      </c>
      <c r="Q82" t="n">
        <f t="shared" si="55"/>
        <v>0</v>
      </c>
      <c r="R82" t="n">
        <f t="shared" si="56"/>
        <v>0</v>
      </c>
      <c r="S82" t="e">
        <f t="shared" si="57"/>
        <v>#N/A</v>
      </c>
      <c r="T82" t="e">
        <f t="shared" si="58"/>
        <v>#N/A</v>
      </c>
      <c r="U82" t="e">
        <f t="shared" si="59"/>
        <v>#N/A</v>
      </c>
      <c r="V82" t="e">
        <f t="shared" si="60"/>
        <v>#N/A</v>
      </c>
      <c r="W82" t="e">
        <f t="shared" si="61"/>
        <v>#N/A</v>
      </c>
      <c r="X82" t="e">
        <f t="shared" si="62"/>
        <v>#N/A</v>
      </c>
      <c r="Y82" t="e">
        <f t="shared" si="63"/>
        <v>#N/A</v>
      </c>
      <c r="Z82" t="e">
        <f t="shared" si="64"/>
        <v>#N/A</v>
      </c>
      <c r="AA82" t="e">
        <f t="shared" si="65"/>
        <v>#N/A</v>
      </c>
      <c r="AB82" t="e">
        <f t="shared" si="66"/>
        <v>#N/A</v>
      </c>
      <c r="AC82" t="e">
        <f t="shared" si="67"/>
        <v>#N/A</v>
      </c>
      <c r="AD82" t="e">
        <f t="shared" si="68"/>
        <v>#N/A</v>
      </c>
      <c r="AE82" t="e">
        <f t="shared" si="69"/>
        <v>#N/A</v>
      </c>
      <c r="AF82" t="e">
        <f t="shared" si="70"/>
        <v>#N/A</v>
      </c>
      <c r="AG82" t="e">
        <f t="shared" si="71"/>
        <v>#N/A</v>
      </c>
      <c r="AH82" t="e">
        <f t="shared" si="72"/>
        <v>#N/A</v>
      </c>
      <c r="AI82" t="e">
        <f t="shared" si="73"/>
        <v>#N/A</v>
      </c>
      <c r="AJ82" t="e">
        <f t="shared" si="74"/>
        <v>#N/A</v>
      </c>
    </row>
    <row r="83">
      <c r="A83" s="2" t="n">
        <v>49096</v>
      </c>
      <c r="B83" t="n">
        <v>807755.525110946</v>
      </c>
      <c r="C83" t="n">
        <v>441038.018122278</v>
      </c>
      <c r="D83" t="n">
        <v>207.230117487494</v>
      </c>
      <c r="E83" t="n">
        <v>16249.3746566893</v>
      </c>
      <c r="F83" t="n">
        <v>4411682.80532342</v>
      </c>
      <c r="G83" t="n">
        <v>0.0553548873343689</v>
      </c>
      <c r="H83" t="n">
        <v>0.665324357713518</v>
      </c>
      <c r="I83" t="n">
        <v>0.0321881504985048</v>
      </c>
      <c r="J83" t="n">
        <v>0.0395881116382844</v>
      </c>
      <c r="K83" t="s">
        <v>179</v>
      </c>
      <c r="L83" t="e">
        <f t="shared" si="50"/>
        <v>#N/A</v>
      </c>
      <c r="M83" t="e">
        <f t="shared" si="51"/>
        <v>#N/A</v>
      </c>
      <c r="N83" t="e">
        <f t="shared" si="52"/>
        <v>#N/A</v>
      </c>
      <c r="O83" t="n">
        <f t="shared" si="53"/>
        <v>0</v>
      </c>
      <c r="P83" t="n">
        <f t="shared" si="54"/>
        <v>0</v>
      </c>
      <c r="Q83" t="n">
        <f t="shared" si="55"/>
        <v>0</v>
      </c>
      <c r="R83" t="n">
        <f t="shared" si="56"/>
        <v>0</v>
      </c>
      <c r="S83" t="e">
        <f t="shared" si="57"/>
        <v>#N/A</v>
      </c>
      <c r="T83" t="e">
        <f t="shared" si="58"/>
        <v>#N/A</v>
      </c>
      <c r="U83" t="e">
        <f t="shared" si="59"/>
        <v>#N/A</v>
      </c>
      <c r="V83" t="e">
        <f t="shared" si="60"/>
        <v>#N/A</v>
      </c>
      <c r="W83" t="e">
        <f t="shared" si="61"/>
        <v>#N/A</v>
      </c>
      <c r="X83" t="e">
        <f t="shared" si="62"/>
        <v>#N/A</v>
      </c>
      <c r="Y83" t="e">
        <f t="shared" si="63"/>
        <v>#N/A</v>
      </c>
      <c r="Z83" t="e">
        <f t="shared" si="64"/>
        <v>#N/A</v>
      </c>
      <c r="AA83" t="e">
        <f t="shared" si="65"/>
        <v>#N/A</v>
      </c>
      <c r="AB83" t="e">
        <f t="shared" si="66"/>
        <v>#N/A</v>
      </c>
      <c r="AC83" t="e">
        <f t="shared" si="67"/>
        <v>#N/A</v>
      </c>
      <c r="AD83" t="e">
        <f t="shared" si="68"/>
        <v>#N/A</v>
      </c>
      <c r="AE83" t="e">
        <f t="shared" si="69"/>
        <v>#N/A</v>
      </c>
      <c r="AF83" t="e">
        <f t="shared" si="70"/>
        <v>#N/A</v>
      </c>
      <c r="AG83" t="e">
        <f t="shared" si="71"/>
        <v>#N/A</v>
      </c>
      <c r="AH83" t="e">
        <f t="shared" si="72"/>
        <v>#N/A</v>
      </c>
      <c r="AI83" t="e">
        <f t="shared" si="73"/>
        <v>#N/A</v>
      </c>
      <c r="AJ83" t="e">
        <f t="shared" si="74"/>
        <v>#N/A</v>
      </c>
    </row>
    <row r="84">
      <c r="A84" s="2" t="n">
        <v>49188</v>
      </c>
      <c r="B84" t="n">
        <v>810519.395674786</v>
      </c>
      <c r="C84" t="n">
        <v>443578.065262381</v>
      </c>
      <c r="D84" t="n">
        <v>209.284264076582</v>
      </c>
      <c r="E84" t="n">
        <v>16296.7874904412</v>
      </c>
      <c r="F84" t="n">
        <v>4417087.12891435</v>
      </c>
      <c r="G84" t="n">
        <v>0.0553211836005975</v>
      </c>
      <c r="H84" t="n">
        <v>0.665325332771863</v>
      </c>
      <c r="I84" t="n">
        <v>0.0325792342905538</v>
      </c>
      <c r="J84" t="n">
        <v>0.0390210847642605</v>
      </c>
      <c r="K84" t="s">
        <v>179</v>
      </c>
      <c r="L84" t="e">
        <f t="shared" si="50"/>
        <v>#N/A</v>
      </c>
      <c r="M84" t="e">
        <f t="shared" si="51"/>
        <v>#N/A</v>
      </c>
      <c r="N84" t="e">
        <f t="shared" si="52"/>
        <v>#N/A</v>
      </c>
      <c r="O84" t="n">
        <f t="shared" si="53"/>
        <v>0</v>
      </c>
      <c r="P84" t="n">
        <f t="shared" si="54"/>
        <v>0</v>
      </c>
      <c r="Q84" t="n">
        <f t="shared" si="55"/>
        <v>0</v>
      </c>
      <c r="R84" t="n">
        <f t="shared" si="56"/>
        <v>0</v>
      </c>
      <c r="S84" t="e">
        <f t="shared" si="57"/>
        <v>#N/A</v>
      </c>
      <c r="T84" t="e">
        <f t="shared" si="58"/>
        <v>#N/A</v>
      </c>
      <c r="U84" t="e">
        <f t="shared" si="59"/>
        <v>#N/A</v>
      </c>
      <c r="V84" t="e">
        <f t="shared" si="60"/>
        <v>#N/A</v>
      </c>
      <c r="W84" t="e">
        <f t="shared" si="61"/>
        <v>#N/A</v>
      </c>
      <c r="X84" t="e">
        <f t="shared" si="62"/>
        <v>#N/A</v>
      </c>
      <c r="Y84" t="e">
        <f t="shared" si="63"/>
        <v>#N/A</v>
      </c>
      <c r="Z84" t="e">
        <f t="shared" si="64"/>
        <v>#N/A</v>
      </c>
      <c r="AA84" t="e">
        <f t="shared" si="65"/>
        <v>#N/A</v>
      </c>
      <c r="AB84" t="e">
        <f t="shared" si="66"/>
        <v>#N/A</v>
      </c>
      <c r="AC84" t="e">
        <f t="shared" si="67"/>
        <v>#N/A</v>
      </c>
      <c r="AD84" t="e">
        <f t="shared" si="68"/>
        <v>#N/A</v>
      </c>
      <c r="AE84" t="e">
        <f t="shared" si="69"/>
        <v>#N/A</v>
      </c>
      <c r="AF84" t="e">
        <f t="shared" si="70"/>
        <v>#N/A</v>
      </c>
      <c r="AG84" t="e">
        <f t="shared" si="71"/>
        <v>#N/A</v>
      </c>
      <c r="AH84" t="e">
        <f t="shared" si="72"/>
        <v>#N/A</v>
      </c>
      <c r="AI84" t="e">
        <f t="shared" si="73"/>
        <v>#N/A</v>
      </c>
      <c r="AJ84" t="e">
        <f t="shared" si="74"/>
        <v>#N/A</v>
      </c>
    </row>
    <row r="85">
      <c r="A85" s="2" t="n">
        <v>49279</v>
      </c>
      <c r="B85" t="n">
        <v>813384.061657148</v>
      </c>
      <c r="C85" t="n">
        <v>446209.067710323</v>
      </c>
      <c r="D85" t="n">
        <v>211.366910118493</v>
      </c>
      <c r="E85" t="n">
        <v>16344.6206480772</v>
      </c>
      <c r="F85" t="n">
        <v>4422626.23561841</v>
      </c>
      <c r="G85" t="n">
        <v>0.0552746606293788</v>
      </c>
      <c r="H85" t="n">
        <v>0.665334261103139</v>
      </c>
      <c r="I85" t="n">
        <v>0.0330086542330379</v>
      </c>
      <c r="J85" t="n">
        <v>0.0385186623147768</v>
      </c>
      <c r="K85" t="s">
        <v>179</v>
      </c>
      <c r="L85" t="e">
        <f t="shared" si="50"/>
        <v>#N/A</v>
      </c>
      <c r="M85" t="e">
        <f t="shared" si="51"/>
        <v>#N/A</v>
      </c>
      <c r="N85" t="e">
        <f t="shared" si="52"/>
        <v>#N/A</v>
      </c>
      <c r="O85" t="n">
        <f t="shared" si="53"/>
        <v>0</v>
      </c>
      <c r="P85" t="n">
        <f t="shared" si="54"/>
        <v>0</v>
      </c>
      <c r="Q85" t="n">
        <f t="shared" si="55"/>
        <v>0</v>
      </c>
      <c r="R85" t="n">
        <f t="shared" si="56"/>
        <v>0</v>
      </c>
      <c r="S85" t="e">
        <f t="shared" si="57"/>
        <v>#N/A</v>
      </c>
      <c r="T85" t="e">
        <f t="shared" si="58"/>
        <v>#N/A</v>
      </c>
      <c r="U85" t="e">
        <f t="shared" si="59"/>
        <v>#N/A</v>
      </c>
      <c r="V85" t="e">
        <f t="shared" si="60"/>
        <v>#N/A</v>
      </c>
      <c r="W85" t="e">
        <f t="shared" si="61"/>
        <v>#N/A</v>
      </c>
      <c r="X85" t="e">
        <f t="shared" si="62"/>
        <v>#N/A</v>
      </c>
      <c r="Y85" t="e">
        <f t="shared" si="63"/>
        <v>#N/A</v>
      </c>
      <c r="Z85" t="e">
        <f t="shared" si="64"/>
        <v>#N/A</v>
      </c>
      <c r="AA85" t="e">
        <f t="shared" si="65"/>
        <v>#N/A</v>
      </c>
      <c r="AB85" t="e">
        <f t="shared" si="66"/>
        <v>#N/A</v>
      </c>
      <c r="AC85" t="e">
        <f t="shared" si="67"/>
        <v>#N/A</v>
      </c>
      <c r="AD85" t="e">
        <f t="shared" si="68"/>
        <v>#N/A</v>
      </c>
      <c r="AE85" t="e">
        <f t="shared" si="69"/>
        <v>#N/A</v>
      </c>
      <c r="AF85" t="e">
        <f t="shared" si="70"/>
        <v>#N/A</v>
      </c>
      <c r="AG85" t="e">
        <f t="shared" si="71"/>
        <v>#N/A</v>
      </c>
      <c r="AH85" t="e">
        <f t="shared" si="72"/>
        <v>#N/A</v>
      </c>
      <c r="AI85" t="e">
        <f t="shared" si="73"/>
        <v>#N/A</v>
      </c>
      <c r="AJ85" t="e">
        <f t="shared" si="74"/>
        <v>#N/A</v>
      </c>
    </row>
    <row r="86">
      <c r="A86" s="2" t="n">
        <v>49369</v>
      </c>
      <c r="B86" t="n">
        <v>816268.00886243</v>
      </c>
      <c r="C86" t="n">
        <v>448862.974386194</v>
      </c>
      <c r="D86" t="n">
        <v>213.478403201183</v>
      </c>
      <c r="E86" t="n">
        <v>16392.7683198211</v>
      </c>
      <c r="F86" t="n">
        <v>4428259.95068507</v>
      </c>
      <c r="G86" t="n">
        <v>0.0552170142599571</v>
      </c>
      <c r="H86" t="n">
        <v>0.665347896150233</v>
      </c>
      <c r="I86" t="n">
        <v>0.0334639082080907</v>
      </c>
      <c r="J86" t="n">
        <v>0.0380780249683048</v>
      </c>
      <c r="K86" t="s">
        <v>179</v>
      </c>
      <c r="L86" t="e">
        <f t="shared" si="50"/>
        <v>#N/A</v>
      </c>
      <c r="M86" t="e">
        <f t="shared" si="51"/>
        <v>#N/A</v>
      </c>
      <c r="N86" t="e">
        <f t="shared" si="52"/>
        <v>#N/A</v>
      </c>
      <c r="O86" t="n">
        <f t="shared" si="53"/>
        <v>0</v>
      </c>
      <c r="P86" t="n">
        <f t="shared" si="54"/>
        <v>0</v>
      </c>
      <c r="Q86" t="n">
        <f t="shared" si="55"/>
        <v>0</v>
      </c>
      <c r="R86" t="n">
        <f t="shared" si="56"/>
        <v>0</v>
      </c>
      <c r="S86" t="e">
        <f t="shared" si="57"/>
        <v>#N/A</v>
      </c>
      <c r="T86" t="e">
        <f t="shared" si="58"/>
        <v>#N/A</v>
      </c>
      <c r="U86" t="e">
        <f t="shared" si="59"/>
        <v>#N/A</v>
      </c>
      <c r="V86" t="e">
        <f t="shared" si="60"/>
        <v>#N/A</v>
      </c>
      <c r="W86" t="e">
        <f t="shared" si="61"/>
        <v>#N/A</v>
      </c>
      <c r="X86" t="e">
        <f t="shared" si="62"/>
        <v>#N/A</v>
      </c>
      <c r="Y86" t="e">
        <f t="shared" si="63"/>
        <v>#N/A</v>
      </c>
      <c r="Z86" t="e">
        <f t="shared" si="64"/>
        <v>#N/A</v>
      </c>
      <c r="AA86" t="e">
        <f t="shared" si="65"/>
        <v>#N/A</v>
      </c>
      <c r="AB86" t="e">
        <f t="shared" si="66"/>
        <v>#N/A</v>
      </c>
      <c r="AC86" t="e">
        <f t="shared" si="67"/>
        <v>#N/A</v>
      </c>
      <c r="AD86" t="e">
        <f t="shared" si="68"/>
        <v>#N/A</v>
      </c>
      <c r="AE86" t="e">
        <f t="shared" si="69"/>
        <v>#N/A</v>
      </c>
      <c r="AF86" t="e">
        <f t="shared" si="70"/>
        <v>#N/A</v>
      </c>
      <c r="AG86" t="e">
        <f t="shared" si="71"/>
        <v>#N/A</v>
      </c>
      <c r="AH86" t="e">
        <f t="shared" si="72"/>
        <v>#N/A</v>
      </c>
      <c r="AI86" t="e">
        <f t="shared" si="73"/>
        <v>#N/A</v>
      </c>
      <c r="AJ86" t="e">
        <f t="shared" si="74"/>
        <v>#N/A</v>
      </c>
    </row>
    <row r="87">
      <c r="A87" s="2" t="n">
        <v>49461</v>
      </c>
      <c r="B87" t="n">
        <v>818862.291296526</v>
      </c>
      <c r="C87" t="n">
        <v>451133.358667824</v>
      </c>
      <c r="D87" t="n">
        <v>215.61524459475</v>
      </c>
      <c r="E87" t="n">
        <v>16439.301931376</v>
      </c>
      <c r="F87" t="n">
        <v>4433042.02961893</v>
      </c>
      <c r="G87" t="n">
        <v>0.055254767809915</v>
      </c>
      <c r="H87" t="n">
        <v>0.665363094446729</v>
      </c>
      <c r="I87" t="n">
        <v>0.0337651236702528</v>
      </c>
      <c r="J87" t="n">
        <v>0.0376856183182336</v>
      </c>
      <c r="K87" t="s">
        <v>179</v>
      </c>
      <c r="L87" t="e">
        <f t="shared" si="50"/>
        <v>#N/A</v>
      </c>
      <c r="M87" t="e">
        <f t="shared" si="51"/>
        <v>#N/A</v>
      </c>
      <c r="N87" t="e">
        <f t="shared" si="52"/>
        <v>#N/A</v>
      </c>
      <c r="O87" t="n">
        <f t="shared" si="53"/>
        <v>0</v>
      </c>
      <c r="P87" t="n">
        <f t="shared" si="54"/>
        <v>0</v>
      </c>
      <c r="Q87" t="n">
        <f t="shared" si="55"/>
        <v>0</v>
      </c>
      <c r="R87" t="n">
        <f t="shared" si="56"/>
        <v>0</v>
      </c>
      <c r="S87" t="e">
        <f t="shared" si="57"/>
        <v>#N/A</v>
      </c>
      <c r="T87" t="e">
        <f t="shared" si="58"/>
        <v>#N/A</v>
      </c>
      <c r="U87" t="e">
        <f t="shared" si="59"/>
        <v>#N/A</v>
      </c>
      <c r="V87" t="e">
        <f t="shared" si="60"/>
        <v>#N/A</v>
      </c>
      <c r="W87" t="e">
        <f t="shared" si="61"/>
        <v>#N/A</v>
      </c>
      <c r="X87" t="e">
        <f t="shared" si="62"/>
        <v>#N/A</v>
      </c>
      <c r="Y87" t="e">
        <f t="shared" si="63"/>
        <v>#N/A</v>
      </c>
      <c r="Z87" t="e">
        <f t="shared" si="64"/>
        <v>#N/A</v>
      </c>
      <c r="AA87" t="e">
        <f t="shared" si="65"/>
        <v>#N/A</v>
      </c>
      <c r="AB87" t="e">
        <f t="shared" si="66"/>
        <v>#N/A</v>
      </c>
      <c r="AC87" t="e">
        <f t="shared" si="67"/>
        <v>#N/A</v>
      </c>
      <c r="AD87" t="e">
        <f t="shared" si="68"/>
        <v>#N/A</v>
      </c>
      <c r="AE87" t="e">
        <f t="shared" si="69"/>
        <v>#N/A</v>
      </c>
      <c r="AF87" t="e">
        <f t="shared" si="70"/>
        <v>#N/A</v>
      </c>
      <c r="AG87" t="e">
        <f t="shared" si="71"/>
        <v>#N/A</v>
      </c>
      <c r="AH87" t="e">
        <f t="shared" si="72"/>
        <v>#N/A</v>
      </c>
      <c r="AI87" t="e">
        <f t="shared" si="73"/>
        <v>#N/A</v>
      </c>
      <c r="AJ87" t="e">
        <f t="shared" si="74"/>
        <v>#N/A</v>
      </c>
    </row>
    <row r="88">
      <c r="A88" s="2" t="n">
        <v>49553</v>
      </c>
      <c r="B88" t="n">
        <v>821494.075798863</v>
      </c>
      <c r="C88" t="n">
        <v>453398.438581173</v>
      </c>
      <c r="D88" t="n">
        <v>217.779053027811</v>
      </c>
      <c r="E88" t="n">
        <v>16484.9699858475</v>
      </c>
      <c r="F88" t="n">
        <v>4437408.84446314</v>
      </c>
      <c r="G88" t="n">
        <v>0.0553263696373388</v>
      </c>
      <c r="H88" t="n">
        <v>0.665364856244272</v>
      </c>
      <c r="I88" t="n">
        <v>0.0339802334369201</v>
      </c>
      <c r="J88" t="n">
        <v>0.037332935394967</v>
      </c>
      <c r="K88" t="s">
        <v>179</v>
      </c>
      <c r="L88" t="e">
        <f t="shared" si="50"/>
        <v>#N/A</v>
      </c>
      <c r="M88" t="e">
        <f t="shared" si="51"/>
        <v>#N/A</v>
      </c>
      <c r="N88" t="e">
        <f t="shared" si="52"/>
        <v>#N/A</v>
      </c>
      <c r="O88" t="n">
        <f t="shared" si="53"/>
        <v>0</v>
      </c>
      <c r="P88" t="n">
        <f t="shared" si="54"/>
        <v>0</v>
      </c>
      <c r="Q88" t="n">
        <f t="shared" si="55"/>
        <v>0</v>
      </c>
      <c r="R88" t="n">
        <f t="shared" si="56"/>
        <v>0</v>
      </c>
      <c r="S88" t="e">
        <f t="shared" si="57"/>
        <v>#N/A</v>
      </c>
      <c r="T88" t="e">
        <f t="shared" si="58"/>
        <v>#N/A</v>
      </c>
      <c r="U88" t="e">
        <f t="shared" si="59"/>
        <v>#N/A</v>
      </c>
      <c r="V88" t="e">
        <f t="shared" si="60"/>
        <v>#N/A</v>
      </c>
      <c r="W88" t="e">
        <f t="shared" si="61"/>
        <v>#N/A</v>
      </c>
      <c r="X88" t="e">
        <f t="shared" si="62"/>
        <v>#N/A</v>
      </c>
      <c r="Y88" t="e">
        <f t="shared" si="63"/>
        <v>#N/A</v>
      </c>
      <c r="Z88" t="e">
        <f t="shared" si="64"/>
        <v>#N/A</v>
      </c>
      <c r="AA88" t="e">
        <f t="shared" si="65"/>
        <v>#N/A</v>
      </c>
      <c r="AB88" t="e">
        <f t="shared" si="66"/>
        <v>#N/A</v>
      </c>
      <c r="AC88" t="e">
        <f t="shared" si="67"/>
        <v>#N/A</v>
      </c>
      <c r="AD88" t="e">
        <f t="shared" si="68"/>
        <v>#N/A</v>
      </c>
      <c r="AE88" t="e">
        <f t="shared" si="69"/>
        <v>#N/A</v>
      </c>
      <c r="AF88" t="e">
        <f t="shared" si="70"/>
        <v>#N/A</v>
      </c>
      <c r="AG88" t="e">
        <f t="shared" si="71"/>
        <v>#N/A</v>
      </c>
      <c r="AH88" t="e">
        <f t="shared" si="72"/>
        <v>#N/A</v>
      </c>
      <c r="AI88" t="e">
        <f t="shared" si="73"/>
        <v>#N/A</v>
      </c>
      <c r="AJ88" t="e">
        <f t="shared" si="74"/>
        <v>#N/A</v>
      </c>
    </row>
    <row r="89">
      <c r="A89" s="2" t="n">
        <v>49644</v>
      </c>
      <c r="B89" t="n">
        <v>824218.466765003</v>
      </c>
      <c r="C89" t="n">
        <v>455771.87818481</v>
      </c>
      <c r="D89" t="n">
        <v>219.969664715775</v>
      </c>
      <c r="E89" t="n">
        <v>16530.6479813617</v>
      </c>
      <c r="F89" t="n">
        <v>4441782.38563028</v>
      </c>
      <c r="G89" t="n">
        <v>0.055382465089571</v>
      </c>
      <c r="H89" t="n">
        <v>0.665356329439756</v>
      </c>
      <c r="I89" t="n">
        <v>0.0341836430158901</v>
      </c>
      <c r="J89" t="n">
        <v>0.037016566980771</v>
      </c>
      <c r="K89" t="s">
        <v>179</v>
      </c>
      <c r="L89" t="e">
        <f t="shared" si="50"/>
        <v>#N/A</v>
      </c>
      <c r="M89" t="e">
        <f t="shared" si="51"/>
        <v>#N/A</v>
      </c>
      <c r="N89" t="e">
        <f t="shared" si="52"/>
        <v>#N/A</v>
      </c>
      <c r="O89" t="n">
        <f t="shared" si="53"/>
        <v>0</v>
      </c>
      <c r="P89" t="n">
        <f t="shared" si="54"/>
        <v>0</v>
      </c>
      <c r="Q89" t="n">
        <f t="shared" si="55"/>
        <v>0</v>
      </c>
      <c r="R89" t="n">
        <f t="shared" si="56"/>
        <v>0</v>
      </c>
      <c r="S89" t="e">
        <f t="shared" si="57"/>
        <v>#N/A</v>
      </c>
      <c r="T89" t="e">
        <f t="shared" si="58"/>
        <v>#N/A</v>
      </c>
      <c r="U89" t="e">
        <f t="shared" si="59"/>
        <v>#N/A</v>
      </c>
      <c r="V89" t="e">
        <f t="shared" si="60"/>
        <v>#N/A</v>
      </c>
      <c r="W89" t="e">
        <f t="shared" si="61"/>
        <v>#N/A</v>
      </c>
      <c r="X89" t="e">
        <f t="shared" si="62"/>
        <v>#N/A</v>
      </c>
      <c r="Y89" t="e">
        <f t="shared" si="63"/>
        <v>#N/A</v>
      </c>
      <c r="Z89" t="e">
        <f t="shared" si="64"/>
        <v>#N/A</v>
      </c>
      <c r="AA89" t="e">
        <f t="shared" si="65"/>
        <v>#N/A</v>
      </c>
      <c r="AB89" t="e">
        <f t="shared" si="66"/>
        <v>#N/A</v>
      </c>
      <c r="AC89" t="e">
        <f t="shared" si="67"/>
        <v>#N/A</v>
      </c>
      <c r="AD89" t="e">
        <f t="shared" si="68"/>
        <v>#N/A</v>
      </c>
      <c r="AE89" t="e">
        <f t="shared" si="69"/>
        <v>#N/A</v>
      </c>
      <c r="AF89" t="e">
        <f t="shared" si="70"/>
        <v>#N/A</v>
      </c>
      <c r="AG89" t="e">
        <f t="shared" si="71"/>
        <v>#N/A</v>
      </c>
      <c r="AH89" t="e">
        <f t="shared" si="72"/>
        <v>#N/A</v>
      </c>
      <c r="AI89" t="e">
        <f t="shared" si="73"/>
        <v>#N/A</v>
      </c>
      <c r="AJ89" t="e">
        <f t="shared" si="74"/>
        <v>#N/A</v>
      </c>
    </row>
    <row r="90">
      <c r="A90" s="2" t="n">
        <v>49735</v>
      </c>
      <c r="B90" t="n">
        <v>826948.101658237</v>
      </c>
      <c r="C90" t="n">
        <v>458182.393794065</v>
      </c>
      <c r="D90" t="n">
        <v>222.186232501744</v>
      </c>
      <c r="E90" t="n">
        <v>16576.4040907042</v>
      </c>
      <c r="F90" t="n">
        <v>4446161.74827283</v>
      </c>
      <c r="G90" t="n">
        <v>0.0554312721345353</v>
      </c>
      <c r="H90" t="n">
        <v>0.665346031744335</v>
      </c>
      <c r="I90" t="n">
        <v>0.0343618385966022</v>
      </c>
      <c r="J90" t="n">
        <v>0.0367325145346337</v>
      </c>
      <c r="K90" t="s">
        <v>179</v>
      </c>
      <c r="L90" t="e">
        <f t="shared" si="50"/>
        <v>#N/A</v>
      </c>
      <c r="M90" t="e">
        <f t="shared" si="51"/>
        <v>#N/A</v>
      </c>
      <c r="N90" t="e">
        <f t="shared" si="52"/>
        <v>#N/A</v>
      </c>
      <c r="O90" t="n">
        <f t="shared" si="53"/>
        <v>0</v>
      </c>
      <c r="P90" t="n">
        <f t="shared" si="54"/>
        <v>0</v>
      </c>
      <c r="Q90" t="n">
        <f t="shared" si="55"/>
        <v>0</v>
      </c>
      <c r="R90" t="n">
        <f t="shared" si="56"/>
        <v>0</v>
      </c>
      <c r="S90" t="e">
        <f t="shared" si="57"/>
        <v>#N/A</v>
      </c>
      <c r="T90" t="e">
        <f t="shared" si="58"/>
        <v>#N/A</v>
      </c>
      <c r="U90" t="e">
        <f t="shared" si="59"/>
        <v>#N/A</v>
      </c>
      <c r="V90" t="e">
        <f t="shared" si="60"/>
        <v>#N/A</v>
      </c>
      <c r="W90" t="e">
        <f t="shared" si="61"/>
        <v>#N/A</v>
      </c>
      <c r="X90" t="e">
        <f t="shared" si="62"/>
        <v>#N/A</v>
      </c>
      <c r="Y90" t="e">
        <f t="shared" si="63"/>
        <v>#N/A</v>
      </c>
      <c r="Z90" t="e">
        <f t="shared" si="64"/>
        <v>#N/A</v>
      </c>
      <c r="AA90" t="e">
        <f t="shared" si="65"/>
        <v>#N/A</v>
      </c>
      <c r="AB90" t="e">
        <f t="shared" si="66"/>
        <v>#N/A</v>
      </c>
      <c r="AC90" t="e">
        <f t="shared" si="67"/>
        <v>#N/A</v>
      </c>
      <c r="AD90" t="e">
        <f t="shared" si="68"/>
        <v>#N/A</v>
      </c>
      <c r="AE90" t="e">
        <f t="shared" si="69"/>
        <v>#N/A</v>
      </c>
      <c r="AF90" t="e">
        <f t="shared" si="70"/>
        <v>#N/A</v>
      </c>
      <c r="AG90" t="e">
        <f t="shared" si="71"/>
        <v>#N/A</v>
      </c>
      <c r="AH90" t="e">
        <f t="shared" si="72"/>
        <v>#N/A</v>
      </c>
      <c r="AI90" t="e">
        <f t="shared" si="73"/>
        <v>#N/A</v>
      </c>
      <c r="AJ90" t="e">
        <f t="shared" si="74"/>
        <v>#N/A</v>
      </c>
    </row>
    <row r="91">
      <c r="A91" s="2" t="n">
        <v>49827</v>
      </c>
      <c r="B91" t="n">
        <v>828692.680348822</v>
      </c>
      <c r="C91" t="n">
        <v>460112.011705037</v>
      </c>
      <c r="D91" t="n">
        <v>224.419645633369</v>
      </c>
      <c r="E91" t="n">
        <v>16616.8771073567</v>
      </c>
      <c r="F91" t="n">
        <v>4447936.76393601</v>
      </c>
      <c r="G91" t="n">
        <v>0.0557676133854563</v>
      </c>
      <c r="H91" t="n">
        <v>0.665327017754076</v>
      </c>
      <c r="I91" t="n">
        <v>0.0340270407292287</v>
      </c>
      <c r="J91" t="n">
        <v>0.0364474203087966</v>
      </c>
      <c r="K91" t="s">
        <v>179</v>
      </c>
      <c r="L91" t="e">
        <f t="shared" si="50"/>
        <v>#N/A</v>
      </c>
      <c r="M91" t="e">
        <f t="shared" si="51"/>
        <v>#N/A</v>
      </c>
      <c r="N91" t="e">
        <f t="shared" si="52"/>
        <v>#N/A</v>
      </c>
      <c r="O91" t="n">
        <f t="shared" si="53"/>
        <v>0</v>
      </c>
      <c r="P91" t="n">
        <f t="shared" si="54"/>
        <v>0</v>
      </c>
      <c r="Q91" t="n">
        <f t="shared" si="55"/>
        <v>0</v>
      </c>
      <c r="R91" t="n">
        <f t="shared" si="56"/>
        <v>0</v>
      </c>
      <c r="S91" t="e">
        <f t="shared" si="57"/>
        <v>#N/A</v>
      </c>
      <c r="T91" t="e">
        <f t="shared" si="58"/>
        <v>#N/A</v>
      </c>
      <c r="U91" t="e">
        <f t="shared" si="59"/>
        <v>#N/A</v>
      </c>
      <c r="V91" t="e">
        <f t="shared" si="60"/>
        <v>#N/A</v>
      </c>
      <c r="W91" t="e">
        <f t="shared" si="61"/>
        <v>#N/A</v>
      </c>
      <c r="X91" t="e">
        <f t="shared" si="62"/>
        <v>#N/A</v>
      </c>
      <c r="Y91" t="e">
        <f t="shared" si="63"/>
        <v>#N/A</v>
      </c>
      <c r="Z91" t="e">
        <f t="shared" si="64"/>
        <v>#N/A</v>
      </c>
      <c r="AA91" t="e">
        <f t="shared" si="65"/>
        <v>#N/A</v>
      </c>
      <c r="AB91" t="e">
        <f t="shared" si="66"/>
        <v>#N/A</v>
      </c>
      <c r="AC91" t="e">
        <f t="shared" si="67"/>
        <v>#N/A</v>
      </c>
      <c r="AD91" t="e">
        <f t="shared" si="68"/>
        <v>#N/A</v>
      </c>
      <c r="AE91" t="e">
        <f t="shared" si="69"/>
        <v>#N/A</v>
      </c>
      <c r="AF91" t="e">
        <f t="shared" si="70"/>
        <v>#N/A</v>
      </c>
      <c r="AG91" t="e">
        <f t="shared" si="71"/>
        <v>#N/A</v>
      </c>
      <c r="AH91" t="e">
        <f t="shared" si="72"/>
        <v>#N/A</v>
      </c>
      <c r="AI91" t="e">
        <f t="shared" si="73"/>
        <v>#N/A</v>
      </c>
      <c r="AJ91" t="e">
        <f t="shared" si="74"/>
        <v>#N/A</v>
      </c>
    </row>
    <row r="92">
      <c r="A92" s="2" t="n">
        <v>49919</v>
      </c>
      <c r="B92" t="n">
        <v>831235.381014186</v>
      </c>
      <c r="C92" t="n">
        <v>462135.122624696</v>
      </c>
      <c r="D92" t="n">
        <v>226.680508107175</v>
      </c>
      <c r="E92" t="n">
        <v>16658.2078999565</v>
      </c>
      <c r="F92" t="n">
        <v>4450313.17318138</v>
      </c>
      <c r="G92" t="n">
        <v>0.0559807445390241</v>
      </c>
      <c r="H92" t="n">
        <v>0.665264358126137</v>
      </c>
      <c r="I92" t="n">
        <v>0.0338152336973944</v>
      </c>
      <c r="J92" t="n">
        <v>0.0361688263194418</v>
      </c>
      <c r="K92" t="s">
        <v>179</v>
      </c>
      <c r="L92" t="e">
        <f t="shared" si="50"/>
        <v>#N/A</v>
      </c>
      <c r="M92" t="e">
        <f t="shared" si="51"/>
        <v>#N/A</v>
      </c>
      <c r="N92" t="e">
        <f t="shared" si="52"/>
        <v>#N/A</v>
      </c>
      <c r="O92" t="n">
        <f t="shared" si="53"/>
        <v>0</v>
      </c>
      <c r="P92" t="n">
        <f t="shared" si="54"/>
        <v>0</v>
      </c>
      <c r="Q92" t="n">
        <f t="shared" si="55"/>
        <v>0</v>
      </c>
      <c r="R92" t="n">
        <f t="shared" si="56"/>
        <v>0</v>
      </c>
      <c r="S92" t="e">
        <f t="shared" si="57"/>
        <v>#N/A</v>
      </c>
      <c r="T92" t="e">
        <f t="shared" si="58"/>
        <v>#N/A</v>
      </c>
      <c r="U92" t="e">
        <f t="shared" si="59"/>
        <v>#N/A</v>
      </c>
      <c r="V92" t="e">
        <f t="shared" si="60"/>
        <v>#N/A</v>
      </c>
      <c r="W92" t="e">
        <f t="shared" si="61"/>
        <v>#N/A</v>
      </c>
      <c r="X92" t="e">
        <f t="shared" si="62"/>
        <v>#N/A</v>
      </c>
      <c r="Y92" t="e">
        <f t="shared" si="63"/>
        <v>#N/A</v>
      </c>
      <c r="Z92" t="e">
        <f t="shared" si="64"/>
        <v>#N/A</v>
      </c>
      <c r="AA92" t="e">
        <f t="shared" si="65"/>
        <v>#N/A</v>
      </c>
      <c r="AB92" t="e">
        <f t="shared" si="66"/>
        <v>#N/A</v>
      </c>
      <c r="AC92" t="e">
        <f t="shared" si="67"/>
        <v>#N/A</v>
      </c>
      <c r="AD92" t="e">
        <f t="shared" si="68"/>
        <v>#N/A</v>
      </c>
      <c r="AE92" t="e">
        <f t="shared" si="69"/>
        <v>#N/A</v>
      </c>
      <c r="AF92" t="e">
        <f t="shared" si="70"/>
        <v>#N/A</v>
      </c>
      <c r="AG92" t="e">
        <f t="shared" si="71"/>
        <v>#N/A</v>
      </c>
      <c r="AH92" t="e">
        <f t="shared" si="72"/>
        <v>#N/A</v>
      </c>
      <c r="AI92" t="e">
        <f t="shared" si="73"/>
        <v>#N/A</v>
      </c>
      <c r="AJ92" t="e">
        <f t="shared" si="74"/>
        <v>#N/A</v>
      </c>
    </row>
    <row r="93">
      <c r="A93" s="2" t="n">
        <v>50010</v>
      </c>
      <c r="B93" t="n">
        <v>833381.797542954</v>
      </c>
      <c r="C93" t="n">
        <v>464246.863894274</v>
      </c>
      <c r="D93" t="n">
        <v>228.960312390774</v>
      </c>
      <c r="E93" t="n">
        <v>16698.4480025269</v>
      </c>
      <c r="F93" t="n">
        <v>4452120.85600991</v>
      </c>
      <c r="G93" t="n">
        <v>0.0562568166774583</v>
      </c>
      <c r="H93" t="n">
        <v>0.66520377417675</v>
      </c>
      <c r="I93" t="n">
        <v>0.0334403727977319</v>
      </c>
      <c r="J93" t="n">
        <v>0.0358863860679304</v>
      </c>
      <c r="K93" t="s">
        <v>179</v>
      </c>
      <c r="L93" t="e">
        <f t="shared" si="50"/>
        <v>#N/A</v>
      </c>
      <c r="M93" t="e">
        <f t="shared" si="51"/>
        <v>#N/A</v>
      </c>
      <c r="N93" t="e">
        <f t="shared" si="52"/>
        <v>#N/A</v>
      </c>
      <c r="O93" t="n">
        <f t="shared" si="53"/>
        <v>0</v>
      </c>
      <c r="P93" t="n">
        <f t="shared" si="54"/>
        <v>0</v>
      </c>
      <c r="Q93" t="n">
        <f t="shared" si="55"/>
        <v>0</v>
      </c>
      <c r="R93" t="n">
        <f t="shared" si="56"/>
        <v>0</v>
      </c>
      <c r="S93" t="e">
        <f t="shared" si="57"/>
        <v>#N/A</v>
      </c>
      <c r="T93" t="e">
        <f t="shared" si="58"/>
        <v>#N/A</v>
      </c>
      <c r="U93" t="e">
        <f t="shared" si="59"/>
        <v>#N/A</v>
      </c>
      <c r="V93" t="e">
        <f t="shared" si="60"/>
        <v>#N/A</v>
      </c>
      <c r="W93" t="e">
        <f t="shared" si="61"/>
        <v>#N/A</v>
      </c>
      <c r="X93" t="e">
        <f t="shared" si="62"/>
        <v>#N/A</v>
      </c>
      <c r="Y93" t="e">
        <f t="shared" si="63"/>
        <v>#N/A</v>
      </c>
      <c r="Z93" t="e">
        <f t="shared" si="64"/>
        <v>#N/A</v>
      </c>
      <c r="AA93" t="e">
        <f t="shared" si="65"/>
        <v>#N/A</v>
      </c>
      <c r="AB93" t="e">
        <f t="shared" si="66"/>
        <v>#N/A</v>
      </c>
      <c r="AC93" t="e">
        <f t="shared" si="67"/>
        <v>#N/A</v>
      </c>
      <c r="AD93" t="e">
        <f t="shared" si="68"/>
        <v>#N/A</v>
      </c>
      <c r="AE93" t="e">
        <f t="shared" si="69"/>
        <v>#N/A</v>
      </c>
      <c r="AF93" t="e">
        <f t="shared" si="70"/>
        <v>#N/A</v>
      </c>
      <c r="AG93" t="e">
        <f t="shared" si="71"/>
        <v>#N/A</v>
      </c>
      <c r="AH93" t="e">
        <f t="shared" si="72"/>
        <v>#N/A</v>
      </c>
      <c r="AI93" t="e">
        <f t="shared" si="73"/>
        <v>#N/A</v>
      </c>
      <c r="AJ93" t="e">
        <f t="shared" si="74"/>
        <v>#N/A</v>
      </c>
    </row>
    <row r="94">
      <c r="A94" s="2"/>
      <c r="L94" t="e">
        <f t="shared" si="50"/>
        <v>#N/A</v>
      </c>
      <c r="M94" t="e">
        <f t="shared" si="51"/>
        <v>#N/A</v>
      </c>
      <c r="N94" t="e">
        <f t="shared" si="52"/>
        <v>#N/A</v>
      </c>
      <c r="O94" t="n">
        <f t="shared" si="53"/>
        <v>0</v>
      </c>
      <c r="P94" t="n">
        <f t="shared" si="54"/>
        <v>0</v>
      </c>
      <c r="Q94" t="n">
        <f t="shared" si="55"/>
        <v>0</v>
      </c>
      <c r="R94" t="n">
        <f t="shared" si="56"/>
        <v>0</v>
      </c>
      <c r="S94" t="e">
        <f t="shared" si="57"/>
        <v>#N/A</v>
      </c>
      <c r="T94" t="e">
        <f t="shared" si="58"/>
        <v>#N/A</v>
      </c>
      <c r="U94" t="e">
        <f t="shared" si="59"/>
        <v>#N/A</v>
      </c>
      <c r="V94" t="e">
        <f t="shared" si="60"/>
        <v>#N/A</v>
      </c>
      <c r="W94" t="e">
        <f t="shared" si="61"/>
        <v>#N/A</v>
      </c>
      <c r="X94" t="e">
        <f t="shared" si="62"/>
        <v>#N/A</v>
      </c>
      <c r="Y94" t="e">
        <f t="shared" si="63"/>
        <v>#N/A</v>
      </c>
      <c r="Z94" t="e">
        <f t="shared" si="64"/>
        <v>#N/A</v>
      </c>
      <c r="AA94" t="e">
        <f t="shared" si="65"/>
        <v>#N/A</v>
      </c>
      <c r="AB94" t="e">
        <f t="shared" si="66"/>
        <v>#N/A</v>
      </c>
      <c r="AC94" t="e">
        <f t="shared" si="67"/>
        <v>#N/A</v>
      </c>
      <c r="AD94" t="e">
        <f t="shared" si="68"/>
        <v>#N/A</v>
      </c>
      <c r="AE94" t="e">
        <f t="shared" si="69"/>
        <v>#N/A</v>
      </c>
      <c r="AF94" t="e">
        <f t="shared" si="70"/>
        <v>#N/A</v>
      </c>
      <c r="AG94" t="e">
        <f t="shared" si="71"/>
        <v>#N/A</v>
      </c>
      <c r="AH94" t="e">
        <f t="shared" si="72"/>
        <v>#N/A</v>
      </c>
      <c r="AI94" t="e">
        <f t="shared" si="73"/>
        <v>#N/A</v>
      </c>
      <c r="AJ94" t="e">
        <f t="shared" si="74"/>
        <v>#N/A</v>
      </c>
    </row>
    <row r="95">
      <c r="A95" s="2"/>
      <c r="L95" t="e">
        <f t="shared" si="50"/>
        <v>#N/A</v>
      </c>
      <c r="M95" t="e">
        <f t="shared" si="51"/>
        <v>#N/A</v>
      </c>
      <c r="N95" t="e">
        <f t="shared" si="52"/>
        <v>#N/A</v>
      </c>
      <c r="O95" t="n">
        <f t="shared" si="53"/>
        <v>0</v>
      </c>
      <c r="P95" t="n">
        <f t="shared" si="54"/>
        <v>0</v>
      </c>
      <c r="Q95" t="n">
        <f t="shared" si="55"/>
        <v>0</v>
      </c>
      <c r="R95" t="n">
        <f t="shared" si="56"/>
        <v>0</v>
      </c>
      <c r="S95" t="e">
        <f t="shared" si="57"/>
        <v>#N/A</v>
      </c>
      <c r="T95" t="e">
        <f t="shared" si="58"/>
        <v>#N/A</v>
      </c>
      <c r="U95" t="e">
        <f t="shared" si="59"/>
        <v>#N/A</v>
      </c>
      <c r="V95" t="e">
        <f t="shared" si="60"/>
        <v>#N/A</v>
      </c>
      <c r="W95" t="e">
        <f t="shared" si="61"/>
        <v>#N/A</v>
      </c>
      <c r="X95" t="e">
        <f t="shared" si="62"/>
        <v>#N/A</v>
      </c>
      <c r="Y95" t="e">
        <f t="shared" si="63"/>
        <v>#N/A</v>
      </c>
      <c r="Z95" t="e">
        <f t="shared" si="64"/>
        <v>#N/A</v>
      </c>
      <c r="AA95" t="e">
        <f t="shared" si="65"/>
        <v>#N/A</v>
      </c>
      <c r="AB95" t="e">
        <f t="shared" si="66"/>
        <v>#N/A</v>
      </c>
      <c r="AC95" t="e">
        <f t="shared" si="67"/>
        <v>#N/A</v>
      </c>
      <c r="AD95" t="e">
        <f t="shared" si="68"/>
        <v>#N/A</v>
      </c>
      <c r="AE95" t="e">
        <f t="shared" si="69"/>
        <v>#N/A</v>
      </c>
      <c r="AF95" t="e">
        <f t="shared" si="70"/>
        <v>#N/A</v>
      </c>
      <c r="AG95" t="e">
        <f t="shared" si="71"/>
        <v>#N/A</v>
      </c>
      <c r="AH95" t="e">
        <f t="shared" si="72"/>
        <v>#N/A</v>
      </c>
      <c r="AI95" t="e">
        <f t="shared" si="73"/>
        <v>#N/A</v>
      </c>
      <c r="AJ95" t="e">
        <f t="shared" si="74"/>
        <v>#N/A</v>
      </c>
    </row>
    <row r="96">
      <c r="A96" s="2"/>
      <c r="L96" t="e">
        <f t="shared" si="50"/>
        <v>#N/A</v>
      </c>
      <c r="M96" t="e">
        <f t="shared" si="51"/>
        <v>#N/A</v>
      </c>
      <c r="N96" t="e">
        <f t="shared" si="52"/>
        <v>#N/A</v>
      </c>
      <c r="O96" t="n">
        <f t="shared" si="53"/>
        <v>0</v>
      </c>
      <c r="P96" t="n">
        <f t="shared" si="54"/>
        <v>0</v>
      </c>
      <c r="Q96" t="n">
        <f t="shared" si="55"/>
        <v>0</v>
      </c>
      <c r="R96" t="n">
        <f t="shared" si="56"/>
        <v>0</v>
      </c>
      <c r="S96" t="e">
        <f t="shared" si="57"/>
        <v>#N/A</v>
      </c>
      <c r="T96" t="e">
        <f t="shared" si="58"/>
        <v>#N/A</v>
      </c>
      <c r="U96" t="e">
        <f t="shared" si="59"/>
        <v>#N/A</v>
      </c>
      <c r="V96" t="e">
        <f t="shared" si="60"/>
        <v>#N/A</v>
      </c>
      <c r="W96" t="e">
        <f t="shared" si="61"/>
        <v>#N/A</v>
      </c>
      <c r="X96" t="e">
        <f t="shared" si="62"/>
        <v>#N/A</v>
      </c>
      <c r="Y96" t="e">
        <f t="shared" si="63"/>
        <v>#N/A</v>
      </c>
      <c r="Z96" t="e">
        <f t="shared" si="64"/>
        <v>#N/A</v>
      </c>
      <c r="AA96" t="e">
        <f t="shared" si="65"/>
        <v>#N/A</v>
      </c>
      <c r="AB96" t="e">
        <f t="shared" si="66"/>
        <v>#N/A</v>
      </c>
      <c r="AC96" t="e">
        <f t="shared" si="67"/>
        <v>#N/A</v>
      </c>
      <c r="AD96" t="e">
        <f t="shared" si="68"/>
        <v>#N/A</v>
      </c>
      <c r="AE96" t="e">
        <f t="shared" si="69"/>
        <v>#N/A</v>
      </c>
      <c r="AF96" t="e">
        <f t="shared" si="70"/>
        <v>#N/A</v>
      </c>
      <c r="AG96" t="e">
        <f t="shared" si="71"/>
        <v>#N/A</v>
      </c>
      <c r="AH96" t="e">
        <f t="shared" si="72"/>
        <v>#N/A</v>
      </c>
      <c r="AI96" t="e">
        <f t="shared" si="73"/>
        <v>#N/A</v>
      </c>
      <c r="AJ96" t="e">
        <f t="shared" si="74"/>
        <v>#N/A</v>
      </c>
    </row>
    <row r="97">
      <c r="A97" s="2"/>
      <c r="L97" t="e">
        <f t="shared" si="50"/>
        <v>#N/A</v>
      </c>
      <c r="M97" t="e">
        <f t="shared" si="51"/>
        <v>#N/A</v>
      </c>
      <c r="N97" t="e">
        <f t="shared" si="52"/>
        <v>#N/A</v>
      </c>
      <c r="O97" t="n">
        <f t="shared" si="53"/>
        <v>0</v>
      </c>
      <c r="P97" t="n">
        <f t="shared" si="54"/>
        <v>0</v>
      </c>
      <c r="Q97" t="n">
        <f t="shared" si="55"/>
        <v>0</v>
      </c>
      <c r="R97" t="n">
        <f t="shared" si="56"/>
        <v>0</v>
      </c>
      <c r="S97" t="e">
        <f t="shared" si="57"/>
        <v>#N/A</v>
      </c>
      <c r="T97" t="e">
        <f t="shared" si="58"/>
        <v>#N/A</v>
      </c>
      <c r="U97" t="e">
        <f t="shared" si="59"/>
        <v>#N/A</v>
      </c>
      <c r="V97" t="e">
        <f t="shared" si="60"/>
        <v>#N/A</v>
      </c>
      <c r="W97" t="e">
        <f t="shared" si="61"/>
        <v>#N/A</v>
      </c>
      <c r="X97" t="e">
        <f t="shared" si="62"/>
        <v>#N/A</v>
      </c>
      <c r="Y97" t="e">
        <f t="shared" si="63"/>
        <v>#N/A</v>
      </c>
      <c r="Z97" t="e">
        <f t="shared" si="64"/>
        <v>#N/A</v>
      </c>
      <c r="AA97" t="e">
        <f t="shared" si="65"/>
        <v>#N/A</v>
      </c>
      <c r="AB97" t="e">
        <f t="shared" si="66"/>
        <v>#N/A</v>
      </c>
      <c r="AC97" t="e">
        <f t="shared" si="67"/>
        <v>#N/A</v>
      </c>
      <c r="AD97" t="e">
        <f t="shared" si="68"/>
        <v>#N/A</v>
      </c>
      <c r="AE97" t="e">
        <f t="shared" si="69"/>
        <v>#N/A</v>
      </c>
      <c r="AF97" t="e">
        <f t="shared" si="70"/>
        <v>#N/A</v>
      </c>
      <c r="AG97" t="e">
        <f t="shared" si="71"/>
        <v>#N/A</v>
      </c>
      <c r="AH97" t="e">
        <f t="shared" si="72"/>
        <v>#N/A</v>
      </c>
      <c r="AI97" t="e">
        <f t="shared" si="73"/>
        <v>#N/A</v>
      </c>
      <c r="AJ97" t="e">
        <f t="shared" si="74"/>
        <v>#N/A</v>
      </c>
    </row>
    <row r="98">
      <c r="A98" s="2"/>
      <c r="L98" t="e">
        <f t="shared" ref="L98:L129" si="75">IF(ROW()&lt;=5,NA(),IFERROR(100*(B98/INDEX(B:B,ROW()-4)-1),NA()))</f>
        <v>#N/A</v>
      </c>
      <c r="M98" t="e">
        <f t="shared" ref="M98:M129" si="76">IF(ROW()&lt;=5,NA(),IFERROR(100*(C98/INDEX(C:C,ROW()-4)-1),NA()))</f>
        <v>#N/A</v>
      </c>
      <c r="N98" t="e">
        <f t="shared" ref="N98:N129" si="77">IF(ROW()&lt;=5,NA(),IFERROR(100*(D98/INDEX(D:D,ROW()-4)-1),NA()))</f>
        <v>#N/A</v>
      </c>
      <c r="O98" t="n">
        <f t="shared" ref="O98:O129" si="78">100*G98</f>
        <v>0</v>
      </c>
      <c r="P98" t="n">
        <f t="shared" ref="P98:P129" si="79">100*H98</f>
        <v>0</v>
      </c>
      <c r="Q98" t="n">
        <f t="shared" ref="Q98:Q129" si="80">100*I98</f>
        <v>0</v>
      </c>
      <c r="R98" t="n">
        <f t="shared" ref="R98:R129" si="81">100*J98</f>
        <v>0</v>
      </c>
      <c r="S98" t="e">
        <f t="shared" ref="S98:S129" si="82">IFERROR(100*E98/INDEX(E:E,MATCH(DATE(2024,12,1),A:A,0)),NA())</f>
        <v>#N/A</v>
      </c>
      <c r="T98" t="e">
        <f t="shared" ref="T98:T129" si="83">IFERROR(100*F98/INDEX(F:F,MATCH(DATE(2024,12,1),A:A,0)),NA())</f>
        <v>#N/A</v>
      </c>
      <c r="U98" t="e">
        <f t="shared" ref="U98:U129" si="84">IF($K98="Actual",L98,NA())</f>
        <v>#N/A</v>
      </c>
      <c r="V98" t="e">
        <f t="shared" ref="V98:V129" si="85">IF($A98&gt;=DATE(2024,12,1),L98,NA())</f>
        <v>#N/A</v>
      </c>
      <c r="W98" t="e">
        <f t="shared" ref="W98:W129" si="86">IF($K98="Actual",M98,NA())</f>
        <v>#N/A</v>
      </c>
      <c r="X98" t="e">
        <f t="shared" ref="X98:X129" si="87">IF($A98&gt;=DATE(2024,12,1),M98,NA())</f>
        <v>#N/A</v>
      </c>
      <c r="Y98" t="e">
        <f t="shared" ref="Y98:Y129" si="88">IF($K98="Actual",S98,NA())</f>
        <v>#N/A</v>
      </c>
      <c r="Z98" t="e">
        <f t="shared" ref="Z98:Z129" si="89">IF($A98&gt;=DATE(2024,12,1),S98,NA())</f>
        <v>#N/A</v>
      </c>
      <c r="AA98" t="e">
        <f t="shared" ref="AA98:AA129" si="90">IF($K98="Actual",T98,NA())</f>
        <v>#N/A</v>
      </c>
      <c r="AB98" t="e">
        <f t="shared" ref="AB98:AB129" si="91">IF($A98&gt;=DATE(2024,12,1),T98,NA())</f>
        <v>#N/A</v>
      </c>
      <c r="AC98" t="e">
        <f t="shared" ref="AC98:AC129" si="92">IF($K98="Actual",O98,NA())</f>
        <v>#N/A</v>
      </c>
      <c r="AD98" t="e">
        <f t="shared" ref="AD98:AD129" si="93">IF($A98&gt;=DATE(2024,12,1),O98,NA())</f>
        <v>#N/A</v>
      </c>
      <c r="AE98" t="e">
        <f t="shared" ref="AE98:AE129" si="94">IF($K98="Actual",Q98,NA())</f>
        <v>#N/A</v>
      </c>
      <c r="AF98" t="e">
        <f t="shared" ref="AF98:AF129" si="95">IF($A98&gt;=DATE(2024,12,1),Q98,NA())</f>
        <v>#N/A</v>
      </c>
      <c r="AG98" t="e">
        <f t="shared" ref="AG98:AG129" si="96">IF($K98="Actual",R98,NA())</f>
        <v>#N/A</v>
      </c>
      <c r="AH98" t="e">
        <f t="shared" ref="AH98:AH129" si="97">IF($A98&gt;=DATE(2024,12,1),R98,NA())</f>
        <v>#N/A</v>
      </c>
      <c r="AI98" t="e">
        <f t="shared" ref="AI98:AI129" si="98">IF($K98="Actual",N98,NA())</f>
        <v>#N/A</v>
      </c>
      <c r="AJ98" t="e">
        <f t="shared" ref="AJ98:AJ129" si="99">IF($A98&gt;=DATE(2024,12,1),N98,NA())</f>
        <v>#N/A</v>
      </c>
    </row>
    <row r="99">
      <c r="A99" s="2"/>
      <c r="L99" t="e">
        <f t="shared" si="75"/>
        <v>#N/A</v>
      </c>
      <c r="M99" t="e">
        <f t="shared" si="76"/>
        <v>#N/A</v>
      </c>
      <c r="N99" t="e">
        <f t="shared" si="77"/>
        <v>#N/A</v>
      </c>
      <c r="O99" t="n">
        <f t="shared" si="78"/>
        <v>0</v>
      </c>
      <c r="P99" t="n">
        <f t="shared" si="79"/>
        <v>0</v>
      </c>
      <c r="Q99" t="n">
        <f t="shared" si="80"/>
        <v>0</v>
      </c>
      <c r="R99" t="n">
        <f t="shared" si="81"/>
        <v>0</v>
      </c>
      <c r="S99" t="e">
        <f t="shared" si="82"/>
        <v>#N/A</v>
      </c>
      <c r="T99" t="e">
        <f t="shared" si="83"/>
        <v>#N/A</v>
      </c>
      <c r="U99" t="e">
        <f t="shared" si="84"/>
        <v>#N/A</v>
      </c>
      <c r="V99" t="e">
        <f t="shared" si="85"/>
        <v>#N/A</v>
      </c>
      <c r="W99" t="e">
        <f t="shared" si="86"/>
        <v>#N/A</v>
      </c>
      <c r="X99" t="e">
        <f t="shared" si="87"/>
        <v>#N/A</v>
      </c>
      <c r="Y99" t="e">
        <f t="shared" si="88"/>
        <v>#N/A</v>
      </c>
      <c r="Z99" t="e">
        <f t="shared" si="89"/>
        <v>#N/A</v>
      </c>
      <c r="AA99" t="e">
        <f t="shared" si="90"/>
        <v>#N/A</v>
      </c>
      <c r="AB99" t="e">
        <f t="shared" si="91"/>
        <v>#N/A</v>
      </c>
      <c r="AC99" t="e">
        <f t="shared" si="92"/>
        <v>#N/A</v>
      </c>
      <c r="AD99" t="e">
        <f t="shared" si="93"/>
        <v>#N/A</v>
      </c>
      <c r="AE99" t="e">
        <f t="shared" si="94"/>
        <v>#N/A</v>
      </c>
      <c r="AF99" t="e">
        <f t="shared" si="95"/>
        <v>#N/A</v>
      </c>
      <c r="AG99" t="e">
        <f t="shared" si="96"/>
        <v>#N/A</v>
      </c>
      <c r="AH99" t="e">
        <f t="shared" si="97"/>
        <v>#N/A</v>
      </c>
      <c r="AI99" t="e">
        <f t="shared" si="98"/>
        <v>#N/A</v>
      </c>
      <c r="AJ99" t="e">
        <f t="shared" si="99"/>
        <v>#N/A</v>
      </c>
    </row>
    <row r="100">
      <c r="A100" s="2"/>
      <c r="L100" t="e">
        <f t="shared" si="75"/>
        <v>#N/A</v>
      </c>
      <c r="M100" t="e">
        <f t="shared" si="76"/>
        <v>#N/A</v>
      </c>
      <c r="N100" t="e">
        <f t="shared" si="77"/>
        <v>#N/A</v>
      </c>
      <c r="O100" t="n">
        <f t="shared" si="78"/>
        <v>0</v>
      </c>
      <c r="P100" t="n">
        <f t="shared" si="79"/>
        <v>0</v>
      </c>
      <c r="Q100" t="n">
        <f t="shared" si="80"/>
        <v>0</v>
      </c>
      <c r="R100" t="n">
        <f t="shared" si="81"/>
        <v>0</v>
      </c>
      <c r="S100" t="e">
        <f t="shared" si="82"/>
        <v>#N/A</v>
      </c>
      <c r="T100" t="e">
        <f t="shared" si="83"/>
        <v>#N/A</v>
      </c>
      <c r="U100" t="e">
        <f t="shared" si="84"/>
        <v>#N/A</v>
      </c>
      <c r="V100" t="e">
        <f t="shared" si="85"/>
        <v>#N/A</v>
      </c>
      <c r="W100" t="e">
        <f t="shared" si="86"/>
        <v>#N/A</v>
      </c>
      <c r="X100" t="e">
        <f t="shared" si="87"/>
        <v>#N/A</v>
      </c>
      <c r="Y100" t="e">
        <f t="shared" si="88"/>
        <v>#N/A</v>
      </c>
      <c r="Z100" t="e">
        <f t="shared" si="89"/>
        <v>#N/A</v>
      </c>
      <c r="AA100" t="e">
        <f t="shared" si="90"/>
        <v>#N/A</v>
      </c>
      <c r="AB100" t="e">
        <f t="shared" si="91"/>
        <v>#N/A</v>
      </c>
      <c r="AC100" t="e">
        <f t="shared" si="92"/>
        <v>#N/A</v>
      </c>
      <c r="AD100" t="e">
        <f t="shared" si="93"/>
        <v>#N/A</v>
      </c>
      <c r="AE100" t="e">
        <f t="shared" si="94"/>
        <v>#N/A</v>
      </c>
      <c r="AF100" t="e">
        <f t="shared" si="95"/>
        <v>#N/A</v>
      </c>
      <c r="AG100" t="e">
        <f t="shared" si="96"/>
        <v>#N/A</v>
      </c>
      <c r="AH100" t="e">
        <f t="shared" si="97"/>
        <v>#N/A</v>
      </c>
      <c r="AI100" t="e">
        <f t="shared" si="98"/>
        <v>#N/A</v>
      </c>
      <c r="AJ100" t="e">
        <f t="shared" si="99"/>
        <v>#N/A</v>
      </c>
    </row>
    <row r="101">
      <c r="A101" s="2"/>
      <c r="L101" t="e">
        <f t="shared" si="75"/>
        <v>#N/A</v>
      </c>
      <c r="M101" t="e">
        <f t="shared" si="76"/>
        <v>#N/A</v>
      </c>
      <c r="N101" t="e">
        <f t="shared" si="77"/>
        <v>#N/A</v>
      </c>
      <c r="O101" t="n">
        <f t="shared" si="78"/>
        <v>0</v>
      </c>
      <c r="P101" t="n">
        <f t="shared" si="79"/>
        <v>0</v>
      </c>
      <c r="Q101" t="n">
        <f t="shared" si="80"/>
        <v>0</v>
      </c>
      <c r="R101" t="n">
        <f t="shared" si="81"/>
        <v>0</v>
      </c>
      <c r="S101" t="e">
        <f t="shared" si="82"/>
        <v>#N/A</v>
      </c>
      <c r="T101" t="e">
        <f t="shared" si="83"/>
        <v>#N/A</v>
      </c>
      <c r="U101" t="e">
        <f t="shared" si="84"/>
        <v>#N/A</v>
      </c>
      <c r="V101" t="e">
        <f t="shared" si="85"/>
        <v>#N/A</v>
      </c>
      <c r="W101" t="e">
        <f t="shared" si="86"/>
        <v>#N/A</v>
      </c>
      <c r="X101" t="e">
        <f t="shared" si="87"/>
        <v>#N/A</v>
      </c>
      <c r="Y101" t="e">
        <f t="shared" si="88"/>
        <v>#N/A</v>
      </c>
      <c r="Z101" t="e">
        <f t="shared" si="89"/>
        <v>#N/A</v>
      </c>
      <c r="AA101" t="e">
        <f t="shared" si="90"/>
        <v>#N/A</v>
      </c>
      <c r="AB101" t="e">
        <f t="shared" si="91"/>
        <v>#N/A</v>
      </c>
      <c r="AC101" t="e">
        <f t="shared" si="92"/>
        <v>#N/A</v>
      </c>
      <c r="AD101" t="e">
        <f t="shared" si="93"/>
        <v>#N/A</v>
      </c>
      <c r="AE101" t="e">
        <f t="shared" si="94"/>
        <v>#N/A</v>
      </c>
      <c r="AF101" t="e">
        <f t="shared" si="95"/>
        <v>#N/A</v>
      </c>
      <c r="AG101" t="e">
        <f t="shared" si="96"/>
        <v>#N/A</v>
      </c>
      <c r="AH101" t="e">
        <f t="shared" si="97"/>
        <v>#N/A</v>
      </c>
      <c r="AI101" t="e">
        <f t="shared" si="98"/>
        <v>#N/A</v>
      </c>
      <c r="AJ101" t="e">
        <f t="shared" si="99"/>
        <v>#N/A</v>
      </c>
    </row>
    <row r="102">
      <c r="A102" s="2"/>
      <c r="L102" t="e">
        <f t="shared" si="75"/>
        <v>#N/A</v>
      </c>
      <c r="M102" t="e">
        <f t="shared" si="76"/>
        <v>#N/A</v>
      </c>
      <c r="N102" t="e">
        <f t="shared" si="77"/>
        <v>#N/A</v>
      </c>
      <c r="O102" t="n">
        <f t="shared" si="78"/>
        <v>0</v>
      </c>
      <c r="P102" t="n">
        <f t="shared" si="79"/>
        <v>0</v>
      </c>
      <c r="Q102" t="n">
        <f t="shared" si="80"/>
        <v>0</v>
      </c>
      <c r="R102" t="n">
        <f t="shared" si="81"/>
        <v>0</v>
      </c>
      <c r="S102" t="e">
        <f t="shared" si="82"/>
        <v>#N/A</v>
      </c>
      <c r="T102" t="e">
        <f t="shared" si="83"/>
        <v>#N/A</v>
      </c>
      <c r="U102" t="e">
        <f t="shared" si="84"/>
        <v>#N/A</v>
      </c>
      <c r="V102" t="e">
        <f t="shared" si="85"/>
        <v>#N/A</v>
      </c>
      <c r="W102" t="e">
        <f t="shared" si="86"/>
        <v>#N/A</v>
      </c>
      <c r="X102" t="e">
        <f t="shared" si="87"/>
        <v>#N/A</v>
      </c>
      <c r="Y102" t="e">
        <f t="shared" si="88"/>
        <v>#N/A</v>
      </c>
      <c r="Z102" t="e">
        <f t="shared" si="89"/>
        <v>#N/A</v>
      </c>
      <c r="AA102" t="e">
        <f t="shared" si="90"/>
        <v>#N/A</v>
      </c>
      <c r="AB102" t="e">
        <f t="shared" si="91"/>
        <v>#N/A</v>
      </c>
      <c r="AC102" t="e">
        <f t="shared" si="92"/>
        <v>#N/A</v>
      </c>
      <c r="AD102" t="e">
        <f t="shared" si="93"/>
        <v>#N/A</v>
      </c>
      <c r="AE102" t="e">
        <f t="shared" si="94"/>
        <v>#N/A</v>
      </c>
      <c r="AF102" t="e">
        <f t="shared" si="95"/>
        <v>#N/A</v>
      </c>
      <c r="AG102" t="e">
        <f t="shared" si="96"/>
        <v>#N/A</v>
      </c>
      <c r="AH102" t="e">
        <f t="shared" si="97"/>
        <v>#N/A</v>
      </c>
      <c r="AI102" t="e">
        <f t="shared" si="98"/>
        <v>#N/A</v>
      </c>
      <c r="AJ102" t="e">
        <f t="shared" si="99"/>
        <v>#N/A</v>
      </c>
    </row>
    <row r="103">
      <c r="A103" s="2"/>
      <c r="L103" t="e">
        <f t="shared" si="75"/>
        <v>#N/A</v>
      </c>
      <c r="M103" t="e">
        <f t="shared" si="76"/>
        <v>#N/A</v>
      </c>
      <c r="N103" t="e">
        <f t="shared" si="77"/>
        <v>#N/A</v>
      </c>
      <c r="O103" t="n">
        <f t="shared" si="78"/>
        <v>0</v>
      </c>
      <c r="P103" t="n">
        <f t="shared" si="79"/>
        <v>0</v>
      </c>
      <c r="Q103" t="n">
        <f t="shared" si="80"/>
        <v>0</v>
      </c>
      <c r="R103" t="n">
        <f t="shared" si="81"/>
        <v>0</v>
      </c>
      <c r="S103" t="e">
        <f t="shared" si="82"/>
        <v>#N/A</v>
      </c>
      <c r="T103" t="e">
        <f t="shared" si="83"/>
        <v>#N/A</v>
      </c>
      <c r="U103" t="e">
        <f t="shared" si="84"/>
        <v>#N/A</v>
      </c>
      <c r="V103" t="e">
        <f t="shared" si="85"/>
        <v>#N/A</v>
      </c>
      <c r="W103" t="e">
        <f t="shared" si="86"/>
        <v>#N/A</v>
      </c>
      <c r="X103" t="e">
        <f t="shared" si="87"/>
        <v>#N/A</v>
      </c>
      <c r="Y103" t="e">
        <f t="shared" si="88"/>
        <v>#N/A</v>
      </c>
      <c r="Z103" t="e">
        <f t="shared" si="89"/>
        <v>#N/A</v>
      </c>
      <c r="AA103" t="e">
        <f t="shared" si="90"/>
        <v>#N/A</v>
      </c>
      <c r="AB103" t="e">
        <f t="shared" si="91"/>
        <v>#N/A</v>
      </c>
      <c r="AC103" t="e">
        <f t="shared" si="92"/>
        <v>#N/A</v>
      </c>
      <c r="AD103" t="e">
        <f t="shared" si="93"/>
        <v>#N/A</v>
      </c>
      <c r="AE103" t="e">
        <f t="shared" si="94"/>
        <v>#N/A</v>
      </c>
      <c r="AF103" t="e">
        <f t="shared" si="95"/>
        <v>#N/A</v>
      </c>
      <c r="AG103" t="e">
        <f t="shared" si="96"/>
        <v>#N/A</v>
      </c>
      <c r="AH103" t="e">
        <f t="shared" si="97"/>
        <v>#N/A</v>
      </c>
      <c r="AI103" t="e">
        <f t="shared" si="98"/>
        <v>#N/A</v>
      </c>
      <c r="AJ103" t="e">
        <f t="shared" si="99"/>
        <v>#N/A</v>
      </c>
    </row>
    <row r="104">
      <c r="A104" s="2"/>
      <c r="L104" t="e">
        <f t="shared" si="75"/>
        <v>#N/A</v>
      </c>
      <c r="M104" t="e">
        <f t="shared" si="76"/>
        <v>#N/A</v>
      </c>
      <c r="N104" t="e">
        <f t="shared" si="77"/>
        <v>#N/A</v>
      </c>
      <c r="O104" t="n">
        <f t="shared" si="78"/>
        <v>0</v>
      </c>
      <c r="P104" t="n">
        <f t="shared" si="79"/>
        <v>0</v>
      </c>
      <c r="Q104" t="n">
        <f t="shared" si="80"/>
        <v>0</v>
      </c>
      <c r="R104" t="n">
        <f t="shared" si="81"/>
        <v>0</v>
      </c>
      <c r="S104" t="e">
        <f t="shared" si="82"/>
        <v>#N/A</v>
      </c>
      <c r="T104" t="e">
        <f t="shared" si="83"/>
        <v>#N/A</v>
      </c>
      <c r="U104" t="e">
        <f t="shared" si="84"/>
        <v>#N/A</v>
      </c>
      <c r="V104" t="e">
        <f t="shared" si="85"/>
        <v>#N/A</v>
      </c>
      <c r="W104" t="e">
        <f t="shared" si="86"/>
        <v>#N/A</v>
      </c>
      <c r="X104" t="e">
        <f t="shared" si="87"/>
        <v>#N/A</v>
      </c>
      <c r="Y104" t="e">
        <f t="shared" si="88"/>
        <v>#N/A</v>
      </c>
      <c r="Z104" t="e">
        <f t="shared" si="89"/>
        <v>#N/A</v>
      </c>
      <c r="AA104" t="e">
        <f t="shared" si="90"/>
        <v>#N/A</v>
      </c>
      <c r="AB104" t="e">
        <f t="shared" si="91"/>
        <v>#N/A</v>
      </c>
      <c r="AC104" t="e">
        <f t="shared" si="92"/>
        <v>#N/A</v>
      </c>
      <c r="AD104" t="e">
        <f t="shared" si="93"/>
        <v>#N/A</v>
      </c>
      <c r="AE104" t="e">
        <f t="shared" si="94"/>
        <v>#N/A</v>
      </c>
      <c r="AF104" t="e">
        <f t="shared" si="95"/>
        <v>#N/A</v>
      </c>
      <c r="AG104" t="e">
        <f t="shared" si="96"/>
        <v>#N/A</v>
      </c>
      <c r="AH104" t="e">
        <f t="shared" si="97"/>
        <v>#N/A</v>
      </c>
      <c r="AI104" t="e">
        <f t="shared" si="98"/>
        <v>#N/A</v>
      </c>
      <c r="AJ104" t="e">
        <f t="shared" si="99"/>
        <v>#N/A</v>
      </c>
    </row>
    <row r="105">
      <c r="A105" s="2"/>
      <c r="L105" t="e">
        <f t="shared" si="75"/>
        <v>#N/A</v>
      </c>
      <c r="M105" t="e">
        <f t="shared" si="76"/>
        <v>#N/A</v>
      </c>
      <c r="N105" t="e">
        <f t="shared" si="77"/>
        <v>#N/A</v>
      </c>
      <c r="O105" t="n">
        <f t="shared" si="78"/>
        <v>0</v>
      </c>
      <c r="P105" t="n">
        <f t="shared" si="79"/>
        <v>0</v>
      </c>
      <c r="Q105" t="n">
        <f t="shared" si="80"/>
        <v>0</v>
      </c>
      <c r="R105" t="n">
        <f t="shared" si="81"/>
        <v>0</v>
      </c>
      <c r="S105" t="e">
        <f t="shared" si="82"/>
        <v>#N/A</v>
      </c>
      <c r="T105" t="e">
        <f t="shared" si="83"/>
        <v>#N/A</v>
      </c>
      <c r="U105" t="e">
        <f t="shared" si="84"/>
        <v>#N/A</v>
      </c>
      <c r="V105" t="e">
        <f t="shared" si="85"/>
        <v>#N/A</v>
      </c>
      <c r="W105" t="e">
        <f t="shared" si="86"/>
        <v>#N/A</v>
      </c>
      <c r="X105" t="e">
        <f t="shared" si="87"/>
        <v>#N/A</v>
      </c>
      <c r="Y105" t="e">
        <f t="shared" si="88"/>
        <v>#N/A</v>
      </c>
      <c r="Z105" t="e">
        <f t="shared" si="89"/>
        <v>#N/A</v>
      </c>
      <c r="AA105" t="e">
        <f t="shared" si="90"/>
        <v>#N/A</v>
      </c>
      <c r="AB105" t="e">
        <f t="shared" si="91"/>
        <v>#N/A</v>
      </c>
      <c r="AC105" t="e">
        <f t="shared" si="92"/>
        <v>#N/A</v>
      </c>
      <c r="AD105" t="e">
        <f t="shared" si="93"/>
        <v>#N/A</v>
      </c>
      <c r="AE105" t="e">
        <f t="shared" si="94"/>
        <v>#N/A</v>
      </c>
      <c r="AF105" t="e">
        <f t="shared" si="95"/>
        <v>#N/A</v>
      </c>
      <c r="AG105" t="e">
        <f t="shared" si="96"/>
        <v>#N/A</v>
      </c>
      <c r="AH105" t="e">
        <f t="shared" si="97"/>
        <v>#N/A</v>
      </c>
      <c r="AI105" t="e">
        <f t="shared" si="98"/>
        <v>#N/A</v>
      </c>
      <c r="AJ105" t="e">
        <f t="shared" si="99"/>
        <v>#N/A</v>
      </c>
    </row>
    <row r="106">
      <c r="A106" s="2"/>
      <c r="L106" t="e">
        <f t="shared" si="75"/>
        <v>#N/A</v>
      </c>
      <c r="M106" t="e">
        <f t="shared" si="76"/>
        <v>#N/A</v>
      </c>
      <c r="N106" t="e">
        <f t="shared" si="77"/>
        <v>#N/A</v>
      </c>
      <c r="O106" t="n">
        <f t="shared" si="78"/>
        <v>0</v>
      </c>
      <c r="P106" t="n">
        <f t="shared" si="79"/>
        <v>0</v>
      </c>
      <c r="Q106" t="n">
        <f t="shared" si="80"/>
        <v>0</v>
      </c>
      <c r="R106" t="n">
        <f t="shared" si="81"/>
        <v>0</v>
      </c>
      <c r="S106" t="e">
        <f t="shared" si="82"/>
        <v>#N/A</v>
      </c>
      <c r="T106" t="e">
        <f t="shared" si="83"/>
        <v>#N/A</v>
      </c>
      <c r="U106" t="e">
        <f t="shared" si="84"/>
        <v>#N/A</v>
      </c>
      <c r="V106" t="e">
        <f t="shared" si="85"/>
        <v>#N/A</v>
      </c>
      <c r="W106" t="e">
        <f t="shared" si="86"/>
        <v>#N/A</v>
      </c>
      <c r="X106" t="e">
        <f t="shared" si="87"/>
        <v>#N/A</v>
      </c>
      <c r="Y106" t="e">
        <f t="shared" si="88"/>
        <v>#N/A</v>
      </c>
      <c r="Z106" t="e">
        <f t="shared" si="89"/>
        <v>#N/A</v>
      </c>
      <c r="AA106" t="e">
        <f t="shared" si="90"/>
        <v>#N/A</v>
      </c>
      <c r="AB106" t="e">
        <f t="shared" si="91"/>
        <v>#N/A</v>
      </c>
      <c r="AC106" t="e">
        <f t="shared" si="92"/>
        <v>#N/A</v>
      </c>
      <c r="AD106" t="e">
        <f t="shared" si="93"/>
        <v>#N/A</v>
      </c>
      <c r="AE106" t="e">
        <f t="shared" si="94"/>
        <v>#N/A</v>
      </c>
      <c r="AF106" t="e">
        <f t="shared" si="95"/>
        <v>#N/A</v>
      </c>
      <c r="AG106" t="e">
        <f t="shared" si="96"/>
        <v>#N/A</v>
      </c>
      <c r="AH106" t="e">
        <f t="shared" si="97"/>
        <v>#N/A</v>
      </c>
      <c r="AI106" t="e">
        <f t="shared" si="98"/>
        <v>#N/A</v>
      </c>
      <c r="AJ106" t="e">
        <f t="shared" si="99"/>
        <v>#N/A</v>
      </c>
    </row>
    <row r="107">
      <c r="A107" s="2"/>
      <c r="L107" t="e">
        <f t="shared" si="75"/>
        <v>#N/A</v>
      </c>
      <c r="M107" t="e">
        <f t="shared" si="76"/>
        <v>#N/A</v>
      </c>
      <c r="N107" t="e">
        <f t="shared" si="77"/>
        <v>#N/A</v>
      </c>
      <c r="O107" t="n">
        <f t="shared" si="78"/>
        <v>0</v>
      </c>
      <c r="P107" t="n">
        <f t="shared" si="79"/>
        <v>0</v>
      </c>
      <c r="Q107" t="n">
        <f t="shared" si="80"/>
        <v>0</v>
      </c>
      <c r="R107" t="n">
        <f t="shared" si="81"/>
        <v>0</v>
      </c>
      <c r="S107" t="e">
        <f t="shared" si="82"/>
        <v>#N/A</v>
      </c>
      <c r="T107" t="e">
        <f t="shared" si="83"/>
        <v>#N/A</v>
      </c>
      <c r="U107" t="e">
        <f t="shared" si="84"/>
        <v>#N/A</v>
      </c>
      <c r="V107" t="e">
        <f t="shared" si="85"/>
        <v>#N/A</v>
      </c>
      <c r="W107" t="e">
        <f t="shared" si="86"/>
        <v>#N/A</v>
      </c>
      <c r="X107" t="e">
        <f t="shared" si="87"/>
        <v>#N/A</v>
      </c>
      <c r="Y107" t="e">
        <f t="shared" si="88"/>
        <v>#N/A</v>
      </c>
      <c r="Z107" t="e">
        <f t="shared" si="89"/>
        <v>#N/A</v>
      </c>
      <c r="AA107" t="e">
        <f t="shared" si="90"/>
        <v>#N/A</v>
      </c>
      <c r="AB107" t="e">
        <f t="shared" si="91"/>
        <v>#N/A</v>
      </c>
      <c r="AC107" t="e">
        <f t="shared" si="92"/>
        <v>#N/A</v>
      </c>
      <c r="AD107" t="e">
        <f t="shared" si="93"/>
        <v>#N/A</v>
      </c>
      <c r="AE107" t="e">
        <f t="shared" si="94"/>
        <v>#N/A</v>
      </c>
      <c r="AF107" t="e">
        <f t="shared" si="95"/>
        <v>#N/A</v>
      </c>
      <c r="AG107" t="e">
        <f t="shared" si="96"/>
        <v>#N/A</v>
      </c>
      <c r="AH107" t="e">
        <f t="shared" si="97"/>
        <v>#N/A</v>
      </c>
      <c r="AI107" t="e">
        <f t="shared" si="98"/>
        <v>#N/A</v>
      </c>
      <c r="AJ107" t="e">
        <f t="shared" si="99"/>
        <v>#N/A</v>
      </c>
    </row>
    <row r="108">
      <c r="A108" s="2"/>
      <c r="L108" t="e">
        <f t="shared" si="75"/>
        <v>#N/A</v>
      </c>
      <c r="M108" t="e">
        <f t="shared" si="76"/>
        <v>#N/A</v>
      </c>
      <c r="N108" t="e">
        <f t="shared" si="77"/>
        <v>#N/A</v>
      </c>
      <c r="O108" t="n">
        <f t="shared" si="78"/>
        <v>0</v>
      </c>
      <c r="P108" t="n">
        <f t="shared" si="79"/>
        <v>0</v>
      </c>
      <c r="Q108" t="n">
        <f t="shared" si="80"/>
        <v>0</v>
      </c>
      <c r="R108" t="n">
        <f t="shared" si="81"/>
        <v>0</v>
      </c>
      <c r="S108" t="e">
        <f t="shared" si="82"/>
        <v>#N/A</v>
      </c>
      <c r="T108" t="e">
        <f t="shared" si="83"/>
        <v>#N/A</v>
      </c>
      <c r="U108" t="e">
        <f t="shared" si="84"/>
        <v>#N/A</v>
      </c>
      <c r="V108" t="e">
        <f t="shared" si="85"/>
        <v>#N/A</v>
      </c>
      <c r="W108" t="e">
        <f t="shared" si="86"/>
        <v>#N/A</v>
      </c>
      <c r="X108" t="e">
        <f t="shared" si="87"/>
        <v>#N/A</v>
      </c>
      <c r="Y108" t="e">
        <f t="shared" si="88"/>
        <v>#N/A</v>
      </c>
      <c r="Z108" t="e">
        <f t="shared" si="89"/>
        <v>#N/A</v>
      </c>
      <c r="AA108" t="e">
        <f t="shared" si="90"/>
        <v>#N/A</v>
      </c>
      <c r="AB108" t="e">
        <f t="shared" si="91"/>
        <v>#N/A</v>
      </c>
      <c r="AC108" t="e">
        <f t="shared" si="92"/>
        <v>#N/A</v>
      </c>
      <c r="AD108" t="e">
        <f t="shared" si="93"/>
        <v>#N/A</v>
      </c>
      <c r="AE108" t="e">
        <f t="shared" si="94"/>
        <v>#N/A</v>
      </c>
      <c r="AF108" t="e">
        <f t="shared" si="95"/>
        <v>#N/A</v>
      </c>
      <c r="AG108" t="e">
        <f t="shared" si="96"/>
        <v>#N/A</v>
      </c>
      <c r="AH108" t="e">
        <f t="shared" si="97"/>
        <v>#N/A</v>
      </c>
      <c r="AI108" t="e">
        <f t="shared" si="98"/>
        <v>#N/A</v>
      </c>
      <c r="AJ108" t="e">
        <f t="shared" si="99"/>
        <v>#N/A</v>
      </c>
    </row>
    <row r="109">
      <c r="A109" s="2"/>
      <c r="L109" t="e">
        <f t="shared" si="75"/>
        <v>#N/A</v>
      </c>
      <c r="M109" t="e">
        <f t="shared" si="76"/>
        <v>#N/A</v>
      </c>
      <c r="N109" t="e">
        <f t="shared" si="77"/>
        <v>#N/A</v>
      </c>
      <c r="O109" t="n">
        <f t="shared" si="78"/>
        <v>0</v>
      </c>
      <c r="P109" t="n">
        <f t="shared" si="79"/>
        <v>0</v>
      </c>
      <c r="Q109" t="n">
        <f t="shared" si="80"/>
        <v>0</v>
      </c>
      <c r="R109" t="n">
        <f t="shared" si="81"/>
        <v>0</v>
      </c>
      <c r="S109" t="e">
        <f t="shared" si="82"/>
        <v>#N/A</v>
      </c>
      <c r="T109" t="e">
        <f t="shared" si="83"/>
        <v>#N/A</v>
      </c>
      <c r="U109" t="e">
        <f t="shared" si="84"/>
        <v>#N/A</v>
      </c>
      <c r="V109" t="e">
        <f t="shared" si="85"/>
        <v>#N/A</v>
      </c>
      <c r="W109" t="e">
        <f t="shared" si="86"/>
        <v>#N/A</v>
      </c>
      <c r="X109" t="e">
        <f t="shared" si="87"/>
        <v>#N/A</v>
      </c>
      <c r="Y109" t="e">
        <f t="shared" si="88"/>
        <v>#N/A</v>
      </c>
      <c r="Z109" t="e">
        <f t="shared" si="89"/>
        <v>#N/A</v>
      </c>
      <c r="AA109" t="e">
        <f t="shared" si="90"/>
        <v>#N/A</v>
      </c>
      <c r="AB109" t="e">
        <f t="shared" si="91"/>
        <v>#N/A</v>
      </c>
      <c r="AC109" t="e">
        <f t="shared" si="92"/>
        <v>#N/A</v>
      </c>
      <c r="AD109" t="e">
        <f t="shared" si="93"/>
        <v>#N/A</v>
      </c>
      <c r="AE109" t="e">
        <f t="shared" si="94"/>
        <v>#N/A</v>
      </c>
      <c r="AF109" t="e">
        <f t="shared" si="95"/>
        <v>#N/A</v>
      </c>
      <c r="AG109" t="e">
        <f t="shared" si="96"/>
        <v>#N/A</v>
      </c>
      <c r="AH109" t="e">
        <f t="shared" si="97"/>
        <v>#N/A</v>
      </c>
      <c r="AI109" t="e">
        <f t="shared" si="98"/>
        <v>#N/A</v>
      </c>
      <c r="AJ109" t="e">
        <f t="shared" si="99"/>
        <v>#N/A</v>
      </c>
    </row>
    <row r="110">
      <c r="A110" s="2"/>
      <c r="L110" t="e">
        <f t="shared" si="75"/>
        <v>#N/A</v>
      </c>
      <c r="M110" t="e">
        <f t="shared" si="76"/>
        <v>#N/A</v>
      </c>
      <c r="N110" t="e">
        <f t="shared" si="77"/>
        <v>#N/A</v>
      </c>
      <c r="O110" t="n">
        <f t="shared" si="78"/>
        <v>0</v>
      </c>
      <c r="P110" t="n">
        <f t="shared" si="79"/>
        <v>0</v>
      </c>
      <c r="Q110" t="n">
        <f t="shared" si="80"/>
        <v>0</v>
      </c>
      <c r="R110" t="n">
        <f t="shared" si="81"/>
        <v>0</v>
      </c>
      <c r="S110" t="e">
        <f t="shared" si="82"/>
        <v>#N/A</v>
      </c>
      <c r="T110" t="e">
        <f t="shared" si="83"/>
        <v>#N/A</v>
      </c>
      <c r="U110" t="e">
        <f t="shared" si="84"/>
        <v>#N/A</v>
      </c>
      <c r="V110" t="e">
        <f t="shared" si="85"/>
        <v>#N/A</v>
      </c>
      <c r="W110" t="e">
        <f t="shared" si="86"/>
        <v>#N/A</v>
      </c>
      <c r="X110" t="e">
        <f t="shared" si="87"/>
        <v>#N/A</v>
      </c>
      <c r="Y110" t="e">
        <f t="shared" si="88"/>
        <v>#N/A</v>
      </c>
      <c r="Z110" t="e">
        <f t="shared" si="89"/>
        <v>#N/A</v>
      </c>
      <c r="AA110" t="e">
        <f t="shared" si="90"/>
        <v>#N/A</v>
      </c>
      <c r="AB110" t="e">
        <f t="shared" si="91"/>
        <v>#N/A</v>
      </c>
      <c r="AC110" t="e">
        <f t="shared" si="92"/>
        <v>#N/A</v>
      </c>
      <c r="AD110" t="e">
        <f t="shared" si="93"/>
        <v>#N/A</v>
      </c>
      <c r="AE110" t="e">
        <f t="shared" si="94"/>
        <v>#N/A</v>
      </c>
      <c r="AF110" t="e">
        <f t="shared" si="95"/>
        <v>#N/A</v>
      </c>
      <c r="AG110" t="e">
        <f t="shared" si="96"/>
        <v>#N/A</v>
      </c>
      <c r="AH110" t="e">
        <f t="shared" si="97"/>
        <v>#N/A</v>
      </c>
      <c r="AI110" t="e">
        <f t="shared" si="98"/>
        <v>#N/A</v>
      </c>
      <c r="AJ110" t="e">
        <f t="shared" si="99"/>
        <v>#N/A</v>
      </c>
    </row>
    <row r="111">
      <c r="A111" s="2"/>
      <c r="L111" t="e">
        <f t="shared" si="75"/>
        <v>#N/A</v>
      </c>
      <c r="M111" t="e">
        <f t="shared" si="76"/>
        <v>#N/A</v>
      </c>
      <c r="N111" t="e">
        <f t="shared" si="77"/>
        <v>#N/A</v>
      </c>
      <c r="O111" t="n">
        <f t="shared" si="78"/>
        <v>0</v>
      </c>
      <c r="P111" t="n">
        <f t="shared" si="79"/>
        <v>0</v>
      </c>
      <c r="Q111" t="n">
        <f t="shared" si="80"/>
        <v>0</v>
      </c>
      <c r="R111" t="n">
        <f t="shared" si="81"/>
        <v>0</v>
      </c>
      <c r="S111" t="e">
        <f t="shared" si="82"/>
        <v>#N/A</v>
      </c>
      <c r="T111" t="e">
        <f t="shared" si="83"/>
        <v>#N/A</v>
      </c>
      <c r="U111" t="e">
        <f t="shared" si="84"/>
        <v>#N/A</v>
      </c>
      <c r="V111" t="e">
        <f t="shared" si="85"/>
        <v>#N/A</v>
      </c>
      <c r="W111" t="e">
        <f t="shared" si="86"/>
        <v>#N/A</v>
      </c>
      <c r="X111" t="e">
        <f t="shared" si="87"/>
        <v>#N/A</v>
      </c>
      <c r="Y111" t="e">
        <f t="shared" si="88"/>
        <v>#N/A</v>
      </c>
      <c r="Z111" t="e">
        <f t="shared" si="89"/>
        <v>#N/A</v>
      </c>
      <c r="AA111" t="e">
        <f t="shared" si="90"/>
        <v>#N/A</v>
      </c>
      <c r="AB111" t="e">
        <f t="shared" si="91"/>
        <v>#N/A</v>
      </c>
      <c r="AC111" t="e">
        <f t="shared" si="92"/>
        <v>#N/A</v>
      </c>
      <c r="AD111" t="e">
        <f t="shared" si="93"/>
        <v>#N/A</v>
      </c>
      <c r="AE111" t="e">
        <f t="shared" si="94"/>
        <v>#N/A</v>
      </c>
      <c r="AF111" t="e">
        <f t="shared" si="95"/>
        <v>#N/A</v>
      </c>
      <c r="AG111" t="e">
        <f t="shared" si="96"/>
        <v>#N/A</v>
      </c>
      <c r="AH111" t="e">
        <f t="shared" si="97"/>
        <v>#N/A</v>
      </c>
      <c r="AI111" t="e">
        <f t="shared" si="98"/>
        <v>#N/A</v>
      </c>
      <c r="AJ111" t="e">
        <f t="shared" si="99"/>
        <v>#N/A</v>
      </c>
    </row>
    <row r="112">
      <c r="A112" s="2"/>
      <c r="L112" t="e">
        <f t="shared" si="75"/>
        <v>#N/A</v>
      </c>
      <c r="M112" t="e">
        <f t="shared" si="76"/>
        <v>#N/A</v>
      </c>
      <c r="N112" t="e">
        <f t="shared" si="77"/>
        <v>#N/A</v>
      </c>
      <c r="O112" t="n">
        <f t="shared" si="78"/>
        <v>0</v>
      </c>
      <c r="P112" t="n">
        <f t="shared" si="79"/>
        <v>0</v>
      </c>
      <c r="Q112" t="n">
        <f t="shared" si="80"/>
        <v>0</v>
      </c>
      <c r="R112" t="n">
        <f t="shared" si="81"/>
        <v>0</v>
      </c>
      <c r="S112" t="e">
        <f t="shared" si="82"/>
        <v>#N/A</v>
      </c>
      <c r="T112" t="e">
        <f t="shared" si="83"/>
        <v>#N/A</v>
      </c>
      <c r="U112" t="e">
        <f t="shared" si="84"/>
        <v>#N/A</v>
      </c>
      <c r="V112" t="e">
        <f t="shared" si="85"/>
        <v>#N/A</v>
      </c>
      <c r="W112" t="e">
        <f t="shared" si="86"/>
        <v>#N/A</v>
      </c>
      <c r="X112" t="e">
        <f t="shared" si="87"/>
        <v>#N/A</v>
      </c>
      <c r="Y112" t="e">
        <f t="shared" si="88"/>
        <v>#N/A</v>
      </c>
      <c r="Z112" t="e">
        <f t="shared" si="89"/>
        <v>#N/A</v>
      </c>
      <c r="AA112" t="e">
        <f t="shared" si="90"/>
        <v>#N/A</v>
      </c>
      <c r="AB112" t="e">
        <f t="shared" si="91"/>
        <v>#N/A</v>
      </c>
      <c r="AC112" t="e">
        <f t="shared" si="92"/>
        <v>#N/A</v>
      </c>
      <c r="AD112" t="e">
        <f t="shared" si="93"/>
        <v>#N/A</v>
      </c>
      <c r="AE112" t="e">
        <f t="shared" si="94"/>
        <v>#N/A</v>
      </c>
      <c r="AF112" t="e">
        <f t="shared" si="95"/>
        <v>#N/A</v>
      </c>
      <c r="AG112" t="e">
        <f t="shared" si="96"/>
        <v>#N/A</v>
      </c>
      <c r="AH112" t="e">
        <f t="shared" si="97"/>
        <v>#N/A</v>
      </c>
      <c r="AI112" t="e">
        <f t="shared" si="98"/>
        <v>#N/A</v>
      </c>
      <c r="AJ112" t="e">
        <f t="shared" si="99"/>
        <v>#N/A</v>
      </c>
    </row>
    <row r="113">
      <c r="A113" s="2"/>
      <c r="L113" t="e">
        <f t="shared" si="75"/>
        <v>#N/A</v>
      </c>
      <c r="M113" t="e">
        <f t="shared" si="76"/>
        <v>#N/A</v>
      </c>
      <c r="N113" t="e">
        <f t="shared" si="77"/>
        <v>#N/A</v>
      </c>
      <c r="O113" t="n">
        <f t="shared" si="78"/>
        <v>0</v>
      </c>
      <c r="P113" t="n">
        <f t="shared" si="79"/>
        <v>0</v>
      </c>
      <c r="Q113" t="n">
        <f t="shared" si="80"/>
        <v>0</v>
      </c>
      <c r="R113" t="n">
        <f t="shared" si="81"/>
        <v>0</v>
      </c>
      <c r="S113" t="e">
        <f t="shared" si="82"/>
        <v>#N/A</v>
      </c>
      <c r="T113" t="e">
        <f t="shared" si="83"/>
        <v>#N/A</v>
      </c>
      <c r="U113" t="e">
        <f t="shared" si="84"/>
        <v>#N/A</v>
      </c>
      <c r="V113" t="e">
        <f t="shared" si="85"/>
        <v>#N/A</v>
      </c>
      <c r="W113" t="e">
        <f t="shared" si="86"/>
        <v>#N/A</v>
      </c>
      <c r="X113" t="e">
        <f t="shared" si="87"/>
        <v>#N/A</v>
      </c>
      <c r="Y113" t="e">
        <f t="shared" si="88"/>
        <v>#N/A</v>
      </c>
      <c r="Z113" t="e">
        <f t="shared" si="89"/>
        <v>#N/A</v>
      </c>
      <c r="AA113" t="e">
        <f t="shared" si="90"/>
        <v>#N/A</v>
      </c>
      <c r="AB113" t="e">
        <f t="shared" si="91"/>
        <v>#N/A</v>
      </c>
      <c r="AC113" t="e">
        <f t="shared" si="92"/>
        <v>#N/A</v>
      </c>
      <c r="AD113" t="e">
        <f t="shared" si="93"/>
        <v>#N/A</v>
      </c>
      <c r="AE113" t="e">
        <f t="shared" si="94"/>
        <v>#N/A</v>
      </c>
      <c r="AF113" t="e">
        <f t="shared" si="95"/>
        <v>#N/A</v>
      </c>
      <c r="AG113" t="e">
        <f t="shared" si="96"/>
        <v>#N/A</v>
      </c>
      <c r="AH113" t="e">
        <f t="shared" si="97"/>
        <v>#N/A</v>
      </c>
      <c r="AI113" t="e">
        <f t="shared" si="98"/>
        <v>#N/A</v>
      </c>
      <c r="AJ113" t="e">
        <f t="shared" si="99"/>
        <v>#N/A</v>
      </c>
    </row>
    <row r="114">
      <c r="A114" s="2"/>
      <c r="L114" t="e">
        <f t="shared" si="75"/>
        <v>#N/A</v>
      </c>
      <c r="M114" t="e">
        <f t="shared" si="76"/>
        <v>#N/A</v>
      </c>
      <c r="N114" t="e">
        <f t="shared" si="77"/>
        <v>#N/A</v>
      </c>
      <c r="O114" t="n">
        <f t="shared" si="78"/>
        <v>0</v>
      </c>
      <c r="P114" t="n">
        <f t="shared" si="79"/>
        <v>0</v>
      </c>
      <c r="Q114" t="n">
        <f t="shared" si="80"/>
        <v>0</v>
      </c>
      <c r="R114" t="n">
        <f t="shared" si="81"/>
        <v>0</v>
      </c>
      <c r="S114" t="e">
        <f t="shared" si="82"/>
        <v>#N/A</v>
      </c>
      <c r="T114" t="e">
        <f t="shared" si="83"/>
        <v>#N/A</v>
      </c>
      <c r="U114" t="e">
        <f t="shared" si="84"/>
        <v>#N/A</v>
      </c>
      <c r="V114" t="e">
        <f t="shared" si="85"/>
        <v>#N/A</v>
      </c>
      <c r="W114" t="e">
        <f t="shared" si="86"/>
        <v>#N/A</v>
      </c>
      <c r="X114" t="e">
        <f t="shared" si="87"/>
        <v>#N/A</v>
      </c>
      <c r="Y114" t="e">
        <f t="shared" si="88"/>
        <v>#N/A</v>
      </c>
      <c r="Z114" t="e">
        <f t="shared" si="89"/>
        <v>#N/A</v>
      </c>
      <c r="AA114" t="e">
        <f t="shared" si="90"/>
        <v>#N/A</v>
      </c>
      <c r="AB114" t="e">
        <f t="shared" si="91"/>
        <v>#N/A</v>
      </c>
      <c r="AC114" t="e">
        <f t="shared" si="92"/>
        <v>#N/A</v>
      </c>
      <c r="AD114" t="e">
        <f t="shared" si="93"/>
        <v>#N/A</v>
      </c>
      <c r="AE114" t="e">
        <f t="shared" si="94"/>
        <v>#N/A</v>
      </c>
      <c r="AF114" t="e">
        <f t="shared" si="95"/>
        <v>#N/A</v>
      </c>
      <c r="AG114" t="e">
        <f t="shared" si="96"/>
        <v>#N/A</v>
      </c>
      <c r="AH114" t="e">
        <f t="shared" si="97"/>
        <v>#N/A</v>
      </c>
      <c r="AI114" t="e">
        <f t="shared" si="98"/>
        <v>#N/A</v>
      </c>
      <c r="AJ114" t="e">
        <f t="shared" si="99"/>
        <v>#N/A</v>
      </c>
    </row>
    <row r="115">
      <c r="A115" s="2"/>
      <c r="L115" t="e">
        <f t="shared" si="75"/>
        <v>#N/A</v>
      </c>
      <c r="M115" t="e">
        <f t="shared" si="76"/>
        <v>#N/A</v>
      </c>
      <c r="N115" t="e">
        <f t="shared" si="77"/>
        <v>#N/A</v>
      </c>
      <c r="O115" t="n">
        <f t="shared" si="78"/>
        <v>0</v>
      </c>
      <c r="P115" t="n">
        <f t="shared" si="79"/>
        <v>0</v>
      </c>
      <c r="Q115" t="n">
        <f t="shared" si="80"/>
        <v>0</v>
      </c>
      <c r="R115" t="n">
        <f t="shared" si="81"/>
        <v>0</v>
      </c>
      <c r="S115" t="e">
        <f t="shared" si="82"/>
        <v>#N/A</v>
      </c>
      <c r="T115" t="e">
        <f t="shared" si="83"/>
        <v>#N/A</v>
      </c>
      <c r="U115" t="e">
        <f t="shared" si="84"/>
        <v>#N/A</v>
      </c>
      <c r="V115" t="e">
        <f t="shared" si="85"/>
        <v>#N/A</v>
      </c>
      <c r="W115" t="e">
        <f t="shared" si="86"/>
        <v>#N/A</v>
      </c>
      <c r="X115" t="e">
        <f t="shared" si="87"/>
        <v>#N/A</v>
      </c>
      <c r="Y115" t="e">
        <f t="shared" si="88"/>
        <v>#N/A</v>
      </c>
      <c r="Z115" t="e">
        <f t="shared" si="89"/>
        <v>#N/A</v>
      </c>
      <c r="AA115" t="e">
        <f t="shared" si="90"/>
        <v>#N/A</v>
      </c>
      <c r="AB115" t="e">
        <f t="shared" si="91"/>
        <v>#N/A</v>
      </c>
      <c r="AC115" t="e">
        <f t="shared" si="92"/>
        <v>#N/A</v>
      </c>
      <c r="AD115" t="e">
        <f t="shared" si="93"/>
        <v>#N/A</v>
      </c>
      <c r="AE115" t="e">
        <f t="shared" si="94"/>
        <v>#N/A</v>
      </c>
      <c r="AF115" t="e">
        <f t="shared" si="95"/>
        <v>#N/A</v>
      </c>
      <c r="AG115" t="e">
        <f t="shared" si="96"/>
        <v>#N/A</v>
      </c>
      <c r="AH115" t="e">
        <f t="shared" si="97"/>
        <v>#N/A</v>
      </c>
      <c r="AI115" t="e">
        <f t="shared" si="98"/>
        <v>#N/A</v>
      </c>
      <c r="AJ115" t="e">
        <f t="shared" si="99"/>
        <v>#N/A</v>
      </c>
    </row>
    <row r="116">
      <c r="A116" s="2"/>
      <c r="L116" t="e">
        <f t="shared" si="75"/>
        <v>#N/A</v>
      </c>
      <c r="M116" t="e">
        <f t="shared" si="76"/>
        <v>#N/A</v>
      </c>
      <c r="N116" t="e">
        <f t="shared" si="77"/>
        <v>#N/A</v>
      </c>
      <c r="O116" t="n">
        <f t="shared" si="78"/>
        <v>0</v>
      </c>
      <c r="P116" t="n">
        <f t="shared" si="79"/>
        <v>0</v>
      </c>
      <c r="Q116" t="n">
        <f t="shared" si="80"/>
        <v>0</v>
      </c>
      <c r="R116" t="n">
        <f t="shared" si="81"/>
        <v>0</v>
      </c>
      <c r="S116" t="e">
        <f t="shared" si="82"/>
        <v>#N/A</v>
      </c>
      <c r="T116" t="e">
        <f t="shared" si="83"/>
        <v>#N/A</v>
      </c>
      <c r="U116" t="e">
        <f t="shared" si="84"/>
        <v>#N/A</v>
      </c>
      <c r="V116" t="e">
        <f t="shared" si="85"/>
        <v>#N/A</v>
      </c>
      <c r="W116" t="e">
        <f t="shared" si="86"/>
        <v>#N/A</v>
      </c>
      <c r="X116" t="e">
        <f t="shared" si="87"/>
        <v>#N/A</v>
      </c>
      <c r="Y116" t="e">
        <f t="shared" si="88"/>
        <v>#N/A</v>
      </c>
      <c r="Z116" t="e">
        <f t="shared" si="89"/>
        <v>#N/A</v>
      </c>
      <c r="AA116" t="e">
        <f t="shared" si="90"/>
        <v>#N/A</v>
      </c>
      <c r="AB116" t="e">
        <f t="shared" si="91"/>
        <v>#N/A</v>
      </c>
      <c r="AC116" t="e">
        <f t="shared" si="92"/>
        <v>#N/A</v>
      </c>
      <c r="AD116" t="e">
        <f t="shared" si="93"/>
        <v>#N/A</v>
      </c>
      <c r="AE116" t="e">
        <f t="shared" si="94"/>
        <v>#N/A</v>
      </c>
      <c r="AF116" t="e">
        <f t="shared" si="95"/>
        <v>#N/A</v>
      </c>
      <c r="AG116" t="e">
        <f t="shared" si="96"/>
        <v>#N/A</v>
      </c>
      <c r="AH116" t="e">
        <f t="shared" si="97"/>
        <v>#N/A</v>
      </c>
      <c r="AI116" t="e">
        <f t="shared" si="98"/>
        <v>#N/A</v>
      </c>
      <c r="AJ116" t="e">
        <f t="shared" si="99"/>
        <v>#N/A</v>
      </c>
    </row>
    <row r="117">
      <c r="A117" s="2"/>
      <c r="L117" t="e">
        <f t="shared" si="75"/>
        <v>#N/A</v>
      </c>
      <c r="M117" t="e">
        <f t="shared" si="76"/>
        <v>#N/A</v>
      </c>
      <c r="N117" t="e">
        <f t="shared" si="77"/>
        <v>#N/A</v>
      </c>
      <c r="O117" t="n">
        <f t="shared" si="78"/>
        <v>0</v>
      </c>
      <c r="P117" t="n">
        <f t="shared" si="79"/>
        <v>0</v>
      </c>
      <c r="Q117" t="n">
        <f t="shared" si="80"/>
        <v>0</v>
      </c>
      <c r="R117" t="n">
        <f t="shared" si="81"/>
        <v>0</v>
      </c>
      <c r="S117" t="e">
        <f t="shared" si="82"/>
        <v>#N/A</v>
      </c>
      <c r="T117" t="e">
        <f t="shared" si="83"/>
        <v>#N/A</v>
      </c>
      <c r="U117" t="e">
        <f t="shared" si="84"/>
        <v>#N/A</v>
      </c>
      <c r="V117" t="e">
        <f t="shared" si="85"/>
        <v>#N/A</v>
      </c>
      <c r="W117" t="e">
        <f t="shared" si="86"/>
        <v>#N/A</v>
      </c>
      <c r="X117" t="e">
        <f t="shared" si="87"/>
        <v>#N/A</v>
      </c>
      <c r="Y117" t="e">
        <f t="shared" si="88"/>
        <v>#N/A</v>
      </c>
      <c r="Z117" t="e">
        <f t="shared" si="89"/>
        <v>#N/A</v>
      </c>
      <c r="AA117" t="e">
        <f t="shared" si="90"/>
        <v>#N/A</v>
      </c>
      <c r="AB117" t="e">
        <f t="shared" si="91"/>
        <v>#N/A</v>
      </c>
      <c r="AC117" t="e">
        <f t="shared" si="92"/>
        <v>#N/A</v>
      </c>
      <c r="AD117" t="e">
        <f t="shared" si="93"/>
        <v>#N/A</v>
      </c>
      <c r="AE117" t="e">
        <f t="shared" si="94"/>
        <v>#N/A</v>
      </c>
      <c r="AF117" t="e">
        <f t="shared" si="95"/>
        <v>#N/A</v>
      </c>
      <c r="AG117" t="e">
        <f t="shared" si="96"/>
        <v>#N/A</v>
      </c>
      <c r="AH117" t="e">
        <f t="shared" si="97"/>
        <v>#N/A</v>
      </c>
      <c r="AI117" t="e">
        <f t="shared" si="98"/>
        <v>#N/A</v>
      </c>
      <c r="AJ117" t="e">
        <f t="shared" si="99"/>
        <v>#N/A</v>
      </c>
    </row>
    <row r="118">
      <c r="A118" s="2"/>
      <c r="L118" t="e">
        <f t="shared" si="75"/>
        <v>#N/A</v>
      </c>
      <c r="M118" t="e">
        <f t="shared" si="76"/>
        <v>#N/A</v>
      </c>
      <c r="N118" t="e">
        <f t="shared" si="77"/>
        <v>#N/A</v>
      </c>
      <c r="O118" t="n">
        <f t="shared" si="78"/>
        <v>0</v>
      </c>
      <c r="P118" t="n">
        <f t="shared" si="79"/>
        <v>0</v>
      </c>
      <c r="Q118" t="n">
        <f t="shared" si="80"/>
        <v>0</v>
      </c>
      <c r="R118" t="n">
        <f t="shared" si="81"/>
        <v>0</v>
      </c>
      <c r="S118" t="e">
        <f t="shared" si="82"/>
        <v>#N/A</v>
      </c>
      <c r="T118" t="e">
        <f t="shared" si="83"/>
        <v>#N/A</v>
      </c>
      <c r="U118" t="e">
        <f t="shared" si="84"/>
        <v>#N/A</v>
      </c>
      <c r="V118" t="e">
        <f t="shared" si="85"/>
        <v>#N/A</v>
      </c>
      <c r="W118" t="e">
        <f t="shared" si="86"/>
        <v>#N/A</v>
      </c>
      <c r="X118" t="e">
        <f t="shared" si="87"/>
        <v>#N/A</v>
      </c>
      <c r="Y118" t="e">
        <f t="shared" si="88"/>
        <v>#N/A</v>
      </c>
      <c r="Z118" t="e">
        <f t="shared" si="89"/>
        <v>#N/A</v>
      </c>
      <c r="AA118" t="e">
        <f t="shared" si="90"/>
        <v>#N/A</v>
      </c>
      <c r="AB118" t="e">
        <f t="shared" si="91"/>
        <v>#N/A</v>
      </c>
      <c r="AC118" t="e">
        <f t="shared" si="92"/>
        <v>#N/A</v>
      </c>
      <c r="AD118" t="e">
        <f t="shared" si="93"/>
        <v>#N/A</v>
      </c>
      <c r="AE118" t="e">
        <f t="shared" si="94"/>
        <v>#N/A</v>
      </c>
      <c r="AF118" t="e">
        <f t="shared" si="95"/>
        <v>#N/A</v>
      </c>
      <c r="AG118" t="e">
        <f t="shared" si="96"/>
        <v>#N/A</v>
      </c>
      <c r="AH118" t="e">
        <f t="shared" si="97"/>
        <v>#N/A</v>
      </c>
      <c r="AI118" t="e">
        <f t="shared" si="98"/>
        <v>#N/A</v>
      </c>
      <c r="AJ118" t="e">
        <f t="shared" si="99"/>
        <v>#N/A</v>
      </c>
    </row>
    <row r="119">
      <c r="A119" s="2"/>
      <c r="L119" t="e">
        <f t="shared" si="75"/>
        <v>#N/A</v>
      </c>
      <c r="M119" t="e">
        <f t="shared" si="76"/>
        <v>#N/A</v>
      </c>
      <c r="N119" t="e">
        <f t="shared" si="77"/>
        <v>#N/A</v>
      </c>
      <c r="O119" t="n">
        <f t="shared" si="78"/>
        <v>0</v>
      </c>
      <c r="P119" t="n">
        <f t="shared" si="79"/>
        <v>0</v>
      </c>
      <c r="Q119" t="n">
        <f t="shared" si="80"/>
        <v>0</v>
      </c>
      <c r="R119" t="n">
        <f t="shared" si="81"/>
        <v>0</v>
      </c>
      <c r="S119" t="e">
        <f t="shared" si="82"/>
        <v>#N/A</v>
      </c>
      <c r="T119" t="e">
        <f t="shared" si="83"/>
        <v>#N/A</v>
      </c>
      <c r="U119" t="e">
        <f t="shared" si="84"/>
        <v>#N/A</v>
      </c>
      <c r="V119" t="e">
        <f t="shared" si="85"/>
        <v>#N/A</v>
      </c>
      <c r="W119" t="e">
        <f t="shared" si="86"/>
        <v>#N/A</v>
      </c>
      <c r="X119" t="e">
        <f t="shared" si="87"/>
        <v>#N/A</v>
      </c>
      <c r="Y119" t="e">
        <f t="shared" si="88"/>
        <v>#N/A</v>
      </c>
      <c r="Z119" t="e">
        <f t="shared" si="89"/>
        <v>#N/A</v>
      </c>
      <c r="AA119" t="e">
        <f t="shared" si="90"/>
        <v>#N/A</v>
      </c>
      <c r="AB119" t="e">
        <f t="shared" si="91"/>
        <v>#N/A</v>
      </c>
      <c r="AC119" t="e">
        <f t="shared" si="92"/>
        <v>#N/A</v>
      </c>
      <c r="AD119" t="e">
        <f t="shared" si="93"/>
        <v>#N/A</v>
      </c>
      <c r="AE119" t="e">
        <f t="shared" si="94"/>
        <v>#N/A</v>
      </c>
      <c r="AF119" t="e">
        <f t="shared" si="95"/>
        <v>#N/A</v>
      </c>
      <c r="AG119" t="e">
        <f t="shared" si="96"/>
        <v>#N/A</v>
      </c>
      <c r="AH119" t="e">
        <f t="shared" si="97"/>
        <v>#N/A</v>
      </c>
      <c r="AI119" t="e">
        <f t="shared" si="98"/>
        <v>#N/A</v>
      </c>
      <c r="AJ119" t="e">
        <f t="shared" si="99"/>
        <v>#N/A</v>
      </c>
    </row>
    <row r="120">
      <c r="A120" s="2"/>
      <c r="L120" t="e">
        <f t="shared" si="75"/>
        <v>#N/A</v>
      </c>
      <c r="M120" t="e">
        <f t="shared" si="76"/>
        <v>#N/A</v>
      </c>
      <c r="N120" t="e">
        <f t="shared" si="77"/>
        <v>#N/A</v>
      </c>
      <c r="O120" t="n">
        <f t="shared" si="78"/>
        <v>0</v>
      </c>
      <c r="P120" t="n">
        <f t="shared" si="79"/>
        <v>0</v>
      </c>
      <c r="Q120" t="n">
        <f t="shared" si="80"/>
        <v>0</v>
      </c>
      <c r="R120" t="n">
        <f t="shared" si="81"/>
        <v>0</v>
      </c>
      <c r="S120" t="e">
        <f t="shared" si="82"/>
        <v>#N/A</v>
      </c>
      <c r="T120" t="e">
        <f t="shared" si="83"/>
        <v>#N/A</v>
      </c>
      <c r="U120" t="e">
        <f t="shared" si="84"/>
        <v>#N/A</v>
      </c>
      <c r="V120" t="e">
        <f t="shared" si="85"/>
        <v>#N/A</v>
      </c>
      <c r="W120" t="e">
        <f t="shared" si="86"/>
        <v>#N/A</v>
      </c>
      <c r="X120" t="e">
        <f t="shared" si="87"/>
        <v>#N/A</v>
      </c>
      <c r="Y120" t="e">
        <f t="shared" si="88"/>
        <v>#N/A</v>
      </c>
      <c r="Z120" t="e">
        <f t="shared" si="89"/>
        <v>#N/A</v>
      </c>
      <c r="AA120" t="e">
        <f t="shared" si="90"/>
        <v>#N/A</v>
      </c>
      <c r="AB120" t="e">
        <f t="shared" si="91"/>
        <v>#N/A</v>
      </c>
      <c r="AC120" t="e">
        <f t="shared" si="92"/>
        <v>#N/A</v>
      </c>
      <c r="AD120" t="e">
        <f t="shared" si="93"/>
        <v>#N/A</v>
      </c>
      <c r="AE120" t="e">
        <f t="shared" si="94"/>
        <v>#N/A</v>
      </c>
      <c r="AF120" t="e">
        <f t="shared" si="95"/>
        <v>#N/A</v>
      </c>
      <c r="AG120" t="e">
        <f t="shared" si="96"/>
        <v>#N/A</v>
      </c>
      <c r="AH120" t="e">
        <f t="shared" si="97"/>
        <v>#N/A</v>
      </c>
      <c r="AI120" t="e">
        <f t="shared" si="98"/>
        <v>#N/A</v>
      </c>
      <c r="AJ120" t="e">
        <f t="shared" si="99"/>
        <v>#N/A</v>
      </c>
    </row>
    <row r="121">
      <c r="A121" s="2"/>
      <c r="L121" t="e">
        <f t="shared" si="75"/>
        <v>#N/A</v>
      </c>
      <c r="M121" t="e">
        <f t="shared" si="76"/>
        <v>#N/A</v>
      </c>
      <c r="N121" t="e">
        <f t="shared" si="77"/>
        <v>#N/A</v>
      </c>
      <c r="O121" t="n">
        <f t="shared" si="78"/>
        <v>0</v>
      </c>
      <c r="P121" t="n">
        <f t="shared" si="79"/>
        <v>0</v>
      </c>
      <c r="Q121" t="n">
        <f t="shared" si="80"/>
        <v>0</v>
      </c>
      <c r="R121" t="n">
        <f t="shared" si="81"/>
        <v>0</v>
      </c>
      <c r="S121" t="e">
        <f t="shared" si="82"/>
        <v>#N/A</v>
      </c>
      <c r="T121" t="e">
        <f t="shared" si="83"/>
        <v>#N/A</v>
      </c>
      <c r="U121" t="e">
        <f t="shared" si="84"/>
        <v>#N/A</v>
      </c>
      <c r="V121" t="e">
        <f t="shared" si="85"/>
        <v>#N/A</v>
      </c>
      <c r="W121" t="e">
        <f t="shared" si="86"/>
        <v>#N/A</v>
      </c>
      <c r="X121" t="e">
        <f t="shared" si="87"/>
        <v>#N/A</v>
      </c>
      <c r="Y121" t="e">
        <f t="shared" si="88"/>
        <v>#N/A</v>
      </c>
      <c r="Z121" t="e">
        <f t="shared" si="89"/>
        <v>#N/A</v>
      </c>
      <c r="AA121" t="e">
        <f t="shared" si="90"/>
        <v>#N/A</v>
      </c>
      <c r="AB121" t="e">
        <f t="shared" si="91"/>
        <v>#N/A</v>
      </c>
      <c r="AC121" t="e">
        <f t="shared" si="92"/>
        <v>#N/A</v>
      </c>
      <c r="AD121" t="e">
        <f t="shared" si="93"/>
        <v>#N/A</v>
      </c>
      <c r="AE121" t="e">
        <f t="shared" si="94"/>
        <v>#N/A</v>
      </c>
      <c r="AF121" t="e">
        <f t="shared" si="95"/>
        <v>#N/A</v>
      </c>
      <c r="AG121" t="e">
        <f t="shared" si="96"/>
        <v>#N/A</v>
      </c>
      <c r="AH121" t="e">
        <f t="shared" si="97"/>
        <v>#N/A</v>
      </c>
      <c r="AI121" t="e">
        <f t="shared" si="98"/>
        <v>#N/A</v>
      </c>
      <c r="AJ121" t="e">
        <f t="shared" si="99"/>
        <v>#N/A</v>
      </c>
    </row>
    <row r="122">
      <c r="A122" s="2"/>
      <c r="L122" t="e">
        <f t="shared" si="75"/>
        <v>#N/A</v>
      </c>
      <c r="M122" t="e">
        <f t="shared" si="76"/>
        <v>#N/A</v>
      </c>
      <c r="N122" t="e">
        <f t="shared" si="77"/>
        <v>#N/A</v>
      </c>
      <c r="O122" t="n">
        <f t="shared" si="78"/>
        <v>0</v>
      </c>
      <c r="P122" t="n">
        <f t="shared" si="79"/>
        <v>0</v>
      </c>
      <c r="Q122" t="n">
        <f t="shared" si="80"/>
        <v>0</v>
      </c>
      <c r="R122" t="n">
        <f t="shared" si="81"/>
        <v>0</v>
      </c>
      <c r="S122" t="e">
        <f t="shared" si="82"/>
        <v>#N/A</v>
      </c>
      <c r="T122" t="e">
        <f t="shared" si="83"/>
        <v>#N/A</v>
      </c>
      <c r="U122" t="e">
        <f t="shared" si="84"/>
        <v>#N/A</v>
      </c>
      <c r="V122" t="e">
        <f t="shared" si="85"/>
        <v>#N/A</v>
      </c>
      <c r="W122" t="e">
        <f t="shared" si="86"/>
        <v>#N/A</v>
      </c>
      <c r="X122" t="e">
        <f t="shared" si="87"/>
        <v>#N/A</v>
      </c>
      <c r="Y122" t="e">
        <f t="shared" si="88"/>
        <v>#N/A</v>
      </c>
      <c r="Z122" t="e">
        <f t="shared" si="89"/>
        <v>#N/A</v>
      </c>
      <c r="AA122" t="e">
        <f t="shared" si="90"/>
        <v>#N/A</v>
      </c>
      <c r="AB122" t="e">
        <f t="shared" si="91"/>
        <v>#N/A</v>
      </c>
      <c r="AC122" t="e">
        <f t="shared" si="92"/>
        <v>#N/A</v>
      </c>
      <c r="AD122" t="e">
        <f t="shared" si="93"/>
        <v>#N/A</v>
      </c>
      <c r="AE122" t="e">
        <f t="shared" si="94"/>
        <v>#N/A</v>
      </c>
      <c r="AF122" t="e">
        <f t="shared" si="95"/>
        <v>#N/A</v>
      </c>
      <c r="AG122" t="e">
        <f t="shared" si="96"/>
        <v>#N/A</v>
      </c>
      <c r="AH122" t="e">
        <f t="shared" si="97"/>
        <v>#N/A</v>
      </c>
      <c r="AI122" t="e">
        <f t="shared" si="98"/>
        <v>#N/A</v>
      </c>
      <c r="AJ122" t="e">
        <f t="shared" si="99"/>
        <v>#N/A</v>
      </c>
    </row>
    <row r="123">
      <c r="A123" s="2"/>
      <c r="L123" t="e">
        <f t="shared" si="75"/>
        <v>#N/A</v>
      </c>
      <c r="M123" t="e">
        <f t="shared" si="76"/>
        <v>#N/A</v>
      </c>
      <c r="N123" t="e">
        <f t="shared" si="77"/>
        <v>#N/A</v>
      </c>
      <c r="O123" t="n">
        <f t="shared" si="78"/>
        <v>0</v>
      </c>
      <c r="P123" t="n">
        <f t="shared" si="79"/>
        <v>0</v>
      </c>
      <c r="Q123" t="n">
        <f t="shared" si="80"/>
        <v>0</v>
      </c>
      <c r="R123" t="n">
        <f t="shared" si="81"/>
        <v>0</v>
      </c>
      <c r="S123" t="e">
        <f t="shared" si="82"/>
        <v>#N/A</v>
      </c>
      <c r="T123" t="e">
        <f t="shared" si="83"/>
        <v>#N/A</v>
      </c>
      <c r="U123" t="e">
        <f t="shared" si="84"/>
        <v>#N/A</v>
      </c>
      <c r="V123" t="e">
        <f t="shared" si="85"/>
        <v>#N/A</v>
      </c>
      <c r="W123" t="e">
        <f t="shared" si="86"/>
        <v>#N/A</v>
      </c>
      <c r="X123" t="e">
        <f t="shared" si="87"/>
        <v>#N/A</v>
      </c>
      <c r="Y123" t="e">
        <f t="shared" si="88"/>
        <v>#N/A</v>
      </c>
      <c r="Z123" t="e">
        <f t="shared" si="89"/>
        <v>#N/A</v>
      </c>
      <c r="AA123" t="e">
        <f t="shared" si="90"/>
        <v>#N/A</v>
      </c>
      <c r="AB123" t="e">
        <f t="shared" si="91"/>
        <v>#N/A</v>
      </c>
      <c r="AC123" t="e">
        <f t="shared" si="92"/>
        <v>#N/A</v>
      </c>
      <c r="AD123" t="e">
        <f t="shared" si="93"/>
        <v>#N/A</v>
      </c>
      <c r="AE123" t="e">
        <f t="shared" si="94"/>
        <v>#N/A</v>
      </c>
      <c r="AF123" t="e">
        <f t="shared" si="95"/>
        <v>#N/A</v>
      </c>
      <c r="AG123" t="e">
        <f t="shared" si="96"/>
        <v>#N/A</v>
      </c>
      <c r="AH123" t="e">
        <f t="shared" si="97"/>
        <v>#N/A</v>
      </c>
      <c r="AI123" t="e">
        <f t="shared" si="98"/>
        <v>#N/A</v>
      </c>
      <c r="AJ123" t="e">
        <f t="shared" si="99"/>
        <v>#N/A</v>
      </c>
    </row>
    <row r="124">
      <c r="A124" s="2"/>
      <c r="L124" t="e">
        <f t="shared" si="75"/>
        <v>#N/A</v>
      </c>
      <c r="M124" t="e">
        <f t="shared" si="76"/>
        <v>#N/A</v>
      </c>
      <c r="N124" t="e">
        <f t="shared" si="77"/>
        <v>#N/A</v>
      </c>
      <c r="O124" t="n">
        <f t="shared" si="78"/>
        <v>0</v>
      </c>
      <c r="P124" t="n">
        <f t="shared" si="79"/>
        <v>0</v>
      </c>
      <c r="Q124" t="n">
        <f t="shared" si="80"/>
        <v>0</v>
      </c>
      <c r="R124" t="n">
        <f t="shared" si="81"/>
        <v>0</v>
      </c>
      <c r="S124" t="e">
        <f t="shared" si="82"/>
        <v>#N/A</v>
      </c>
      <c r="T124" t="e">
        <f t="shared" si="83"/>
        <v>#N/A</v>
      </c>
      <c r="U124" t="e">
        <f t="shared" si="84"/>
        <v>#N/A</v>
      </c>
      <c r="V124" t="e">
        <f t="shared" si="85"/>
        <v>#N/A</v>
      </c>
      <c r="W124" t="e">
        <f t="shared" si="86"/>
        <v>#N/A</v>
      </c>
      <c r="X124" t="e">
        <f t="shared" si="87"/>
        <v>#N/A</v>
      </c>
      <c r="Y124" t="e">
        <f t="shared" si="88"/>
        <v>#N/A</v>
      </c>
      <c r="Z124" t="e">
        <f t="shared" si="89"/>
        <v>#N/A</v>
      </c>
      <c r="AA124" t="e">
        <f t="shared" si="90"/>
        <v>#N/A</v>
      </c>
      <c r="AB124" t="e">
        <f t="shared" si="91"/>
        <v>#N/A</v>
      </c>
      <c r="AC124" t="e">
        <f t="shared" si="92"/>
        <v>#N/A</v>
      </c>
      <c r="AD124" t="e">
        <f t="shared" si="93"/>
        <v>#N/A</v>
      </c>
      <c r="AE124" t="e">
        <f t="shared" si="94"/>
        <v>#N/A</v>
      </c>
      <c r="AF124" t="e">
        <f t="shared" si="95"/>
        <v>#N/A</v>
      </c>
      <c r="AG124" t="e">
        <f t="shared" si="96"/>
        <v>#N/A</v>
      </c>
      <c r="AH124" t="e">
        <f t="shared" si="97"/>
        <v>#N/A</v>
      </c>
      <c r="AI124" t="e">
        <f t="shared" si="98"/>
        <v>#N/A</v>
      </c>
      <c r="AJ124" t="e">
        <f t="shared" si="99"/>
        <v>#N/A</v>
      </c>
    </row>
    <row r="125">
      <c r="A125" s="2"/>
      <c r="L125" t="e">
        <f t="shared" si="75"/>
        <v>#N/A</v>
      </c>
      <c r="M125" t="e">
        <f t="shared" si="76"/>
        <v>#N/A</v>
      </c>
      <c r="N125" t="e">
        <f t="shared" si="77"/>
        <v>#N/A</v>
      </c>
      <c r="O125" t="n">
        <f t="shared" si="78"/>
        <v>0</v>
      </c>
      <c r="P125" t="n">
        <f t="shared" si="79"/>
        <v>0</v>
      </c>
      <c r="Q125" t="n">
        <f t="shared" si="80"/>
        <v>0</v>
      </c>
      <c r="R125" t="n">
        <f t="shared" si="81"/>
        <v>0</v>
      </c>
      <c r="S125" t="e">
        <f t="shared" si="82"/>
        <v>#N/A</v>
      </c>
      <c r="T125" t="e">
        <f t="shared" si="83"/>
        <v>#N/A</v>
      </c>
      <c r="U125" t="e">
        <f t="shared" si="84"/>
        <v>#N/A</v>
      </c>
      <c r="V125" t="e">
        <f t="shared" si="85"/>
        <v>#N/A</v>
      </c>
      <c r="W125" t="e">
        <f t="shared" si="86"/>
        <v>#N/A</v>
      </c>
      <c r="X125" t="e">
        <f t="shared" si="87"/>
        <v>#N/A</v>
      </c>
      <c r="Y125" t="e">
        <f t="shared" si="88"/>
        <v>#N/A</v>
      </c>
      <c r="Z125" t="e">
        <f t="shared" si="89"/>
        <v>#N/A</v>
      </c>
      <c r="AA125" t="e">
        <f t="shared" si="90"/>
        <v>#N/A</v>
      </c>
      <c r="AB125" t="e">
        <f t="shared" si="91"/>
        <v>#N/A</v>
      </c>
      <c r="AC125" t="e">
        <f t="shared" si="92"/>
        <v>#N/A</v>
      </c>
      <c r="AD125" t="e">
        <f t="shared" si="93"/>
        <v>#N/A</v>
      </c>
      <c r="AE125" t="e">
        <f t="shared" si="94"/>
        <v>#N/A</v>
      </c>
      <c r="AF125" t="e">
        <f t="shared" si="95"/>
        <v>#N/A</v>
      </c>
      <c r="AG125" t="e">
        <f t="shared" si="96"/>
        <v>#N/A</v>
      </c>
      <c r="AH125" t="e">
        <f t="shared" si="97"/>
        <v>#N/A</v>
      </c>
      <c r="AI125" t="e">
        <f t="shared" si="98"/>
        <v>#N/A</v>
      </c>
      <c r="AJ125" t="e">
        <f t="shared" si="99"/>
        <v>#N/A</v>
      </c>
    </row>
    <row r="126">
      <c r="A126" s="2"/>
      <c r="L126" t="e">
        <f t="shared" si="75"/>
        <v>#N/A</v>
      </c>
      <c r="M126" t="e">
        <f t="shared" si="76"/>
        <v>#N/A</v>
      </c>
      <c r="N126" t="e">
        <f t="shared" si="77"/>
        <v>#N/A</v>
      </c>
      <c r="O126" t="n">
        <f t="shared" si="78"/>
        <v>0</v>
      </c>
      <c r="P126" t="n">
        <f t="shared" si="79"/>
        <v>0</v>
      </c>
      <c r="Q126" t="n">
        <f t="shared" si="80"/>
        <v>0</v>
      </c>
      <c r="R126" t="n">
        <f t="shared" si="81"/>
        <v>0</v>
      </c>
      <c r="S126" t="e">
        <f t="shared" si="82"/>
        <v>#N/A</v>
      </c>
      <c r="T126" t="e">
        <f t="shared" si="83"/>
        <v>#N/A</v>
      </c>
      <c r="U126" t="e">
        <f t="shared" si="84"/>
        <v>#N/A</v>
      </c>
      <c r="V126" t="e">
        <f t="shared" si="85"/>
        <v>#N/A</v>
      </c>
      <c r="W126" t="e">
        <f t="shared" si="86"/>
        <v>#N/A</v>
      </c>
      <c r="X126" t="e">
        <f t="shared" si="87"/>
        <v>#N/A</v>
      </c>
      <c r="Y126" t="e">
        <f t="shared" si="88"/>
        <v>#N/A</v>
      </c>
      <c r="Z126" t="e">
        <f t="shared" si="89"/>
        <v>#N/A</v>
      </c>
      <c r="AA126" t="e">
        <f t="shared" si="90"/>
        <v>#N/A</v>
      </c>
      <c r="AB126" t="e">
        <f t="shared" si="91"/>
        <v>#N/A</v>
      </c>
      <c r="AC126" t="e">
        <f t="shared" si="92"/>
        <v>#N/A</v>
      </c>
      <c r="AD126" t="e">
        <f t="shared" si="93"/>
        <v>#N/A</v>
      </c>
      <c r="AE126" t="e">
        <f t="shared" si="94"/>
        <v>#N/A</v>
      </c>
      <c r="AF126" t="e">
        <f t="shared" si="95"/>
        <v>#N/A</v>
      </c>
      <c r="AG126" t="e">
        <f t="shared" si="96"/>
        <v>#N/A</v>
      </c>
      <c r="AH126" t="e">
        <f t="shared" si="97"/>
        <v>#N/A</v>
      </c>
      <c r="AI126" t="e">
        <f t="shared" si="98"/>
        <v>#N/A</v>
      </c>
      <c r="AJ126" t="e">
        <f t="shared" si="99"/>
        <v>#N/A</v>
      </c>
    </row>
    <row r="127">
      <c r="A127" s="2"/>
      <c r="L127" t="e">
        <f t="shared" si="75"/>
        <v>#N/A</v>
      </c>
      <c r="M127" t="e">
        <f t="shared" si="76"/>
        <v>#N/A</v>
      </c>
      <c r="N127" t="e">
        <f t="shared" si="77"/>
        <v>#N/A</v>
      </c>
      <c r="O127" t="n">
        <f t="shared" si="78"/>
        <v>0</v>
      </c>
      <c r="P127" t="n">
        <f t="shared" si="79"/>
        <v>0</v>
      </c>
      <c r="Q127" t="n">
        <f t="shared" si="80"/>
        <v>0</v>
      </c>
      <c r="R127" t="n">
        <f t="shared" si="81"/>
        <v>0</v>
      </c>
      <c r="S127" t="e">
        <f t="shared" si="82"/>
        <v>#N/A</v>
      </c>
      <c r="T127" t="e">
        <f t="shared" si="83"/>
        <v>#N/A</v>
      </c>
      <c r="U127" t="e">
        <f t="shared" si="84"/>
        <v>#N/A</v>
      </c>
      <c r="V127" t="e">
        <f t="shared" si="85"/>
        <v>#N/A</v>
      </c>
      <c r="W127" t="e">
        <f t="shared" si="86"/>
        <v>#N/A</v>
      </c>
      <c r="X127" t="e">
        <f t="shared" si="87"/>
        <v>#N/A</v>
      </c>
      <c r="Y127" t="e">
        <f t="shared" si="88"/>
        <v>#N/A</v>
      </c>
      <c r="Z127" t="e">
        <f t="shared" si="89"/>
        <v>#N/A</v>
      </c>
      <c r="AA127" t="e">
        <f t="shared" si="90"/>
        <v>#N/A</v>
      </c>
      <c r="AB127" t="e">
        <f t="shared" si="91"/>
        <v>#N/A</v>
      </c>
      <c r="AC127" t="e">
        <f t="shared" si="92"/>
        <v>#N/A</v>
      </c>
      <c r="AD127" t="e">
        <f t="shared" si="93"/>
        <v>#N/A</v>
      </c>
      <c r="AE127" t="e">
        <f t="shared" si="94"/>
        <v>#N/A</v>
      </c>
      <c r="AF127" t="e">
        <f t="shared" si="95"/>
        <v>#N/A</v>
      </c>
      <c r="AG127" t="e">
        <f t="shared" si="96"/>
        <v>#N/A</v>
      </c>
      <c r="AH127" t="e">
        <f t="shared" si="97"/>
        <v>#N/A</v>
      </c>
      <c r="AI127" t="e">
        <f t="shared" si="98"/>
        <v>#N/A</v>
      </c>
      <c r="AJ127" t="e">
        <f t="shared" si="99"/>
        <v>#N/A</v>
      </c>
    </row>
    <row r="128">
      <c r="A128" s="2"/>
      <c r="L128" t="e">
        <f t="shared" si="75"/>
        <v>#N/A</v>
      </c>
      <c r="M128" t="e">
        <f t="shared" si="76"/>
        <v>#N/A</v>
      </c>
      <c r="N128" t="e">
        <f t="shared" si="77"/>
        <v>#N/A</v>
      </c>
      <c r="O128" t="n">
        <f t="shared" si="78"/>
        <v>0</v>
      </c>
      <c r="P128" t="n">
        <f t="shared" si="79"/>
        <v>0</v>
      </c>
      <c r="Q128" t="n">
        <f t="shared" si="80"/>
        <v>0</v>
      </c>
      <c r="R128" t="n">
        <f t="shared" si="81"/>
        <v>0</v>
      </c>
      <c r="S128" t="e">
        <f t="shared" si="82"/>
        <v>#N/A</v>
      </c>
      <c r="T128" t="e">
        <f t="shared" si="83"/>
        <v>#N/A</v>
      </c>
      <c r="U128" t="e">
        <f t="shared" si="84"/>
        <v>#N/A</v>
      </c>
      <c r="V128" t="e">
        <f t="shared" si="85"/>
        <v>#N/A</v>
      </c>
      <c r="W128" t="e">
        <f t="shared" si="86"/>
        <v>#N/A</v>
      </c>
      <c r="X128" t="e">
        <f t="shared" si="87"/>
        <v>#N/A</v>
      </c>
      <c r="Y128" t="e">
        <f t="shared" si="88"/>
        <v>#N/A</v>
      </c>
      <c r="Z128" t="e">
        <f t="shared" si="89"/>
        <v>#N/A</v>
      </c>
      <c r="AA128" t="e">
        <f t="shared" si="90"/>
        <v>#N/A</v>
      </c>
      <c r="AB128" t="e">
        <f t="shared" si="91"/>
        <v>#N/A</v>
      </c>
      <c r="AC128" t="e">
        <f t="shared" si="92"/>
        <v>#N/A</v>
      </c>
      <c r="AD128" t="e">
        <f t="shared" si="93"/>
        <v>#N/A</v>
      </c>
      <c r="AE128" t="e">
        <f t="shared" si="94"/>
        <v>#N/A</v>
      </c>
      <c r="AF128" t="e">
        <f t="shared" si="95"/>
        <v>#N/A</v>
      </c>
      <c r="AG128" t="e">
        <f t="shared" si="96"/>
        <v>#N/A</v>
      </c>
      <c r="AH128" t="e">
        <f t="shared" si="97"/>
        <v>#N/A</v>
      </c>
      <c r="AI128" t="e">
        <f t="shared" si="98"/>
        <v>#N/A</v>
      </c>
      <c r="AJ128" t="e">
        <f t="shared" si="99"/>
        <v>#N/A</v>
      </c>
    </row>
    <row r="129">
      <c r="A129" s="2"/>
      <c r="L129" t="e">
        <f t="shared" si="75"/>
        <v>#N/A</v>
      </c>
      <c r="M129" t="e">
        <f t="shared" si="76"/>
        <v>#N/A</v>
      </c>
      <c r="N129" t="e">
        <f t="shared" si="77"/>
        <v>#N/A</v>
      </c>
      <c r="O129" t="n">
        <f t="shared" si="78"/>
        <v>0</v>
      </c>
      <c r="P129" t="n">
        <f t="shared" si="79"/>
        <v>0</v>
      </c>
      <c r="Q129" t="n">
        <f t="shared" si="80"/>
        <v>0</v>
      </c>
      <c r="R129" t="n">
        <f t="shared" si="81"/>
        <v>0</v>
      </c>
      <c r="S129" t="e">
        <f t="shared" si="82"/>
        <v>#N/A</v>
      </c>
      <c r="T129" t="e">
        <f t="shared" si="83"/>
        <v>#N/A</v>
      </c>
      <c r="U129" t="e">
        <f t="shared" si="84"/>
        <v>#N/A</v>
      </c>
      <c r="V129" t="e">
        <f t="shared" si="85"/>
        <v>#N/A</v>
      </c>
      <c r="W129" t="e">
        <f t="shared" si="86"/>
        <v>#N/A</v>
      </c>
      <c r="X129" t="e">
        <f t="shared" si="87"/>
        <v>#N/A</v>
      </c>
      <c r="Y129" t="e">
        <f t="shared" si="88"/>
        <v>#N/A</v>
      </c>
      <c r="Z129" t="e">
        <f t="shared" si="89"/>
        <v>#N/A</v>
      </c>
      <c r="AA129" t="e">
        <f t="shared" si="90"/>
        <v>#N/A</v>
      </c>
      <c r="AB129" t="e">
        <f t="shared" si="91"/>
        <v>#N/A</v>
      </c>
      <c r="AC129" t="e">
        <f t="shared" si="92"/>
        <v>#N/A</v>
      </c>
      <c r="AD129" t="e">
        <f t="shared" si="93"/>
        <v>#N/A</v>
      </c>
      <c r="AE129" t="e">
        <f t="shared" si="94"/>
        <v>#N/A</v>
      </c>
      <c r="AF129" t="e">
        <f t="shared" si="95"/>
        <v>#N/A</v>
      </c>
      <c r="AG129" t="e">
        <f t="shared" si="96"/>
        <v>#N/A</v>
      </c>
      <c r="AH129" t="e">
        <f t="shared" si="97"/>
        <v>#N/A</v>
      </c>
      <c r="AI129" t="e">
        <f t="shared" si="98"/>
        <v>#N/A</v>
      </c>
      <c r="AJ129" t="e">
        <f t="shared" si="99"/>
        <v>#N/A</v>
      </c>
    </row>
    <row r="130">
      <c r="A130" s="2"/>
      <c r="L130" t="e">
        <f t="shared" ref="L130:L161" si="100">IF(ROW()&lt;=5,NA(),IFERROR(100*(B130/INDEX(B:B,ROW()-4)-1),NA()))</f>
        <v>#N/A</v>
      </c>
      <c r="M130" t="e">
        <f t="shared" ref="M130:M161" si="101">IF(ROW()&lt;=5,NA(),IFERROR(100*(C130/INDEX(C:C,ROW()-4)-1),NA()))</f>
        <v>#N/A</v>
      </c>
      <c r="N130" t="e">
        <f t="shared" ref="N130:N161" si="102">IF(ROW()&lt;=5,NA(),IFERROR(100*(D130/INDEX(D:D,ROW()-4)-1),NA()))</f>
        <v>#N/A</v>
      </c>
      <c r="O130" t="n">
        <f t="shared" ref="O130:O161" si="103">100*G130</f>
        <v>0</v>
      </c>
      <c r="P130" t="n">
        <f t="shared" ref="P130:P161" si="104">100*H130</f>
        <v>0</v>
      </c>
      <c r="Q130" t="n">
        <f t="shared" ref="Q130:Q161" si="105">100*I130</f>
        <v>0</v>
      </c>
      <c r="R130" t="n">
        <f t="shared" ref="R130:R161" si="106">100*J130</f>
        <v>0</v>
      </c>
      <c r="S130" t="e">
        <f t="shared" ref="S130:S161" si="107">IFERROR(100*E130/INDEX(E:E,MATCH(DATE(2024,12,1),A:A,0)),NA())</f>
        <v>#N/A</v>
      </c>
      <c r="T130" t="e">
        <f t="shared" ref="T130:T161" si="108">IFERROR(100*F130/INDEX(F:F,MATCH(DATE(2024,12,1),A:A,0)),NA())</f>
        <v>#N/A</v>
      </c>
      <c r="U130" t="e">
        <f t="shared" ref="U130:U161" si="109">IF($K130="Actual",L130,NA())</f>
        <v>#N/A</v>
      </c>
      <c r="V130" t="e">
        <f t="shared" ref="V130:V161" si="110">IF($A130&gt;=DATE(2024,12,1),L130,NA())</f>
        <v>#N/A</v>
      </c>
      <c r="W130" t="e">
        <f t="shared" ref="W130:W161" si="111">IF($K130="Actual",M130,NA())</f>
        <v>#N/A</v>
      </c>
      <c r="X130" t="e">
        <f t="shared" ref="X130:X161" si="112">IF($A130&gt;=DATE(2024,12,1),M130,NA())</f>
        <v>#N/A</v>
      </c>
      <c r="Y130" t="e">
        <f t="shared" ref="Y130:Y161" si="113">IF($K130="Actual",S130,NA())</f>
        <v>#N/A</v>
      </c>
      <c r="Z130" t="e">
        <f t="shared" ref="Z130:Z161" si="114">IF($A130&gt;=DATE(2024,12,1),S130,NA())</f>
        <v>#N/A</v>
      </c>
      <c r="AA130" t="e">
        <f t="shared" ref="AA130:AA161" si="115">IF($K130="Actual",T130,NA())</f>
        <v>#N/A</v>
      </c>
      <c r="AB130" t="e">
        <f t="shared" ref="AB130:AB161" si="116">IF($A130&gt;=DATE(2024,12,1),T130,NA())</f>
        <v>#N/A</v>
      </c>
      <c r="AC130" t="e">
        <f t="shared" ref="AC130:AC161" si="117">IF($K130="Actual",O130,NA())</f>
        <v>#N/A</v>
      </c>
      <c r="AD130" t="e">
        <f t="shared" ref="AD130:AD161" si="118">IF($A130&gt;=DATE(2024,12,1),O130,NA())</f>
        <v>#N/A</v>
      </c>
      <c r="AE130" t="e">
        <f t="shared" ref="AE130:AE161" si="119">IF($K130="Actual",Q130,NA())</f>
        <v>#N/A</v>
      </c>
      <c r="AF130" t="e">
        <f t="shared" ref="AF130:AF161" si="120">IF($A130&gt;=DATE(2024,12,1),Q130,NA())</f>
        <v>#N/A</v>
      </c>
      <c r="AG130" t="e">
        <f t="shared" ref="AG130:AG161" si="121">IF($K130="Actual",R130,NA())</f>
        <v>#N/A</v>
      </c>
      <c r="AH130" t="e">
        <f t="shared" ref="AH130:AH161" si="122">IF($A130&gt;=DATE(2024,12,1),R130,NA())</f>
        <v>#N/A</v>
      </c>
      <c r="AI130" t="e">
        <f t="shared" ref="AI130:AI161" si="123">IF($K130="Actual",N130,NA())</f>
        <v>#N/A</v>
      </c>
      <c r="AJ130" t="e">
        <f t="shared" ref="AJ130:AJ161" si="124">IF($A130&gt;=DATE(2024,12,1),N130,NA())</f>
        <v>#N/A</v>
      </c>
    </row>
    <row r="131">
      <c r="A131" s="2"/>
      <c r="L131" t="e">
        <f t="shared" si="100"/>
        <v>#N/A</v>
      </c>
      <c r="M131" t="e">
        <f t="shared" si="101"/>
        <v>#N/A</v>
      </c>
      <c r="N131" t="e">
        <f t="shared" si="102"/>
        <v>#N/A</v>
      </c>
      <c r="O131" t="n">
        <f t="shared" si="103"/>
        <v>0</v>
      </c>
      <c r="P131" t="n">
        <f t="shared" si="104"/>
        <v>0</v>
      </c>
      <c r="Q131" t="n">
        <f t="shared" si="105"/>
        <v>0</v>
      </c>
      <c r="R131" t="n">
        <f t="shared" si="106"/>
        <v>0</v>
      </c>
      <c r="S131" t="e">
        <f t="shared" si="107"/>
        <v>#N/A</v>
      </c>
      <c r="T131" t="e">
        <f t="shared" si="108"/>
        <v>#N/A</v>
      </c>
      <c r="U131" t="e">
        <f t="shared" si="109"/>
        <v>#N/A</v>
      </c>
      <c r="V131" t="e">
        <f t="shared" si="110"/>
        <v>#N/A</v>
      </c>
      <c r="W131" t="e">
        <f t="shared" si="111"/>
        <v>#N/A</v>
      </c>
      <c r="X131" t="e">
        <f t="shared" si="112"/>
        <v>#N/A</v>
      </c>
      <c r="Y131" t="e">
        <f t="shared" si="113"/>
        <v>#N/A</v>
      </c>
      <c r="Z131" t="e">
        <f t="shared" si="114"/>
        <v>#N/A</v>
      </c>
      <c r="AA131" t="e">
        <f t="shared" si="115"/>
        <v>#N/A</v>
      </c>
      <c r="AB131" t="e">
        <f t="shared" si="116"/>
        <v>#N/A</v>
      </c>
      <c r="AC131" t="e">
        <f t="shared" si="117"/>
        <v>#N/A</v>
      </c>
      <c r="AD131" t="e">
        <f t="shared" si="118"/>
        <v>#N/A</v>
      </c>
      <c r="AE131" t="e">
        <f t="shared" si="119"/>
        <v>#N/A</v>
      </c>
      <c r="AF131" t="e">
        <f t="shared" si="120"/>
        <v>#N/A</v>
      </c>
      <c r="AG131" t="e">
        <f t="shared" si="121"/>
        <v>#N/A</v>
      </c>
      <c r="AH131" t="e">
        <f t="shared" si="122"/>
        <v>#N/A</v>
      </c>
      <c r="AI131" t="e">
        <f t="shared" si="123"/>
        <v>#N/A</v>
      </c>
      <c r="AJ131" t="e">
        <f t="shared" si="124"/>
        <v>#N/A</v>
      </c>
    </row>
    <row r="132">
      <c r="A132" s="2"/>
      <c r="L132" t="e">
        <f t="shared" si="100"/>
        <v>#N/A</v>
      </c>
      <c r="M132" t="e">
        <f t="shared" si="101"/>
        <v>#N/A</v>
      </c>
      <c r="N132" t="e">
        <f t="shared" si="102"/>
        <v>#N/A</v>
      </c>
      <c r="O132" t="n">
        <f t="shared" si="103"/>
        <v>0</v>
      </c>
      <c r="P132" t="n">
        <f t="shared" si="104"/>
        <v>0</v>
      </c>
      <c r="Q132" t="n">
        <f t="shared" si="105"/>
        <v>0</v>
      </c>
      <c r="R132" t="n">
        <f t="shared" si="106"/>
        <v>0</v>
      </c>
      <c r="S132" t="e">
        <f t="shared" si="107"/>
        <v>#N/A</v>
      </c>
      <c r="T132" t="e">
        <f t="shared" si="108"/>
        <v>#N/A</v>
      </c>
      <c r="U132" t="e">
        <f t="shared" si="109"/>
        <v>#N/A</v>
      </c>
      <c r="V132" t="e">
        <f t="shared" si="110"/>
        <v>#N/A</v>
      </c>
      <c r="W132" t="e">
        <f t="shared" si="111"/>
        <v>#N/A</v>
      </c>
      <c r="X132" t="e">
        <f t="shared" si="112"/>
        <v>#N/A</v>
      </c>
      <c r="Y132" t="e">
        <f t="shared" si="113"/>
        <v>#N/A</v>
      </c>
      <c r="Z132" t="e">
        <f t="shared" si="114"/>
        <v>#N/A</v>
      </c>
      <c r="AA132" t="e">
        <f t="shared" si="115"/>
        <v>#N/A</v>
      </c>
      <c r="AB132" t="e">
        <f t="shared" si="116"/>
        <v>#N/A</v>
      </c>
      <c r="AC132" t="e">
        <f t="shared" si="117"/>
        <v>#N/A</v>
      </c>
      <c r="AD132" t="e">
        <f t="shared" si="118"/>
        <v>#N/A</v>
      </c>
      <c r="AE132" t="e">
        <f t="shared" si="119"/>
        <v>#N/A</v>
      </c>
      <c r="AF132" t="e">
        <f t="shared" si="120"/>
        <v>#N/A</v>
      </c>
      <c r="AG132" t="e">
        <f t="shared" si="121"/>
        <v>#N/A</v>
      </c>
      <c r="AH132" t="e">
        <f t="shared" si="122"/>
        <v>#N/A</v>
      </c>
      <c r="AI132" t="e">
        <f t="shared" si="123"/>
        <v>#N/A</v>
      </c>
      <c r="AJ132" t="e">
        <f t="shared" si="124"/>
        <v>#N/A</v>
      </c>
    </row>
    <row r="133">
      <c r="A133" s="2"/>
      <c r="L133" t="e">
        <f t="shared" si="100"/>
        <v>#N/A</v>
      </c>
      <c r="M133" t="e">
        <f t="shared" si="101"/>
        <v>#N/A</v>
      </c>
      <c r="N133" t="e">
        <f t="shared" si="102"/>
        <v>#N/A</v>
      </c>
      <c r="O133" t="n">
        <f t="shared" si="103"/>
        <v>0</v>
      </c>
      <c r="P133" t="n">
        <f t="shared" si="104"/>
        <v>0</v>
      </c>
      <c r="Q133" t="n">
        <f t="shared" si="105"/>
        <v>0</v>
      </c>
      <c r="R133" t="n">
        <f t="shared" si="106"/>
        <v>0</v>
      </c>
      <c r="S133" t="e">
        <f t="shared" si="107"/>
        <v>#N/A</v>
      </c>
      <c r="T133" t="e">
        <f t="shared" si="108"/>
        <v>#N/A</v>
      </c>
      <c r="U133" t="e">
        <f t="shared" si="109"/>
        <v>#N/A</v>
      </c>
      <c r="V133" t="e">
        <f t="shared" si="110"/>
        <v>#N/A</v>
      </c>
      <c r="W133" t="e">
        <f t="shared" si="111"/>
        <v>#N/A</v>
      </c>
      <c r="X133" t="e">
        <f t="shared" si="112"/>
        <v>#N/A</v>
      </c>
      <c r="Y133" t="e">
        <f t="shared" si="113"/>
        <v>#N/A</v>
      </c>
      <c r="Z133" t="e">
        <f t="shared" si="114"/>
        <v>#N/A</v>
      </c>
      <c r="AA133" t="e">
        <f t="shared" si="115"/>
        <v>#N/A</v>
      </c>
      <c r="AB133" t="e">
        <f t="shared" si="116"/>
        <v>#N/A</v>
      </c>
      <c r="AC133" t="e">
        <f t="shared" si="117"/>
        <v>#N/A</v>
      </c>
      <c r="AD133" t="e">
        <f t="shared" si="118"/>
        <v>#N/A</v>
      </c>
      <c r="AE133" t="e">
        <f t="shared" si="119"/>
        <v>#N/A</v>
      </c>
      <c r="AF133" t="e">
        <f t="shared" si="120"/>
        <v>#N/A</v>
      </c>
      <c r="AG133" t="e">
        <f t="shared" si="121"/>
        <v>#N/A</v>
      </c>
      <c r="AH133" t="e">
        <f t="shared" si="122"/>
        <v>#N/A</v>
      </c>
      <c r="AI133" t="e">
        <f t="shared" si="123"/>
        <v>#N/A</v>
      </c>
      <c r="AJ133" t="e">
        <f t="shared" si="124"/>
        <v>#N/A</v>
      </c>
    </row>
    <row r="134">
      <c r="A134" s="2"/>
      <c r="L134" t="e">
        <f t="shared" si="100"/>
        <v>#N/A</v>
      </c>
      <c r="M134" t="e">
        <f t="shared" si="101"/>
        <v>#N/A</v>
      </c>
      <c r="N134" t="e">
        <f t="shared" si="102"/>
        <v>#N/A</v>
      </c>
      <c r="O134" t="n">
        <f t="shared" si="103"/>
        <v>0</v>
      </c>
      <c r="P134" t="n">
        <f t="shared" si="104"/>
        <v>0</v>
      </c>
      <c r="Q134" t="n">
        <f t="shared" si="105"/>
        <v>0</v>
      </c>
      <c r="R134" t="n">
        <f t="shared" si="106"/>
        <v>0</v>
      </c>
      <c r="S134" t="e">
        <f t="shared" si="107"/>
        <v>#N/A</v>
      </c>
      <c r="T134" t="e">
        <f t="shared" si="108"/>
        <v>#N/A</v>
      </c>
      <c r="U134" t="e">
        <f t="shared" si="109"/>
        <v>#N/A</v>
      </c>
      <c r="V134" t="e">
        <f t="shared" si="110"/>
        <v>#N/A</v>
      </c>
      <c r="W134" t="e">
        <f t="shared" si="111"/>
        <v>#N/A</v>
      </c>
      <c r="X134" t="e">
        <f t="shared" si="112"/>
        <v>#N/A</v>
      </c>
      <c r="Y134" t="e">
        <f t="shared" si="113"/>
        <v>#N/A</v>
      </c>
      <c r="Z134" t="e">
        <f t="shared" si="114"/>
        <v>#N/A</v>
      </c>
      <c r="AA134" t="e">
        <f t="shared" si="115"/>
        <v>#N/A</v>
      </c>
      <c r="AB134" t="e">
        <f t="shared" si="116"/>
        <v>#N/A</v>
      </c>
      <c r="AC134" t="e">
        <f t="shared" si="117"/>
        <v>#N/A</v>
      </c>
      <c r="AD134" t="e">
        <f t="shared" si="118"/>
        <v>#N/A</v>
      </c>
      <c r="AE134" t="e">
        <f t="shared" si="119"/>
        <v>#N/A</v>
      </c>
      <c r="AF134" t="e">
        <f t="shared" si="120"/>
        <v>#N/A</v>
      </c>
      <c r="AG134" t="e">
        <f t="shared" si="121"/>
        <v>#N/A</v>
      </c>
      <c r="AH134" t="e">
        <f t="shared" si="122"/>
        <v>#N/A</v>
      </c>
      <c r="AI134" t="e">
        <f t="shared" si="123"/>
        <v>#N/A</v>
      </c>
      <c r="AJ134" t="e">
        <f t="shared" si="124"/>
        <v>#N/A</v>
      </c>
    </row>
    <row r="135">
      <c r="A135" s="2"/>
      <c r="L135" t="e">
        <f t="shared" si="100"/>
        <v>#N/A</v>
      </c>
      <c r="M135" t="e">
        <f t="shared" si="101"/>
        <v>#N/A</v>
      </c>
      <c r="N135" t="e">
        <f t="shared" si="102"/>
        <v>#N/A</v>
      </c>
      <c r="O135" t="n">
        <f t="shared" si="103"/>
        <v>0</v>
      </c>
      <c r="P135" t="n">
        <f t="shared" si="104"/>
        <v>0</v>
      </c>
      <c r="Q135" t="n">
        <f t="shared" si="105"/>
        <v>0</v>
      </c>
      <c r="R135" t="n">
        <f t="shared" si="106"/>
        <v>0</v>
      </c>
      <c r="S135" t="e">
        <f t="shared" si="107"/>
        <v>#N/A</v>
      </c>
      <c r="T135" t="e">
        <f t="shared" si="108"/>
        <v>#N/A</v>
      </c>
      <c r="U135" t="e">
        <f t="shared" si="109"/>
        <v>#N/A</v>
      </c>
      <c r="V135" t="e">
        <f t="shared" si="110"/>
        <v>#N/A</v>
      </c>
      <c r="W135" t="e">
        <f t="shared" si="111"/>
        <v>#N/A</v>
      </c>
      <c r="X135" t="e">
        <f t="shared" si="112"/>
        <v>#N/A</v>
      </c>
      <c r="Y135" t="e">
        <f t="shared" si="113"/>
        <v>#N/A</v>
      </c>
      <c r="Z135" t="e">
        <f t="shared" si="114"/>
        <v>#N/A</v>
      </c>
      <c r="AA135" t="e">
        <f t="shared" si="115"/>
        <v>#N/A</v>
      </c>
      <c r="AB135" t="e">
        <f t="shared" si="116"/>
        <v>#N/A</v>
      </c>
      <c r="AC135" t="e">
        <f t="shared" si="117"/>
        <v>#N/A</v>
      </c>
      <c r="AD135" t="e">
        <f t="shared" si="118"/>
        <v>#N/A</v>
      </c>
      <c r="AE135" t="e">
        <f t="shared" si="119"/>
        <v>#N/A</v>
      </c>
      <c r="AF135" t="e">
        <f t="shared" si="120"/>
        <v>#N/A</v>
      </c>
      <c r="AG135" t="e">
        <f t="shared" si="121"/>
        <v>#N/A</v>
      </c>
      <c r="AH135" t="e">
        <f t="shared" si="122"/>
        <v>#N/A</v>
      </c>
      <c r="AI135" t="e">
        <f t="shared" si="123"/>
        <v>#N/A</v>
      </c>
      <c r="AJ135" t="e">
        <f t="shared" si="124"/>
        <v>#N/A</v>
      </c>
    </row>
    <row r="136">
      <c r="A136" s="2"/>
      <c r="L136" t="e">
        <f t="shared" si="100"/>
        <v>#N/A</v>
      </c>
      <c r="M136" t="e">
        <f t="shared" si="101"/>
        <v>#N/A</v>
      </c>
      <c r="N136" t="e">
        <f t="shared" si="102"/>
        <v>#N/A</v>
      </c>
      <c r="O136" t="n">
        <f t="shared" si="103"/>
        <v>0</v>
      </c>
      <c r="P136" t="n">
        <f t="shared" si="104"/>
        <v>0</v>
      </c>
      <c r="Q136" t="n">
        <f t="shared" si="105"/>
        <v>0</v>
      </c>
      <c r="R136" t="n">
        <f t="shared" si="106"/>
        <v>0</v>
      </c>
      <c r="S136" t="e">
        <f t="shared" si="107"/>
        <v>#N/A</v>
      </c>
      <c r="T136" t="e">
        <f t="shared" si="108"/>
        <v>#N/A</v>
      </c>
      <c r="U136" t="e">
        <f t="shared" si="109"/>
        <v>#N/A</v>
      </c>
      <c r="V136" t="e">
        <f t="shared" si="110"/>
        <v>#N/A</v>
      </c>
      <c r="W136" t="e">
        <f t="shared" si="111"/>
        <v>#N/A</v>
      </c>
      <c r="X136" t="e">
        <f t="shared" si="112"/>
        <v>#N/A</v>
      </c>
      <c r="Y136" t="e">
        <f t="shared" si="113"/>
        <v>#N/A</v>
      </c>
      <c r="Z136" t="e">
        <f t="shared" si="114"/>
        <v>#N/A</v>
      </c>
      <c r="AA136" t="e">
        <f t="shared" si="115"/>
        <v>#N/A</v>
      </c>
      <c r="AB136" t="e">
        <f t="shared" si="116"/>
        <v>#N/A</v>
      </c>
      <c r="AC136" t="e">
        <f t="shared" si="117"/>
        <v>#N/A</v>
      </c>
      <c r="AD136" t="e">
        <f t="shared" si="118"/>
        <v>#N/A</v>
      </c>
      <c r="AE136" t="e">
        <f t="shared" si="119"/>
        <v>#N/A</v>
      </c>
      <c r="AF136" t="e">
        <f t="shared" si="120"/>
        <v>#N/A</v>
      </c>
      <c r="AG136" t="e">
        <f t="shared" si="121"/>
        <v>#N/A</v>
      </c>
      <c r="AH136" t="e">
        <f t="shared" si="122"/>
        <v>#N/A</v>
      </c>
      <c r="AI136" t="e">
        <f t="shared" si="123"/>
        <v>#N/A</v>
      </c>
      <c r="AJ136" t="e">
        <f t="shared" si="124"/>
        <v>#N/A</v>
      </c>
    </row>
    <row r="137">
      <c r="A137" s="2"/>
      <c r="L137" t="e">
        <f t="shared" si="100"/>
        <v>#N/A</v>
      </c>
      <c r="M137" t="e">
        <f t="shared" si="101"/>
        <v>#N/A</v>
      </c>
      <c r="N137" t="e">
        <f t="shared" si="102"/>
        <v>#N/A</v>
      </c>
      <c r="O137" t="n">
        <f t="shared" si="103"/>
        <v>0</v>
      </c>
      <c r="P137" t="n">
        <f t="shared" si="104"/>
        <v>0</v>
      </c>
      <c r="Q137" t="n">
        <f t="shared" si="105"/>
        <v>0</v>
      </c>
      <c r="R137" t="n">
        <f t="shared" si="106"/>
        <v>0</v>
      </c>
      <c r="S137" t="e">
        <f t="shared" si="107"/>
        <v>#N/A</v>
      </c>
      <c r="T137" t="e">
        <f t="shared" si="108"/>
        <v>#N/A</v>
      </c>
      <c r="U137" t="e">
        <f t="shared" si="109"/>
        <v>#N/A</v>
      </c>
      <c r="V137" t="e">
        <f t="shared" si="110"/>
        <v>#N/A</v>
      </c>
      <c r="W137" t="e">
        <f t="shared" si="111"/>
        <v>#N/A</v>
      </c>
      <c r="X137" t="e">
        <f t="shared" si="112"/>
        <v>#N/A</v>
      </c>
      <c r="Y137" t="e">
        <f t="shared" si="113"/>
        <v>#N/A</v>
      </c>
      <c r="Z137" t="e">
        <f t="shared" si="114"/>
        <v>#N/A</v>
      </c>
      <c r="AA137" t="e">
        <f t="shared" si="115"/>
        <v>#N/A</v>
      </c>
      <c r="AB137" t="e">
        <f t="shared" si="116"/>
        <v>#N/A</v>
      </c>
      <c r="AC137" t="e">
        <f t="shared" si="117"/>
        <v>#N/A</v>
      </c>
      <c r="AD137" t="e">
        <f t="shared" si="118"/>
        <v>#N/A</v>
      </c>
      <c r="AE137" t="e">
        <f t="shared" si="119"/>
        <v>#N/A</v>
      </c>
      <c r="AF137" t="e">
        <f t="shared" si="120"/>
        <v>#N/A</v>
      </c>
      <c r="AG137" t="e">
        <f t="shared" si="121"/>
        <v>#N/A</v>
      </c>
      <c r="AH137" t="e">
        <f t="shared" si="122"/>
        <v>#N/A</v>
      </c>
      <c r="AI137" t="e">
        <f t="shared" si="123"/>
        <v>#N/A</v>
      </c>
      <c r="AJ137" t="e">
        <f t="shared" si="124"/>
        <v>#N/A</v>
      </c>
    </row>
    <row r="138">
      <c r="A138" s="2"/>
      <c r="L138" t="e">
        <f t="shared" si="100"/>
        <v>#N/A</v>
      </c>
      <c r="M138" t="e">
        <f t="shared" si="101"/>
        <v>#N/A</v>
      </c>
      <c r="N138" t="e">
        <f t="shared" si="102"/>
        <v>#N/A</v>
      </c>
      <c r="O138" t="n">
        <f t="shared" si="103"/>
        <v>0</v>
      </c>
      <c r="P138" t="n">
        <f t="shared" si="104"/>
        <v>0</v>
      </c>
      <c r="Q138" t="n">
        <f t="shared" si="105"/>
        <v>0</v>
      </c>
      <c r="R138" t="n">
        <f t="shared" si="106"/>
        <v>0</v>
      </c>
      <c r="S138" t="e">
        <f t="shared" si="107"/>
        <v>#N/A</v>
      </c>
      <c r="T138" t="e">
        <f t="shared" si="108"/>
        <v>#N/A</v>
      </c>
      <c r="U138" t="e">
        <f t="shared" si="109"/>
        <v>#N/A</v>
      </c>
      <c r="V138" t="e">
        <f t="shared" si="110"/>
        <v>#N/A</v>
      </c>
      <c r="W138" t="e">
        <f t="shared" si="111"/>
        <v>#N/A</v>
      </c>
      <c r="X138" t="e">
        <f t="shared" si="112"/>
        <v>#N/A</v>
      </c>
      <c r="Y138" t="e">
        <f t="shared" si="113"/>
        <v>#N/A</v>
      </c>
      <c r="Z138" t="e">
        <f t="shared" si="114"/>
        <v>#N/A</v>
      </c>
      <c r="AA138" t="e">
        <f t="shared" si="115"/>
        <v>#N/A</v>
      </c>
      <c r="AB138" t="e">
        <f t="shared" si="116"/>
        <v>#N/A</v>
      </c>
      <c r="AC138" t="e">
        <f t="shared" si="117"/>
        <v>#N/A</v>
      </c>
      <c r="AD138" t="e">
        <f t="shared" si="118"/>
        <v>#N/A</v>
      </c>
      <c r="AE138" t="e">
        <f t="shared" si="119"/>
        <v>#N/A</v>
      </c>
      <c r="AF138" t="e">
        <f t="shared" si="120"/>
        <v>#N/A</v>
      </c>
      <c r="AG138" t="e">
        <f t="shared" si="121"/>
        <v>#N/A</v>
      </c>
      <c r="AH138" t="e">
        <f t="shared" si="122"/>
        <v>#N/A</v>
      </c>
      <c r="AI138" t="e">
        <f t="shared" si="123"/>
        <v>#N/A</v>
      </c>
      <c r="AJ138" t="e">
        <f t="shared" si="124"/>
        <v>#N/A</v>
      </c>
    </row>
    <row r="139">
      <c r="A139" s="2"/>
      <c r="L139" t="e">
        <f t="shared" si="100"/>
        <v>#N/A</v>
      </c>
      <c r="M139" t="e">
        <f t="shared" si="101"/>
        <v>#N/A</v>
      </c>
      <c r="N139" t="e">
        <f t="shared" si="102"/>
        <v>#N/A</v>
      </c>
      <c r="O139" t="n">
        <f t="shared" si="103"/>
        <v>0</v>
      </c>
      <c r="P139" t="n">
        <f t="shared" si="104"/>
        <v>0</v>
      </c>
      <c r="Q139" t="n">
        <f t="shared" si="105"/>
        <v>0</v>
      </c>
      <c r="R139" t="n">
        <f t="shared" si="106"/>
        <v>0</v>
      </c>
      <c r="S139" t="e">
        <f t="shared" si="107"/>
        <v>#N/A</v>
      </c>
      <c r="T139" t="e">
        <f t="shared" si="108"/>
        <v>#N/A</v>
      </c>
      <c r="U139" t="e">
        <f t="shared" si="109"/>
        <v>#N/A</v>
      </c>
      <c r="V139" t="e">
        <f t="shared" si="110"/>
        <v>#N/A</v>
      </c>
      <c r="W139" t="e">
        <f t="shared" si="111"/>
        <v>#N/A</v>
      </c>
      <c r="X139" t="e">
        <f t="shared" si="112"/>
        <v>#N/A</v>
      </c>
      <c r="Y139" t="e">
        <f t="shared" si="113"/>
        <v>#N/A</v>
      </c>
      <c r="Z139" t="e">
        <f t="shared" si="114"/>
        <v>#N/A</v>
      </c>
      <c r="AA139" t="e">
        <f t="shared" si="115"/>
        <v>#N/A</v>
      </c>
      <c r="AB139" t="e">
        <f t="shared" si="116"/>
        <v>#N/A</v>
      </c>
      <c r="AC139" t="e">
        <f t="shared" si="117"/>
        <v>#N/A</v>
      </c>
      <c r="AD139" t="e">
        <f t="shared" si="118"/>
        <v>#N/A</v>
      </c>
      <c r="AE139" t="e">
        <f t="shared" si="119"/>
        <v>#N/A</v>
      </c>
      <c r="AF139" t="e">
        <f t="shared" si="120"/>
        <v>#N/A</v>
      </c>
      <c r="AG139" t="e">
        <f t="shared" si="121"/>
        <v>#N/A</v>
      </c>
      <c r="AH139" t="e">
        <f t="shared" si="122"/>
        <v>#N/A</v>
      </c>
      <c r="AI139" t="e">
        <f t="shared" si="123"/>
        <v>#N/A</v>
      </c>
      <c r="AJ139" t="e">
        <f t="shared" si="124"/>
        <v>#N/A</v>
      </c>
    </row>
    <row r="140">
      <c r="A140" s="2"/>
      <c r="L140" t="e">
        <f t="shared" si="100"/>
        <v>#N/A</v>
      </c>
      <c r="M140" t="e">
        <f t="shared" si="101"/>
        <v>#N/A</v>
      </c>
      <c r="N140" t="e">
        <f t="shared" si="102"/>
        <v>#N/A</v>
      </c>
      <c r="O140" t="n">
        <f t="shared" si="103"/>
        <v>0</v>
      </c>
      <c r="P140" t="n">
        <f t="shared" si="104"/>
        <v>0</v>
      </c>
      <c r="Q140" t="n">
        <f t="shared" si="105"/>
        <v>0</v>
      </c>
      <c r="R140" t="n">
        <f t="shared" si="106"/>
        <v>0</v>
      </c>
      <c r="S140" t="e">
        <f t="shared" si="107"/>
        <v>#N/A</v>
      </c>
      <c r="T140" t="e">
        <f t="shared" si="108"/>
        <v>#N/A</v>
      </c>
      <c r="U140" t="e">
        <f t="shared" si="109"/>
        <v>#N/A</v>
      </c>
      <c r="V140" t="e">
        <f t="shared" si="110"/>
        <v>#N/A</v>
      </c>
      <c r="W140" t="e">
        <f t="shared" si="111"/>
        <v>#N/A</v>
      </c>
      <c r="X140" t="e">
        <f t="shared" si="112"/>
        <v>#N/A</v>
      </c>
      <c r="Y140" t="e">
        <f t="shared" si="113"/>
        <v>#N/A</v>
      </c>
      <c r="Z140" t="e">
        <f t="shared" si="114"/>
        <v>#N/A</v>
      </c>
      <c r="AA140" t="e">
        <f t="shared" si="115"/>
        <v>#N/A</v>
      </c>
      <c r="AB140" t="e">
        <f t="shared" si="116"/>
        <v>#N/A</v>
      </c>
      <c r="AC140" t="e">
        <f t="shared" si="117"/>
        <v>#N/A</v>
      </c>
      <c r="AD140" t="e">
        <f t="shared" si="118"/>
        <v>#N/A</v>
      </c>
      <c r="AE140" t="e">
        <f t="shared" si="119"/>
        <v>#N/A</v>
      </c>
      <c r="AF140" t="e">
        <f t="shared" si="120"/>
        <v>#N/A</v>
      </c>
      <c r="AG140" t="e">
        <f t="shared" si="121"/>
        <v>#N/A</v>
      </c>
      <c r="AH140" t="e">
        <f t="shared" si="122"/>
        <v>#N/A</v>
      </c>
      <c r="AI140" t="e">
        <f t="shared" si="123"/>
        <v>#N/A</v>
      </c>
      <c r="AJ140" t="e">
        <f t="shared" si="124"/>
        <v>#N/A</v>
      </c>
    </row>
    <row r="141">
      <c r="A141" s="2"/>
      <c r="L141" t="e">
        <f t="shared" si="100"/>
        <v>#N/A</v>
      </c>
      <c r="M141" t="e">
        <f t="shared" si="101"/>
        <v>#N/A</v>
      </c>
      <c r="N141" t="e">
        <f t="shared" si="102"/>
        <v>#N/A</v>
      </c>
      <c r="O141" t="n">
        <f t="shared" si="103"/>
        <v>0</v>
      </c>
      <c r="P141" t="n">
        <f t="shared" si="104"/>
        <v>0</v>
      </c>
      <c r="Q141" t="n">
        <f t="shared" si="105"/>
        <v>0</v>
      </c>
      <c r="R141" t="n">
        <f t="shared" si="106"/>
        <v>0</v>
      </c>
      <c r="S141" t="e">
        <f t="shared" si="107"/>
        <v>#N/A</v>
      </c>
      <c r="T141" t="e">
        <f t="shared" si="108"/>
        <v>#N/A</v>
      </c>
      <c r="U141" t="e">
        <f t="shared" si="109"/>
        <v>#N/A</v>
      </c>
      <c r="V141" t="e">
        <f t="shared" si="110"/>
        <v>#N/A</v>
      </c>
      <c r="W141" t="e">
        <f t="shared" si="111"/>
        <v>#N/A</v>
      </c>
      <c r="X141" t="e">
        <f t="shared" si="112"/>
        <v>#N/A</v>
      </c>
      <c r="Y141" t="e">
        <f t="shared" si="113"/>
        <v>#N/A</v>
      </c>
      <c r="Z141" t="e">
        <f t="shared" si="114"/>
        <v>#N/A</v>
      </c>
      <c r="AA141" t="e">
        <f t="shared" si="115"/>
        <v>#N/A</v>
      </c>
      <c r="AB141" t="e">
        <f t="shared" si="116"/>
        <v>#N/A</v>
      </c>
      <c r="AC141" t="e">
        <f t="shared" si="117"/>
        <v>#N/A</v>
      </c>
      <c r="AD141" t="e">
        <f t="shared" si="118"/>
        <v>#N/A</v>
      </c>
      <c r="AE141" t="e">
        <f t="shared" si="119"/>
        <v>#N/A</v>
      </c>
      <c r="AF141" t="e">
        <f t="shared" si="120"/>
        <v>#N/A</v>
      </c>
      <c r="AG141" t="e">
        <f t="shared" si="121"/>
        <v>#N/A</v>
      </c>
      <c r="AH141" t="e">
        <f t="shared" si="122"/>
        <v>#N/A</v>
      </c>
      <c r="AI141" t="e">
        <f t="shared" si="123"/>
        <v>#N/A</v>
      </c>
      <c r="AJ141" t="e">
        <f t="shared" si="124"/>
        <v>#N/A</v>
      </c>
    </row>
    <row r="142">
      <c r="A142" s="2"/>
      <c r="L142" t="e">
        <f t="shared" si="100"/>
        <v>#N/A</v>
      </c>
      <c r="M142" t="e">
        <f t="shared" si="101"/>
        <v>#N/A</v>
      </c>
      <c r="N142" t="e">
        <f t="shared" si="102"/>
        <v>#N/A</v>
      </c>
      <c r="O142" t="n">
        <f t="shared" si="103"/>
        <v>0</v>
      </c>
      <c r="P142" t="n">
        <f t="shared" si="104"/>
        <v>0</v>
      </c>
      <c r="Q142" t="n">
        <f t="shared" si="105"/>
        <v>0</v>
      </c>
      <c r="R142" t="n">
        <f t="shared" si="106"/>
        <v>0</v>
      </c>
      <c r="S142" t="e">
        <f t="shared" si="107"/>
        <v>#N/A</v>
      </c>
      <c r="T142" t="e">
        <f t="shared" si="108"/>
        <v>#N/A</v>
      </c>
      <c r="U142" t="e">
        <f t="shared" si="109"/>
        <v>#N/A</v>
      </c>
      <c r="V142" t="e">
        <f t="shared" si="110"/>
        <v>#N/A</v>
      </c>
      <c r="W142" t="e">
        <f t="shared" si="111"/>
        <v>#N/A</v>
      </c>
      <c r="X142" t="e">
        <f t="shared" si="112"/>
        <v>#N/A</v>
      </c>
      <c r="Y142" t="e">
        <f t="shared" si="113"/>
        <v>#N/A</v>
      </c>
      <c r="Z142" t="e">
        <f t="shared" si="114"/>
        <v>#N/A</v>
      </c>
      <c r="AA142" t="e">
        <f t="shared" si="115"/>
        <v>#N/A</v>
      </c>
      <c r="AB142" t="e">
        <f t="shared" si="116"/>
        <v>#N/A</v>
      </c>
      <c r="AC142" t="e">
        <f t="shared" si="117"/>
        <v>#N/A</v>
      </c>
      <c r="AD142" t="e">
        <f t="shared" si="118"/>
        <v>#N/A</v>
      </c>
      <c r="AE142" t="e">
        <f t="shared" si="119"/>
        <v>#N/A</v>
      </c>
      <c r="AF142" t="e">
        <f t="shared" si="120"/>
        <v>#N/A</v>
      </c>
      <c r="AG142" t="e">
        <f t="shared" si="121"/>
        <v>#N/A</v>
      </c>
      <c r="AH142" t="e">
        <f t="shared" si="122"/>
        <v>#N/A</v>
      </c>
      <c r="AI142" t="e">
        <f t="shared" si="123"/>
        <v>#N/A</v>
      </c>
      <c r="AJ142" t="e">
        <f t="shared" si="124"/>
        <v>#N/A</v>
      </c>
    </row>
    <row r="143">
      <c r="A143" s="2"/>
      <c r="L143" t="e">
        <f t="shared" si="100"/>
        <v>#N/A</v>
      </c>
      <c r="M143" t="e">
        <f t="shared" si="101"/>
        <v>#N/A</v>
      </c>
      <c r="N143" t="e">
        <f t="shared" si="102"/>
        <v>#N/A</v>
      </c>
      <c r="O143" t="n">
        <f t="shared" si="103"/>
        <v>0</v>
      </c>
      <c r="P143" t="n">
        <f t="shared" si="104"/>
        <v>0</v>
      </c>
      <c r="Q143" t="n">
        <f t="shared" si="105"/>
        <v>0</v>
      </c>
      <c r="R143" t="n">
        <f t="shared" si="106"/>
        <v>0</v>
      </c>
      <c r="S143" t="e">
        <f t="shared" si="107"/>
        <v>#N/A</v>
      </c>
      <c r="T143" t="e">
        <f t="shared" si="108"/>
        <v>#N/A</v>
      </c>
      <c r="U143" t="e">
        <f t="shared" si="109"/>
        <v>#N/A</v>
      </c>
      <c r="V143" t="e">
        <f t="shared" si="110"/>
        <v>#N/A</v>
      </c>
      <c r="W143" t="e">
        <f t="shared" si="111"/>
        <v>#N/A</v>
      </c>
      <c r="X143" t="e">
        <f t="shared" si="112"/>
        <v>#N/A</v>
      </c>
      <c r="Y143" t="e">
        <f t="shared" si="113"/>
        <v>#N/A</v>
      </c>
      <c r="Z143" t="e">
        <f t="shared" si="114"/>
        <v>#N/A</v>
      </c>
      <c r="AA143" t="e">
        <f t="shared" si="115"/>
        <v>#N/A</v>
      </c>
      <c r="AB143" t="e">
        <f t="shared" si="116"/>
        <v>#N/A</v>
      </c>
      <c r="AC143" t="e">
        <f t="shared" si="117"/>
        <v>#N/A</v>
      </c>
      <c r="AD143" t="e">
        <f t="shared" si="118"/>
        <v>#N/A</v>
      </c>
      <c r="AE143" t="e">
        <f t="shared" si="119"/>
        <v>#N/A</v>
      </c>
      <c r="AF143" t="e">
        <f t="shared" si="120"/>
        <v>#N/A</v>
      </c>
      <c r="AG143" t="e">
        <f t="shared" si="121"/>
        <v>#N/A</v>
      </c>
      <c r="AH143" t="e">
        <f t="shared" si="122"/>
        <v>#N/A</v>
      </c>
      <c r="AI143" t="e">
        <f t="shared" si="123"/>
        <v>#N/A</v>
      </c>
      <c r="AJ143" t="e">
        <f t="shared" si="124"/>
        <v>#N/A</v>
      </c>
    </row>
    <row r="144">
      <c r="A144" s="2"/>
      <c r="L144" t="e">
        <f t="shared" si="100"/>
        <v>#N/A</v>
      </c>
      <c r="M144" t="e">
        <f t="shared" si="101"/>
        <v>#N/A</v>
      </c>
      <c r="N144" t="e">
        <f t="shared" si="102"/>
        <v>#N/A</v>
      </c>
      <c r="O144" t="n">
        <f t="shared" si="103"/>
        <v>0</v>
      </c>
      <c r="P144" t="n">
        <f t="shared" si="104"/>
        <v>0</v>
      </c>
      <c r="Q144" t="n">
        <f t="shared" si="105"/>
        <v>0</v>
      </c>
      <c r="R144" t="n">
        <f t="shared" si="106"/>
        <v>0</v>
      </c>
      <c r="S144" t="e">
        <f t="shared" si="107"/>
        <v>#N/A</v>
      </c>
      <c r="T144" t="e">
        <f t="shared" si="108"/>
        <v>#N/A</v>
      </c>
      <c r="U144" t="e">
        <f t="shared" si="109"/>
        <v>#N/A</v>
      </c>
      <c r="V144" t="e">
        <f t="shared" si="110"/>
        <v>#N/A</v>
      </c>
      <c r="W144" t="e">
        <f t="shared" si="111"/>
        <v>#N/A</v>
      </c>
      <c r="X144" t="e">
        <f t="shared" si="112"/>
        <v>#N/A</v>
      </c>
      <c r="Y144" t="e">
        <f t="shared" si="113"/>
        <v>#N/A</v>
      </c>
      <c r="Z144" t="e">
        <f t="shared" si="114"/>
        <v>#N/A</v>
      </c>
      <c r="AA144" t="e">
        <f t="shared" si="115"/>
        <v>#N/A</v>
      </c>
      <c r="AB144" t="e">
        <f t="shared" si="116"/>
        <v>#N/A</v>
      </c>
      <c r="AC144" t="e">
        <f t="shared" si="117"/>
        <v>#N/A</v>
      </c>
      <c r="AD144" t="e">
        <f t="shared" si="118"/>
        <v>#N/A</v>
      </c>
      <c r="AE144" t="e">
        <f t="shared" si="119"/>
        <v>#N/A</v>
      </c>
      <c r="AF144" t="e">
        <f t="shared" si="120"/>
        <v>#N/A</v>
      </c>
      <c r="AG144" t="e">
        <f t="shared" si="121"/>
        <v>#N/A</v>
      </c>
      <c r="AH144" t="e">
        <f t="shared" si="122"/>
        <v>#N/A</v>
      </c>
      <c r="AI144" t="e">
        <f t="shared" si="123"/>
        <v>#N/A</v>
      </c>
      <c r="AJ144" t="e">
        <f t="shared" si="124"/>
        <v>#N/A</v>
      </c>
    </row>
    <row r="145">
      <c r="A145" s="2"/>
      <c r="L145" t="e">
        <f t="shared" si="100"/>
        <v>#N/A</v>
      </c>
      <c r="M145" t="e">
        <f t="shared" si="101"/>
        <v>#N/A</v>
      </c>
      <c r="N145" t="e">
        <f t="shared" si="102"/>
        <v>#N/A</v>
      </c>
      <c r="O145" t="n">
        <f t="shared" si="103"/>
        <v>0</v>
      </c>
      <c r="P145" t="n">
        <f t="shared" si="104"/>
        <v>0</v>
      </c>
      <c r="Q145" t="n">
        <f t="shared" si="105"/>
        <v>0</v>
      </c>
      <c r="R145" t="n">
        <f t="shared" si="106"/>
        <v>0</v>
      </c>
      <c r="S145" t="e">
        <f t="shared" si="107"/>
        <v>#N/A</v>
      </c>
      <c r="T145" t="e">
        <f t="shared" si="108"/>
        <v>#N/A</v>
      </c>
      <c r="U145" t="e">
        <f t="shared" si="109"/>
        <v>#N/A</v>
      </c>
      <c r="V145" t="e">
        <f t="shared" si="110"/>
        <v>#N/A</v>
      </c>
      <c r="W145" t="e">
        <f t="shared" si="111"/>
        <v>#N/A</v>
      </c>
      <c r="X145" t="e">
        <f t="shared" si="112"/>
        <v>#N/A</v>
      </c>
      <c r="Y145" t="e">
        <f t="shared" si="113"/>
        <v>#N/A</v>
      </c>
      <c r="Z145" t="e">
        <f t="shared" si="114"/>
        <v>#N/A</v>
      </c>
      <c r="AA145" t="e">
        <f t="shared" si="115"/>
        <v>#N/A</v>
      </c>
      <c r="AB145" t="e">
        <f t="shared" si="116"/>
        <v>#N/A</v>
      </c>
      <c r="AC145" t="e">
        <f t="shared" si="117"/>
        <v>#N/A</v>
      </c>
      <c r="AD145" t="e">
        <f t="shared" si="118"/>
        <v>#N/A</v>
      </c>
      <c r="AE145" t="e">
        <f t="shared" si="119"/>
        <v>#N/A</v>
      </c>
      <c r="AF145" t="e">
        <f t="shared" si="120"/>
        <v>#N/A</v>
      </c>
      <c r="AG145" t="e">
        <f t="shared" si="121"/>
        <v>#N/A</v>
      </c>
      <c r="AH145" t="e">
        <f t="shared" si="122"/>
        <v>#N/A</v>
      </c>
      <c r="AI145" t="e">
        <f t="shared" si="123"/>
        <v>#N/A</v>
      </c>
      <c r="AJ145" t="e">
        <f t="shared" si="124"/>
        <v>#N/A</v>
      </c>
    </row>
    <row r="146">
      <c r="A146" s="2"/>
      <c r="L146" t="e">
        <f t="shared" si="100"/>
        <v>#N/A</v>
      </c>
      <c r="M146" t="e">
        <f t="shared" si="101"/>
        <v>#N/A</v>
      </c>
      <c r="N146" t="e">
        <f t="shared" si="102"/>
        <v>#N/A</v>
      </c>
      <c r="O146" t="n">
        <f t="shared" si="103"/>
        <v>0</v>
      </c>
      <c r="P146" t="n">
        <f t="shared" si="104"/>
        <v>0</v>
      </c>
      <c r="Q146" t="n">
        <f t="shared" si="105"/>
        <v>0</v>
      </c>
      <c r="R146" t="n">
        <f t="shared" si="106"/>
        <v>0</v>
      </c>
      <c r="S146" t="e">
        <f t="shared" si="107"/>
        <v>#N/A</v>
      </c>
      <c r="T146" t="e">
        <f t="shared" si="108"/>
        <v>#N/A</v>
      </c>
      <c r="U146" t="e">
        <f t="shared" si="109"/>
        <v>#N/A</v>
      </c>
      <c r="V146" t="e">
        <f t="shared" si="110"/>
        <v>#N/A</v>
      </c>
      <c r="W146" t="e">
        <f t="shared" si="111"/>
        <v>#N/A</v>
      </c>
      <c r="X146" t="e">
        <f t="shared" si="112"/>
        <v>#N/A</v>
      </c>
      <c r="Y146" t="e">
        <f t="shared" si="113"/>
        <v>#N/A</v>
      </c>
      <c r="Z146" t="e">
        <f t="shared" si="114"/>
        <v>#N/A</v>
      </c>
      <c r="AA146" t="e">
        <f t="shared" si="115"/>
        <v>#N/A</v>
      </c>
      <c r="AB146" t="e">
        <f t="shared" si="116"/>
        <v>#N/A</v>
      </c>
      <c r="AC146" t="e">
        <f t="shared" si="117"/>
        <v>#N/A</v>
      </c>
      <c r="AD146" t="e">
        <f t="shared" si="118"/>
        <v>#N/A</v>
      </c>
      <c r="AE146" t="e">
        <f t="shared" si="119"/>
        <v>#N/A</v>
      </c>
      <c r="AF146" t="e">
        <f t="shared" si="120"/>
        <v>#N/A</v>
      </c>
      <c r="AG146" t="e">
        <f t="shared" si="121"/>
        <v>#N/A</v>
      </c>
      <c r="AH146" t="e">
        <f t="shared" si="122"/>
        <v>#N/A</v>
      </c>
      <c r="AI146" t="e">
        <f t="shared" si="123"/>
        <v>#N/A</v>
      </c>
      <c r="AJ146" t="e">
        <f t="shared" si="124"/>
        <v>#N/A</v>
      </c>
    </row>
    <row r="147">
      <c r="A147" s="2"/>
      <c r="L147" t="e">
        <f t="shared" si="100"/>
        <v>#N/A</v>
      </c>
      <c r="M147" t="e">
        <f t="shared" si="101"/>
        <v>#N/A</v>
      </c>
      <c r="N147" t="e">
        <f t="shared" si="102"/>
        <v>#N/A</v>
      </c>
      <c r="O147" t="n">
        <f t="shared" si="103"/>
        <v>0</v>
      </c>
      <c r="P147" t="n">
        <f t="shared" si="104"/>
        <v>0</v>
      </c>
      <c r="Q147" t="n">
        <f t="shared" si="105"/>
        <v>0</v>
      </c>
      <c r="R147" t="n">
        <f t="shared" si="106"/>
        <v>0</v>
      </c>
      <c r="S147" t="e">
        <f t="shared" si="107"/>
        <v>#N/A</v>
      </c>
      <c r="T147" t="e">
        <f t="shared" si="108"/>
        <v>#N/A</v>
      </c>
      <c r="U147" t="e">
        <f t="shared" si="109"/>
        <v>#N/A</v>
      </c>
      <c r="V147" t="e">
        <f t="shared" si="110"/>
        <v>#N/A</v>
      </c>
      <c r="W147" t="e">
        <f t="shared" si="111"/>
        <v>#N/A</v>
      </c>
      <c r="X147" t="e">
        <f t="shared" si="112"/>
        <v>#N/A</v>
      </c>
      <c r="Y147" t="e">
        <f t="shared" si="113"/>
        <v>#N/A</v>
      </c>
      <c r="Z147" t="e">
        <f t="shared" si="114"/>
        <v>#N/A</v>
      </c>
      <c r="AA147" t="e">
        <f t="shared" si="115"/>
        <v>#N/A</v>
      </c>
      <c r="AB147" t="e">
        <f t="shared" si="116"/>
        <v>#N/A</v>
      </c>
      <c r="AC147" t="e">
        <f t="shared" si="117"/>
        <v>#N/A</v>
      </c>
      <c r="AD147" t="e">
        <f t="shared" si="118"/>
        <v>#N/A</v>
      </c>
      <c r="AE147" t="e">
        <f t="shared" si="119"/>
        <v>#N/A</v>
      </c>
      <c r="AF147" t="e">
        <f t="shared" si="120"/>
        <v>#N/A</v>
      </c>
      <c r="AG147" t="e">
        <f t="shared" si="121"/>
        <v>#N/A</v>
      </c>
      <c r="AH147" t="e">
        <f t="shared" si="122"/>
        <v>#N/A</v>
      </c>
      <c r="AI147" t="e">
        <f t="shared" si="123"/>
        <v>#N/A</v>
      </c>
      <c r="AJ147" t="e">
        <f t="shared" si="124"/>
        <v>#N/A</v>
      </c>
    </row>
    <row r="148">
      <c r="A148" s="2"/>
      <c r="L148" t="e">
        <f t="shared" si="100"/>
        <v>#N/A</v>
      </c>
      <c r="M148" t="e">
        <f t="shared" si="101"/>
        <v>#N/A</v>
      </c>
      <c r="N148" t="e">
        <f t="shared" si="102"/>
        <v>#N/A</v>
      </c>
      <c r="O148" t="n">
        <f t="shared" si="103"/>
        <v>0</v>
      </c>
      <c r="P148" t="n">
        <f t="shared" si="104"/>
        <v>0</v>
      </c>
      <c r="Q148" t="n">
        <f t="shared" si="105"/>
        <v>0</v>
      </c>
      <c r="R148" t="n">
        <f t="shared" si="106"/>
        <v>0</v>
      </c>
      <c r="S148" t="e">
        <f t="shared" si="107"/>
        <v>#N/A</v>
      </c>
      <c r="T148" t="e">
        <f t="shared" si="108"/>
        <v>#N/A</v>
      </c>
      <c r="U148" t="e">
        <f t="shared" si="109"/>
        <v>#N/A</v>
      </c>
      <c r="V148" t="e">
        <f t="shared" si="110"/>
        <v>#N/A</v>
      </c>
      <c r="W148" t="e">
        <f t="shared" si="111"/>
        <v>#N/A</v>
      </c>
      <c r="X148" t="e">
        <f t="shared" si="112"/>
        <v>#N/A</v>
      </c>
      <c r="Y148" t="e">
        <f t="shared" si="113"/>
        <v>#N/A</v>
      </c>
      <c r="Z148" t="e">
        <f t="shared" si="114"/>
        <v>#N/A</v>
      </c>
      <c r="AA148" t="e">
        <f t="shared" si="115"/>
        <v>#N/A</v>
      </c>
      <c r="AB148" t="e">
        <f t="shared" si="116"/>
        <v>#N/A</v>
      </c>
      <c r="AC148" t="e">
        <f t="shared" si="117"/>
        <v>#N/A</v>
      </c>
      <c r="AD148" t="e">
        <f t="shared" si="118"/>
        <v>#N/A</v>
      </c>
      <c r="AE148" t="e">
        <f t="shared" si="119"/>
        <v>#N/A</v>
      </c>
      <c r="AF148" t="e">
        <f t="shared" si="120"/>
        <v>#N/A</v>
      </c>
      <c r="AG148" t="e">
        <f t="shared" si="121"/>
        <v>#N/A</v>
      </c>
      <c r="AH148" t="e">
        <f t="shared" si="122"/>
        <v>#N/A</v>
      </c>
      <c r="AI148" t="e">
        <f t="shared" si="123"/>
        <v>#N/A</v>
      </c>
      <c r="AJ148" t="e">
        <f t="shared" si="124"/>
        <v>#N/A</v>
      </c>
    </row>
    <row r="149">
      <c r="A149" s="2"/>
      <c r="L149" t="e">
        <f t="shared" si="100"/>
        <v>#N/A</v>
      </c>
      <c r="M149" t="e">
        <f t="shared" si="101"/>
        <v>#N/A</v>
      </c>
      <c r="N149" t="e">
        <f t="shared" si="102"/>
        <v>#N/A</v>
      </c>
      <c r="O149" t="n">
        <f t="shared" si="103"/>
        <v>0</v>
      </c>
      <c r="P149" t="n">
        <f t="shared" si="104"/>
        <v>0</v>
      </c>
      <c r="Q149" t="n">
        <f t="shared" si="105"/>
        <v>0</v>
      </c>
      <c r="R149" t="n">
        <f t="shared" si="106"/>
        <v>0</v>
      </c>
      <c r="S149" t="e">
        <f t="shared" si="107"/>
        <v>#N/A</v>
      </c>
      <c r="T149" t="e">
        <f t="shared" si="108"/>
        <v>#N/A</v>
      </c>
      <c r="U149" t="e">
        <f t="shared" si="109"/>
        <v>#N/A</v>
      </c>
      <c r="V149" t="e">
        <f t="shared" si="110"/>
        <v>#N/A</v>
      </c>
      <c r="W149" t="e">
        <f t="shared" si="111"/>
        <v>#N/A</v>
      </c>
      <c r="X149" t="e">
        <f t="shared" si="112"/>
        <v>#N/A</v>
      </c>
      <c r="Y149" t="e">
        <f t="shared" si="113"/>
        <v>#N/A</v>
      </c>
      <c r="Z149" t="e">
        <f t="shared" si="114"/>
        <v>#N/A</v>
      </c>
      <c r="AA149" t="e">
        <f t="shared" si="115"/>
        <v>#N/A</v>
      </c>
      <c r="AB149" t="e">
        <f t="shared" si="116"/>
        <v>#N/A</v>
      </c>
      <c r="AC149" t="e">
        <f t="shared" si="117"/>
        <v>#N/A</v>
      </c>
      <c r="AD149" t="e">
        <f t="shared" si="118"/>
        <v>#N/A</v>
      </c>
      <c r="AE149" t="e">
        <f t="shared" si="119"/>
        <v>#N/A</v>
      </c>
      <c r="AF149" t="e">
        <f t="shared" si="120"/>
        <v>#N/A</v>
      </c>
      <c r="AG149" t="e">
        <f t="shared" si="121"/>
        <v>#N/A</v>
      </c>
      <c r="AH149" t="e">
        <f t="shared" si="122"/>
        <v>#N/A</v>
      </c>
      <c r="AI149" t="e">
        <f t="shared" si="123"/>
        <v>#N/A</v>
      </c>
      <c r="AJ149" t="e">
        <f t="shared" si="124"/>
        <v>#N/A</v>
      </c>
    </row>
    <row r="150">
      <c r="A150" s="2"/>
      <c r="L150" t="e">
        <f t="shared" si="100"/>
        <v>#N/A</v>
      </c>
      <c r="M150" t="e">
        <f t="shared" si="101"/>
        <v>#N/A</v>
      </c>
      <c r="N150" t="e">
        <f t="shared" si="102"/>
        <v>#N/A</v>
      </c>
      <c r="O150" t="n">
        <f t="shared" si="103"/>
        <v>0</v>
      </c>
      <c r="P150" t="n">
        <f t="shared" si="104"/>
        <v>0</v>
      </c>
      <c r="Q150" t="n">
        <f t="shared" si="105"/>
        <v>0</v>
      </c>
      <c r="R150" t="n">
        <f t="shared" si="106"/>
        <v>0</v>
      </c>
      <c r="S150" t="e">
        <f t="shared" si="107"/>
        <v>#N/A</v>
      </c>
      <c r="T150" t="e">
        <f t="shared" si="108"/>
        <v>#N/A</v>
      </c>
      <c r="U150" t="e">
        <f t="shared" si="109"/>
        <v>#N/A</v>
      </c>
      <c r="V150" t="e">
        <f t="shared" si="110"/>
        <v>#N/A</v>
      </c>
      <c r="W150" t="e">
        <f t="shared" si="111"/>
        <v>#N/A</v>
      </c>
      <c r="X150" t="e">
        <f t="shared" si="112"/>
        <v>#N/A</v>
      </c>
      <c r="Y150" t="e">
        <f t="shared" si="113"/>
        <v>#N/A</v>
      </c>
      <c r="Z150" t="e">
        <f t="shared" si="114"/>
        <v>#N/A</v>
      </c>
      <c r="AA150" t="e">
        <f t="shared" si="115"/>
        <v>#N/A</v>
      </c>
      <c r="AB150" t="e">
        <f t="shared" si="116"/>
        <v>#N/A</v>
      </c>
      <c r="AC150" t="e">
        <f t="shared" si="117"/>
        <v>#N/A</v>
      </c>
      <c r="AD150" t="e">
        <f t="shared" si="118"/>
        <v>#N/A</v>
      </c>
      <c r="AE150" t="e">
        <f t="shared" si="119"/>
        <v>#N/A</v>
      </c>
      <c r="AF150" t="e">
        <f t="shared" si="120"/>
        <v>#N/A</v>
      </c>
      <c r="AG150" t="e">
        <f t="shared" si="121"/>
        <v>#N/A</v>
      </c>
      <c r="AH150" t="e">
        <f t="shared" si="122"/>
        <v>#N/A</v>
      </c>
      <c r="AI150" t="e">
        <f t="shared" si="123"/>
        <v>#N/A</v>
      </c>
      <c r="AJ150" t="e">
        <f t="shared" si="124"/>
        <v>#N/A</v>
      </c>
    </row>
    <row r="151">
      <c r="A151" s="2"/>
      <c r="L151" t="e">
        <f t="shared" si="100"/>
        <v>#N/A</v>
      </c>
      <c r="M151" t="e">
        <f t="shared" si="101"/>
        <v>#N/A</v>
      </c>
      <c r="N151" t="e">
        <f t="shared" si="102"/>
        <v>#N/A</v>
      </c>
      <c r="O151" t="n">
        <f t="shared" si="103"/>
        <v>0</v>
      </c>
      <c r="P151" t="n">
        <f t="shared" si="104"/>
        <v>0</v>
      </c>
      <c r="Q151" t="n">
        <f t="shared" si="105"/>
        <v>0</v>
      </c>
      <c r="R151" t="n">
        <f t="shared" si="106"/>
        <v>0</v>
      </c>
      <c r="S151" t="e">
        <f t="shared" si="107"/>
        <v>#N/A</v>
      </c>
      <c r="T151" t="e">
        <f t="shared" si="108"/>
        <v>#N/A</v>
      </c>
      <c r="U151" t="e">
        <f t="shared" si="109"/>
        <v>#N/A</v>
      </c>
      <c r="V151" t="e">
        <f t="shared" si="110"/>
        <v>#N/A</v>
      </c>
      <c r="W151" t="e">
        <f t="shared" si="111"/>
        <v>#N/A</v>
      </c>
      <c r="X151" t="e">
        <f t="shared" si="112"/>
        <v>#N/A</v>
      </c>
      <c r="Y151" t="e">
        <f t="shared" si="113"/>
        <v>#N/A</v>
      </c>
      <c r="Z151" t="e">
        <f t="shared" si="114"/>
        <v>#N/A</v>
      </c>
      <c r="AA151" t="e">
        <f t="shared" si="115"/>
        <v>#N/A</v>
      </c>
      <c r="AB151" t="e">
        <f t="shared" si="116"/>
        <v>#N/A</v>
      </c>
      <c r="AC151" t="e">
        <f t="shared" si="117"/>
        <v>#N/A</v>
      </c>
      <c r="AD151" t="e">
        <f t="shared" si="118"/>
        <v>#N/A</v>
      </c>
      <c r="AE151" t="e">
        <f t="shared" si="119"/>
        <v>#N/A</v>
      </c>
      <c r="AF151" t="e">
        <f t="shared" si="120"/>
        <v>#N/A</v>
      </c>
      <c r="AG151" t="e">
        <f t="shared" si="121"/>
        <v>#N/A</v>
      </c>
      <c r="AH151" t="e">
        <f t="shared" si="122"/>
        <v>#N/A</v>
      </c>
      <c r="AI151" t="e">
        <f t="shared" si="123"/>
        <v>#N/A</v>
      </c>
      <c r="AJ151" t="e">
        <f t="shared" si="124"/>
        <v>#N/A</v>
      </c>
    </row>
    <row r="152">
      <c r="A152" s="2"/>
      <c r="L152" t="e">
        <f t="shared" si="100"/>
        <v>#N/A</v>
      </c>
      <c r="M152" t="e">
        <f t="shared" si="101"/>
        <v>#N/A</v>
      </c>
      <c r="N152" t="e">
        <f t="shared" si="102"/>
        <v>#N/A</v>
      </c>
      <c r="O152" t="n">
        <f t="shared" si="103"/>
        <v>0</v>
      </c>
      <c r="P152" t="n">
        <f t="shared" si="104"/>
        <v>0</v>
      </c>
      <c r="Q152" t="n">
        <f t="shared" si="105"/>
        <v>0</v>
      </c>
      <c r="R152" t="n">
        <f t="shared" si="106"/>
        <v>0</v>
      </c>
      <c r="S152" t="e">
        <f t="shared" si="107"/>
        <v>#N/A</v>
      </c>
      <c r="T152" t="e">
        <f t="shared" si="108"/>
        <v>#N/A</v>
      </c>
      <c r="U152" t="e">
        <f t="shared" si="109"/>
        <v>#N/A</v>
      </c>
      <c r="V152" t="e">
        <f t="shared" si="110"/>
        <v>#N/A</v>
      </c>
      <c r="W152" t="e">
        <f t="shared" si="111"/>
        <v>#N/A</v>
      </c>
      <c r="X152" t="e">
        <f t="shared" si="112"/>
        <v>#N/A</v>
      </c>
      <c r="Y152" t="e">
        <f t="shared" si="113"/>
        <v>#N/A</v>
      </c>
      <c r="Z152" t="e">
        <f t="shared" si="114"/>
        <v>#N/A</v>
      </c>
      <c r="AA152" t="e">
        <f t="shared" si="115"/>
        <v>#N/A</v>
      </c>
      <c r="AB152" t="e">
        <f t="shared" si="116"/>
        <v>#N/A</v>
      </c>
      <c r="AC152" t="e">
        <f t="shared" si="117"/>
        <v>#N/A</v>
      </c>
      <c r="AD152" t="e">
        <f t="shared" si="118"/>
        <v>#N/A</v>
      </c>
      <c r="AE152" t="e">
        <f t="shared" si="119"/>
        <v>#N/A</v>
      </c>
      <c r="AF152" t="e">
        <f t="shared" si="120"/>
        <v>#N/A</v>
      </c>
      <c r="AG152" t="e">
        <f t="shared" si="121"/>
        <v>#N/A</v>
      </c>
      <c r="AH152" t="e">
        <f t="shared" si="122"/>
        <v>#N/A</v>
      </c>
      <c r="AI152" t="e">
        <f t="shared" si="123"/>
        <v>#N/A</v>
      </c>
      <c r="AJ152" t="e">
        <f t="shared" si="124"/>
        <v>#N/A</v>
      </c>
    </row>
    <row r="153">
      <c r="A153" s="2"/>
      <c r="L153" t="e">
        <f t="shared" si="100"/>
        <v>#N/A</v>
      </c>
      <c r="M153" t="e">
        <f t="shared" si="101"/>
        <v>#N/A</v>
      </c>
      <c r="N153" t="e">
        <f t="shared" si="102"/>
        <v>#N/A</v>
      </c>
      <c r="O153" t="n">
        <f t="shared" si="103"/>
        <v>0</v>
      </c>
      <c r="P153" t="n">
        <f t="shared" si="104"/>
        <v>0</v>
      </c>
      <c r="Q153" t="n">
        <f t="shared" si="105"/>
        <v>0</v>
      </c>
      <c r="R153" t="n">
        <f t="shared" si="106"/>
        <v>0</v>
      </c>
      <c r="S153" t="e">
        <f t="shared" si="107"/>
        <v>#N/A</v>
      </c>
      <c r="T153" t="e">
        <f t="shared" si="108"/>
        <v>#N/A</v>
      </c>
      <c r="U153" t="e">
        <f t="shared" si="109"/>
        <v>#N/A</v>
      </c>
      <c r="V153" t="e">
        <f t="shared" si="110"/>
        <v>#N/A</v>
      </c>
      <c r="W153" t="e">
        <f t="shared" si="111"/>
        <v>#N/A</v>
      </c>
      <c r="X153" t="e">
        <f t="shared" si="112"/>
        <v>#N/A</v>
      </c>
      <c r="Y153" t="e">
        <f t="shared" si="113"/>
        <v>#N/A</v>
      </c>
      <c r="Z153" t="e">
        <f t="shared" si="114"/>
        <v>#N/A</v>
      </c>
      <c r="AA153" t="e">
        <f t="shared" si="115"/>
        <v>#N/A</v>
      </c>
      <c r="AB153" t="e">
        <f t="shared" si="116"/>
        <v>#N/A</v>
      </c>
      <c r="AC153" t="e">
        <f t="shared" si="117"/>
        <v>#N/A</v>
      </c>
      <c r="AD153" t="e">
        <f t="shared" si="118"/>
        <v>#N/A</v>
      </c>
      <c r="AE153" t="e">
        <f t="shared" si="119"/>
        <v>#N/A</v>
      </c>
      <c r="AF153" t="e">
        <f t="shared" si="120"/>
        <v>#N/A</v>
      </c>
      <c r="AG153" t="e">
        <f t="shared" si="121"/>
        <v>#N/A</v>
      </c>
      <c r="AH153" t="e">
        <f t="shared" si="122"/>
        <v>#N/A</v>
      </c>
      <c r="AI153" t="e">
        <f t="shared" si="123"/>
        <v>#N/A</v>
      </c>
      <c r="AJ153" t="e">
        <f t="shared" si="124"/>
        <v>#N/A</v>
      </c>
    </row>
    <row r="154">
      <c r="A154" s="2"/>
      <c r="L154" t="e">
        <f t="shared" si="100"/>
        <v>#N/A</v>
      </c>
      <c r="M154" t="e">
        <f t="shared" si="101"/>
        <v>#N/A</v>
      </c>
      <c r="N154" t="e">
        <f t="shared" si="102"/>
        <v>#N/A</v>
      </c>
      <c r="O154" t="n">
        <f t="shared" si="103"/>
        <v>0</v>
      </c>
      <c r="P154" t="n">
        <f t="shared" si="104"/>
        <v>0</v>
      </c>
      <c r="Q154" t="n">
        <f t="shared" si="105"/>
        <v>0</v>
      </c>
      <c r="R154" t="n">
        <f t="shared" si="106"/>
        <v>0</v>
      </c>
      <c r="S154" t="e">
        <f t="shared" si="107"/>
        <v>#N/A</v>
      </c>
      <c r="T154" t="e">
        <f t="shared" si="108"/>
        <v>#N/A</v>
      </c>
      <c r="U154" t="e">
        <f t="shared" si="109"/>
        <v>#N/A</v>
      </c>
      <c r="V154" t="e">
        <f t="shared" si="110"/>
        <v>#N/A</v>
      </c>
      <c r="W154" t="e">
        <f t="shared" si="111"/>
        <v>#N/A</v>
      </c>
      <c r="X154" t="e">
        <f t="shared" si="112"/>
        <v>#N/A</v>
      </c>
      <c r="Y154" t="e">
        <f t="shared" si="113"/>
        <v>#N/A</v>
      </c>
      <c r="Z154" t="e">
        <f t="shared" si="114"/>
        <v>#N/A</v>
      </c>
      <c r="AA154" t="e">
        <f t="shared" si="115"/>
        <v>#N/A</v>
      </c>
      <c r="AB154" t="e">
        <f t="shared" si="116"/>
        <v>#N/A</v>
      </c>
      <c r="AC154" t="e">
        <f t="shared" si="117"/>
        <v>#N/A</v>
      </c>
      <c r="AD154" t="e">
        <f t="shared" si="118"/>
        <v>#N/A</v>
      </c>
      <c r="AE154" t="e">
        <f t="shared" si="119"/>
        <v>#N/A</v>
      </c>
      <c r="AF154" t="e">
        <f t="shared" si="120"/>
        <v>#N/A</v>
      </c>
      <c r="AG154" t="e">
        <f t="shared" si="121"/>
        <v>#N/A</v>
      </c>
      <c r="AH154" t="e">
        <f t="shared" si="122"/>
        <v>#N/A</v>
      </c>
      <c r="AI154" t="e">
        <f t="shared" si="123"/>
        <v>#N/A</v>
      </c>
      <c r="AJ154" t="e">
        <f t="shared" si="124"/>
        <v>#N/A</v>
      </c>
    </row>
    <row r="155">
      <c r="A155" s="2"/>
      <c r="L155" t="e">
        <f t="shared" si="100"/>
        <v>#N/A</v>
      </c>
      <c r="M155" t="e">
        <f t="shared" si="101"/>
        <v>#N/A</v>
      </c>
      <c r="N155" t="e">
        <f t="shared" si="102"/>
        <v>#N/A</v>
      </c>
      <c r="O155" t="n">
        <f t="shared" si="103"/>
        <v>0</v>
      </c>
      <c r="P155" t="n">
        <f t="shared" si="104"/>
        <v>0</v>
      </c>
      <c r="Q155" t="n">
        <f t="shared" si="105"/>
        <v>0</v>
      </c>
      <c r="R155" t="n">
        <f t="shared" si="106"/>
        <v>0</v>
      </c>
      <c r="S155" t="e">
        <f t="shared" si="107"/>
        <v>#N/A</v>
      </c>
      <c r="T155" t="e">
        <f t="shared" si="108"/>
        <v>#N/A</v>
      </c>
      <c r="U155" t="e">
        <f t="shared" si="109"/>
        <v>#N/A</v>
      </c>
      <c r="V155" t="e">
        <f t="shared" si="110"/>
        <v>#N/A</v>
      </c>
      <c r="W155" t="e">
        <f t="shared" si="111"/>
        <v>#N/A</v>
      </c>
      <c r="X155" t="e">
        <f t="shared" si="112"/>
        <v>#N/A</v>
      </c>
      <c r="Y155" t="e">
        <f t="shared" si="113"/>
        <v>#N/A</v>
      </c>
      <c r="Z155" t="e">
        <f t="shared" si="114"/>
        <v>#N/A</v>
      </c>
      <c r="AA155" t="e">
        <f t="shared" si="115"/>
        <v>#N/A</v>
      </c>
      <c r="AB155" t="e">
        <f t="shared" si="116"/>
        <v>#N/A</v>
      </c>
      <c r="AC155" t="e">
        <f t="shared" si="117"/>
        <v>#N/A</v>
      </c>
      <c r="AD155" t="e">
        <f t="shared" si="118"/>
        <v>#N/A</v>
      </c>
      <c r="AE155" t="e">
        <f t="shared" si="119"/>
        <v>#N/A</v>
      </c>
      <c r="AF155" t="e">
        <f t="shared" si="120"/>
        <v>#N/A</v>
      </c>
      <c r="AG155" t="e">
        <f t="shared" si="121"/>
        <v>#N/A</v>
      </c>
      <c r="AH155" t="e">
        <f t="shared" si="122"/>
        <v>#N/A</v>
      </c>
      <c r="AI155" t="e">
        <f t="shared" si="123"/>
        <v>#N/A</v>
      </c>
      <c r="AJ155" t="e">
        <f t="shared" si="124"/>
        <v>#N/A</v>
      </c>
    </row>
    <row r="156">
      <c r="A156" s="2"/>
      <c r="L156" t="e">
        <f t="shared" si="100"/>
        <v>#N/A</v>
      </c>
      <c r="M156" t="e">
        <f t="shared" si="101"/>
        <v>#N/A</v>
      </c>
      <c r="N156" t="e">
        <f t="shared" si="102"/>
        <v>#N/A</v>
      </c>
      <c r="O156" t="n">
        <f t="shared" si="103"/>
        <v>0</v>
      </c>
      <c r="P156" t="n">
        <f t="shared" si="104"/>
        <v>0</v>
      </c>
      <c r="Q156" t="n">
        <f t="shared" si="105"/>
        <v>0</v>
      </c>
      <c r="R156" t="n">
        <f t="shared" si="106"/>
        <v>0</v>
      </c>
      <c r="S156" t="e">
        <f t="shared" si="107"/>
        <v>#N/A</v>
      </c>
      <c r="T156" t="e">
        <f t="shared" si="108"/>
        <v>#N/A</v>
      </c>
      <c r="U156" t="e">
        <f t="shared" si="109"/>
        <v>#N/A</v>
      </c>
      <c r="V156" t="e">
        <f t="shared" si="110"/>
        <v>#N/A</v>
      </c>
      <c r="W156" t="e">
        <f t="shared" si="111"/>
        <v>#N/A</v>
      </c>
      <c r="X156" t="e">
        <f t="shared" si="112"/>
        <v>#N/A</v>
      </c>
      <c r="Y156" t="e">
        <f t="shared" si="113"/>
        <v>#N/A</v>
      </c>
      <c r="Z156" t="e">
        <f t="shared" si="114"/>
        <v>#N/A</v>
      </c>
      <c r="AA156" t="e">
        <f t="shared" si="115"/>
        <v>#N/A</v>
      </c>
      <c r="AB156" t="e">
        <f t="shared" si="116"/>
        <v>#N/A</v>
      </c>
      <c r="AC156" t="e">
        <f t="shared" si="117"/>
        <v>#N/A</v>
      </c>
      <c r="AD156" t="e">
        <f t="shared" si="118"/>
        <v>#N/A</v>
      </c>
      <c r="AE156" t="e">
        <f t="shared" si="119"/>
        <v>#N/A</v>
      </c>
      <c r="AF156" t="e">
        <f t="shared" si="120"/>
        <v>#N/A</v>
      </c>
      <c r="AG156" t="e">
        <f t="shared" si="121"/>
        <v>#N/A</v>
      </c>
      <c r="AH156" t="e">
        <f t="shared" si="122"/>
        <v>#N/A</v>
      </c>
      <c r="AI156" t="e">
        <f t="shared" si="123"/>
        <v>#N/A</v>
      </c>
      <c r="AJ156" t="e">
        <f t="shared" si="124"/>
        <v>#N/A</v>
      </c>
    </row>
    <row r="157">
      <c r="A157" s="2"/>
      <c r="L157" t="e">
        <f t="shared" si="100"/>
        <v>#N/A</v>
      </c>
      <c r="M157" t="e">
        <f t="shared" si="101"/>
        <v>#N/A</v>
      </c>
      <c r="N157" t="e">
        <f t="shared" si="102"/>
        <v>#N/A</v>
      </c>
      <c r="O157" t="n">
        <f t="shared" si="103"/>
        <v>0</v>
      </c>
      <c r="P157" t="n">
        <f t="shared" si="104"/>
        <v>0</v>
      </c>
      <c r="Q157" t="n">
        <f t="shared" si="105"/>
        <v>0</v>
      </c>
      <c r="R157" t="n">
        <f t="shared" si="106"/>
        <v>0</v>
      </c>
      <c r="S157" t="e">
        <f t="shared" si="107"/>
        <v>#N/A</v>
      </c>
      <c r="T157" t="e">
        <f t="shared" si="108"/>
        <v>#N/A</v>
      </c>
      <c r="U157" t="e">
        <f t="shared" si="109"/>
        <v>#N/A</v>
      </c>
      <c r="V157" t="e">
        <f t="shared" si="110"/>
        <v>#N/A</v>
      </c>
      <c r="W157" t="e">
        <f t="shared" si="111"/>
        <v>#N/A</v>
      </c>
      <c r="X157" t="e">
        <f t="shared" si="112"/>
        <v>#N/A</v>
      </c>
      <c r="Y157" t="e">
        <f t="shared" si="113"/>
        <v>#N/A</v>
      </c>
      <c r="Z157" t="e">
        <f t="shared" si="114"/>
        <v>#N/A</v>
      </c>
      <c r="AA157" t="e">
        <f t="shared" si="115"/>
        <v>#N/A</v>
      </c>
      <c r="AB157" t="e">
        <f t="shared" si="116"/>
        <v>#N/A</v>
      </c>
      <c r="AC157" t="e">
        <f t="shared" si="117"/>
        <v>#N/A</v>
      </c>
      <c r="AD157" t="e">
        <f t="shared" si="118"/>
        <v>#N/A</v>
      </c>
      <c r="AE157" t="e">
        <f t="shared" si="119"/>
        <v>#N/A</v>
      </c>
      <c r="AF157" t="e">
        <f t="shared" si="120"/>
        <v>#N/A</v>
      </c>
      <c r="AG157" t="e">
        <f t="shared" si="121"/>
        <v>#N/A</v>
      </c>
      <c r="AH157" t="e">
        <f t="shared" si="122"/>
        <v>#N/A</v>
      </c>
      <c r="AI157" t="e">
        <f t="shared" si="123"/>
        <v>#N/A</v>
      </c>
      <c r="AJ157" t="e">
        <f t="shared" si="124"/>
        <v>#N/A</v>
      </c>
    </row>
    <row r="158">
      <c r="A158" s="2"/>
      <c r="L158" t="e">
        <f t="shared" si="100"/>
        <v>#N/A</v>
      </c>
      <c r="M158" t="e">
        <f t="shared" si="101"/>
        <v>#N/A</v>
      </c>
      <c r="N158" t="e">
        <f t="shared" si="102"/>
        <v>#N/A</v>
      </c>
      <c r="O158" t="n">
        <f t="shared" si="103"/>
        <v>0</v>
      </c>
      <c r="P158" t="n">
        <f t="shared" si="104"/>
        <v>0</v>
      </c>
      <c r="Q158" t="n">
        <f t="shared" si="105"/>
        <v>0</v>
      </c>
      <c r="R158" t="n">
        <f t="shared" si="106"/>
        <v>0</v>
      </c>
      <c r="S158" t="e">
        <f t="shared" si="107"/>
        <v>#N/A</v>
      </c>
      <c r="T158" t="e">
        <f t="shared" si="108"/>
        <v>#N/A</v>
      </c>
      <c r="U158" t="e">
        <f t="shared" si="109"/>
        <v>#N/A</v>
      </c>
      <c r="V158" t="e">
        <f t="shared" si="110"/>
        <v>#N/A</v>
      </c>
      <c r="W158" t="e">
        <f t="shared" si="111"/>
        <v>#N/A</v>
      </c>
      <c r="X158" t="e">
        <f t="shared" si="112"/>
        <v>#N/A</v>
      </c>
      <c r="Y158" t="e">
        <f t="shared" si="113"/>
        <v>#N/A</v>
      </c>
      <c r="Z158" t="e">
        <f t="shared" si="114"/>
        <v>#N/A</v>
      </c>
      <c r="AA158" t="e">
        <f t="shared" si="115"/>
        <v>#N/A</v>
      </c>
      <c r="AB158" t="e">
        <f t="shared" si="116"/>
        <v>#N/A</v>
      </c>
      <c r="AC158" t="e">
        <f t="shared" si="117"/>
        <v>#N/A</v>
      </c>
      <c r="AD158" t="e">
        <f t="shared" si="118"/>
        <v>#N/A</v>
      </c>
      <c r="AE158" t="e">
        <f t="shared" si="119"/>
        <v>#N/A</v>
      </c>
      <c r="AF158" t="e">
        <f t="shared" si="120"/>
        <v>#N/A</v>
      </c>
      <c r="AG158" t="e">
        <f t="shared" si="121"/>
        <v>#N/A</v>
      </c>
      <c r="AH158" t="e">
        <f t="shared" si="122"/>
        <v>#N/A</v>
      </c>
      <c r="AI158" t="e">
        <f t="shared" si="123"/>
        <v>#N/A</v>
      </c>
      <c r="AJ158" t="e">
        <f t="shared" si="124"/>
        <v>#N/A</v>
      </c>
    </row>
    <row r="159">
      <c r="A159" s="2"/>
      <c r="L159" t="e">
        <f t="shared" si="100"/>
        <v>#N/A</v>
      </c>
      <c r="M159" t="e">
        <f t="shared" si="101"/>
        <v>#N/A</v>
      </c>
      <c r="N159" t="e">
        <f t="shared" si="102"/>
        <v>#N/A</v>
      </c>
      <c r="O159" t="n">
        <f t="shared" si="103"/>
        <v>0</v>
      </c>
      <c r="P159" t="n">
        <f t="shared" si="104"/>
        <v>0</v>
      </c>
      <c r="Q159" t="n">
        <f t="shared" si="105"/>
        <v>0</v>
      </c>
      <c r="R159" t="n">
        <f t="shared" si="106"/>
        <v>0</v>
      </c>
      <c r="S159" t="e">
        <f t="shared" si="107"/>
        <v>#N/A</v>
      </c>
      <c r="T159" t="e">
        <f t="shared" si="108"/>
        <v>#N/A</v>
      </c>
      <c r="U159" t="e">
        <f t="shared" si="109"/>
        <v>#N/A</v>
      </c>
      <c r="V159" t="e">
        <f t="shared" si="110"/>
        <v>#N/A</v>
      </c>
      <c r="W159" t="e">
        <f t="shared" si="111"/>
        <v>#N/A</v>
      </c>
      <c r="X159" t="e">
        <f t="shared" si="112"/>
        <v>#N/A</v>
      </c>
      <c r="Y159" t="e">
        <f t="shared" si="113"/>
        <v>#N/A</v>
      </c>
      <c r="Z159" t="e">
        <f t="shared" si="114"/>
        <v>#N/A</v>
      </c>
      <c r="AA159" t="e">
        <f t="shared" si="115"/>
        <v>#N/A</v>
      </c>
      <c r="AB159" t="e">
        <f t="shared" si="116"/>
        <v>#N/A</v>
      </c>
      <c r="AC159" t="e">
        <f t="shared" si="117"/>
        <v>#N/A</v>
      </c>
      <c r="AD159" t="e">
        <f t="shared" si="118"/>
        <v>#N/A</v>
      </c>
      <c r="AE159" t="e">
        <f t="shared" si="119"/>
        <v>#N/A</v>
      </c>
      <c r="AF159" t="e">
        <f t="shared" si="120"/>
        <v>#N/A</v>
      </c>
      <c r="AG159" t="e">
        <f t="shared" si="121"/>
        <v>#N/A</v>
      </c>
      <c r="AH159" t="e">
        <f t="shared" si="122"/>
        <v>#N/A</v>
      </c>
      <c r="AI159" t="e">
        <f t="shared" si="123"/>
        <v>#N/A</v>
      </c>
      <c r="AJ159" t="e">
        <f t="shared" si="124"/>
        <v>#N/A</v>
      </c>
    </row>
    <row r="160">
      <c r="A160" s="2"/>
      <c r="L160" t="e">
        <f t="shared" si="100"/>
        <v>#N/A</v>
      </c>
      <c r="M160" t="e">
        <f t="shared" si="101"/>
        <v>#N/A</v>
      </c>
      <c r="N160" t="e">
        <f t="shared" si="102"/>
        <v>#N/A</v>
      </c>
      <c r="O160" t="n">
        <f t="shared" si="103"/>
        <v>0</v>
      </c>
      <c r="P160" t="n">
        <f t="shared" si="104"/>
        <v>0</v>
      </c>
      <c r="Q160" t="n">
        <f t="shared" si="105"/>
        <v>0</v>
      </c>
      <c r="R160" t="n">
        <f t="shared" si="106"/>
        <v>0</v>
      </c>
      <c r="S160" t="e">
        <f t="shared" si="107"/>
        <v>#N/A</v>
      </c>
      <c r="T160" t="e">
        <f t="shared" si="108"/>
        <v>#N/A</v>
      </c>
      <c r="U160" t="e">
        <f t="shared" si="109"/>
        <v>#N/A</v>
      </c>
      <c r="V160" t="e">
        <f t="shared" si="110"/>
        <v>#N/A</v>
      </c>
      <c r="W160" t="e">
        <f t="shared" si="111"/>
        <v>#N/A</v>
      </c>
      <c r="X160" t="e">
        <f t="shared" si="112"/>
        <v>#N/A</v>
      </c>
      <c r="Y160" t="e">
        <f t="shared" si="113"/>
        <v>#N/A</v>
      </c>
      <c r="Z160" t="e">
        <f t="shared" si="114"/>
        <v>#N/A</v>
      </c>
      <c r="AA160" t="e">
        <f t="shared" si="115"/>
        <v>#N/A</v>
      </c>
      <c r="AB160" t="e">
        <f t="shared" si="116"/>
        <v>#N/A</v>
      </c>
      <c r="AC160" t="e">
        <f t="shared" si="117"/>
        <v>#N/A</v>
      </c>
      <c r="AD160" t="e">
        <f t="shared" si="118"/>
        <v>#N/A</v>
      </c>
      <c r="AE160" t="e">
        <f t="shared" si="119"/>
        <v>#N/A</v>
      </c>
      <c r="AF160" t="e">
        <f t="shared" si="120"/>
        <v>#N/A</v>
      </c>
      <c r="AG160" t="e">
        <f t="shared" si="121"/>
        <v>#N/A</v>
      </c>
      <c r="AH160" t="e">
        <f t="shared" si="122"/>
        <v>#N/A</v>
      </c>
      <c r="AI160" t="e">
        <f t="shared" si="123"/>
        <v>#N/A</v>
      </c>
      <c r="AJ160" t="e">
        <f t="shared" si="124"/>
        <v>#N/A</v>
      </c>
    </row>
    <row r="161">
      <c r="A161" s="2"/>
      <c r="L161" t="e">
        <f t="shared" si="100"/>
        <v>#N/A</v>
      </c>
      <c r="M161" t="e">
        <f t="shared" si="101"/>
        <v>#N/A</v>
      </c>
      <c r="N161" t="e">
        <f t="shared" si="102"/>
        <v>#N/A</v>
      </c>
      <c r="O161" t="n">
        <f t="shared" si="103"/>
        <v>0</v>
      </c>
      <c r="P161" t="n">
        <f t="shared" si="104"/>
        <v>0</v>
      </c>
      <c r="Q161" t="n">
        <f t="shared" si="105"/>
        <v>0</v>
      </c>
      <c r="R161" t="n">
        <f t="shared" si="106"/>
        <v>0</v>
      </c>
      <c r="S161" t="e">
        <f t="shared" si="107"/>
        <v>#N/A</v>
      </c>
      <c r="T161" t="e">
        <f t="shared" si="108"/>
        <v>#N/A</v>
      </c>
      <c r="U161" t="e">
        <f t="shared" si="109"/>
        <v>#N/A</v>
      </c>
      <c r="V161" t="e">
        <f t="shared" si="110"/>
        <v>#N/A</v>
      </c>
      <c r="W161" t="e">
        <f t="shared" si="111"/>
        <v>#N/A</v>
      </c>
      <c r="X161" t="e">
        <f t="shared" si="112"/>
        <v>#N/A</v>
      </c>
      <c r="Y161" t="e">
        <f t="shared" si="113"/>
        <v>#N/A</v>
      </c>
      <c r="Z161" t="e">
        <f t="shared" si="114"/>
        <v>#N/A</v>
      </c>
      <c r="AA161" t="e">
        <f t="shared" si="115"/>
        <v>#N/A</v>
      </c>
      <c r="AB161" t="e">
        <f t="shared" si="116"/>
        <v>#N/A</v>
      </c>
      <c r="AC161" t="e">
        <f t="shared" si="117"/>
        <v>#N/A</v>
      </c>
      <c r="AD161" t="e">
        <f t="shared" si="118"/>
        <v>#N/A</v>
      </c>
      <c r="AE161" t="e">
        <f t="shared" si="119"/>
        <v>#N/A</v>
      </c>
      <c r="AF161" t="e">
        <f t="shared" si="120"/>
        <v>#N/A</v>
      </c>
      <c r="AG161" t="e">
        <f t="shared" si="121"/>
        <v>#N/A</v>
      </c>
      <c r="AH161" t="e">
        <f t="shared" si="122"/>
        <v>#N/A</v>
      </c>
      <c r="AI161" t="e">
        <f t="shared" si="123"/>
        <v>#N/A</v>
      </c>
      <c r="AJ161" t="e">
        <f t="shared" si="124"/>
        <v>#N/A</v>
      </c>
    </row>
    <row r="162">
      <c r="A162" s="2"/>
      <c r="L162" t="e">
        <f t="shared" ref="L162:L193" si="125">IF(ROW()&lt;=5,NA(),IFERROR(100*(B162/INDEX(B:B,ROW()-4)-1),NA()))</f>
        <v>#N/A</v>
      </c>
      <c r="M162" t="e">
        <f t="shared" ref="M162:M193" si="126">IF(ROW()&lt;=5,NA(),IFERROR(100*(C162/INDEX(C:C,ROW()-4)-1),NA()))</f>
        <v>#N/A</v>
      </c>
      <c r="N162" t="e">
        <f t="shared" ref="N162:N193" si="127">IF(ROW()&lt;=5,NA(),IFERROR(100*(D162/INDEX(D:D,ROW()-4)-1),NA()))</f>
        <v>#N/A</v>
      </c>
      <c r="O162" t="n">
        <f t="shared" ref="O162:O193" si="128">100*G162</f>
        <v>0</v>
      </c>
      <c r="P162" t="n">
        <f t="shared" ref="P162:P193" si="129">100*H162</f>
        <v>0</v>
      </c>
      <c r="Q162" t="n">
        <f t="shared" ref="Q162:Q193" si="130">100*I162</f>
        <v>0</v>
      </c>
      <c r="R162" t="n">
        <f t="shared" ref="R162:R193" si="131">100*J162</f>
        <v>0</v>
      </c>
      <c r="S162" t="e">
        <f t="shared" ref="S162:S193" si="132">IFERROR(100*E162/INDEX(E:E,MATCH(DATE(2024,12,1),A:A,0)),NA())</f>
        <v>#N/A</v>
      </c>
      <c r="T162" t="e">
        <f t="shared" ref="T162:T193" si="133">IFERROR(100*F162/INDEX(F:F,MATCH(DATE(2024,12,1),A:A,0)),NA())</f>
        <v>#N/A</v>
      </c>
      <c r="U162" t="e">
        <f t="shared" ref="U162:U193" si="134">IF($K162="Actual",L162,NA())</f>
        <v>#N/A</v>
      </c>
      <c r="V162" t="e">
        <f t="shared" ref="V162:V193" si="135">IF($A162&gt;=DATE(2024,12,1),L162,NA())</f>
        <v>#N/A</v>
      </c>
      <c r="W162" t="e">
        <f t="shared" ref="W162:W193" si="136">IF($K162="Actual",M162,NA())</f>
        <v>#N/A</v>
      </c>
      <c r="X162" t="e">
        <f t="shared" ref="X162:X193" si="137">IF($A162&gt;=DATE(2024,12,1),M162,NA())</f>
        <v>#N/A</v>
      </c>
      <c r="Y162" t="e">
        <f t="shared" ref="Y162:Y193" si="138">IF($K162="Actual",S162,NA())</f>
        <v>#N/A</v>
      </c>
      <c r="Z162" t="e">
        <f t="shared" ref="Z162:Z193" si="139">IF($A162&gt;=DATE(2024,12,1),S162,NA())</f>
        <v>#N/A</v>
      </c>
      <c r="AA162" t="e">
        <f t="shared" ref="AA162:AA193" si="140">IF($K162="Actual",T162,NA())</f>
        <v>#N/A</v>
      </c>
      <c r="AB162" t="e">
        <f t="shared" ref="AB162:AB193" si="141">IF($A162&gt;=DATE(2024,12,1),T162,NA())</f>
        <v>#N/A</v>
      </c>
      <c r="AC162" t="e">
        <f t="shared" ref="AC162:AC193" si="142">IF($K162="Actual",O162,NA())</f>
        <v>#N/A</v>
      </c>
      <c r="AD162" t="e">
        <f t="shared" ref="AD162:AD193" si="143">IF($A162&gt;=DATE(2024,12,1),O162,NA())</f>
        <v>#N/A</v>
      </c>
      <c r="AE162" t="e">
        <f t="shared" ref="AE162:AE193" si="144">IF($K162="Actual",Q162,NA())</f>
        <v>#N/A</v>
      </c>
      <c r="AF162" t="e">
        <f t="shared" ref="AF162:AF193" si="145">IF($A162&gt;=DATE(2024,12,1),Q162,NA())</f>
        <v>#N/A</v>
      </c>
      <c r="AG162" t="e">
        <f t="shared" ref="AG162:AG193" si="146">IF($K162="Actual",R162,NA())</f>
        <v>#N/A</v>
      </c>
      <c r="AH162" t="e">
        <f t="shared" ref="AH162:AH193" si="147">IF($A162&gt;=DATE(2024,12,1),R162,NA())</f>
        <v>#N/A</v>
      </c>
      <c r="AI162" t="e">
        <f t="shared" ref="AI162:AI193" si="148">IF($K162="Actual",N162,NA())</f>
        <v>#N/A</v>
      </c>
      <c r="AJ162" t="e">
        <f t="shared" ref="AJ162:AJ193" si="149">IF($A162&gt;=DATE(2024,12,1),N162,NA())</f>
        <v>#N/A</v>
      </c>
    </row>
    <row r="163">
      <c r="A163" s="2"/>
      <c r="L163" t="e">
        <f t="shared" si="125"/>
        <v>#N/A</v>
      </c>
      <c r="M163" t="e">
        <f t="shared" si="126"/>
        <v>#N/A</v>
      </c>
      <c r="N163" t="e">
        <f t="shared" si="127"/>
        <v>#N/A</v>
      </c>
      <c r="O163" t="n">
        <f t="shared" si="128"/>
        <v>0</v>
      </c>
      <c r="P163" t="n">
        <f t="shared" si="129"/>
        <v>0</v>
      </c>
      <c r="Q163" t="n">
        <f t="shared" si="130"/>
        <v>0</v>
      </c>
      <c r="R163" t="n">
        <f t="shared" si="131"/>
        <v>0</v>
      </c>
      <c r="S163" t="e">
        <f t="shared" si="132"/>
        <v>#N/A</v>
      </c>
      <c r="T163" t="e">
        <f t="shared" si="133"/>
        <v>#N/A</v>
      </c>
      <c r="U163" t="e">
        <f t="shared" si="134"/>
        <v>#N/A</v>
      </c>
      <c r="V163" t="e">
        <f t="shared" si="135"/>
        <v>#N/A</v>
      </c>
      <c r="W163" t="e">
        <f t="shared" si="136"/>
        <v>#N/A</v>
      </c>
      <c r="X163" t="e">
        <f t="shared" si="137"/>
        <v>#N/A</v>
      </c>
      <c r="Y163" t="e">
        <f t="shared" si="138"/>
        <v>#N/A</v>
      </c>
      <c r="Z163" t="e">
        <f t="shared" si="139"/>
        <v>#N/A</v>
      </c>
      <c r="AA163" t="e">
        <f t="shared" si="140"/>
        <v>#N/A</v>
      </c>
      <c r="AB163" t="e">
        <f t="shared" si="141"/>
        <v>#N/A</v>
      </c>
      <c r="AC163" t="e">
        <f t="shared" si="142"/>
        <v>#N/A</v>
      </c>
      <c r="AD163" t="e">
        <f t="shared" si="143"/>
        <v>#N/A</v>
      </c>
      <c r="AE163" t="e">
        <f t="shared" si="144"/>
        <v>#N/A</v>
      </c>
      <c r="AF163" t="e">
        <f t="shared" si="145"/>
        <v>#N/A</v>
      </c>
      <c r="AG163" t="e">
        <f t="shared" si="146"/>
        <v>#N/A</v>
      </c>
      <c r="AH163" t="e">
        <f t="shared" si="147"/>
        <v>#N/A</v>
      </c>
      <c r="AI163" t="e">
        <f t="shared" si="148"/>
        <v>#N/A</v>
      </c>
      <c r="AJ163" t="e">
        <f t="shared" si="149"/>
        <v>#N/A</v>
      </c>
    </row>
    <row r="164">
      <c r="A164" s="2"/>
      <c r="L164" t="e">
        <f t="shared" si="125"/>
        <v>#N/A</v>
      </c>
      <c r="M164" t="e">
        <f t="shared" si="126"/>
        <v>#N/A</v>
      </c>
      <c r="N164" t="e">
        <f t="shared" si="127"/>
        <v>#N/A</v>
      </c>
      <c r="O164" t="n">
        <f t="shared" si="128"/>
        <v>0</v>
      </c>
      <c r="P164" t="n">
        <f t="shared" si="129"/>
        <v>0</v>
      </c>
      <c r="Q164" t="n">
        <f t="shared" si="130"/>
        <v>0</v>
      </c>
      <c r="R164" t="n">
        <f t="shared" si="131"/>
        <v>0</v>
      </c>
      <c r="S164" t="e">
        <f t="shared" si="132"/>
        <v>#N/A</v>
      </c>
      <c r="T164" t="e">
        <f t="shared" si="133"/>
        <v>#N/A</v>
      </c>
      <c r="U164" t="e">
        <f t="shared" si="134"/>
        <v>#N/A</v>
      </c>
      <c r="V164" t="e">
        <f t="shared" si="135"/>
        <v>#N/A</v>
      </c>
      <c r="W164" t="e">
        <f t="shared" si="136"/>
        <v>#N/A</v>
      </c>
      <c r="X164" t="e">
        <f t="shared" si="137"/>
        <v>#N/A</v>
      </c>
      <c r="Y164" t="e">
        <f t="shared" si="138"/>
        <v>#N/A</v>
      </c>
      <c r="Z164" t="e">
        <f t="shared" si="139"/>
        <v>#N/A</v>
      </c>
      <c r="AA164" t="e">
        <f t="shared" si="140"/>
        <v>#N/A</v>
      </c>
      <c r="AB164" t="e">
        <f t="shared" si="141"/>
        <v>#N/A</v>
      </c>
      <c r="AC164" t="e">
        <f t="shared" si="142"/>
        <v>#N/A</v>
      </c>
      <c r="AD164" t="e">
        <f t="shared" si="143"/>
        <v>#N/A</v>
      </c>
      <c r="AE164" t="e">
        <f t="shared" si="144"/>
        <v>#N/A</v>
      </c>
      <c r="AF164" t="e">
        <f t="shared" si="145"/>
        <v>#N/A</v>
      </c>
      <c r="AG164" t="e">
        <f t="shared" si="146"/>
        <v>#N/A</v>
      </c>
      <c r="AH164" t="e">
        <f t="shared" si="147"/>
        <v>#N/A</v>
      </c>
      <c r="AI164" t="e">
        <f t="shared" si="148"/>
        <v>#N/A</v>
      </c>
      <c r="AJ164" t="e">
        <f t="shared" si="149"/>
        <v>#N/A</v>
      </c>
    </row>
    <row r="165">
      <c r="A165" s="2"/>
      <c r="L165" t="e">
        <f t="shared" si="125"/>
        <v>#N/A</v>
      </c>
      <c r="M165" t="e">
        <f t="shared" si="126"/>
        <v>#N/A</v>
      </c>
      <c r="N165" t="e">
        <f t="shared" si="127"/>
        <v>#N/A</v>
      </c>
      <c r="O165" t="n">
        <f t="shared" si="128"/>
        <v>0</v>
      </c>
      <c r="P165" t="n">
        <f t="shared" si="129"/>
        <v>0</v>
      </c>
      <c r="Q165" t="n">
        <f t="shared" si="130"/>
        <v>0</v>
      </c>
      <c r="R165" t="n">
        <f t="shared" si="131"/>
        <v>0</v>
      </c>
      <c r="S165" t="e">
        <f t="shared" si="132"/>
        <v>#N/A</v>
      </c>
      <c r="T165" t="e">
        <f t="shared" si="133"/>
        <v>#N/A</v>
      </c>
      <c r="U165" t="e">
        <f t="shared" si="134"/>
        <v>#N/A</v>
      </c>
      <c r="V165" t="e">
        <f t="shared" si="135"/>
        <v>#N/A</v>
      </c>
      <c r="W165" t="e">
        <f t="shared" si="136"/>
        <v>#N/A</v>
      </c>
      <c r="X165" t="e">
        <f t="shared" si="137"/>
        <v>#N/A</v>
      </c>
      <c r="Y165" t="e">
        <f t="shared" si="138"/>
        <v>#N/A</v>
      </c>
      <c r="Z165" t="e">
        <f t="shared" si="139"/>
        <v>#N/A</v>
      </c>
      <c r="AA165" t="e">
        <f t="shared" si="140"/>
        <v>#N/A</v>
      </c>
      <c r="AB165" t="e">
        <f t="shared" si="141"/>
        <v>#N/A</v>
      </c>
      <c r="AC165" t="e">
        <f t="shared" si="142"/>
        <v>#N/A</v>
      </c>
      <c r="AD165" t="e">
        <f t="shared" si="143"/>
        <v>#N/A</v>
      </c>
      <c r="AE165" t="e">
        <f t="shared" si="144"/>
        <v>#N/A</v>
      </c>
      <c r="AF165" t="e">
        <f t="shared" si="145"/>
        <v>#N/A</v>
      </c>
      <c r="AG165" t="e">
        <f t="shared" si="146"/>
        <v>#N/A</v>
      </c>
      <c r="AH165" t="e">
        <f t="shared" si="147"/>
        <v>#N/A</v>
      </c>
      <c r="AI165" t="e">
        <f t="shared" si="148"/>
        <v>#N/A</v>
      </c>
      <c r="AJ165" t="e">
        <f t="shared" si="149"/>
        <v>#N/A</v>
      </c>
    </row>
    <row r="166">
      <c r="A166" s="2"/>
      <c r="L166" t="e">
        <f t="shared" si="125"/>
        <v>#N/A</v>
      </c>
      <c r="M166" t="e">
        <f t="shared" si="126"/>
        <v>#N/A</v>
      </c>
      <c r="N166" t="e">
        <f t="shared" si="127"/>
        <v>#N/A</v>
      </c>
      <c r="O166" t="n">
        <f t="shared" si="128"/>
        <v>0</v>
      </c>
      <c r="P166" t="n">
        <f t="shared" si="129"/>
        <v>0</v>
      </c>
      <c r="Q166" t="n">
        <f t="shared" si="130"/>
        <v>0</v>
      </c>
      <c r="R166" t="n">
        <f t="shared" si="131"/>
        <v>0</v>
      </c>
      <c r="S166" t="e">
        <f t="shared" si="132"/>
        <v>#N/A</v>
      </c>
      <c r="T166" t="e">
        <f t="shared" si="133"/>
        <v>#N/A</v>
      </c>
      <c r="U166" t="e">
        <f t="shared" si="134"/>
        <v>#N/A</v>
      </c>
      <c r="V166" t="e">
        <f t="shared" si="135"/>
        <v>#N/A</v>
      </c>
      <c r="W166" t="e">
        <f t="shared" si="136"/>
        <v>#N/A</v>
      </c>
      <c r="X166" t="e">
        <f t="shared" si="137"/>
        <v>#N/A</v>
      </c>
      <c r="Y166" t="e">
        <f t="shared" si="138"/>
        <v>#N/A</v>
      </c>
      <c r="Z166" t="e">
        <f t="shared" si="139"/>
        <v>#N/A</v>
      </c>
      <c r="AA166" t="e">
        <f t="shared" si="140"/>
        <v>#N/A</v>
      </c>
      <c r="AB166" t="e">
        <f t="shared" si="141"/>
        <v>#N/A</v>
      </c>
      <c r="AC166" t="e">
        <f t="shared" si="142"/>
        <v>#N/A</v>
      </c>
      <c r="AD166" t="e">
        <f t="shared" si="143"/>
        <v>#N/A</v>
      </c>
      <c r="AE166" t="e">
        <f t="shared" si="144"/>
        <v>#N/A</v>
      </c>
      <c r="AF166" t="e">
        <f t="shared" si="145"/>
        <v>#N/A</v>
      </c>
      <c r="AG166" t="e">
        <f t="shared" si="146"/>
        <v>#N/A</v>
      </c>
      <c r="AH166" t="e">
        <f t="shared" si="147"/>
        <v>#N/A</v>
      </c>
      <c r="AI166" t="e">
        <f t="shared" si="148"/>
        <v>#N/A</v>
      </c>
      <c r="AJ166" t="e">
        <f t="shared" si="149"/>
        <v>#N/A</v>
      </c>
    </row>
    <row r="167">
      <c r="A167" s="2"/>
      <c r="L167" t="e">
        <f t="shared" si="125"/>
        <v>#N/A</v>
      </c>
      <c r="M167" t="e">
        <f t="shared" si="126"/>
        <v>#N/A</v>
      </c>
      <c r="N167" t="e">
        <f t="shared" si="127"/>
        <v>#N/A</v>
      </c>
      <c r="O167" t="n">
        <f t="shared" si="128"/>
        <v>0</v>
      </c>
      <c r="P167" t="n">
        <f t="shared" si="129"/>
        <v>0</v>
      </c>
      <c r="Q167" t="n">
        <f t="shared" si="130"/>
        <v>0</v>
      </c>
      <c r="R167" t="n">
        <f t="shared" si="131"/>
        <v>0</v>
      </c>
      <c r="S167" t="e">
        <f t="shared" si="132"/>
        <v>#N/A</v>
      </c>
      <c r="T167" t="e">
        <f t="shared" si="133"/>
        <v>#N/A</v>
      </c>
      <c r="U167" t="e">
        <f t="shared" si="134"/>
        <v>#N/A</v>
      </c>
      <c r="V167" t="e">
        <f t="shared" si="135"/>
        <v>#N/A</v>
      </c>
      <c r="W167" t="e">
        <f t="shared" si="136"/>
        <v>#N/A</v>
      </c>
      <c r="X167" t="e">
        <f t="shared" si="137"/>
        <v>#N/A</v>
      </c>
      <c r="Y167" t="e">
        <f t="shared" si="138"/>
        <v>#N/A</v>
      </c>
      <c r="Z167" t="e">
        <f t="shared" si="139"/>
        <v>#N/A</v>
      </c>
      <c r="AA167" t="e">
        <f t="shared" si="140"/>
        <v>#N/A</v>
      </c>
      <c r="AB167" t="e">
        <f t="shared" si="141"/>
        <v>#N/A</v>
      </c>
      <c r="AC167" t="e">
        <f t="shared" si="142"/>
        <v>#N/A</v>
      </c>
      <c r="AD167" t="e">
        <f t="shared" si="143"/>
        <v>#N/A</v>
      </c>
      <c r="AE167" t="e">
        <f t="shared" si="144"/>
        <v>#N/A</v>
      </c>
      <c r="AF167" t="e">
        <f t="shared" si="145"/>
        <v>#N/A</v>
      </c>
      <c r="AG167" t="e">
        <f t="shared" si="146"/>
        <v>#N/A</v>
      </c>
      <c r="AH167" t="e">
        <f t="shared" si="147"/>
        <v>#N/A</v>
      </c>
      <c r="AI167" t="e">
        <f t="shared" si="148"/>
        <v>#N/A</v>
      </c>
      <c r="AJ167" t="e">
        <f t="shared" si="149"/>
        <v>#N/A</v>
      </c>
    </row>
    <row r="168">
      <c r="A168" s="2"/>
      <c r="L168" t="e">
        <f t="shared" si="125"/>
        <v>#N/A</v>
      </c>
      <c r="M168" t="e">
        <f t="shared" si="126"/>
        <v>#N/A</v>
      </c>
      <c r="N168" t="e">
        <f t="shared" si="127"/>
        <v>#N/A</v>
      </c>
      <c r="O168" t="n">
        <f t="shared" si="128"/>
        <v>0</v>
      </c>
      <c r="P168" t="n">
        <f t="shared" si="129"/>
        <v>0</v>
      </c>
      <c r="Q168" t="n">
        <f t="shared" si="130"/>
        <v>0</v>
      </c>
      <c r="R168" t="n">
        <f t="shared" si="131"/>
        <v>0</v>
      </c>
      <c r="S168" t="e">
        <f t="shared" si="132"/>
        <v>#N/A</v>
      </c>
      <c r="T168" t="e">
        <f t="shared" si="133"/>
        <v>#N/A</v>
      </c>
      <c r="U168" t="e">
        <f t="shared" si="134"/>
        <v>#N/A</v>
      </c>
      <c r="V168" t="e">
        <f t="shared" si="135"/>
        <v>#N/A</v>
      </c>
      <c r="W168" t="e">
        <f t="shared" si="136"/>
        <v>#N/A</v>
      </c>
      <c r="X168" t="e">
        <f t="shared" si="137"/>
        <v>#N/A</v>
      </c>
      <c r="Y168" t="e">
        <f t="shared" si="138"/>
        <v>#N/A</v>
      </c>
      <c r="Z168" t="e">
        <f t="shared" si="139"/>
        <v>#N/A</v>
      </c>
      <c r="AA168" t="e">
        <f t="shared" si="140"/>
        <v>#N/A</v>
      </c>
      <c r="AB168" t="e">
        <f t="shared" si="141"/>
        <v>#N/A</v>
      </c>
      <c r="AC168" t="e">
        <f t="shared" si="142"/>
        <v>#N/A</v>
      </c>
      <c r="AD168" t="e">
        <f t="shared" si="143"/>
        <v>#N/A</v>
      </c>
      <c r="AE168" t="e">
        <f t="shared" si="144"/>
        <v>#N/A</v>
      </c>
      <c r="AF168" t="e">
        <f t="shared" si="145"/>
        <v>#N/A</v>
      </c>
      <c r="AG168" t="e">
        <f t="shared" si="146"/>
        <v>#N/A</v>
      </c>
      <c r="AH168" t="e">
        <f t="shared" si="147"/>
        <v>#N/A</v>
      </c>
      <c r="AI168" t="e">
        <f t="shared" si="148"/>
        <v>#N/A</v>
      </c>
      <c r="AJ168" t="e">
        <f t="shared" si="149"/>
        <v>#N/A</v>
      </c>
    </row>
    <row r="169">
      <c r="A169" s="2"/>
      <c r="L169" t="e">
        <f t="shared" si="125"/>
        <v>#N/A</v>
      </c>
      <c r="M169" t="e">
        <f t="shared" si="126"/>
        <v>#N/A</v>
      </c>
      <c r="N169" t="e">
        <f t="shared" si="127"/>
        <v>#N/A</v>
      </c>
      <c r="O169" t="n">
        <f t="shared" si="128"/>
        <v>0</v>
      </c>
      <c r="P169" t="n">
        <f t="shared" si="129"/>
        <v>0</v>
      </c>
      <c r="Q169" t="n">
        <f t="shared" si="130"/>
        <v>0</v>
      </c>
      <c r="R169" t="n">
        <f t="shared" si="131"/>
        <v>0</v>
      </c>
      <c r="S169" t="e">
        <f t="shared" si="132"/>
        <v>#N/A</v>
      </c>
      <c r="T169" t="e">
        <f t="shared" si="133"/>
        <v>#N/A</v>
      </c>
      <c r="U169" t="e">
        <f t="shared" si="134"/>
        <v>#N/A</v>
      </c>
      <c r="V169" t="e">
        <f t="shared" si="135"/>
        <v>#N/A</v>
      </c>
      <c r="W169" t="e">
        <f t="shared" si="136"/>
        <v>#N/A</v>
      </c>
      <c r="X169" t="e">
        <f t="shared" si="137"/>
        <v>#N/A</v>
      </c>
      <c r="Y169" t="e">
        <f t="shared" si="138"/>
        <v>#N/A</v>
      </c>
      <c r="Z169" t="e">
        <f t="shared" si="139"/>
        <v>#N/A</v>
      </c>
      <c r="AA169" t="e">
        <f t="shared" si="140"/>
        <v>#N/A</v>
      </c>
      <c r="AB169" t="e">
        <f t="shared" si="141"/>
        <v>#N/A</v>
      </c>
      <c r="AC169" t="e">
        <f t="shared" si="142"/>
        <v>#N/A</v>
      </c>
      <c r="AD169" t="e">
        <f t="shared" si="143"/>
        <v>#N/A</v>
      </c>
      <c r="AE169" t="e">
        <f t="shared" si="144"/>
        <v>#N/A</v>
      </c>
      <c r="AF169" t="e">
        <f t="shared" si="145"/>
        <v>#N/A</v>
      </c>
      <c r="AG169" t="e">
        <f t="shared" si="146"/>
        <v>#N/A</v>
      </c>
      <c r="AH169" t="e">
        <f t="shared" si="147"/>
        <v>#N/A</v>
      </c>
      <c r="AI169" t="e">
        <f t="shared" si="148"/>
        <v>#N/A</v>
      </c>
      <c r="AJ169" t="e">
        <f t="shared" si="149"/>
        <v>#N/A</v>
      </c>
    </row>
    <row r="170">
      <c r="A170" s="2"/>
      <c r="L170" t="e">
        <f t="shared" si="125"/>
        <v>#N/A</v>
      </c>
      <c r="M170" t="e">
        <f t="shared" si="126"/>
        <v>#N/A</v>
      </c>
      <c r="N170" t="e">
        <f t="shared" si="127"/>
        <v>#N/A</v>
      </c>
      <c r="O170" t="n">
        <f t="shared" si="128"/>
        <v>0</v>
      </c>
      <c r="P170" t="n">
        <f t="shared" si="129"/>
        <v>0</v>
      </c>
      <c r="Q170" t="n">
        <f t="shared" si="130"/>
        <v>0</v>
      </c>
      <c r="R170" t="n">
        <f t="shared" si="131"/>
        <v>0</v>
      </c>
      <c r="S170" t="e">
        <f t="shared" si="132"/>
        <v>#N/A</v>
      </c>
      <c r="T170" t="e">
        <f t="shared" si="133"/>
        <v>#N/A</v>
      </c>
      <c r="U170" t="e">
        <f t="shared" si="134"/>
        <v>#N/A</v>
      </c>
      <c r="V170" t="e">
        <f t="shared" si="135"/>
        <v>#N/A</v>
      </c>
      <c r="W170" t="e">
        <f t="shared" si="136"/>
        <v>#N/A</v>
      </c>
      <c r="X170" t="e">
        <f t="shared" si="137"/>
        <v>#N/A</v>
      </c>
      <c r="Y170" t="e">
        <f t="shared" si="138"/>
        <v>#N/A</v>
      </c>
      <c r="Z170" t="e">
        <f t="shared" si="139"/>
        <v>#N/A</v>
      </c>
      <c r="AA170" t="e">
        <f t="shared" si="140"/>
        <v>#N/A</v>
      </c>
      <c r="AB170" t="e">
        <f t="shared" si="141"/>
        <v>#N/A</v>
      </c>
      <c r="AC170" t="e">
        <f t="shared" si="142"/>
        <v>#N/A</v>
      </c>
      <c r="AD170" t="e">
        <f t="shared" si="143"/>
        <v>#N/A</v>
      </c>
      <c r="AE170" t="e">
        <f t="shared" si="144"/>
        <v>#N/A</v>
      </c>
      <c r="AF170" t="e">
        <f t="shared" si="145"/>
        <v>#N/A</v>
      </c>
      <c r="AG170" t="e">
        <f t="shared" si="146"/>
        <v>#N/A</v>
      </c>
      <c r="AH170" t="e">
        <f t="shared" si="147"/>
        <v>#N/A</v>
      </c>
      <c r="AI170" t="e">
        <f t="shared" si="148"/>
        <v>#N/A</v>
      </c>
      <c r="AJ170" t="e">
        <f t="shared" si="149"/>
        <v>#N/A</v>
      </c>
    </row>
    <row r="171">
      <c r="A171" s="2"/>
      <c r="L171" t="e">
        <f t="shared" si="125"/>
        <v>#N/A</v>
      </c>
      <c r="M171" t="e">
        <f t="shared" si="126"/>
        <v>#N/A</v>
      </c>
      <c r="N171" t="e">
        <f t="shared" si="127"/>
        <v>#N/A</v>
      </c>
      <c r="O171" t="n">
        <f t="shared" si="128"/>
        <v>0</v>
      </c>
      <c r="P171" t="n">
        <f t="shared" si="129"/>
        <v>0</v>
      </c>
      <c r="Q171" t="n">
        <f t="shared" si="130"/>
        <v>0</v>
      </c>
      <c r="R171" t="n">
        <f t="shared" si="131"/>
        <v>0</v>
      </c>
      <c r="S171" t="e">
        <f t="shared" si="132"/>
        <v>#N/A</v>
      </c>
      <c r="T171" t="e">
        <f t="shared" si="133"/>
        <v>#N/A</v>
      </c>
      <c r="U171" t="e">
        <f t="shared" si="134"/>
        <v>#N/A</v>
      </c>
      <c r="V171" t="e">
        <f t="shared" si="135"/>
        <v>#N/A</v>
      </c>
      <c r="W171" t="e">
        <f t="shared" si="136"/>
        <v>#N/A</v>
      </c>
      <c r="X171" t="e">
        <f t="shared" si="137"/>
        <v>#N/A</v>
      </c>
      <c r="Y171" t="e">
        <f t="shared" si="138"/>
        <v>#N/A</v>
      </c>
      <c r="Z171" t="e">
        <f t="shared" si="139"/>
        <v>#N/A</v>
      </c>
      <c r="AA171" t="e">
        <f t="shared" si="140"/>
        <v>#N/A</v>
      </c>
      <c r="AB171" t="e">
        <f t="shared" si="141"/>
        <v>#N/A</v>
      </c>
      <c r="AC171" t="e">
        <f t="shared" si="142"/>
        <v>#N/A</v>
      </c>
      <c r="AD171" t="e">
        <f t="shared" si="143"/>
        <v>#N/A</v>
      </c>
      <c r="AE171" t="e">
        <f t="shared" si="144"/>
        <v>#N/A</v>
      </c>
      <c r="AF171" t="e">
        <f t="shared" si="145"/>
        <v>#N/A</v>
      </c>
      <c r="AG171" t="e">
        <f t="shared" si="146"/>
        <v>#N/A</v>
      </c>
      <c r="AH171" t="e">
        <f t="shared" si="147"/>
        <v>#N/A</v>
      </c>
      <c r="AI171" t="e">
        <f t="shared" si="148"/>
        <v>#N/A</v>
      </c>
      <c r="AJ171" t="e">
        <f t="shared" si="149"/>
        <v>#N/A</v>
      </c>
    </row>
    <row r="172">
      <c r="A172" s="2"/>
      <c r="L172" t="e">
        <f t="shared" si="125"/>
        <v>#N/A</v>
      </c>
      <c r="M172" t="e">
        <f t="shared" si="126"/>
        <v>#N/A</v>
      </c>
      <c r="N172" t="e">
        <f t="shared" si="127"/>
        <v>#N/A</v>
      </c>
      <c r="O172" t="n">
        <f t="shared" si="128"/>
        <v>0</v>
      </c>
      <c r="P172" t="n">
        <f t="shared" si="129"/>
        <v>0</v>
      </c>
      <c r="Q172" t="n">
        <f t="shared" si="130"/>
        <v>0</v>
      </c>
      <c r="R172" t="n">
        <f t="shared" si="131"/>
        <v>0</v>
      </c>
      <c r="S172" t="e">
        <f t="shared" si="132"/>
        <v>#N/A</v>
      </c>
      <c r="T172" t="e">
        <f t="shared" si="133"/>
        <v>#N/A</v>
      </c>
      <c r="U172" t="e">
        <f t="shared" si="134"/>
        <v>#N/A</v>
      </c>
      <c r="V172" t="e">
        <f t="shared" si="135"/>
        <v>#N/A</v>
      </c>
      <c r="W172" t="e">
        <f t="shared" si="136"/>
        <v>#N/A</v>
      </c>
      <c r="X172" t="e">
        <f t="shared" si="137"/>
        <v>#N/A</v>
      </c>
      <c r="Y172" t="e">
        <f t="shared" si="138"/>
        <v>#N/A</v>
      </c>
      <c r="Z172" t="e">
        <f t="shared" si="139"/>
        <v>#N/A</v>
      </c>
      <c r="AA172" t="e">
        <f t="shared" si="140"/>
        <v>#N/A</v>
      </c>
      <c r="AB172" t="e">
        <f t="shared" si="141"/>
        <v>#N/A</v>
      </c>
      <c r="AC172" t="e">
        <f t="shared" si="142"/>
        <v>#N/A</v>
      </c>
      <c r="AD172" t="e">
        <f t="shared" si="143"/>
        <v>#N/A</v>
      </c>
      <c r="AE172" t="e">
        <f t="shared" si="144"/>
        <v>#N/A</v>
      </c>
      <c r="AF172" t="e">
        <f t="shared" si="145"/>
        <v>#N/A</v>
      </c>
      <c r="AG172" t="e">
        <f t="shared" si="146"/>
        <v>#N/A</v>
      </c>
      <c r="AH172" t="e">
        <f t="shared" si="147"/>
        <v>#N/A</v>
      </c>
      <c r="AI172" t="e">
        <f t="shared" si="148"/>
        <v>#N/A</v>
      </c>
      <c r="AJ172" t="e">
        <f t="shared" si="149"/>
        <v>#N/A</v>
      </c>
    </row>
    <row r="173">
      <c r="A173" s="2"/>
      <c r="L173" t="e">
        <f t="shared" si="125"/>
        <v>#N/A</v>
      </c>
      <c r="M173" t="e">
        <f t="shared" si="126"/>
        <v>#N/A</v>
      </c>
      <c r="N173" t="e">
        <f t="shared" si="127"/>
        <v>#N/A</v>
      </c>
      <c r="O173" t="n">
        <f t="shared" si="128"/>
        <v>0</v>
      </c>
      <c r="P173" t="n">
        <f t="shared" si="129"/>
        <v>0</v>
      </c>
      <c r="Q173" t="n">
        <f t="shared" si="130"/>
        <v>0</v>
      </c>
      <c r="R173" t="n">
        <f t="shared" si="131"/>
        <v>0</v>
      </c>
      <c r="S173" t="e">
        <f t="shared" si="132"/>
        <v>#N/A</v>
      </c>
      <c r="T173" t="e">
        <f t="shared" si="133"/>
        <v>#N/A</v>
      </c>
      <c r="U173" t="e">
        <f t="shared" si="134"/>
        <v>#N/A</v>
      </c>
      <c r="V173" t="e">
        <f t="shared" si="135"/>
        <v>#N/A</v>
      </c>
      <c r="W173" t="e">
        <f t="shared" si="136"/>
        <v>#N/A</v>
      </c>
      <c r="X173" t="e">
        <f t="shared" si="137"/>
        <v>#N/A</v>
      </c>
      <c r="Y173" t="e">
        <f t="shared" si="138"/>
        <v>#N/A</v>
      </c>
      <c r="Z173" t="e">
        <f t="shared" si="139"/>
        <v>#N/A</v>
      </c>
      <c r="AA173" t="e">
        <f t="shared" si="140"/>
        <v>#N/A</v>
      </c>
      <c r="AB173" t="e">
        <f t="shared" si="141"/>
        <v>#N/A</v>
      </c>
      <c r="AC173" t="e">
        <f t="shared" si="142"/>
        <v>#N/A</v>
      </c>
      <c r="AD173" t="e">
        <f t="shared" si="143"/>
        <v>#N/A</v>
      </c>
      <c r="AE173" t="e">
        <f t="shared" si="144"/>
        <v>#N/A</v>
      </c>
      <c r="AF173" t="e">
        <f t="shared" si="145"/>
        <v>#N/A</v>
      </c>
      <c r="AG173" t="e">
        <f t="shared" si="146"/>
        <v>#N/A</v>
      </c>
      <c r="AH173" t="e">
        <f t="shared" si="147"/>
        <v>#N/A</v>
      </c>
      <c r="AI173" t="e">
        <f t="shared" si="148"/>
        <v>#N/A</v>
      </c>
      <c r="AJ173" t="e">
        <f t="shared" si="149"/>
        <v>#N/A</v>
      </c>
    </row>
    <row r="174">
      <c r="A174" s="2"/>
      <c r="L174" t="e">
        <f t="shared" si="125"/>
        <v>#N/A</v>
      </c>
      <c r="M174" t="e">
        <f t="shared" si="126"/>
        <v>#N/A</v>
      </c>
      <c r="N174" t="e">
        <f t="shared" si="127"/>
        <v>#N/A</v>
      </c>
      <c r="O174" t="n">
        <f t="shared" si="128"/>
        <v>0</v>
      </c>
      <c r="P174" t="n">
        <f t="shared" si="129"/>
        <v>0</v>
      </c>
      <c r="Q174" t="n">
        <f t="shared" si="130"/>
        <v>0</v>
      </c>
      <c r="R174" t="n">
        <f t="shared" si="131"/>
        <v>0</v>
      </c>
      <c r="S174" t="e">
        <f t="shared" si="132"/>
        <v>#N/A</v>
      </c>
      <c r="T174" t="e">
        <f t="shared" si="133"/>
        <v>#N/A</v>
      </c>
      <c r="U174" t="e">
        <f t="shared" si="134"/>
        <v>#N/A</v>
      </c>
      <c r="V174" t="e">
        <f t="shared" si="135"/>
        <v>#N/A</v>
      </c>
      <c r="W174" t="e">
        <f t="shared" si="136"/>
        <v>#N/A</v>
      </c>
      <c r="X174" t="e">
        <f t="shared" si="137"/>
        <v>#N/A</v>
      </c>
      <c r="Y174" t="e">
        <f t="shared" si="138"/>
        <v>#N/A</v>
      </c>
      <c r="Z174" t="e">
        <f t="shared" si="139"/>
        <v>#N/A</v>
      </c>
      <c r="AA174" t="e">
        <f t="shared" si="140"/>
        <v>#N/A</v>
      </c>
      <c r="AB174" t="e">
        <f t="shared" si="141"/>
        <v>#N/A</v>
      </c>
      <c r="AC174" t="e">
        <f t="shared" si="142"/>
        <v>#N/A</v>
      </c>
      <c r="AD174" t="e">
        <f t="shared" si="143"/>
        <v>#N/A</v>
      </c>
      <c r="AE174" t="e">
        <f t="shared" si="144"/>
        <v>#N/A</v>
      </c>
      <c r="AF174" t="e">
        <f t="shared" si="145"/>
        <v>#N/A</v>
      </c>
      <c r="AG174" t="e">
        <f t="shared" si="146"/>
        <v>#N/A</v>
      </c>
      <c r="AH174" t="e">
        <f t="shared" si="147"/>
        <v>#N/A</v>
      </c>
      <c r="AI174" t="e">
        <f t="shared" si="148"/>
        <v>#N/A</v>
      </c>
      <c r="AJ174" t="e">
        <f t="shared" si="149"/>
        <v>#N/A</v>
      </c>
    </row>
    <row r="175">
      <c r="A175" s="2"/>
      <c r="L175" t="e">
        <f t="shared" si="125"/>
        <v>#N/A</v>
      </c>
      <c r="M175" t="e">
        <f t="shared" si="126"/>
        <v>#N/A</v>
      </c>
      <c r="N175" t="e">
        <f t="shared" si="127"/>
        <v>#N/A</v>
      </c>
      <c r="O175" t="n">
        <f t="shared" si="128"/>
        <v>0</v>
      </c>
      <c r="P175" t="n">
        <f t="shared" si="129"/>
        <v>0</v>
      </c>
      <c r="Q175" t="n">
        <f t="shared" si="130"/>
        <v>0</v>
      </c>
      <c r="R175" t="n">
        <f t="shared" si="131"/>
        <v>0</v>
      </c>
      <c r="S175" t="e">
        <f t="shared" si="132"/>
        <v>#N/A</v>
      </c>
      <c r="T175" t="e">
        <f t="shared" si="133"/>
        <v>#N/A</v>
      </c>
      <c r="U175" t="e">
        <f t="shared" si="134"/>
        <v>#N/A</v>
      </c>
      <c r="V175" t="e">
        <f t="shared" si="135"/>
        <v>#N/A</v>
      </c>
      <c r="W175" t="e">
        <f t="shared" si="136"/>
        <v>#N/A</v>
      </c>
      <c r="X175" t="e">
        <f t="shared" si="137"/>
        <v>#N/A</v>
      </c>
      <c r="Y175" t="e">
        <f t="shared" si="138"/>
        <v>#N/A</v>
      </c>
      <c r="Z175" t="e">
        <f t="shared" si="139"/>
        <v>#N/A</v>
      </c>
      <c r="AA175" t="e">
        <f t="shared" si="140"/>
        <v>#N/A</v>
      </c>
      <c r="AB175" t="e">
        <f t="shared" si="141"/>
        <v>#N/A</v>
      </c>
      <c r="AC175" t="e">
        <f t="shared" si="142"/>
        <v>#N/A</v>
      </c>
      <c r="AD175" t="e">
        <f t="shared" si="143"/>
        <v>#N/A</v>
      </c>
      <c r="AE175" t="e">
        <f t="shared" si="144"/>
        <v>#N/A</v>
      </c>
      <c r="AF175" t="e">
        <f t="shared" si="145"/>
        <v>#N/A</v>
      </c>
      <c r="AG175" t="e">
        <f t="shared" si="146"/>
        <v>#N/A</v>
      </c>
      <c r="AH175" t="e">
        <f t="shared" si="147"/>
        <v>#N/A</v>
      </c>
      <c r="AI175" t="e">
        <f t="shared" si="148"/>
        <v>#N/A</v>
      </c>
      <c r="AJ175" t="e">
        <f t="shared" si="149"/>
        <v>#N/A</v>
      </c>
    </row>
    <row r="176">
      <c r="A176" s="2"/>
      <c r="L176" t="e">
        <f t="shared" si="125"/>
        <v>#N/A</v>
      </c>
      <c r="M176" t="e">
        <f t="shared" si="126"/>
        <v>#N/A</v>
      </c>
      <c r="N176" t="e">
        <f t="shared" si="127"/>
        <v>#N/A</v>
      </c>
      <c r="O176" t="n">
        <f t="shared" si="128"/>
        <v>0</v>
      </c>
      <c r="P176" t="n">
        <f t="shared" si="129"/>
        <v>0</v>
      </c>
      <c r="Q176" t="n">
        <f t="shared" si="130"/>
        <v>0</v>
      </c>
      <c r="R176" t="n">
        <f t="shared" si="131"/>
        <v>0</v>
      </c>
      <c r="S176" t="e">
        <f t="shared" si="132"/>
        <v>#N/A</v>
      </c>
      <c r="T176" t="e">
        <f t="shared" si="133"/>
        <v>#N/A</v>
      </c>
      <c r="U176" t="e">
        <f t="shared" si="134"/>
        <v>#N/A</v>
      </c>
      <c r="V176" t="e">
        <f t="shared" si="135"/>
        <v>#N/A</v>
      </c>
      <c r="W176" t="e">
        <f t="shared" si="136"/>
        <v>#N/A</v>
      </c>
      <c r="X176" t="e">
        <f t="shared" si="137"/>
        <v>#N/A</v>
      </c>
      <c r="Y176" t="e">
        <f t="shared" si="138"/>
        <v>#N/A</v>
      </c>
      <c r="Z176" t="e">
        <f t="shared" si="139"/>
        <v>#N/A</v>
      </c>
      <c r="AA176" t="e">
        <f t="shared" si="140"/>
        <v>#N/A</v>
      </c>
      <c r="AB176" t="e">
        <f t="shared" si="141"/>
        <v>#N/A</v>
      </c>
      <c r="AC176" t="e">
        <f t="shared" si="142"/>
        <v>#N/A</v>
      </c>
      <c r="AD176" t="e">
        <f t="shared" si="143"/>
        <v>#N/A</v>
      </c>
      <c r="AE176" t="e">
        <f t="shared" si="144"/>
        <v>#N/A</v>
      </c>
      <c r="AF176" t="e">
        <f t="shared" si="145"/>
        <v>#N/A</v>
      </c>
      <c r="AG176" t="e">
        <f t="shared" si="146"/>
        <v>#N/A</v>
      </c>
      <c r="AH176" t="e">
        <f t="shared" si="147"/>
        <v>#N/A</v>
      </c>
      <c r="AI176" t="e">
        <f t="shared" si="148"/>
        <v>#N/A</v>
      </c>
      <c r="AJ176" t="e">
        <f t="shared" si="149"/>
        <v>#N/A</v>
      </c>
    </row>
    <row r="177">
      <c r="A177" s="2"/>
      <c r="L177" t="e">
        <f t="shared" si="125"/>
        <v>#N/A</v>
      </c>
      <c r="M177" t="e">
        <f t="shared" si="126"/>
        <v>#N/A</v>
      </c>
      <c r="N177" t="e">
        <f t="shared" si="127"/>
        <v>#N/A</v>
      </c>
      <c r="O177" t="n">
        <f t="shared" si="128"/>
        <v>0</v>
      </c>
      <c r="P177" t="n">
        <f t="shared" si="129"/>
        <v>0</v>
      </c>
      <c r="Q177" t="n">
        <f t="shared" si="130"/>
        <v>0</v>
      </c>
      <c r="R177" t="n">
        <f t="shared" si="131"/>
        <v>0</v>
      </c>
      <c r="S177" t="e">
        <f t="shared" si="132"/>
        <v>#N/A</v>
      </c>
      <c r="T177" t="e">
        <f t="shared" si="133"/>
        <v>#N/A</v>
      </c>
      <c r="U177" t="e">
        <f t="shared" si="134"/>
        <v>#N/A</v>
      </c>
      <c r="V177" t="e">
        <f t="shared" si="135"/>
        <v>#N/A</v>
      </c>
      <c r="W177" t="e">
        <f t="shared" si="136"/>
        <v>#N/A</v>
      </c>
      <c r="X177" t="e">
        <f t="shared" si="137"/>
        <v>#N/A</v>
      </c>
      <c r="Y177" t="e">
        <f t="shared" si="138"/>
        <v>#N/A</v>
      </c>
      <c r="Z177" t="e">
        <f t="shared" si="139"/>
        <v>#N/A</v>
      </c>
      <c r="AA177" t="e">
        <f t="shared" si="140"/>
        <v>#N/A</v>
      </c>
      <c r="AB177" t="e">
        <f t="shared" si="141"/>
        <v>#N/A</v>
      </c>
      <c r="AC177" t="e">
        <f t="shared" si="142"/>
        <v>#N/A</v>
      </c>
      <c r="AD177" t="e">
        <f t="shared" si="143"/>
        <v>#N/A</v>
      </c>
      <c r="AE177" t="e">
        <f t="shared" si="144"/>
        <v>#N/A</v>
      </c>
      <c r="AF177" t="e">
        <f t="shared" si="145"/>
        <v>#N/A</v>
      </c>
      <c r="AG177" t="e">
        <f t="shared" si="146"/>
        <v>#N/A</v>
      </c>
      <c r="AH177" t="e">
        <f t="shared" si="147"/>
        <v>#N/A</v>
      </c>
      <c r="AI177" t="e">
        <f t="shared" si="148"/>
        <v>#N/A</v>
      </c>
      <c r="AJ177" t="e">
        <f t="shared" si="149"/>
        <v>#N/A</v>
      </c>
    </row>
    <row r="178">
      <c r="A178" s="2"/>
      <c r="L178" t="e">
        <f t="shared" si="125"/>
        <v>#N/A</v>
      </c>
      <c r="M178" t="e">
        <f t="shared" si="126"/>
        <v>#N/A</v>
      </c>
      <c r="N178" t="e">
        <f t="shared" si="127"/>
        <v>#N/A</v>
      </c>
      <c r="O178" t="n">
        <f t="shared" si="128"/>
        <v>0</v>
      </c>
      <c r="P178" t="n">
        <f t="shared" si="129"/>
        <v>0</v>
      </c>
      <c r="Q178" t="n">
        <f t="shared" si="130"/>
        <v>0</v>
      </c>
      <c r="R178" t="n">
        <f t="shared" si="131"/>
        <v>0</v>
      </c>
      <c r="S178" t="e">
        <f t="shared" si="132"/>
        <v>#N/A</v>
      </c>
      <c r="T178" t="e">
        <f t="shared" si="133"/>
        <v>#N/A</v>
      </c>
      <c r="U178" t="e">
        <f t="shared" si="134"/>
        <v>#N/A</v>
      </c>
      <c r="V178" t="e">
        <f t="shared" si="135"/>
        <v>#N/A</v>
      </c>
      <c r="W178" t="e">
        <f t="shared" si="136"/>
        <v>#N/A</v>
      </c>
      <c r="X178" t="e">
        <f t="shared" si="137"/>
        <v>#N/A</v>
      </c>
      <c r="Y178" t="e">
        <f t="shared" si="138"/>
        <v>#N/A</v>
      </c>
      <c r="Z178" t="e">
        <f t="shared" si="139"/>
        <v>#N/A</v>
      </c>
      <c r="AA178" t="e">
        <f t="shared" si="140"/>
        <v>#N/A</v>
      </c>
      <c r="AB178" t="e">
        <f t="shared" si="141"/>
        <v>#N/A</v>
      </c>
      <c r="AC178" t="e">
        <f t="shared" si="142"/>
        <v>#N/A</v>
      </c>
      <c r="AD178" t="e">
        <f t="shared" si="143"/>
        <v>#N/A</v>
      </c>
      <c r="AE178" t="e">
        <f t="shared" si="144"/>
        <v>#N/A</v>
      </c>
      <c r="AF178" t="e">
        <f t="shared" si="145"/>
        <v>#N/A</v>
      </c>
      <c r="AG178" t="e">
        <f t="shared" si="146"/>
        <v>#N/A</v>
      </c>
      <c r="AH178" t="e">
        <f t="shared" si="147"/>
        <v>#N/A</v>
      </c>
      <c r="AI178" t="e">
        <f t="shared" si="148"/>
        <v>#N/A</v>
      </c>
      <c r="AJ178" t="e">
        <f t="shared" si="149"/>
        <v>#N/A</v>
      </c>
    </row>
    <row r="179">
      <c r="A179" s="2"/>
      <c r="L179" t="e">
        <f t="shared" si="125"/>
        <v>#N/A</v>
      </c>
      <c r="M179" t="e">
        <f t="shared" si="126"/>
        <v>#N/A</v>
      </c>
      <c r="N179" t="e">
        <f t="shared" si="127"/>
        <v>#N/A</v>
      </c>
      <c r="O179" t="n">
        <f t="shared" si="128"/>
        <v>0</v>
      </c>
      <c r="P179" t="n">
        <f t="shared" si="129"/>
        <v>0</v>
      </c>
      <c r="Q179" t="n">
        <f t="shared" si="130"/>
        <v>0</v>
      </c>
      <c r="R179" t="n">
        <f t="shared" si="131"/>
        <v>0</v>
      </c>
      <c r="S179" t="e">
        <f t="shared" si="132"/>
        <v>#N/A</v>
      </c>
      <c r="T179" t="e">
        <f t="shared" si="133"/>
        <v>#N/A</v>
      </c>
      <c r="U179" t="e">
        <f t="shared" si="134"/>
        <v>#N/A</v>
      </c>
      <c r="V179" t="e">
        <f t="shared" si="135"/>
        <v>#N/A</v>
      </c>
      <c r="W179" t="e">
        <f t="shared" si="136"/>
        <v>#N/A</v>
      </c>
      <c r="X179" t="e">
        <f t="shared" si="137"/>
        <v>#N/A</v>
      </c>
      <c r="Y179" t="e">
        <f t="shared" si="138"/>
        <v>#N/A</v>
      </c>
      <c r="Z179" t="e">
        <f t="shared" si="139"/>
        <v>#N/A</v>
      </c>
      <c r="AA179" t="e">
        <f t="shared" si="140"/>
        <v>#N/A</v>
      </c>
      <c r="AB179" t="e">
        <f t="shared" si="141"/>
        <v>#N/A</v>
      </c>
      <c r="AC179" t="e">
        <f t="shared" si="142"/>
        <v>#N/A</v>
      </c>
      <c r="AD179" t="e">
        <f t="shared" si="143"/>
        <v>#N/A</v>
      </c>
      <c r="AE179" t="e">
        <f t="shared" si="144"/>
        <v>#N/A</v>
      </c>
      <c r="AF179" t="e">
        <f t="shared" si="145"/>
        <v>#N/A</v>
      </c>
      <c r="AG179" t="e">
        <f t="shared" si="146"/>
        <v>#N/A</v>
      </c>
      <c r="AH179" t="e">
        <f t="shared" si="147"/>
        <v>#N/A</v>
      </c>
      <c r="AI179" t="e">
        <f t="shared" si="148"/>
        <v>#N/A</v>
      </c>
      <c r="AJ179" t="e">
        <f t="shared" si="149"/>
        <v>#N/A</v>
      </c>
    </row>
    <row r="180">
      <c r="A180" s="2"/>
      <c r="L180" t="e">
        <f t="shared" si="125"/>
        <v>#N/A</v>
      </c>
      <c r="M180" t="e">
        <f t="shared" si="126"/>
        <v>#N/A</v>
      </c>
      <c r="N180" t="e">
        <f t="shared" si="127"/>
        <v>#N/A</v>
      </c>
      <c r="O180" t="n">
        <f t="shared" si="128"/>
        <v>0</v>
      </c>
      <c r="P180" t="n">
        <f t="shared" si="129"/>
        <v>0</v>
      </c>
      <c r="Q180" t="n">
        <f t="shared" si="130"/>
        <v>0</v>
      </c>
      <c r="R180" t="n">
        <f t="shared" si="131"/>
        <v>0</v>
      </c>
      <c r="S180" t="e">
        <f t="shared" si="132"/>
        <v>#N/A</v>
      </c>
      <c r="T180" t="e">
        <f t="shared" si="133"/>
        <v>#N/A</v>
      </c>
      <c r="U180" t="e">
        <f t="shared" si="134"/>
        <v>#N/A</v>
      </c>
      <c r="V180" t="e">
        <f t="shared" si="135"/>
        <v>#N/A</v>
      </c>
      <c r="W180" t="e">
        <f t="shared" si="136"/>
        <v>#N/A</v>
      </c>
      <c r="X180" t="e">
        <f t="shared" si="137"/>
        <v>#N/A</v>
      </c>
      <c r="Y180" t="e">
        <f t="shared" si="138"/>
        <v>#N/A</v>
      </c>
      <c r="Z180" t="e">
        <f t="shared" si="139"/>
        <v>#N/A</v>
      </c>
      <c r="AA180" t="e">
        <f t="shared" si="140"/>
        <v>#N/A</v>
      </c>
      <c r="AB180" t="e">
        <f t="shared" si="141"/>
        <v>#N/A</v>
      </c>
      <c r="AC180" t="e">
        <f t="shared" si="142"/>
        <v>#N/A</v>
      </c>
      <c r="AD180" t="e">
        <f t="shared" si="143"/>
        <v>#N/A</v>
      </c>
      <c r="AE180" t="e">
        <f t="shared" si="144"/>
        <v>#N/A</v>
      </c>
      <c r="AF180" t="e">
        <f t="shared" si="145"/>
        <v>#N/A</v>
      </c>
      <c r="AG180" t="e">
        <f t="shared" si="146"/>
        <v>#N/A</v>
      </c>
      <c r="AH180" t="e">
        <f t="shared" si="147"/>
        <v>#N/A</v>
      </c>
      <c r="AI180" t="e">
        <f t="shared" si="148"/>
        <v>#N/A</v>
      </c>
      <c r="AJ180" t="e">
        <f t="shared" si="149"/>
        <v>#N/A</v>
      </c>
    </row>
    <row r="181">
      <c r="A181" s="2"/>
      <c r="L181" t="e">
        <f t="shared" si="125"/>
        <v>#N/A</v>
      </c>
      <c r="M181" t="e">
        <f t="shared" si="126"/>
        <v>#N/A</v>
      </c>
      <c r="N181" t="e">
        <f t="shared" si="127"/>
        <v>#N/A</v>
      </c>
      <c r="O181" t="n">
        <f t="shared" si="128"/>
        <v>0</v>
      </c>
      <c r="P181" t="n">
        <f t="shared" si="129"/>
        <v>0</v>
      </c>
      <c r="Q181" t="n">
        <f t="shared" si="130"/>
        <v>0</v>
      </c>
      <c r="R181" t="n">
        <f t="shared" si="131"/>
        <v>0</v>
      </c>
      <c r="S181" t="e">
        <f t="shared" si="132"/>
        <v>#N/A</v>
      </c>
      <c r="T181" t="e">
        <f t="shared" si="133"/>
        <v>#N/A</v>
      </c>
      <c r="U181" t="e">
        <f t="shared" si="134"/>
        <v>#N/A</v>
      </c>
      <c r="V181" t="e">
        <f t="shared" si="135"/>
        <v>#N/A</v>
      </c>
      <c r="W181" t="e">
        <f t="shared" si="136"/>
        <v>#N/A</v>
      </c>
      <c r="X181" t="e">
        <f t="shared" si="137"/>
        <v>#N/A</v>
      </c>
      <c r="Y181" t="e">
        <f t="shared" si="138"/>
        <v>#N/A</v>
      </c>
      <c r="Z181" t="e">
        <f t="shared" si="139"/>
        <v>#N/A</v>
      </c>
      <c r="AA181" t="e">
        <f t="shared" si="140"/>
        <v>#N/A</v>
      </c>
      <c r="AB181" t="e">
        <f t="shared" si="141"/>
        <v>#N/A</v>
      </c>
      <c r="AC181" t="e">
        <f t="shared" si="142"/>
        <v>#N/A</v>
      </c>
      <c r="AD181" t="e">
        <f t="shared" si="143"/>
        <v>#N/A</v>
      </c>
      <c r="AE181" t="e">
        <f t="shared" si="144"/>
        <v>#N/A</v>
      </c>
      <c r="AF181" t="e">
        <f t="shared" si="145"/>
        <v>#N/A</v>
      </c>
      <c r="AG181" t="e">
        <f t="shared" si="146"/>
        <v>#N/A</v>
      </c>
      <c r="AH181" t="e">
        <f t="shared" si="147"/>
        <v>#N/A</v>
      </c>
      <c r="AI181" t="e">
        <f t="shared" si="148"/>
        <v>#N/A</v>
      </c>
      <c r="AJ181" t="e">
        <f t="shared" si="149"/>
        <v>#N/A</v>
      </c>
    </row>
    <row r="182">
      <c r="A182" s="2"/>
      <c r="L182" t="e">
        <f t="shared" si="125"/>
        <v>#N/A</v>
      </c>
      <c r="M182" t="e">
        <f t="shared" si="126"/>
        <v>#N/A</v>
      </c>
      <c r="N182" t="e">
        <f t="shared" si="127"/>
        <v>#N/A</v>
      </c>
      <c r="O182" t="n">
        <f t="shared" si="128"/>
        <v>0</v>
      </c>
      <c r="P182" t="n">
        <f t="shared" si="129"/>
        <v>0</v>
      </c>
      <c r="Q182" t="n">
        <f t="shared" si="130"/>
        <v>0</v>
      </c>
      <c r="R182" t="n">
        <f t="shared" si="131"/>
        <v>0</v>
      </c>
      <c r="S182" t="e">
        <f t="shared" si="132"/>
        <v>#N/A</v>
      </c>
      <c r="T182" t="e">
        <f t="shared" si="133"/>
        <v>#N/A</v>
      </c>
      <c r="U182" t="e">
        <f t="shared" si="134"/>
        <v>#N/A</v>
      </c>
      <c r="V182" t="e">
        <f t="shared" si="135"/>
        <v>#N/A</v>
      </c>
      <c r="W182" t="e">
        <f t="shared" si="136"/>
        <v>#N/A</v>
      </c>
      <c r="X182" t="e">
        <f t="shared" si="137"/>
        <v>#N/A</v>
      </c>
      <c r="Y182" t="e">
        <f t="shared" si="138"/>
        <v>#N/A</v>
      </c>
      <c r="Z182" t="e">
        <f t="shared" si="139"/>
        <v>#N/A</v>
      </c>
      <c r="AA182" t="e">
        <f t="shared" si="140"/>
        <v>#N/A</v>
      </c>
      <c r="AB182" t="e">
        <f t="shared" si="141"/>
        <v>#N/A</v>
      </c>
      <c r="AC182" t="e">
        <f t="shared" si="142"/>
        <v>#N/A</v>
      </c>
      <c r="AD182" t="e">
        <f t="shared" si="143"/>
        <v>#N/A</v>
      </c>
      <c r="AE182" t="e">
        <f t="shared" si="144"/>
        <v>#N/A</v>
      </c>
      <c r="AF182" t="e">
        <f t="shared" si="145"/>
        <v>#N/A</v>
      </c>
      <c r="AG182" t="e">
        <f t="shared" si="146"/>
        <v>#N/A</v>
      </c>
      <c r="AH182" t="e">
        <f t="shared" si="147"/>
        <v>#N/A</v>
      </c>
      <c r="AI182" t="e">
        <f t="shared" si="148"/>
        <v>#N/A</v>
      </c>
      <c r="AJ182" t="e">
        <f t="shared" si="149"/>
        <v>#N/A</v>
      </c>
    </row>
    <row r="183">
      <c r="A183" s="2"/>
      <c r="L183" t="e">
        <f t="shared" si="125"/>
        <v>#N/A</v>
      </c>
      <c r="M183" t="e">
        <f t="shared" si="126"/>
        <v>#N/A</v>
      </c>
      <c r="N183" t="e">
        <f t="shared" si="127"/>
        <v>#N/A</v>
      </c>
      <c r="O183" t="n">
        <f t="shared" si="128"/>
        <v>0</v>
      </c>
      <c r="P183" t="n">
        <f t="shared" si="129"/>
        <v>0</v>
      </c>
      <c r="Q183" t="n">
        <f t="shared" si="130"/>
        <v>0</v>
      </c>
      <c r="R183" t="n">
        <f t="shared" si="131"/>
        <v>0</v>
      </c>
      <c r="S183" t="e">
        <f t="shared" si="132"/>
        <v>#N/A</v>
      </c>
      <c r="T183" t="e">
        <f t="shared" si="133"/>
        <v>#N/A</v>
      </c>
      <c r="U183" t="e">
        <f t="shared" si="134"/>
        <v>#N/A</v>
      </c>
      <c r="V183" t="e">
        <f t="shared" si="135"/>
        <v>#N/A</v>
      </c>
      <c r="W183" t="e">
        <f t="shared" si="136"/>
        <v>#N/A</v>
      </c>
      <c r="X183" t="e">
        <f t="shared" si="137"/>
        <v>#N/A</v>
      </c>
      <c r="Y183" t="e">
        <f t="shared" si="138"/>
        <v>#N/A</v>
      </c>
      <c r="Z183" t="e">
        <f t="shared" si="139"/>
        <v>#N/A</v>
      </c>
      <c r="AA183" t="e">
        <f t="shared" si="140"/>
        <v>#N/A</v>
      </c>
      <c r="AB183" t="e">
        <f t="shared" si="141"/>
        <v>#N/A</v>
      </c>
      <c r="AC183" t="e">
        <f t="shared" si="142"/>
        <v>#N/A</v>
      </c>
      <c r="AD183" t="e">
        <f t="shared" si="143"/>
        <v>#N/A</v>
      </c>
      <c r="AE183" t="e">
        <f t="shared" si="144"/>
        <v>#N/A</v>
      </c>
      <c r="AF183" t="e">
        <f t="shared" si="145"/>
        <v>#N/A</v>
      </c>
      <c r="AG183" t="e">
        <f t="shared" si="146"/>
        <v>#N/A</v>
      </c>
      <c r="AH183" t="e">
        <f t="shared" si="147"/>
        <v>#N/A</v>
      </c>
      <c r="AI183" t="e">
        <f t="shared" si="148"/>
        <v>#N/A</v>
      </c>
      <c r="AJ183" t="e">
        <f t="shared" si="149"/>
        <v>#N/A</v>
      </c>
    </row>
    <row r="184">
      <c r="A184" s="2"/>
      <c r="L184" t="e">
        <f t="shared" si="125"/>
        <v>#N/A</v>
      </c>
      <c r="M184" t="e">
        <f t="shared" si="126"/>
        <v>#N/A</v>
      </c>
      <c r="N184" t="e">
        <f t="shared" si="127"/>
        <v>#N/A</v>
      </c>
      <c r="O184" t="n">
        <f t="shared" si="128"/>
        <v>0</v>
      </c>
      <c r="P184" t="n">
        <f t="shared" si="129"/>
        <v>0</v>
      </c>
      <c r="Q184" t="n">
        <f t="shared" si="130"/>
        <v>0</v>
      </c>
      <c r="R184" t="n">
        <f t="shared" si="131"/>
        <v>0</v>
      </c>
      <c r="S184" t="e">
        <f t="shared" si="132"/>
        <v>#N/A</v>
      </c>
      <c r="T184" t="e">
        <f t="shared" si="133"/>
        <v>#N/A</v>
      </c>
      <c r="U184" t="e">
        <f t="shared" si="134"/>
        <v>#N/A</v>
      </c>
      <c r="V184" t="e">
        <f t="shared" si="135"/>
        <v>#N/A</v>
      </c>
      <c r="W184" t="e">
        <f t="shared" si="136"/>
        <v>#N/A</v>
      </c>
      <c r="X184" t="e">
        <f t="shared" si="137"/>
        <v>#N/A</v>
      </c>
      <c r="Y184" t="e">
        <f t="shared" si="138"/>
        <v>#N/A</v>
      </c>
      <c r="Z184" t="e">
        <f t="shared" si="139"/>
        <v>#N/A</v>
      </c>
      <c r="AA184" t="e">
        <f t="shared" si="140"/>
        <v>#N/A</v>
      </c>
      <c r="AB184" t="e">
        <f t="shared" si="141"/>
        <v>#N/A</v>
      </c>
      <c r="AC184" t="e">
        <f t="shared" si="142"/>
        <v>#N/A</v>
      </c>
      <c r="AD184" t="e">
        <f t="shared" si="143"/>
        <v>#N/A</v>
      </c>
      <c r="AE184" t="e">
        <f t="shared" si="144"/>
        <v>#N/A</v>
      </c>
      <c r="AF184" t="e">
        <f t="shared" si="145"/>
        <v>#N/A</v>
      </c>
      <c r="AG184" t="e">
        <f t="shared" si="146"/>
        <v>#N/A</v>
      </c>
      <c r="AH184" t="e">
        <f t="shared" si="147"/>
        <v>#N/A</v>
      </c>
      <c r="AI184" t="e">
        <f t="shared" si="148"/>
        <v>#N/A</v>
      </c>
      <c r="AJ184" t="e">
        <f t="shared" si="149"/>
        <v>#N/A</v>
      </c>
    </row>
    <row r="185">
      <c r="A185" s="2"/>
      <c r="L185" t="e">
        <f t="shared" si="125"/>
        <v>#N/A</v>
      </c>
      <c r="M185" t="e">
        <f t="shared" si="126"/>
        <v>#N/A</v>
      </c>
      <c r="N185" t="e">
        <f t="shared" si="127"/>
        <v>#N/A</v>
      </c>
      <c r="O185" t="n">
        <f t="shared" si="128"/>
        <v>0</v>
      </c>
      <c r="P185" t="n">
        <f t="shared" si="129"/>
        <v>0</v>
      </c>
      <c r="Q185" t="n">
        <f t="shared" si="130"/>
        <v>0</v>
      </c>
      <c r="R185" t="n">
        <f t="shared" si="131"/>
        <v>0</v>
      </c>
      <c r="S185" t="e">
        <f t="shared" si="132"/>
        <v>#N/A</v>
      </c>
      <c r="T185" t="e">
        <f t="shared" si="133"/>
        <v>#N/A</v>
      </c>
      <c r="U185" t="e">
        <f t="shared" si="134"/>
        <v>#N/A</v>
      </c>
      <c r="V185" t="e">
        <f t="shared" si="135"/>
        <v>#N/A</v>
      </c>
      <c r="W185" t="e">
        <f t="shared" si="136"/>
        <v>#N/A</v>
      </c>
      <c r="X185" t="e">
        <f t="shared" si="137"/>
        <v>#N/A</v>
      </c>
      <c r="Y185" t="e">
        <f t="shared" si="138"/>
        <v>#N/A</v>
      </c>
      <c r="Z185" t="e">
        <f t="shared" si="139"/>
        <v>#N/A</v>
      </c>
      <c r="AA185" t="e">
        <f t="shared" si="140"/>
        <v>#N/A</v>
      </c>
      <c r="AB185" t="e">
        <f t="shared" si="141"/>
        <v>#N/A</v>
      </c>
      <c r="AC185" t="e">
        <f t="shared" si="142"/>
        <v>#N/A</v>
      </c>
      <c r="AD185" t="e">
        <f t="shared" si="143"/>
        <v>#N/A</v>
      </c>
      <c r="AE185" t="e">
        <f t="shared" si="144"/>
        <v>#N/A</v>
      </c>
      <c r="AF185" t="e">
        <f t="shared" si="145"/>
        <v>#N/A</v>
      </c>
      <c r="AG185" t="e">
        <f t="shared" si="146"/>
        <v>#N/A</v>
      </c>
      <c r="AH185" t="e">
        <f t="shared" si="147"/>
        <v>#N/A</v>
      </c>
      <c r="AI185" t="e">
        <f t="shared" si="148"/>
        <v>#N/A</v>
      </c>
      <c r="AJ185" t="e">
        <f t="shared" si="149"/>
        <v>#N/A</v>
      </c>
    </row>
    <row r="186">
      <c r="A186" s="2"/>
      <c r="L186" t="e">
        <f t="shared" si="125"/>
        <v>#N/A</v>
      </c>
      <c r="M186" t="e">
        <f t="shared" si="126"/>
        <v>#N/A</v>
      </c>
      <c r="N186" t="e">
        <f t="shared" si="127"/>
        <v>#N/A</v>
      </c>
      <c r="O186" t="n">
        <f t="shared" si="128"/>
        <v>0</v>
      </c>
      <c r="P186" t="n">
        <f t="shared" si="129"/>
        <v>0</v>
      </c>
      <c r="Q186" t="n">
        <f t="shared" si="130"/>
        <v>0</v>
      </c>
      <c r="R186" t="n">
        <f t="shared" si="131"/>
        <v>0</v>
      </c>
      <c r="S186" t="e">
        <f t="shared" si="132"/>
        <v>#N/A</v>
      </c>
      <c r="T186" t="e">
        <f t="shared" si="133"/>
        <v>#N/A</v>
      </c>
      <c r="U186" t="e">
        <f t="shared" si="134"/>
        <v>#N/A</v>
      </c>
      <c r="V186" t="e">
        <f t="shared" si="135"/>
        <v>#N/A</v>
      </c>
      <c r="W186" t="e">
        <f t="shared" si="136"/>
        <v>#N/A</v>
      </c>
      <c r="X186" t="e">
        <f t="shared" si="137"/>
        <v>#N/A</v>
      </c>
      <c r="Y186" t="e">
        <f t="shared" si="138"/>
        <v>#N/A</v>
      </c>
      <c r="Z186" t="e">
        <f t="shared" si="139"/>
        <v>#N/A</v>
      </c>
      <c r="AA186" t="e">
        <f t="shared" si="140"/>
        <v>#N/A</v>
      </c>
      <c r="AB186" t="e">
        <f t="shared" si="141"/>
        <v>#N/A</v>
      </c>
      <c r="AC186" t="e">
        <f t="shared" si="142"/>
        <v>#N/A</v>
      </c>
      <c r="AD186" t="e">
        <f t="shared" si="143"/>
        <v>#N/A</v>
      </c>
      <c r="AE186" t="e">
        <f t="shared" si="144"/>
        <v>#N/A</v>
      </c>
      <c r="AF186" t="e">
        <f t="shared" si="145"/>
        <v>#N/A</v>
      </c>
      <c r="AG186" t="e">
        <f t="shared" si="146"/>
        <v>#N/A</v>
      </c>
      <c r="AH186" t="e">
        <f t="shared" si="147"/>
        <v>#N/A</v>
      </c>
      <c r="AI186" t="e">
        <f t="shared" si="148"/>
        <v>#N/A</v>
      </c>
      <c r="AJ186" t="e">
        <f t="shared" si="149"/>
        <v>#N/A</v>
      </c>
    </row>
    <row r="187">
      <c r="A187" s="2"/>
      <c r="L187" t="e">
        <f t="shared" si="125"/>
        <v>#N/A</v>
      </c>
      <c r="M187" t="e">
        <f t="shared" si="126"/>
        <v>#N/A</v>
      </c>
      <c r="N187" t="e">
        <f t="shared" si="127"/>
        <v>#N/A</v>
      </c>
      <c r="O187" t="n">
        <f t="shared" si="128"/>
        <v>0</v>
      </c>
      <c r="P187" t="n">
        <f t="shared" si="129"/>
        <v>0</v>
      </c>
      <c r="Q187" t="n">
        <f t="shared" si="130"/>
        <v>0</v>
      </c>
      <c r="R187" t="n">
        <f t="shared" si="131"/>
        <v>0</v>
      </c>
      <c r="S187" t="e">
        <f t="shared" si="132"/>
        <v>#N/A</v>
      </c>
      <c r="T187" t="e">
        <f t="shared" si="133"/>
        <v>#N/A</v>
      </c>
      <c r="U187" t="e">
        <f t="shared" si="134"/>
        <v>#N/A</v>
      </c>
      <c r="V187" t="e">
        <f t="shared" si="135"/>
        <v>#N/A</v>
      </c>
      <c r="W187" t="e">
        <f t="shared" si="136"/>
        <v>#N/A</v>
      </c>
      <c r="X187" t="e">
        <f t="shared" si="137"/>
        <v>#N/A</v>
      </c>
      <c r="Y187" t="e">
        <f t="shared" si="138"/>
        <v>#N/A</v>
      </c>
      <c r="Z187" t="e">
        <f t="shared" si="139"/>
        <v>#N/A</v>
      </c>
      <c r="AA187" t="e">
        <f t="shared" si="140"/>
        <v>#N/A</v>
      </c>
      <c r="AB187" t="e">
        <f t="shared" si="141"/>
        <v>#N/A</v>
      </c>
      <c r="AC187" t="e">
        <f t="shared" si="142"/>
        <v>#N/A</v>
      </c>
      <c r="AD187" t="e">
        <f t="shared" si="143"/>
        <v>#N/A</v>
      </c>
      <c r="AE187" t="e">
        <f t="shared" si="144"/>
        <v>#N/A</v>
      </c>
      <c r="AF187" t="e">
        <f t="shared" si="145"/>
        <v>#N/A</v>
      </c>
      <c r="AG187" t="e">
        <f t="shared" si="146"/>
        <v>#N/A</v>
      </c>
      <c r="AH187" t="e">
        <f t="shared" si="147"/>
        <v>#N/A</v>
      </c>
      <c r="AI187" t="e">
        <f t="shared" si="148"/>
        <v>#N/A</v>
      </c>
      <c r="AJ187" t="e">
        <f t="shared" si="149"/>
        <v>#N/A</v>
      </c>
    </row>
    <row r="188">
      <c r="A188" s="2"/>
      <c r="L188" t="e">
        <f t="shared" si="125"/>
        <v>#N/A</v>
      </c>
      <c r="M188" t="e">
        <f t="shared" si="126"/>
        <v>#N/A</v>
      </c>
      <c r="N188" t="e">
        <f t="shared" si="127"/>
        <v>#N/A</v>
      </c>
      <c r="O188" t="n">
        <f t="shared" si="128"/>
        <v>0</v>
      </c>
      <c r="P188" t="n">
        <f t="shared" si="129"/>
        <v>0</v>
      </c>
      <c r="Q188" t="n">
        <f t="shared" si="130"/>
        <v>0</v>
      </c>
      <c r="R188" t="n">
        <f t="shared" si="131"/>
        <v>0</v>
      </c>
      <c r="S188" t="e">
        <f t="shared" si="132"/>
        <v>#N/A</v>
      </c>
      <c r="T188" t="e">
        <f t="shared" si="133"/>
        <v>#N/A</v>
      </c>
      <c r="U188" t="e">
        <f t="shared" si="134"/>
        <v>#N/A</v>
      </c>
      <c r="V188" t="e">
        <f t="shared" si="135"/>
        <v>#N/A</v>
      </c>
      <c r="W188" t="e">
        <f t="shared" si="136"/>
        <v>#N/A</v>
      </c>
      <c r="X188" t="e">
        <f t="shared" si="137"/>
        <v>#N/A</v>
      </c>
      <c r="Y188" t="e">
        <f t="shared" si="138"/>
        <v>#N/A</v>
      </c>
      <c r="Z188" t="e">
        <f t="shared" si="139"/>
        <v>#N/A</v>
      </c>
      <c r="AA188" t="e">
        <f t="shared" si="140"/>
        <v>#N/A</v>
      </c>
      <c r="AB188" t="e">
        <f t="shared" si="141"/>
        <v>#N/A</v>
      </c>
      <c r="AC188" t="e">
        <f t="shared" si="142"/>
        <v>#N/A</v>
      </c>
      <c r="AD188" t="e">
        <f t="shared" si="143"/>
        <v>#N/A</v>
      </c>
      <c r="AE188" t="e">
        <f t="shared" si="144"/>
        <v>#N/A</v>
      </c>
      <c r="AF188" t="e">
        <f t="shared" si="145"/>
        <v>#N/A</v>
      </c>
      <c r="AG188" t="e">
        <f t="shared" si="146"/>
        <v>#N/A</v>
      </c>
      <c r="AH188" t="e">
        <f t="shared" si="147"/>
        <v>#N/A</v>
      </c>
      <c r="AI188" t="e">
        <f t="shared" si="148"/>
        <v>#N/A</v>
      </c>
      <c r="AJ188" t="e">
        <f t="shared" si="149"/>
        <v>#N/A</v>
      </c>
    </row>
    <row r="189">
      <c r="A189" s="2"/>
      <c r="L189" t="e">
        <f t="shared" si="125"/>
        <v>#N/A</v>
      </c>
      <c r="M189" t="e">
        <f t="shared" si="126"/>
        <v>#N/A</v>
      </c>
      <c r="N189" t="e">
        <f t="shared" si="127"/>
        <v>#N/A</v>
      </c>
      <c r="O189" t="n">
        <f t="shared" si="128"/>
        <v>0</v>
      </c>
      <c r="P189" t="n">
        <f t="shared" si="129"/>
        <v>0</v>
      </c>
      <c r="Q189" t="n">
        <f t="shared" si="130"/>
        <v>0</v>
      </c>
      <c r="R189" t="n">
        <f t="shared" si="131"/>
        <v>0</v>
      </c>
      <c r="S189" t="e">
        <f t="shared" si="132"/>
        <v>#N/A</v>
      </c>
      <c r="T189" t="e">
        <f t="shared" si="133"/>
        <v>#N/A</v>
      </c>
      <c r="U189" t="e">
        <f t="shared" si="134"/>
        <v>#N/A</v>
      </c>
      <c r="V189" t="e">
        <f t="shared" si="135"/>
        <v>#N/A</v>
      </c>
      <c r="W189" t="e">
        <f t="shared" si="136"/>
        <v>#N/A</v>
      </c>
      <c r="X189" t="e">
        <f t="shared" si="137"/>
        <v>#N/A</v>
      </c>
      <c r="Y189" t="e">
        <f t="shared" si="138"/>
        <v>#N/A</v>
      </c>
      <c r="Z189" t="e">
        <f t="shared" si="139"/>
        <v>#N/A</v>
      </c>
      <c r="AA189" t="e">
        <f t="shared" si="140"/>
        <v>#N/A</v>
      </c>
      <c r="AB189" t="e">
        <f t="shared" si="141"/>
        <v>#N/A</v>
      </c>
      <c r="AC189" t="e">
        <f t="shared" si="142"/>
        <v>#N/A</v>
      </c>
      <c r="AD189" t="e">
        <f t="shared" si="143"/>
        <v>#N/A</v>
      </c>
      <c r="AE189" t="e">
        <f t="shared" si="144"/>
        <v>#N/A</v>
      </c>
      <c r="AF189" t="e">
        <f t="shared" si="145"/>
        <v>#N/A</v>
      </c>
      <c r="AG189" t="e">
        <f t="shared" si="146"/>
        <v>#N/A</v>
      </c>
      <c r="AH189" t="e">
        <f t="shared" si="147"/>
        <v>#N/A</v>
      </c>
      <c r="AI189" t="e">
        <f t="shared" si="148"/>
        <v>#N/A</v>
      </c>
      <c r="AJ189" t="e">
        <f t="shared" si="149"/>
        <v>#N/A</v>
      </c>
    </row>
    <row r="190">
      <c r="A190" s="2"/>
      <c r="L190" t="e">
        <f t="shared" si="125"/>
        <v>#N/A</v>
      </c>
      <c r="M190" t="e">
        <f t="shared" si="126"/>
        <v>#N/A</v>
      </c>
      <c r="N190" t="e">
        <f t="shared" si="127"/>
        <v>#N/A</v>
      </c>
      <c r="O190" t="n">
        <f t="shared" si="128"/>
        <v>0</v>
      </c>
      <c r="P190" t="n">
        <f t="shared" si="129"/>
        <v>0</v>
      </c>
      <c r="Q190" t="n">
        <f t="shared" si="130"/>
        <v>0</v>
      </c>
      <c r="R190" t="n">
        <f t="shared" si="131"/>
        <v>0</v>
      </c>
      <c r="S190" t="e">
        <f t="shared" si="132"/>
        <v>#N/A</v>
      </c>
      <c r="T190" t="e">
        <f t="shared" si="133"/>
        <v>#N/A</v>
      </c>
      <c r="U190" t="e">
        <f t="shared" si="134"/>
        <v>#N/A</v>
      </c>
      <c r="V190" t="e">
        <f t="shared" si="135"/>
        <v>#N/A</v>
      </c>
      <c r="W190" t="e">
        <f t="shared" si="136"/>
        <v>#N/A</v>
      </c>
      <c r="X190" t="e">
        <f t="shared" si="137"/>
        <v>#N/A</v>
      </c>
      <c r="Y190" t="e">
        <f t="shared" si="138"/>
        <v>#N/A</v>
      </c>
      <c r="Z190" t="e">
        <f t="shared" si="139"/>
        <v>#N/A</v>
      </c>
      <c r="AA190" t="e">
        <f t="shared" si="140"/>
        <v>#N/A</v>
      </c>
      <c r="AB190" t="e">
        <f t="shared" si="141"/>
        <v>#N/A</v>
      </c>
      <c r="AC190" t="e">
        <f t="shared" si="142"/>
        <v>#N/A</v>
      </c>
      <c r="AD190" t="e">
        <f t="shared" si="143"/>
        <v>#N/A</v>
      </c>
      <c r="AE190" t="e">
        <f t="shared" si="144"/>
        <v>#N/A</v>
      </c>
      <c r="AF190" t="e">
        <f t="shared" si="145"/>
        <v>#N/A</v>
      </c>
      <c r="AG190" t="e">
        <f t="shared" si="146"/>
        <v>#N/A</v>
      </c>
      <c r="AH190" t="e">
        <f t="shared" si="147"/>
        <v>#N/A</v>
      </c>
      <c r="AI190" t="e">
        <f t="shared" si="148"/>
        <v>#N/A</v>
      </c>
      <c r="AJ190" t="e">
        <f t="shared" si="149"/>
        <v>#N/A</v>
      </c>
    </row>
    <row r="191">
      <c r="A191" s="2"/>
      <c r="L191" t="e">
        <f t="shared" si="125"/>
        <v>#N/A</v>
      </c>
      <c r="M191" t="e">
        <f t="shared" si="126"/>
        <v>#N/A</v>
      </c>
      <c r="N191" t="e">
        <f t="shared" si="127"/>
        <v>#N/A</v>
      </c>
      <c r="O191" t="n">
        <f t="shared" si="128"/>
        <v>0</v>
      </c>
      <c r="P191" t="n">
        <f t="shared" si="129"/>
        <v>0</v>
      </c>
      <c r="Q191" t="n">
        <f t="shared" si="130"/>
        <v>0</v>
      </c>
      <c r="R191" t="n">
        <f t="shared" si="131"/>
        <v>0</v>
      </c>
      <c r="S191" t="e">
        <f t="shared" si="132"/>
        <v>#N/A</v>
      </c>
      <c r="T191" t="e">
        <f t="shared" si="133"/>
        <v>#N/A</v>
      </c>
      <c r="U191" t="e">
        <f t="shared" si="134"/>
        <v>#N/A</v>
      </c>
      <c r="V191" t="e">
        <f t="shared" si="135"/>
        <v>#N/A</v>
      </c>
      <c r="W191" t="e">
        <f t="shared" si="136"/>
        <v>#N/A</v>
      </c>
      <c r="X191" t="e">
        <f t="shared" si="137"/>
        <v>#N/A</v>
      </c>
      <c r="Y191" t="e">
        <f t="shared" si="138"/>
        <v>#N/A</v>
      </c>
      <c r="Z191" t="e">
        <f t="shared" si="139"/>
        <v>#N/A</v>
      </c>
      <c r="AA191" t="e">
        <f t="shared" si="140"/>
        <v>#N/A</v>
      </c>
      <c r="AB191" t="e">
        <f t="shared" si="141"/>
        <v>#N/A</v>
      </c>
      <c r="AC191" t="e">
        <f t="shared" si="142"/>
        <v>#N/A</v>
      </c>
      <c r="AD191" t="e">
        <f t="shared" si="143"/>
        <v>#N/A</v>
      </c>
      <c r="AE191" t="e">
        <f t="shared" si="144"/>
        <v>#N/A</v>
      </c>
      <c r="AF191" t="e">
        <f t="shared" si="145"/>
        <v>#N/A</v>
      </c>
      <c r="AG191" t="e">
        <f t="shared" si="146"/>
        <v>#N/A</v>
      </c>
      <c r="AH191" t="e">
        <f t="shared" si="147"/>
        <v>#N/A</v>
      </c>
      <c r="AI191" t="e">
        <f t="shared" si="148"/>
        <v>#N/A</v>
      </c>
      <c r="AJ191" t="e">
        <f t="shared" si="149"/>
        <v>#N/A</v>
      </c>
    </row>
    <row r="192">
      <c r="A192" s="2"/>
      <c r="L192" t="e">
        <f t="shared" si="125"/>
        <v>#N/A</v>
      </c>
      <c r="M192" t="e">
        <f t="shared" si="126"/>
        <v>#N/A</v>
      </c>
      <c r="N192" t="e">
        <f t="shared" si="127"/>
        <v>#N/A</v>
      </c>
      <c r="O192" t="n">
        <f t="shared" si="128"/>
        <v>0</v>
      </c>
      <c r="P192" t="n">
        <f t="shared" si="129"/>
        <v>0</v>
      </c>
      <c r="Q192" t="n">
        <f t="shared" si="130"/>
        <v>0</v>
      </c>
      <c r="R192" t="n">
        <f t="shared" si="131"/>
        <v>0</v>
      </c>
      <c r="S192" t="e">
        <f t="shared" si="132"/>
        <v>#N/A</v>
      </c>
      <c r="T192" t="e">
        <f t="shared" si="133"/>
        <v>#N/A</v>
      </c>
      <c r="U192" t="e">
        <f t="shared" si="134"/>
        <v>#N/A</v>
      </c>
      <c r="V192" t="e">
        <f t="shared" si="135"/>
        <v>#N/A</v>
      </c>
      <c r="W192" t="e">
        <f t="shared" si="136"/>
        <v>#N/A</v>
      </c>
      <c r="X192" t="e">
        <f t="shared" si="137"/>
        <v>#N/A</v>
      </c>
      <c r="Y192" t="e">
        <f t="shared" si="138"/>
        <v>#N/A</v>
      </c>
      <c r="Z192" t="e">
        <f t="shared" si="139"/>
        <v>#N/A</v>
      </c>
      <c r="AA192" t="e">
        <f t="shared" si="140"/>
        <v>#N/A</v>
      </c>
      <c r="AB192" t="e">
        <f t="shared" si="141"/>
        <v>#N/A</v>
      </c>
      <c r="AC192" t="e">
        <f t="shared" si="142"/>
        <v>#N/A</v>
      </c>
      <c r="AD192" t="e">
        <f t="shared" si="143"/>
        <v>#N/A</v>
      </c>
      <c r="AE192" t="e">
        <f t="shared" si="144"/>
        <v>#N/A</v>
      </c>
      <c r="AF192" t="e">
        <f t="shared" si="145"/>
        <v>#N/A</v>
      </c>
      <c r="AG192" t="e">
        <f t="shared" si="146"/>
        <v>#N/A</v>
      </c>
      <c r="AH192" t="e">
        <f t="shared" si="147"/>
        <v>#N/A</v>
      </c>
      <c r="AI192" t="e">
        <f t="shared" si="148"/>
        <v>#N/A</v>
      </c>
      <c r="AJ192" t="e">
        <f t="shared" si="149"/>
        <v>#N/A</v>
      </c>
    </row>
    <row r="193">
      <c r="A193" s="2"/>
      <c r="L193" t="e">
        <f t="shared" si="125"/>
        <v>#N/A</v>
      </c>
      <c r="M193" t="e">
        <f t="shared" si="126"/>
        <v>#N/A</v>
      </c>
      <c r="N193" t="e">
        <f t="shared" si="127"/>
        <v>#N/A</v>
      </c>
      <c r="O193" t="n">
        <f t="shared" si="128"/>
        <v>0</v>
      </c>
      <c r="P193" t="n">
        <f t="shared" si="129"/>
        <v>0</v>
      </c>
      <c r="Q193" t="n">
        <f t="shared" si="130"/>
        <v>0</v>
      </c>
      <c r="R193" t="n">
        <f t="shared" si="131"/>
        <v>0</v>
      </c>
      <c r="S193" t="e">
        <f t="shared" si="132"/>
        <v>#N/A</v>
      </c>
      <c r="T193" t="e">
        <f t="shared" si="133"/>
        <v>#N/A</v>
      </c>
      <c r="U193" t="e">
        <f t="shared" si="134"/>
        <v>#N/A</v>
      </c>
      <c r="V193" t="e">
        <f t="shared" si="135"/>
        <v>#N/A</v>
      </c>
      <c r="W193" t="e">
        <f t="shared" si="136"/>
        <v>#N/A</v>
      </c>
      <c r="X193" t="e">
        <f t="shared" si="137"/>
        <v>#N/A</v>
      </c>
      <c r="Y193" t="e">
        <f t="shared" si="138"/>
        <v>#N/A</v>
      </c>
      <c r="Z193" t="e">
        <f t="shared" si="139"/>
        <v>#N/A</v>
      </c>
      <c r="AA193" t="e">
        <f t="shared" si="140"/>
        <v>#N/A</v>
      </c>
      <c r="AB193" t="e">
        <f t="shared" si="141"/>
        <v>#N/A</v>
      </c>
      <c r="AC193" t="e">
        <f t="shared" si="142"/>
        <v>#N/A</v>
      </c>
      <c r="AD193" t="e">
        <f t="shared" si="143"/>
        <v>#N/A</v>
      </c>
      <c r="AE193" t="e">
        <f t="shared" si="144"/>
        <v>#N/A</v>
      </c>
      <c r="AF193" t="e">
        <f t="shared" si="145"/>
        <v>#N/A</v>
      </c>
      <c r="AG193" t="e">
        <f t="shared" si="146"/>
        <v>#N/A</v>
      </c>
      <c r="AH193" t="e">
        <f t="shared" si="147"/>
        <v>#N/A</v>
      </c>
      <c r="AI193" t="e">
        <f t="shared" si="148"/>
        <v>#N/A</v>
      </c>
      <c r="AJ193" t="e">
        <f t="shared" si="149"/>
        <v>#N/A</v>
      </c>
    </row>
    <row r="194">
      <c r="A194" s="2"/>
      <c r="L194" t="e">
        <f t="shared" ref="L194:L201" si="150">IF(ROW()&lt;=5,NA(),IFERROR(100*(B194/INDEX(B:B,ROW()-4)-1),NA()))</f>
        <v>#N/A</v>
      </c>
      <c r="M194" t="e">
        <f t="shared" ref="M194:M201" si="151">IF(ROW()&lt;=5,NA(),IFERROR(100*(C194/INDEX(C:C,ROW()-4)-1),NA()))</f>
        <v>#N/A</v>
      </c>
      <c r="N194" t="e">
        <f t="shared" ref="N194:N201" si="152">IF(ROW()&lt;=5,NA(),IFERROR(100*(D194/INDEX(D:D,ROW()-4)-1),NA()))</f>
        <v>#N/A</v>
      </c>
      <c r="O194" t="n">
        <f t="shared" ref="O194:O201" si="153">100*G194</f>
        <v>0</v>
      </c>
      <c r="P194" t="n">
        <f t="shared" ref="P194:P201" si="154">100*H194</f>
        <v>0</v>
      </c>
      <c r="Q194" t="n">
        <f t="shared" ref="Q194:Q201" si="155">100*I194</f>
        <v>0</v>
      </c>
      <c r="R194" t="n">
        <f t="shared" ref="R194:R201" si="156">100*J194</f>
        <v>0</v>
      </c>
      <c r="S194" t="e">
        <f t="shared" ref="S194:S201" si="157">IFERROR(100*E194/INDEX(E:E,MATCH(DATE(2024,12,1),A:A,0)),NA())</f>
        <v>#N/A</v>
      </c>
      <c r="T194" t="e">
        <f t="shared" ref="T194:T201" si="158">IFERROR(100*F194/INDEX(F:F,MATCH(DATE(2024,12,1),A:A,0)),NA())</f>
        <v>#N/A</v>
      </c>
      <c r="U194" t="e">
        <f t="shared" ref="U194:U201" si="159">IF($K194="Actual",L194,NA())</f>
        <v>#N/A</v>
      </c>
      <c r="V194" t="e">
        <f t="shared" ref="V194:V201" si="160">IF($A194&gt;=DATE(2024,12,1),L194,NA())</f>
        <v>#N/A</v>
      </c>
      <c r="W194" t="e">
        <f t="shared" ref="W194:W201" si="161">IF($K194="Actual",M194,NA())</f>
        <v>#N/A</v>
      </c>
      <c r="X194" t="e">
        <f t="shared" ref="X194:X201" si="162">IF($A194&gt;=DATE(2024,12,1),M194,NA())</f>
        <v>#N/A</v>
      </c>
      <c r="Y194" t="e">
        <f t="shared" ref="Y194:Y201" si="163">IF($K194="Actual",S194,NA())</f>
        <v>#N/A</v>
      </c>
      <c r="Z194" t="e">
        <f t="shared" ref="Z194:Z201" si="164">IF($A194&gt;=DATE(2024,12,1),S194,NA())</f>
        <v>#N/A</v>
      </c>
      <c r="AA194" t="e">
        <f t="shared" ref="AA194:AA201" si="165">IF($K194="Actual",T194,NA())</f>
        <v>#N/A</v>
      </c>
      <c r="AB194" t="e">
        <f t="shared" ref="AB194:AB201" si="166">IF($A194&gt;=DATE(2024,12,1),T194,NA())</f>
        <v>#N/A</v>
      </c>
      <c r="AC194" t="e">
        <f t="shared" ref="AC194:AC201" si="167">IF($K194="Actual",O194,NA())</f>
        <v>#N/A</v>
      </c>
      <c r="AD194" t="e">
        <f t="shared" ref="AD194:AD201" si="168">IF($A194&gt;=DATE(2024,12,1),O194,NA())</f>
        <v>#N/A</v>
      </c>
      <c r="AE194" t="e">
        <f t="shared" ref="AE194:AE201" si="169">IF($K194="Actual",Q194,NA())</f>
        <v>#N/A</v>
      </c>
      <c r="AF194" t="e">
        <f t="shared" ref="AF194:AF201" si="170">IF($A194&gt;=DATE(2024,12,1),Q194,NA())</f>
        <v>#N/A</v>
      </c>
      <c r="AG194" t="e">
        <f t="shared" ref="AG194:AG201" si="171">IF($K194="Actual",R194,NA())</f>
        <v>#N/A</v>
      </c>
      <c r="AH194" t="e">
        <f t="shared" ref="AH194:AH201" si="172">IF($A194&gt;=DATE(2024,12,1),R194,NA())</f>
        <v>#N/A</v>
      </c>
      <c r="AI194" t="e">
        <f t="shared" ref="AI194:AI201" si="173">IF($K194="Actual",N194,NA())</f>
        <v>#N/A</v>
      </c>
      <c r="AJ194" t="e">
        <f t="shared" ref="AJ194:AJ201" si="174">IF($A194&gt;=DATE(2024,12,1),N194,NA())</f>
        <v>#N/A</v>
      </c>
    </row>
    <row r="195">
      <c r="A195" s="2"/>
      <c r="L195" t="e">
        <f t="shared" si="150"/>
        <v>#N/A</v>
      </c>
      <c r="M195" t="e">
        <f t="shared" si="151"/>
        <v>#N/A</v>
      </c>
      <c r="N195" t="e">
        <f t="shared" si="152"/>
        <v>#N/A</v>
      </c>
      <c r="O195" t="n">
        <f t="shared" si="153"/>
        <v>0</v>
      </c>
      <c r="P195" t="n">
        <f t="shared" si="154"/>
        <v>0</v>
      </c>
      <c r="Q195" t="n">
        <f t="shared" si="155"/>
        <v>0</v>
      </c>
      <c r="R195" t="n">
        <f t="shared" si="156"/>
        <v>0</v>
      </c>
      <c r="S195" t="e">
        <f t="shared" si="157"/>
        <v>#N/A</v>
      </c>
      <c r="T195" t="e">
        <f t="shared" si="158"/>
        <v>#N/A</v>
      </c>
      <c r="U195" t="e">
        <f t="shared" si="159"/>
        <v>#N/A</v>
      </c>
      <c r="V195" t="e">
        <f t="shared" si="160"/>
        <v>#N/A</v>
      </c>
      <c r="W195" t="e">
        <f t="shared" si="161"/>
        <v>#N/A</v>
      </c>
      <c r="X195" t="e">
        <f t="shared" si="162"/>
        <v>#N/A</v>
      </c>
      <c r="Y195" t="e">
        <f t="shared" si="163"/>
        <v>#N/A</v>
      </c>
      <c r="Z195" t="e">
        <f t="shared" si="164"/>
        <v>#N/A</v>
      </c>
      <c r="AA195" t="e">
        <f t="shared" si="165"/>
        <v>#N/A</v>
      </c>
      <c r="AB195" t="e">
        <f t="shared" si="166"/>
        <v>#N/A</v>
      </c>
      <c r="AC195" t="e">
        <f t="shared" si="167"/>
        <v>#N/A</v>
      </c>
      <c r="AD195" t="e">
        <f t="shared" si="168"/>
        <v>#N/A</v>
      </c>
      <c r="AE195" t="e">
        <f t="shared" si="169"/>
        <v>#N/A</v>
      </c>
      <c r="AF195" t="e">
        <f t="shared" si="170"/>
        <v>#N/A</v>
      </c>
      <c r="AG195" t="e">
        <f t="shared" si="171"/>
        <v>#N/A</v>
      </c>
      <c r="AH195" t="e">
        <f t="shared" si="172"/>
        <v>#N/A</v>
      </c>
      <c r="AI195" t="e">
        <f t="shared" si="173"/>
        <v>#N/A</v>
      </c>
      <c r="AJ195" t="e">
        <f t="shared" si="174"/>
        <v>#N/A</v>
      </c>
    </row>
    <row r="196">
      <c r="A196" s="2"/>
      <c r="L196" t="e">
        <f t="shared" si="150"/>
        <v>#N/A</v>
      </c>
      <c r="M196" t="e">
        <f t="shared" si="151"/>
        <v>#N/A</v>
      </c>
      <c r="N196" t="e">
        <f t="shared" si="152"/>
        <v>#N/A</v>
      </c>
      <c r="O196" t="n">
        <f t="shared" si="153"/>
        <v>0</v>
      </c>
      <c r="P196" t="n">
        <f t="shared" si="154"/>
        <v>0</v>
      </c>
      <c r="Q196" t="n">
        <f t="shared" si="155"/>
        <v>0</v>
      </c>
      <c r="R196" t="n">
        <f t="shared" si="156"/>
        <v>0</v>
      </c>
      <c r="S196" t="e">
        <f t="shared" si="157"/>
        <v>#N/A</v>
      </c>
      <c r="T196" t="e">
        <f t="shared" si="158"/>
        <v>#N/A</v>
      </c>
      <c r="U196" t="e">
        <f t="shared" si="159"/>
        <v>#N/A</v>
      </c>
      <c r="V196" t="e">
        <f t="shared" si="160"/>
        <v>#N/A</v>
      </c>
      <c r="W196" t="e">
        <f t="shared" si="161"/>
        <v>#N/A</v>
      </c>
      <c r="X196" t="e">
        <f t="shared" si="162"/>
        <v>#N/A</v>
      </c>
      <c r="Y196" t="e">
        <f t="shared" si="163"/>
        <v>#N/A</v>
      </c>
      <c r="Z196" t="e">
        <f t="shared" si="164"/>
        <v>#N/A</v>
      </c>
      <c r="AA196" t="e">
        <f t="shared" si="165"/>
        <v>#N/A</v>
      </c>
      <c r="AB196" t="e">
        <f t="shared" si="166"/>
        <v>#N/A</v>
      </c>
      <c r="AC196" t="e">
        <f t="shared" si="167"/>
        <v>#N/A</v>
      </c>
      <c r="AD196" t="e">
        <f t="shared" si="168"/>
        <v>#N/A</v>
      </c>
      <c r="AE196" t="e">
        <f t="shared" si="169"/>
        <v>#N/A</v>
      </c>
      <c r="AF196" t="e">
        <f t="shared" si="170"/>
        <v>#N/A</v>
      </c>
      <c r="AG196" t="e">
        <f t="shared" si="171"/>
        <v>#N/A</v>
      </c>
      <c r="AH196" t="e">
        <f t="shared" si="172"/>
        <v>#N/A</v>
      </c>
      <c r="AI196" t="e">
        <f t="shared" si="173"/>
        <v>#N/A</v>
      </c>
      <c r="AJ196" t="e">
        <f t="shared" si="174"/>
        <v>#N/A</v>
      </c>
    </row>
    <row r="197">
      <c r="A197" s="2"/>
      <c r="L197" t="e">
        <f t="shared" si="150"/>
        <v>#N/A</v>
      </c>
      <c r="M197" t="e">
        <f t="shared" si="151"/>
        <v>#N/A</v>
      </c>
      <c r="N197" t="e">
        <f t="shared" si="152"/>
        <v>#N/A</v>
      </c>
      <c r="O197" t="n">
        <f t="shared" si="153"/>
        <v>0</v>
      </c>
      <c r="P197" t="n">
        <f t="shared" si="154"/>
        <v>0</v>
      </c>
      <c r="Q197" t="n">
        <f t="shared" si="155"/>
        <v>0</v>
      </c>
      <c r="R197" t="n">
        <f t="shared" si="156"/>
        <v>0</v>
      </c>
      <c r="S197" t="e">
        <f t="shared" si="157"/>
        <v>#N/A</v>
      </c>
      <c r="T197" t="e">
        <f t="shared" si="158"/>
        <v>#N/A</v>
      </c>
      <c r="U197" t="e">
        <f t="shared" si="159"/>
        <v>#N/A</v>
      </c>
      <c r="V197" t="e">
        <f t="shared" si="160"/>
        <v>#N/A</v>
      </c>
      <c r="W197" t="e">
        <f t="shared" si="161"/>
        <v>#N/A</v>
      </c>
      <c r="X197" t="e">
        <f t="shared" si="162"/>
        <v>#N/A</v>
      </c>
      <c r="Y197" t="e">
        <f t="shared" si="163"/>
        <v>#N/A</v>
      </c>
      <c r="Z197" t="e">
        <f t="shared" si="164"/>
        <v>#N/A</v>
      </c>
      <c r="AA197" t="e">
        <f t="shared" si="165"/>
        <v>#N/A</v>
      </c>
      <c r="AB197" t="e">
        <f t="shared" si="166"/>
        <v>#N/A</v>
      </c>
      <c r="AC197" t="e">
        <f t="shared" si="167"/>
        <v>#N/A</v>
      </c>
      <c r="AD197" t="e">
        <f t="shared" si="168"/>
        <v>#N/A</v>
      </c>
      <c r="AE197" t="e">
        <f t="shared" si="169"/>
        <v>#N/A</v>
      </c>
      <c r="AF197" t="e">
        <f t="shared" si="170"/>
        <v>#N/A</v>
      </c>
      <c r="AG197" t="e">
        <f t="shared" si="171"/>
        <v>#N/A</v>
      </c>
      <c r="AH197" t="e">
        <f t="shared" si="172"/>
        <v>#N/A</v>
      </c>
      <c r="AI197" t="e">
        <f t="shared" si="173"/>
        <v>#N/A</v>
      </c>
      <c r="AJ197" t="e">
        <f t="shared" si="174"/>
        <v>#N/A</v>
      </c>
    </row>
    <row r="198">
      <c r="A198" s="2"/>
      <c r="L198" t="e">
        <f t="shared" si="150"/>
        <v>#N/A</v>
      </c>
      <c r="M198" t="e">
        <f t="shared" si="151"/>
        <v>#N/A</v>
      </c>
      <c r="N198" t="e">
        <f t="shared" si="152"/>
        <v>#N/A</v>
      </c>
      <c r="O198" t="n">
        <f t="shared" si="153"/>
        <v>0</v>
      </c>
      <c r="P198" t="n">
        <f t="shared" si="154"/>
        <v>0</v>
      </c>
      <c r="Q198" t="n">
        <f t="shared" si="155"/>
        <v>0</v>
      </c>
      <c r="R198" t="n">
        <f t="shared" si="156"/>
        <v>0</v>
      </c>
      <c r="S198" t="e">
        <f t="shared" si="157"/>
        <v>#N/A</v>
      </c>
      <c r="T198" t="e">
        <f t="shared" si="158"/>
        <v>#N/A</v>
      </c>
      <c r="U198" t="e">
        <f t="shared" si="159"/>
        <v>#N/A</v>
      </c>
      <c r="V198" t="e">
        <f t="shared" si="160"/>
        <v>#N/A</v>
      </c>
      <c r="W198" t="e">
        <f t="shared" si="161"/>
        <v>#N/A</v>
      </c>
      <c r="X198" t="e">
        <f t="shared" si="162"/>
        <v>#N/A</v>
      </c>
      <c r="Y198" t="e">
        <f t="shared" si="163"/>
        <v>#N/A</v>
      </c>
      <c r="Z198" t="e">
        <f t="shared" si="164"/>
        <v>#N/A</v>
      </c>
      <c r="AA198" t="e">
        <f t="shared" si="165"/>
        <v>#N/A</v>
      </c>
      <c r="AB198" t="e">
        <f t="shared" si="166"/>
        <v>#N/A</v>
      </c>
      <c r="AC198" t="e">
        <f t="shared" si="167"/>
        <v>#N/A</v>
      </c>
      <c r="AD198" t="e">
        <f t="shared" si="168"/>
        <v>#N/A</v>
      </c>
      <c r="AE198" t="e">
        <f t="shared" si="169"/>
        <v>#N/A</v>
      </c>
      <c r="AF198" t="e">
        <f t="shared" si="170"/>
        <v>#N/A</v>
      </c>
      <c r="AG198" t="e">
        <f t="shared" si="171"/>
        <v>#N/A</v>
      </c>
      <c r="AH198" t="e">
        <f t="shared" si="172"/>
        <v>#N/A</v>
      </c>
      <c r="AI198" t="e">
        <f t="shared" si="173"/>
        <v>#N/A</v>
      </c>
      <c r="AJ198" t="e">
        <f t="shared" si="174"/>
        <v>#N/A</v>
      </c>
    </row>
    <row r="199">
      <c r="A199" s="2"/>
      <c r="L199" t="e">
        <f t="shared" si="150"/>
        <v>#N/A</v>
      </c>
      <c r="M199" t="e">
        <f t="shared" si="151"/>
        <v>#N/A</v>
      </c>
      <c r="N199" t="e">
        <f t="shared" si="152"/>
        <v>#N/A</v>
      </c>
      <c r="O199" t="n">
        <f t="shared" si="153"/>
        <v>0</v>
      </c>
      <c r="P199" t="n">
        <f t="shared" si="154"/>
        <v>0</v>
      </c>
      <c r="Q199" t="n">
        <f t="shared" si="155"/>
        <v>0</v>
      </c>
      <c r="R199" t="n">
        <f t="shared" si="156"/>
        <v>0</v>
      </c>
      <c r="S199" t="e">
        <f t="shared" si="157"/>
        <v>#N/A</v>
      </c>
      <c r="T199" t="e">
        <f t="shared" si="158"/>
        <v>#N/A</v>
      </c>
      <c r="U199" t="e">
        <f t="shared" si="159"/>
        <v>#N/A</v>
      </c>
      <c r="V199" t="e">
        <f t="shared" si="160"/>
        <v>#N/A</v>
      </c>
      <c r="W199" t="e">
        <f t="shared" si="161"/>
        <v>#N/A</v>
      </c>
      <c r="X199" t="e">
        <f t="shared" si="162"/>
        <v>#N/A</v>
      </c>
      <c r="Y199" t="e">
        <f t="shared" si="163"/>
        <v>#N/A</v>
      </c>
      <c r="Z199" t="e">
        <f t="shared" si="164"/>
        <v>#N/A</v>
      </c>
      <c r="AA199" t="e">
        <f t="shared" si="165"/>
        <v>#N/A</v>
      </c>
      <c r="AB199" t="e">
        <f t="shared" si="166"/>
        <v>#N/A</v>
      </c>
      <c r="AC199" t="e">
        <f t="shared" si="167"/>
        <v>#N/A</v>
      </c>
      <c r="AD199" t="e">
        <f t="shared" si="168"/>
        <v>#N/A</v>
      </c>
      <c r="AE199" t="e">
        <f t="shared" si="169"/>
        <v>#N/A</v>
      </c>
      <c r="AF199" t="e">
        <f t="shared" si="170"/>
        <v>#N/A</v>
      </c>
      <c r="AG199" t="e">
        <f t="shared" si="171"/>
        <v>#N/A</v>
      </c>
      <c r="AH199" t="e">
        <f t="shared" si="172"/>
        <v>#N/A</v>
      </c>
      <c r="AI199" t="e">
        <f t="shared" si="173"/>
        <v>#N/A</v>
      </c>
      <c r="AJ199" t="e">
        <f t="shared" si="174"/>
        <v>#N/A</v>
      </c>
    </row>
    <row r="200">
      <c r="A200" s="2"/>
      <c r="L200" t="e">
        <f t="shared" si="150"/>
        <v>#N/A</v>
      </c>
      <c r="M200" t="e">
        <f t="shared" si="151"/>
        <v>#N/A</v>
      </c>
      <c r="N200" t="e">
        <f t="shared" si="152"/>
        <v>#N/A</v>
      </c>
      <c r="O200" t="n">
        <f t="shared" si="153"/>
        <v>0</v>
      </c>
      <c r="P200" t="n">
        <f t="shared" si="154"/>
        <v>0</v>
      </c>
      <c r="Q200" t="n">
        <f t="shared" si="155"/>
        <v>0</v>
      </c>
      <c r="R200" t="n">
        <f t="shared" si="156"/>
        <v>0</v>
      </c>
      <c r="S200" t="e">
        <f t="shared" si="157"/>
        <v>#N/A</v>
      </c>
      <c r="T200" t="e">
        <f t="shared" si="158"/>
        <v>#N/A</v>
      </c>
      <c r="U200" t="e">
        <f t="shared" si="159"/>
        <v>#N/A</v>
      </c>
      <c r="V200" t="e">
        <f t="shared" si="160"/>
        <v>#N/A</v>
      </c>
      <c r="W200" t="e">
        <f t="shared" si="161"/>
        <v>#N/A</v>
      </c>
      <c r="X200" t="e">
        <f t="shared" si="162"/>
        <v>#N/A</v>
      </c>
      <c r="Y200" t="e">
        <f t="shared" si="163"/>
        <v>#N/A</v>
      </c>
      <c r="Z200" t="e">
        <f t="shared" si="164"/>
        <v>#N/A</v>
      </c>
      <c r="AA200" t="e">
        <f t="shared" si="165"/>
        <v>#N/A</v>
      </c>
      <c r="AB200" t="e">
        <f t="shared" si="166"/>
        <v>#N/A</v>
      </c>
      <c r="AC200" t="e">
        <f t="shared" si="167"/>
        <v>#N/A</v>
      </c>
      <c r="AD200" t="e">
        <f t="shared" si="168"/>
        <v>#N/A</v>
      </c>
      <c r="AE200" t="e">
        <f t="shared" si="169"/>
        <v>#N/A</v>
      </c>
      <c r="AF200" t="e">
        <f t="shared" si="170"/>
        <v>#N/A</v>
      </c>
      <c r="AG200" t="e">
        <f t="shared" si="171"/>
        <v>#N/A</v>
      </c>
      <c r="AH200" t="e">
        <f t="shared" si="172"/>
        <v>#N/A</v>
      </c>
      <c r="AI200" t="e">
        <f t="shared" si="173"/>
        <v>#N/A</v>
      </c>
      <c r="AJ200" t="e">
        <f t="shared" si="174"/>
        <v>#N/A</v>
      </c>
    </row>
    <row r="201">
      <c r="A201" s="2"/>
      <c r="L201" t="e">
        <f t="shared" si="150"/>
        <v>#N/A</v>
      </c>
      <c r="M201" t="e">
        <f t="shared" si="151"/>
        <v>#N/A</v>
      </c>
      <c r="N201" t="e">
        <f t="shared" si="152"/>
        <v>#N/A</v>
      </c>
      <c r="O201" t="n">
        <f t="shared" si="153"/>
        <v>0</v>
      </c>
      <c r="P201" t="n">
        <f t="shared" si="154"/>
        <v>0</v>
      </c>
      <c r="Q201" t="n">
        <f t="shared" si="155"/>
        <v>0</v>
      </c>
      <c r="R201" t="n">
        <f t="shared" si="156"/>
        <v>0</v>
      </c>
      <c r="S201" t="e">
        <f t="shared" si="157"/>
        <v>#N/A</v>
      </c>
      <c r="T201" t="e">
        <f t="shared" si="158"/>
        <v>#N/A</v>
      </c>
      <c r="U201" t="e">
        <f t="shared" si="159"/>
        <v>#N/A</v>
      </c>
      <c r="V201" t="e">
        <f t="shared" si="160"/>
        <v>#N/A</v>
      </c>
      <c r="W201" t="e">
        <f t="shared" si="161"/>
        <v>#N/A</v>
      </c>
      <c r="X201" t="e">
        <f t="shared" si="162"/>
        <v>#N/A</v>
      </c>
      <c r="Y201" t="e">
        <f t="shared" si="163"/>
        <v>#N/A</v>
      </c>
      <c r="Z201" t="e">
        <f t="shared" si="164"/>
        <v>#N/A</v>
      </c>
      <c r="AA201" t="e">
        <f t="shared" si="165"/>
        <v>#N/A</v>
      </c>
      <c r="AB201" t="e">
        <f t="shared" si="166"/>
        <v>#N/A</v>
      </c>
      <c r="AC201" t="e">
        <f t="shared" si="167"/>
        <v>#N/A</v>
      </c>
      <c r="AD201" t="e">
        <f t="shared" si="168"/>
        <v>#N/A</v>
      </c>
      <c r="AE201" t="e">
        <f t="shared" si="169"/>
        <v>#N/A</v>
      </c>
      <c r="AF201" t="e">
        <f t="shared" si="170"/>
        <v>#N/A</v>
      </c>
      <c r="AG201" t="e">
        <f t="shared" si="171"/>
        <v>#N/A</v>
      </c>
      <c r="AH201" t="e">
        <f t="shared" si="172"/>
        <v>#N/A</v>
      </c>
      <c r="AI201" t="e">
        <f t="shared" si="173"/>
        <v>#N/A</v>
      </c>
      <c r="AJ201" t="e">
        <f t="shared" si="174"/>
        <v>#N/A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  <col min="5" max="5" width="15.7109375" hidden="0" customWidth="1"/>
    <col min="6" max="6" width="15.7109375" hidden="0" customWidth="1"/>
    <col min="7" max="7" width="15.7109375" hidden="0" customWidth="1"/>
    <col min="8" max="8" width="15.7109375" hidden="0" customWidth="1"/>
    <col min="9" max="9" width="15.7109375" hidden="0" customWidth="1"/>
    <col min="10" max="10" width="15.7109375" hidden="0" customWidth="1"/>
    <col min="11" max="11" width="15.7109375" hidden="0" customWidth="1"/>
    <col min="12" max="12" width="15.7109375" hidden="0" customWidth="1"/>
    <col min="13" max="13" width="15.7109375" hidden="0" customWidth="1"/>
    <col min="14" max="14" width="15.7109375" hidden="0" customWidth="1"/>
    <col min="15" max="15" width="15.7109375" hidden="0" customWidth="1"/>
    <col min="16" max="16" width="15.7109375" hidden="0" customWidth="1"/>
    <col min="17" max="17" width="15.7109375" hidden="0" customWidth="1"/>
    <col min="18" max="18" width="15.7109375" hidden="0" customWidth="1"/>
    <col min="19" max="19" width="15.7109375" hidden="0" customWidth="1"/>
    <col min="20" max="20" width="15.7109375" hidden="0" customWidth="1"/>
    <col min="21" max="21" width="15.7109375" hidden="0" customWidth="1"/>
    <col min="22" max="22" width="15.7109375" hidden="0" customWidth="1"/>
    <col min="23" max="23" width="15.7109375" hidden="0" customWidth="1"/>
    <col min="24" max="24" width="15.7109375" hidden="0" customWidth="1"/>
    <col min="25" max="25" width="15.7109375" hidden="0" customWidth="1"/>
    <col min="26" max="26" width="15.7109375" hidden="0" customWidth="1"/>
    <col min="27" max="27" width="15.7109375" hidden="0" customWidth="1"/>
    <col min="28" max="28" width="15.7109375" hidden="0" customWidth="1"/>
    <col min="29" max="29" width="15.7109375" hidden="0" customWidth="1"/>
    <col min="30" max="30" width="15.7109375" hidden="0" customWidth="1"/>
    <col min="31" max="31" width="15.7109375" hidden="0" customWidth="1"/>
    <col min="32" max="32" width="15.7109375" hidden="0" customWidth="1"/>
    <col min="33" max="33" width="15.7109375" hidden="0" customWidth="1"/>
    <col min="34" max="34" width="15.7109375" hidden="0" customWidth="1"/>
    <col min="35" max="35" width="15.7109375" hidden="0" customWidth="1"/>
    <col min="36" max="36" width="15.7109375" hidden="0" customWidth="1"/>
    <col min="37" max="37" width="15.7109375" hidden="0" customWidth="1"/>
    <col min="38" max="38" width="15.7109375" hidden="0" customWidth="1"/>
    <col min="39" max="39" width="15.7109375" hidden="0" customWidth="1"/>
    <col min="40" max="40" width="15.7109375" hidden="0" customWidth="1"/>
    <col min="41" max="41" width="15.7109375" hidden="0" customWidth="1"/>
    <col min="42" max="42" width="15.7109375" hidden="0" customWidth="1"/>
    <col min="43" max="43" width="15.7109375" hidden="0" customWidth="1"/>
    <col min="44" max="44" width="15.7109375" hidden="0" customWidth="1"/>
    <col min="45" max="45" width="15.7109375" hidden="0" customWidth="1"/>
    <col min="46" max="46" width="15.7109375" hidden="0" customWidth="1"/>
    <col min="47" max="47" width="15.7109375" hidden="0" customWidth="1"/>
    <col min="48" max="48" width="15.7109375" hidden="0" customWidth="1"/>
    <col min="49" max="49" width="15.7109375" hidden="0" customWidth="1"/>
    <col min="50" max="50" width="15.7109375" hidden="0" customWidth="1"/>
    <col min="51" max="51" width="15.7109375" hidden="0" customWidth="1"/>
    <col min="52" max="52" width="15.7109375" hidden="0" customWidth="1"/>
    <col min="53" max="53" width="15.7109375" hidden="0" customWidth="1"/>
    <col min="54" max="54" width="15.7109375" hidden="0" customWidth="1"/>
    <col min="55" max="55" width="15.7109375" hidden="0" customWidth="1"/>
    <col min="56" max="56" width="15.7109375" hidden="0" customWidth="1"/>
    <col min="57" max="57" width="15.7109375" hidden="0" customWidth="1"/>
    <col min="58" max="58" width="15.7109375" hidden="0" customWidth="1"/>
    <col min="59" max="59" width="15.7109375" hidden="0" customWidth="1"/>
    <col min="60" max="60" width="15.7109375" hidden="0" customWidth="1"/>
    <col min="61" max="61" width="15.7109375" hidden="0" customWidth="1"/>
    <col min="62" max="62" width="15.7109375" hidden="0" customWidth="1"/>
    <col min="63" max="63" width="15.7109375" hidden="0" customWidth="1"/>
    <col min="64" max="64" width="15.7109375" hidden="0" customWidth="1"/>
    <col min="65" max="65" width="15.7109375" hidden="0" customWidth="1"/>
    <col min="66" max="66" width="15.7109375" hidden="0" customWidth="1"/>
    <col min="67" max="67" width="15.7109375" hidden="0" customWidth="1"/>
    <col min="68" max="68" width="15.7109375" hidden="0" customWidth="1"/>
    <col min="69" max="69" width="15.7109375" hidden="0" customWidth="1"/>
    <col min="70" max="70" width="15.7109375" hidden="0" customWidth="1"/>
    <col min="71" max="71" width="15.7109375" hidden="0" customWidth="1"/>
    <col min="72" max="72" width="15.7109375" hidden="0" customWidth="1"/>
    <col min="73" max="73" width="15.7109375" hidden="0" customWidth="1"/>
    <col min="74" max="74" width="15.7109375" hidden="0" customWidth="1"/>
    <col min="75" max="75" width="15.7109375" hidden="0" customWidth="1"/>
    <col min="76" max="76" width="15.7109375" hidden="0" customWidth="1"/>
    <col min="77" max="77" width="15.7109375" hidden="0" customWidth="1"/>
    <col min="78" max="78" width="15.7109375" hidden="0" customWidth="1"/>
    <col min="79" max="79" width="15.7109375" hidden="0" customWidth="1"/>
    <col min="80" max="80" width="15.7109375" hidden="0" customWidth="1"/>
    <col min="81" max="81" width="15.7109375" hidden="0" customWidth="1"/>
    <col min="82" max="82" width="15.7109375" hidden="0" customWidth="1"/>
    <col min="83" max="83" width="15.7109375" hidden="0" customWidth="1"/>
    <col min="84" max="84" width="15.7109375" hidden="0" customWidth="1"/>
    <col min="85" max="85" width="15.7109375" hidden="0" customWidth="1"/>
    <col min="86" max="86" width="15.7109375" hidden="0" customWidth="1"/>
    <col min="87" max="87" width="15.7109375" hidden="0" customWidth="1"/>
    <col min="88" max="88" width="15.7109375" hidden="0" customWidth="1"/>
    <col min="89" max="89" width="15.7109375" hidden="0" customWidth="1"/>
    <col min="90" max="90" width="15.7109375" hidden="0" customWidth="1"/>
    <col min="91" max="91" width="15.7109375" hidden="0" customWidth="1"/>
    <col min="92" max="92" width="15.7109375" hidden="0" customWidth="1"/>
    <col min="93" max="93" width="15.7109375" hidden="0" customWidth="1"/>
    <col min="94" max="94" width="15.7109375" hidden="0" customWidth="1"/>
    <col min="95" max="95" width="15.7109375" hidden="0" customWidth="1"/>
    <col min="96" max="96" width="15.7109375" hidden="0" customWidth="1"/>
    <col min="97" max="97" width="15.7109375" hidden="0" customWidth="1"/>
    <col min="98" max="98" width="15.7109375" hidden="0" customWidth="1"/>
    <col min="99" max="99" width="15.7109375" hidden="0" customWidth="1"/>
    <col min="100" max="100" width="15.7109375" hidden="0" customWidth="1"/>
    <col min="101" max="101" width="15.7109375" hidden="0" customWidth="1"/>
    <col min="102" max="102" width="15.7109375" hidden="0" customWidth="1"/>
    <col min="103" max="103" width="15.7109375" hidden="0" customWidth="1"/>
    <col min="104" max="104" width="15.7109375" hidden="0" customWidth="1"/>
    <col min="105" max="105" width="15.7109375" hidden="0" customWidth="1"/>
    <col min="106" max="106" width="15.7109375" hidden="0" customWidth="1"/>
    <col min="107" max="107" width="15.7109375" hidden="0" customWidth="1"/>
    <col min="108" max="108" width="15.7109375" hidden="0" customWidth="1"/>
    <col min="109" max="109" width="15.7109375" hidden="0" customWidth="1"/>
    <col min="110" max="110" width="15.7109375" hidden="0" customWidth="1"/>
    <col min="111" max="111" width="15.7109375" hidden="0" customWidth="1"/>
    <col min="112" max="112" width="15.7109375" hidden="0" customWidth="1"/>
    <col min="113" max="113" width="15.7109375" hidden="0" customWidth="1"/>
    <col min="114" max="114" width="15.7109375" hidden="0" customWidth="1"/>
    <col min="115" max="115" width="15.7109375" hidden="0" customWidth="1"/>
    <col min="116" max="116" width="15.7109375" hidden="0" customWidth="1"/>
    <col min="117" max="117" width="15.7109375" hidden="0" customWidth="1"/>
    <col min="118" max="118" width="15.7109375" hidden="0" customWidth="1"/>
    <col min="119" max="119" width="15.7109375" hidden="0" customWidth="1"/>
    <col min="120" max="120" width="15.7109375" hidden="0" customWidth="1"/>
    <col min="121" max="121" width="15.7109375" hidden="0" customWidth="1"/>
    <col min="122" max="122" width="15.7109375" hidden="0" customWidth="1"/>
    <col min="123" max="123" width="15.7109375" hidden="0" customWidth="1"/>
    <col min="124" max="124" width="15.7109375" hidden="0" customWidth="1"/>
    <col min="125" max="125" width="15.7109375" hidden="0" customWidth="1"/>
    <col min="126" max="126" width="15.7109375" hidden="0" customWidth="1"/>
    <col min="127" max="127" width="15.7109375" hidden="0" customWidth="1"/>
    <col min="128" max="128" width="15.7109375" hidden="0" customWidth="1"/>
    <col min="129" max="129" width="15.7109375" hidden="0" customWidth="1"/>
    <col min="130" max="130" width="15.7109375" hidden="0" customWidth="1"/>
    <col min="131" max="131" width="15.7109375" hidden="0" customWidth="1"/>
    <col min="132" max="132" width="15.7109375" hidden="0" customWidth="1"/>
    <col min="133" max="133" width="15.7109375" hidden="0" customWidth="1"/>
    <col min="134" max="134" width="15.7109375" hidden="0" customWidth="1"/>
    <col min="135" max="135" width="15.7109375" hidden="0" customWidth="1"/>
    <col min="136" max="136" width="15.7109375" hidden="0" customWidth="1"/>
    <col min="137" max="137" width="15.7109375" hidden="0" customWidth="1"/>
    <col min="138" max="138" width="15.7109375" hidden="0" customWidth="1"/>
    <col min="139" max="139" width="15.7109375" hidden="0" customWidth="1"/>
  </cols>
  <sheetData>
    <row r="1">
      <c r="A1" s="1" t="s">
        <v>0</v>
      </c>
      <c r="B1" t="s">
        <v>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7</v>
      </c>
      <c r="N1" t="s">
        <v>46</v>
      </c>
      <c r="O1" t="s">
        <v>3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8</v>
      </c>
      <c r="AU1" t="s">
        <v>9</v>
      </c>
      <c r="AV1" t="s">
        <v>76</v>
      </c>
      <c r="AW1" t="s">
        <v>77</v>
      </c>
      <c r="AX1" t="s">
        <v>78</v>
      </c>
      <c r="AY1" t="s">
        <v>79</v>
      </c>
      <c r="AZ1" t="s">
        <v>80</v>
      </c>
      <c r="BA1" t="s">
        <v>81</v>
      </c>
      <c r="BB1" t="s">
        <v>82</v>
      </c>
      <c r="BC1" t="s">
        <v>83</v>
      </c>
      <c r="BD1" t="s">
        <v>84</v>
      </c>
      <c r="BE1" t="s">
        <v>85</v>
      </c>
      <c r="BF1" t="s">
        <v>86</v>
      </c>
      <c r="BG1" t="s">
        <v>87</v>
      </c>
      <c r="BH1" t="s">
        <v>88</v>
      </c>
      <c r="BI1" t="s">
        <v>89</v>
      </c>
      <c r="BJ1" t="s">
        <v>90</v>
      </c>
      <c r="BK1" t="s">
        <v>91</v>
      </c>
      <c r="BL1" t="s">
        <v>92</v>
      </c>
      <c r="BM1" t="s">
        <v>93</v>
      </c>
      <c r="BN1" t="s">
        <v>94</v>
      </c>
      <c r="BO1" t="s">
        <v>1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4</v>
      </c>
      <c r="BZ1" t="s">
        <v>104</v>
      </c>
      <c r="CA1" t="s">
        <v>105</v>
      </c>
      <c r="CB1" t="s">
        <v>6</v>
      </c>
      <c r="CC1" t="s">
        <v>106</v>
      </c>
      <c r="CD1" t="s">
        <v>107</v>
      </c>
      <c r="CE1" t="s">
        <v>108</v>
      </c>
      <c r="CF1" t="s">
        <v>109</v>
      </c>
      <c r="CG1" t="s">
        <v>110</v>
      </c>
      <c r="CH1" t="s">
        <v>111</v>
      </c>
      <c r="CI1" t="s">
        <v>112</v>
      </c>
      <c r="CJ1" t="s">
        <v>113</v>
      </c>
      <c r="CK1" t="s">
        <v>114</v>
      </c>
      <c r="CL1" t="s">
        <v>115</v>
      </c>
      <c r="CM1" t="s">
        <v>116</v>
      </c>
      <c r="CN1" t="s">
        <v>117</v>
      </c>
      <c r="CO1" t="s">
        <v>118</v>
      </c>
      <c r="CP1" t="s">
        <v>119</v>
      </c>
      <c r="CQ1" t="s">
        <v>120</v>
      </c>
      <c r="CR1" t="s">
        <v>121</v>
      </c>
      <c r="CS1" t="s">
        <v>122</v>
      </c>
      <c r="CT1" t="s">
        <v>123</v>
      </c>
      <c r="CU1" t="s">
        <v>124</v>
      </c>
      <c r="CV1" t="s">
        <v>125</v>
      </c>
      <c r="CW1" t="s">
        <v>126</v>
      </c>
      <c r="CX1" t="s">
        <v>127</v>
      </c>
      <c r="CY1" t="s">
        <v>128</v>
      </c>
      <c r="CZ1" t="s">
        <v>129</v>
      </c>
      <c r="DA1" t="s">
        <v>130</v>
      </c>
      <c r="DB1" t="s">
        <v>131</v>
      </c>
      <c r="DC1" t="s">
        <v>132</v>
      </c>
      <c r="DD1" t="s">
        <v>133</v>
      </c>
      <c r="DE1" t="s">
        <v>134</v>
      </c>
      <c r="DF1" t="s">
        <v>135</v>
      </c>
      <c r="DG1" t="s">
        <v>136</v>
      </c>
      <c r="DH1" t="s">
        <v>137</v>
      </c>
      <c r="DI1" t="s">
        <v>138</v>
      </c>
      <c r="DJ1" t="s">
        <v>139</v>
      </c>
      <c r="DK1" t="s">
        <v>140</v>
      </c>
      <c r="DL1" t="s">
        <v>141</v>
      </c>
      <c r="DM1" t="s">
        <v>142</v>
      </c>
      <c r="DN1" t="s">
        <v>143</v>
      </c>
      <c r="DO1" t="s">
        <v>144</v>
      </c>
      <c r="DP1" t="s">
        <v>145</v>
      </c>
      <c r="DQ1" t="s">
        <v>146</v>
      </c>
      <c r="DR1" t="s">
        <v>147</v>
      </c>
      <c r="DS1" t="s">
        <v>148</v>
      </c>
      <c r="DT1" t="s">
        <v>149</v>
      </c>
      <c r="DU1" t="s">
        <v>150</v>
      </c>
      <c r="DV1" t="s">
        <v>151</v>
      </c>
      <c r="DW1" t="s">
        <v>152</v>
      </c>
      <c r="DX1" t="s">
        <v>153</v>
      </c>
      <c r="DY1" t="s">
        <v>154</v>
      </c>
      <c r="DZ1" t="s">
        <v>155</v>
      </c>
      <c r="EA1" t="s">
        <v>156</v>
      </c>
      <c r="EB1" t="s">
        <v>157</v>
      </c>
      <c r="EC1" t="s">
        <v>158</v>
      </c>
      <c r="ED1" t="s">
        <v>159</v>
      </c>
      <c r="EE1" t="s">
        <v>160</v>
      </c>
      <c r="EF1" t="s">
        <v>161</v>
      </c>
      <c r="EG1" t="s">
        <v>162</v>
      </c>
      <c r="EH1" t="s">
        <v>163</v>
      </c>
      <c r="EI1" t="s">
        <v>164</v>
      </c>
    </row>
    <row r="2">
      <c r="A2" s="2" t="n">
        <v>45992</v>
      </c>
      <c r="B2" t="n">
        <v>355091.626663159</v>
      </c>
      <c r="C2" t="n">
        <v>36864.8957689682</v>
      </c>
      <c r="D2" t="n">
        <v>18823.8728087311</v>
      </c>
      <c r="E2" t="n">
        <v>216966.642649534</v>
      </c>
      <c r="F2" t="n">
        <v>37845.1946863737</v>
      </c>
      <c r="G2" t="n">
        <v>11695.7107633624</v>
      </c>
      <c r="H2" t="n">
        <v>46433.1288544091</v>
      </c>
      <c r="I2" t="n">
        <v>46718.5105284119</v>
      </c>
      <c r="J2" t="n">
        <v>89267.9715934165</v>
      </c>
      <c r="K2" t="n">
        <v>412.721788480285</v>
      </c>
      <c r="L2" t="n">
        <v>4620.05152010721</v>
      </c>
      <c r="M2" t="n">
        <v>0.668738350026895</v>
      </c>
      <c r="N2" t="n">
        <v>26415.8830093047</v>
      </c>
      <c r="O2" t="n">
        <v>144.861693768467</v>
      </c>
      <c r="P2" t="n">
        <v>1.26520333014046</v>
      </c>
      <c r="Q2" t="n">
        <v>1.07534012630873</v>
      </c>
      <c r="R2" t="n">
        <v>1.02338852432834</v>
      </c>
      <c r="S2" t="n">
        <v>0.0780872229832741</v>
      </c>
      <c r="T2" t="n">
        <v>8914.66453932099</v>
      </c>
      <c r="U2" t="n">
        <v>0.41104884007212</v>
      </c>
      <c r="V2" t="n">
        <v>0.667380773125949</v>
      </c>
      <c r="W2" t="n">
        <v>18750342.746567</v>
      </c>
      <c r="X2" t="n">
        <v>59738.9326680718</v>
      </c>
      <c r="Y2" t="n">
        <v>4306589.10680436</v>
      </c>
      <c r="Z2" t="n">
        <v>858.351503419708</v>
      </c>
      <c r="AA2" t="n">
        <v>1.04881686690644</v>
      </c>
      <c r="AB2" t="n">
        <v>1.03444849446795</v>
      </c>
      <c r="AC2" t="n">
        <v>1.07054850336474</v>
      </c>
      <c r="AD2" t="n">
        <v>1.06183181758524</v>
      </c>
      <c r="AE2" t="n">
        <v>107.380531662776</v>
      </c>
      <c r="AF2" t="n">
        <v>90280.2239374914</v>
      </c>
      <c r="AG2" t="n">
        <v>844.857393096413</v>
      </c>
      <c r="AH2" t="n">
        <v>100.784538323181</v>
      </c>
      <c r="AI2" t="n">
        <v>63900.2980807807</v>
      </c>
      <c r="AJ2" t="n">
        <v>86610.2593191677</v>
      </c>
      <c r="AK2" t="n">
        <v>494.234557005242</v>
      </c>
      <c r="AL2" t="n">
        <v>24146.0859081506</v>
      </c>
      <c r="AM2" t="n">
        <v>19172.7948964644</v>
      </c>
      <c r="AN2" t="n">
        <v>0.864905146481714</v>
      </c>
      <c r="AO2" t="n">
        <v>0.953633992610577</v>
      </c>
      <c r="AP2" t="n">
        <v>1.03012347548055</v>
      </c>
      <c r="AQ2" t="n">
        <v>1.06485973778206</v>
      </c>
      <c r="AR2" t="n">
        <v>32152.7604477881</v>
      </c>
      <c r="AS2" t="n">
        <v>164127.999631379</v>
      </c>
      <c r="AT2" t="n">
        <v>0.0313989538539444</v>
      </c>
      <c r="AU2" t="n">
        <v>0.0420176539960489</v>
      </c>
      <c r="AV2" t="n">
        <v>0.162094548649133</v>
      </c>
      <c r="AW2" t="n">
        <v>-20.3573504657543</v>
      </c>
      <c r="AX2" t="n">
        <v>11150.4565404427</v>
      </c>
      <c r="AY2" t="n">
        <v>17416.5193118797</v>
      </c>
      <c r="AZ2" t="n">
        <v>167271.046249549</v>
      </c>
      <c r="BA2" t="n">
        <v>378122.771766168</v>
      </c>
      <c r="BB2" t="n">
        <v>171174.200125032</v>
      </c>
      <c r="BC2" t="n">
        <v>210400.344149787</v>
      </c>
      <c r="BD2" t="n">
        <v>49168.265791797</v>
      </c>
      <c r="BE2" t="n">
        <v>14.9831277549456</v>
      </c>
      <c r="BF2" t="n">
        <v>39144.319279454</v>
      </c>
      <c r="BG2" t="n">
        <v>14107.5947475546</v>
      </c>
      <c r="BH2" t="n">
        <v>19742.7953022987</v>
      </c>
      <c r="BI2" t="n">
        <v>66101.5664982507</v>
      </c>
      <c r="BJ2" t="n">
        <v>41683.5614864852</v>
      </c>
      <c r="BK2" t="n">
        <v>77208.3280471294</v>
      </c>
      <c r="BL2" t="n">
        <v>18728.6820766952</v>
      </c>
      <c r="BM2" t="n">
        <v>18283.8289466191</v>
      </c>
      <c r="BN2" t="n">
        <v>34525.8051130935</v>
      </c>
      <c r="BO2" t="n">
        <v>160336.204183537</v>
      </c>
      <c r="BP2" t="n">
        <v>167966.711343719</v>
      </c>
      <c r="BQ2" t="n">
        <v>722446.302045062</v>
      </c>
      <c r="BR2" t="n">
        <v>688864.763365552</v>
      </c>
      <c r="BS2" t="n">
        <v>686151.698852826</v>
      </c>
      <c r="BT2" t="n">
        <v>106.461865699375</v>
      </c>
      <c r="BU2" t="n">
        <v>1.04874901737806</v>
      </c>
      <c r="BV2" t="n">
        <v>0.958541288396884</v>
      </c>
      <c r="BW2" t="n">
        <v>93.6634782988196</v>
      </c>
      <c r="BX2" t="n">
        <v>75551.9112502851</v>
      </c>
      <c r="BY2" t="n">
        <v>1.0775945921432</v>
      </c>
      <c r="BZ2" t="n">
        <v>81414.3309893899</v>
      </c>
      <c r="CA2" t="n">
        <v>10040.0326427141</v>
      </c>
      <c r="CB2" t="n">
        <v>14660.0841628213</v>
      </c>
      <c r="CC2" t="n">
        <v>15393.4093099952</v>
      </c>
      <c r="CD2" t="n">
        <v>733.325147173915</v>
      </c>
      <c r="CE2" t="n">
        <v>0.047638941993144</v>
      </c>
      <c r="CF2" t="n">
        <v>10930997.3576278</v>
      </c>
      <c r="CG2" t="n">
        <v>356429.920251511</v>
      </c>
      <c r="CH2" t="n">
        <v>450769.218523151</v>
      </c>
      <c r="CI2" t="n">
        <v>249609.133554266</v>
      </c>
      <c r="CJ2" t="n">
        <v>19624.3754239653</v>
      </c>
      <c r="CK2" t="n">
        <v>716239.178008126</v>
      </c>
      <c r="CL2" t="n">
        <v>0.055440623124433</v>
      </c>
      <c r="CM2" t="n">
        <v>18.0373153049807</v>
      </c>
      <c r="CN2" t="n">
        <v>1138776.53851023</v>
      </c>
      <c r="CO2" t="n">
        <v>2602621.14978424</v>
      </c>
      <c r="CP2" t="n">
        <v>3135175.83877908</v>
      </c>
      <c r="CQ2" t="n">
        <v>3741397.68829447</v>
      </c>
      <c r="CR2" t="n">
        <v>8964050.02139075</v>
      </c>
      <c r="CS2" t="n">
        <v>-0.0062922622525558</v>
      </c>
      <c r="CT2" t="n">
        <v>0.00432643788954876</v>
      </c>
      <c r="CU2" t="n">
        <v>0.0403960068767739</v>
      </c>
      <c r="CV2" t="n">
        <v>1.36098583649337</v>
      </c>
      <c r="CW2" t="n">
        <v>0.0685980678023163</v>
      </c>
      <c r="CX2" t="n">
        <v>0.0359883333333333</v>
      </c>
      <c r="CY2" t="n">
        <v>0.0315806717244602</v>
      </c>
      <c r="CZ2" t="n">
        <v>-0.0272542338349114</v>
      </c>
      <c r="DA2" t="n">
        <v>0.606583813124997</v>
      </c>
      <c r="DB2" t="n">
        <v>5.92531732227025</v>
      </c>
      <c r="DC2" t="n">
        <v>0.0491284451039444</v>
      </c>
      <c r="DD2" t="n">
        <v>0.0341148655789605</v>
      </c>
      <c r="DE2" t="n">
        <v>0.00709659558426898</v>
      </c>
      <c r="DF2" t="n">
        <v>0.113579930506749</v>
      </c>
      <c r="DG2" t="n">
        <v>200181.960215847</v>
      </c>
      <c r="DH2" t="n">
        <v>109.334981794002</v>
      </c>
      <c r="DI2" t="n">
        <v>4.72994494461949</v>
      </c>
      <c r="DJ2" t="n">
        <v>4.12779639698653</v>
      </c>
      <c r="DK2" t="n">
        <v>0.0484267358713257</v>
      </c>
      <c r="DL2" t="n">
        <v>0.669440030437354</v>
      </c>
      <c r="DM2" t="n">
        <v>1.06520055236338</v>
      </c>
      <c r="DN2" t="n">
        <v>0.0399169327369503</v>
      </c>
      <c r="DO2" t="n">
        <v>0.0374213819593254</v>
      </c>
      <c r="DP2" t="n">
        <v>27807.5</v>
      </c>
      <c r="DQ2" t="n">
        <v>23018.5831414875</v>
      </c>
      <c r="DR2" t="n">
        <v>159893.923149704</v>
      </c>
      <c r="DS2" t="n">
        <v>28230.3912902088</v>
      </c>
      <c r="DT2" t="n">
        <v>12057.6457759338</v>
      </c>
      <c r="DU2" t="n">
        <v>0</v>
      </c>
      <c r="DV2" t="n">
        <v>73.75</v>
      </c>
      <c r="DW2" t="n">
        <v>221584</v>
      </c>
      <c r="DX2" t="n">
        <v>2.04023770383496</v>
      </c>
      <c r="DY2" t="n">
        <v>67.737</v>
      </c>
      <c r="DZ2" t="n">
        <v>1.01739329913342</v>
      </c>
      <c r="EA2" t="n">
        <v>1.16441566706905</v>
      </c>
      <c r="EB2" t="n">
        <v>140094950.85763</v>
      </c>
      <c r="EC2" t="n">
        <v>3.30177570093458</v>
      </c>
      <c r="ED2" t="n">
        <v>0.0429</v>
      </c>
      <c r="EE2" t="n">
        <v>0.0151</v>
      </c>
      <c r="EF2" t="n">
        <v>0.0261</v>
      </c>
      <c r="EG2" t="n">
        <v>0.0458</v>
      </c>
      <c r="EH2" t="n">
        <v>693275.494200801</v>
      </c>
      <c r="EI2" t="n">
        <v>357111.451634481</v>
      </c>
      <c r="EJ2" t="n">
        <v>840.952911909377</v>
      </c>
      <c r="EK2" t="n">
        <v>1.74097825883199</v>
      </c>
      <c r="EL2" t="n">
        <v>3.76912161065002</v>
      </c>
    </row>
    <row r="3">
      <c r="A3" s="2" t="n">
        <v>46082</v>
      </c>
      <c r="B3" t="n">
        <v>360111.637408295</v>
      </c>
      <c r="C3" t="n">
        <v>37067.0321234082</v>
      </c>
      <c r="D3" t="n">
        <v>19133.2778927972</v>
      </c>
      <c r="E3" t="n">
        <v>216876.415901546</v>
      </c>
      <c r="F3" t="n">
        <v>41030.2157603036</v>
      </c>
      <c r="G3" t="n">
        <v>11627.5990912849</v>
      </c>
      <c r="H3" t="n">
        <v>47957.5781994737</v>
      </c>
      <c r="I3" t="n">
        <v>47976.2527016114</v>
      </c>
      <c r="J3" t="n">
        <v>96493.4965053367</v>
      </c>
      <c r="K3" t="n">
        <v>412.741843855045</v>
      </c>
      <c r="L3" t="n">
        <v>4662.48701153344</v>
      </c>
      <c r="M3" t="n">
        <v>0.668210262714031</v>
      </c>
      <c r="N3" t="n">
        <v>26492.9760390177</v>
      </c>
      <c r="O3" t="n">
        <v>146.572442197371</v>
      </c>
      <c r="P3" t="n">
        <v>1.29043899821387</v>
      </c>
      <c r="Q3" t="n">
        <v>1.09721048449425</v>
      </c>
      <c r="R3" t="n">
        <v>1.03380728725896</v>
      </c>
      <c r="S3" t="n">
        <v>0.0843805228131797</v>
      </c>
      <c r="T3" t="n">
        <v>9187.87382085698</v>
      </c>
      <c r="U3" t="n">
        <v>0.397693250220635</v>
      </c>
      <c r="V3" t="n">
        <v>0.642374063302119</v>
      </c>
      <c r="W3" t="n">
        <v>19187752.6591361</v>
      </c>
      <c r="X3" t="n">
        <v>60517.5309575252</v>
      </c>
      <c r="Y3" t="n">
        <v>4342786.42645362</v>
      </c>
      <c r="Z3" t="n">
        <v>879.018043302583</v>
      </c>
      <c r="AA3" t="n">
        <v>1.05379530011085</v>
      </c>
      <c r="AB3" t="n">
        <v>1.03975097573009</v>
      </c>
      <c r="AC3" t="n">
        <v>1.07835538358758</v>
      </c>
      <c r="AD3" t="n">
        <v>1.07448096838849</v>
      </c>
      <c r="AE3" t="n">
        <v>108.271215129316</v>
      </c>
      <c r="AF3" t="n">
        <v>91594.2722671639</v>
      </c>
      <c r="AG3" t="n">
        <v>864.333783411753</v>
      </c>
      <c r="AH3" t="n">
        <v>101.887613262382</v>
      </c>
      <c r="AI3" t="n">
        <v>65332.4875175611</v>
      </c>
      <c r="AJ3" t="n">
        <v>89385.3526670051</v>
      </c>
      <c r="AK3" t="n">
        <v>488.414516241199</v>
      </c>
      <c r="AL3" t="n">
        <v>24314.1279710068</v>
      </c>
      <c r="AM3" t="n">
        <v>19466.019692901</v>
      </c>
      <c r="AN3" t="n">
        <v>0.908090308102355</v>
      </c>
      <c r="AO3" t="n">
        <v>0.954344000333156</v>
      </c>
      <c r="AP3" t="n">
        <v>1.04099253404949</v>
      </c>
      <c r="AQ3" t="n">
        <v>1.07617912150834</v>
      </c>
      <c r="AR3" t="n">
        <v>33015.6535394902</v>
      </c>
      <c r="AS3" t="n">
        <v>166239.28472695</v>
      </c>
      <c r="AT3" t="n">
        <v>0.0421150864010787</v>
      </c>
      <c r="AU3" t="n">
        <v>0.0418648542175487</v>
      </c>
      <c r="AV3" t="n">
        <v>0.0677995847267926</v>
      </c>
      <c r="AW3" t="n">
        <v>-90.2267479885777</v>
      </c>
      <c r="AX3" t="n">
        <v>11211.5963480676</v>
      </c>
      <c r="AY3" t="n">
        <v>17794.905951988</v>
      </c>
      <c r="AZ3" t="n">
        <v>176031.075689716</v>
      </c>
      <c r="BA3" t="n">
        <v>387544.626649961</v>
      </c>
      <c r="BB3" t="n">
        <v>173595.845316625</v>
      </c>
      <c r="BC3" t="n">
        <v>216523.793289233</v>
      </c>
      <c r="BD3" t="n">
        <v>47222.897926686</v>
      </c>
      <c r="BE3" t="n">
        <v>14.7803903592879</v>
      </c>
      <c r="BF3" t="n">
        <v>39827.8205712469</v>
      </c>
      <c r="BG3" t="n">
        <v>14467.8811597787</v>
      </c>
      <c r="BH3" t="n">
        <v>20162.5583191446</v>
      </c>
      <c r="BI3" t="n">
        <v>67929.5170136333</v>
      </c>
      <c r="BJ3" t="n">
        <v>42109.7943605035</v>
      </c>
      <c r="BK3" t="n">
        <v>87624.8089714047</v>
      </c>
      <c r="BL3" t="n">
        <v>19524.7573811104</v>
      </c>
      <c r="BM3" t="n">
        <v>18577.2791042871</v>
      </c>
      <c r="BN3" t="n">
        <v>35746.4492700911</v>
      </c>
      <c r="BO3" t="n">
        <v>173062.854726893</v>
      </c>
      <c r="BP3" t="n">
        <v>171859.383979439</v>
      </c>
      <c r="BQ3" t="n">
        <v>746841.514138348</v>
      </c>
      <c r="BR3" t="n">
        <v>703830.84954872</v>
      </c>
      <c r="BS3" t="n">
        <v>694469.036893127</v>
      </c>
      <c r="BT3" t="n">
        <v>107.42821210959</v>
      </c>
      <c r="BU3" t="n">
        <v>1.06110937297941</v>
      </c>
      <c r="BV3" t="n">
        <v>0.983138085413653</v>
      </c>
      <c r="BW3" t="n">
        <v>95.0987768736227</v>
      </c>
      <c r="BX3" t="n">
        <v>76620.0057301691</v>
      </c>
      <c r="BY3" t="n">
        <v>1.08938873843774</v>
      </c>
      <c r="BZ3" t="n">
        <v>83468.9713814813</v>
      </c>
      <c r="CA3" t="n">
        <v>10123.9281870036</v>
      </c>
      <c r="CB3" t="n">
        <v>14786.4151985371</v>
      </c>
      <c r="CC3" t="n">
        <v>15447.896068651</v>
      </c>
      <c r="CD3" t="n">
        <v>661.480870113943</v>
      </c>
      <c r="CE3" t="n">
        <v>0.042820119813057</v>
      </c>
      <c r="CF3" t="n">
        <v>10969736.8987441</v>
      </c>
      <c r="CG3" t="n">
        <v>360550.582002813</v>
      </c>
      <c r="CH3" t="n">
        <v>458486.813628184</v>
      </c>
      <c r="CI3" t="n">
        <v>265497.889692018</v>
      </c>
      <c r="CJ3" t="n">
        <v>19960.3632809169</v>
      </c>
      <c r="CK3" t="n">
        <v>740424.790983883</v>
      </c>
      <c r="CL3" t="n">
        <v>0.0531586007561914</v>
      </c>
      <c r="CM3" t="n">
        <v>18.8116313404568</v>
      </c>
      <c r="CN3" t="n">
        <v>1139086.48021705</v>
      </c>
      <c r="CO3" t="n">
        <v>2624813.57850372</v>
      </c>
      <c r="CP3" t="n">
        <v>3146915.54132478</v>
      </c>
      <c r="CQ3" t="n">
        <v>3763900.05872077</v>
      </c>
      <c r="CR3" t="n">
        <v>8998292.09436276</v>
      </c>
      <c r="CS3" t="n">
        <v>0.00185644766884786</v>
      </c>
      <c r="CT3" t="n">
        <v>0.00160621548531791</v>
      </c>
      <c r="CU3" t="n">
        <v>0.0441218840809489</v>
      </c>
      <c r="CV3" t="n">
        <v>1.3770584387181</v>
      </c>
      <c r="CW3" t="n">
        <v>0.0629697757931706</v>
      </c>
      <c r="CX3" t="n">
        <v>0.0383713858586026</v>
      </c>
      <c r="CY3" t="n">
        <v>0.0267515743493295</v>
      </c>
      <c r="CZ3" t="n">
        <v>-0.0251453588640116</v>
      </c>
      <c r="DA3" t="n">
        <v>0.596177228586761</v>
      </c>
      <c r="DB3" t="n">
        <v>5.99715765204291</v>
      </c>
      <c r="DC3" t="n">
        <v>0.0598445776510787</v>
      </c>
      <c r="DD3" t="n">
        <v>0.041122273883184</v>
      </c>
      <c r="DE3" t="n">
        <v>0.00708534268525512</v>
      </c>
      <c r="DF3" t="n">
        <v>0.113809927835915</v>
      </c>
      <c r="DG3" t="n">
        <v>201544.242059355</v>
      </c>
      <c r="DH3" t="n">
        <v>108.247245905188</v>
      </c>
      <c r="DI3" t="n">
        <v>4.72011978219596</v>
      </c>
      <c r="DJ3" t="n">
        <v>4.11503392457454</v>
      </c>
      <c r="DK3" t="n">
        <v>0.0484267358713257</v>
      </c>
      <c r="DL3" t="n">
        <v>0.669440030437354</v>
      </c>
      <c r="DM3" t="n">
        <v>1.07591023942306</v>
      </c>
      <c r="DN3" t="n">
        <v>0.0399169327369503</v>
      </c>
      <c r="DO3" t="n">
        <v>0.0374213819593254</v>
      </c>
      <c r="DP3" t="n">
        <v>27906.05</v>
      </c>
      <c r="DQ3" t="n">
        <v>23118.3160909669</v>
      </c>
      <c r="DR3" t="n">
        <v>160982.036125316</v>
      </c>
      <c r="DS3" t="n">
        <v>28422.5052521678</v>
      </c>
      <c r="DT3" t="n">
        <v>12139.7006818719</v>
      </c>
      <c r="DU3" t="n">
        <v>0</v>
      </c>
      <c r="DV3" t="n">
        <v>73.75</v>
      </c>
      <c r="DW3" t="n">
        <v>218260.24</v>
      </c>
      <c r="DX3" t="n">
        <v>2.05476139373589</v>
      </c>
      <c r="DY3" t="n">
        <v>71.0986240015636</v>
      </c>
      <c r="DZ3" t="n">
        <v>1.05870195663977</v>
      </c>
      <c r="EA3" t="n">
        <v>1.16820274370124</v>
      </c>
      <c r="EB3" t="n">
        <v>141615609.792121</v>
      </c>
      <c r="EC3" t="n">
        <v>3.27572706201137</v>
      </c>
      <c r="ED3" t="n">
        <v>0.0431166666666667</v>
      </c>
      <c r="EE3" t="n">
        <v>0.0255759818181819</v>
      </c>
      <c r="EF3" t="n">
        <v>0.0299805555556667</v>
      </c>
      <c r="EG3" t="n">
        <v>0.0448996666666666</v>
      </c>
      <c r="EH3" t="n">
        <v>698134.194999682</v>
      </c>
      <c r="EI3" t="n">
        <v>359365.449863218</v>
      </c>
      <c r="EJ3" t="n">
        <v>858.1416357791</v>
      </c>
      <c r="EK3" t="n">
        <v>3.57780276176536</v>
      </c>
      <c r="EL3" t="n">
        <v>4.02586387322308</v>
      </c>
    </row>
    <row r="4">
      <c r="A4" s="2" t="n">
        <v>46174</v>
      </c>
      <c r="B4" t="n">
        <v>362966.815723289</v>
      </c>
      <c r="C4" t="n">
        <v>37241.6529393243</v>
      </c>
      <c r="D4" t="n">
        <v>19396.5140171164</v>
      </c>
      <c r="E4" t="n">
        <v>218176.570523769</v>
      </c>
      <c r="F4" t="n">
        <v>41522.7343066462</v>
      </c>
      <c r="G4" t="n">
        <v>11652.0677352588</v>
      </c>
      <c r="H4" t="n">
        <v>48692.114450688</v>
      </c>
      <c r="I4" t="n">
        <v>49080.8927923694</v>
      </c>
      <c r="J4" t="n">
        <v>91567.3349281423</v>
      </c>
      <c r="K4" t="n">
        <v>411.726352695062</v>
      </c>
      <c r="L4" t="n">
        <v>4698.81235437585</v>
      </c>
      <c r="M4" t="n">
        <v>0.668897178462775</v>
      </c>
      <c r="N4" t="n">
        <v>26908.4998345478</v>
      </c>
      <c r="O4" t="n">
        <v>148.246978513999</v>
      </c>
      <c r="P4" t="n">
        <v>1.31939117194322</v>
      </c>
      <c r="Q4" t="n">
        <v>1.13795147851363</v>
      </c>
      <c r="R4" t="n">
        <v>1.05554886699781</v>
      </c>
      <c r="S4" t="n">
        <v>0.0919987308341652</v>
      </c>
      <c r="T4" t="n">
        <v>9460.04662572114</v>
      </c>
      <c r="U4" t="n">
        <v>0.385814235697679</v>
      </c>
      <c r="V4" t="n">
        <v>0.619573902194391</v>
      </c>
      <c r="W4" t="n">
        <v>19445721.5668161</v>
      </c>
      <c r="X4" t="n">
        <v>61321.9607869028</v>
      </c>
      <c r="Y4" t="n">
        <v>4354684.3554574</v>
      </c>
      <c r="Z4" t="n">
        <v>882.538267734602</v>
      </c>
      <c r="AA4" t="n">
        <v>1.06213083798668</v>
      </c>
      <c r="AB4" t="n">
        <v>1.04682978369961</v>
      </c>
      <c r="AC4" t="n">
        <v>1.0912613860406</v>
      </c>
      <c r="AD4" t="n">
        <v>1.08849774258726</v>
      </c>
      <c r="AE4" t="n">
        <v>109.167993565819</v>
      </c>
      <c r="AF4" t="n">
        <v>93158.4775438666</v>
      </c>
      <c r="AG4" t="n">
        <v>884.209196411711</v>
      </c>
      <c r="AH4" t="n">
        <v>102.860739616104</v>
      </c>
      <c r="AI4" t="n">
        <v>66389.7510945985</v>
      </c>
      <c r="AJ4" t="n">
        <v>86978.7326161452</v>
      </c>
      <c r="AK4" t="n">
        <v>507.157104681126</v>
      </c>
      <c r="AL4" t="n">
        <v>24368.244090565</v>
      </c>
      <c r="AM4" t="n">
        <v>19323.78679294</v>
      </c>
      <c r="AN4" t="n">
        <v>0.95346540869949</v>
      </c>
      <c r="AO4" t="n">
        <v>0.977707963496981</v>
      </c>
      <c r="AP4" t="n">
        <v>1.05174864152498</v>
      </c>
      <c r="AQ4" t="n">
        <v>1.08713055980948</v>
      </c>
      <c r="AR4" t="n">
        <v>32910.5393474243</v>
      </c>
      <c r="AS4" t="n">
        <v>167937.232204659</v>
      </c>
      <c r="AT4" t="n">
        <v>0.0487508300487732</v>
      </c>
      <c r="AU4" t="n">
        <v>0.0421255316359192</v>
      </c>
      <c r="AV4" t="n">
        <v>0.0536211624291117</v>
      </c>
      <c r="AW4" t="n">
        <v>1300.15462222291</v>
      </c>
      <c r="AX4" t="n">
        <v>11264.41358187</v>
      </c>
      <c r="AY4" t="n">
        <v>17802.5213256628</v>
      </c>
      <c r="AZ4" t="n">
        <v>170865.182394169</v>
      </c>
      <c r="BA4" t="n">
        <v>394592.318407989</v>
      </c>
      <c r="BB4" t="n">
        <v>176868.976165992</v>
      </c>
      <c r="BC4" t="n">
        <v>219393.638127025</v>
      </c>
      <c r="BD4" t="n">
        <v>49306.9173852111</v>
      </c>
      <c r="BE4" t="n">
        <v>14.9975773937295</v>
      </c>
      <c r="BF4" t="n">
        <v>40537.4551546727</v>
      </c>
      <c r="BG4" t="n">
        <v>14862.1678370366</v>
      </c>
      <c r="BH4" t="n">
        <v>20601.6356870202</v>
      </c>
      <c r="BI4" t="n">
        <v>69498.768104025</v>
      </c>
      <c r="BJ4" t="n">
        <v>44142.1419771071</v>
      </c>
      <c r="BK4" t="n">
        <v>87306.2864207843</v>
      </c>
      <c r="BL4" t="n">
        <v>20258.4054638085</v>
      </c>
      <c r="BM4" t="n">
        <v>18893.0202323753</v>
      </c>
      <c r="BN4" t="n">
        <v>35927.7754772724</v>
      </c>
      <c r="BO4" t="n">
        <v>173975.04759424</v>
      </c>
      <c r="BP4" t="n">
        <v>177265.955180376</v>
      </c>
      <c r="BQ4" t="n">
        <v>757812.555747706</v>
      </c>
      <c r="BR4" t="n">
        <v>704132.055984009</v>
      </c>
      <c r="BS4" t="n">
        <v>701634.083487739</v>
      </c>
      <c r="BT4" t="n">
        <v>108.535975217024</v>
      </c>
      <c r="BU4" t="n">
        <v>1.0762364089767</v>
      </c>
      <c r="BV4" t="n">
        <v>1.01820069575612</v>
      </c>
      <c r="BW4" t="n">
        <v>96.4617297778064</v>
      </c>
      <c r="BX4" t="n">
        <v>77227.4945090098</v>
      </c>
      <c r="BY4" t="n">
        <v>1.09979346632249</v>
      </c>
      <c r="BZ4" t="n">
        <v>84934.2938814651</v>
      </c>
      <c r="CA4" t="n">
        <v>10176.7030008699</v>
      </c>
      <c r="CB4" t="n">
        <v>14875.5153552457</v>
      </c>
      <c r="CC4" t="n">
        <v>15530.5732638051</v>
      </c>
      <c r="CD4" t="n">
        <v>655.057908559333</v>
      </c>
      <c r="CE4" t="n">
        <v>0.0421785988397355</v>
      </c>
      <c r="CF4" t="n">
        <v>11008476.4398605</v>
      </c>
      <c r="CG4" t="n">
        <v>368412.251508343</v>
      </c>
      <c r="CH4" t="n">
        <v>464123.689531896</v>
      </c>
      <c r="CI4" t="n">
        <v>267376.365060221</v>
      </c>
      <c r="CJ4" t="n">
        <v>20205.766392769</v>
      </c>
      <c r="CK4" t="n">
        <v>751301.571447616</v>
      </c>
      <c r="CL4" t="n">
        <v>0.0536104233674922</v>
      </c>
      <c r="CM4" t="n">
        <v>18.6530890298168</v>
      </c>
      <c r="CN4" t="n">
        <v>1139700.78805674</v>
      </c>
      <c r="CO4" t="n">
        <v>2648082.55561021</v>
      </c>
      <c r="CP4" t="n">
        <v>3158763.29864545</v>
      </c>
      <c r="CQ4" t="n">
        <v>3787783.34366695</v>
      </c>
      <c r="CR4" t="n">
        <v>9034023.13662961</v>
      </c>
      <c r="CS4" t="n">
        <v>0.00402229929473016</v>
      </c>
      <c r="CT4" t="n">
        <v>-0.00260299911812387</v>
      </c>
      <c r="CU4" t="n">
        <v>0.0472702000801222</v>
      </c>
      <c r="CV4" t="n">
        <v>1.39279082559235</v>
      </c>
      <c r="CW4" t="n">
        <v>0.0589187411895749</v>
      </c>
      <c r="CX4" t="n">
        <v>0.0383713858586026</v>
      </c>
      <c r="CY4" t="n">
        <v>0.0109746581389376</v>
      </c>
      <c r="CZ4" t="n">
        <v>-0.0135776572570615</v>
      </c>
      <c r="DA4" t="n">
        <v>0.575688129669149</v>
      </c>
      <c r="DB4" t="n">
        <v>5.95316192330534</v>
      </c>
      <c r="DC4" t="n">
        <v>0.0664803212987732</v>
      </c>
      <c r="DD4" t="n">
        <v>0.0452148484676273</v>
      </c>
      <c r="DE4" t="n">
        <v>0.0071045420082844</v>
      </c>
      <c r="DF4" t="n">
        <v>0.115242594285644</v>
      </c>
      <c r="DG4" t="n">
        <v>202915.794527545</v>
      </c>
      <c r="DH4" t="n">
        <v>110.560221552707</v>
      </c>
      <c r="DI4" t="n">
        <v>4.741435531541</v>
      </c>
      <c r="DJ4" t="n">
        <v>4.13341236393113</v>
      </c>
      <c r="DK4" t="n">
        <v>0.0484267358713257</v>
      </c>
      <c r="DL4" t="n">
        <v>0.669440030437354</v>
      </c>
      <c r="DM4" t="n">
        <v>1.08672760329221</v>
      </c>
      <c r="DN4" t="n">
        <v>0.0399169327369503</v>
      </c>
      <c r="DO4" t="n">
        <v>0.0374213819593254</v>
      </c>
      <c r="DP4" t="n">
        <v>28004.6</v>
      </c>
      <c r="DQ4" t="n">
        <v>23218.177268286</v>
      </c>
      <c r="DR4" t="n">
        <v>162077.553946742</v>
      </c>
      <c r="DS4" t="n">
        <v>28615.9265914848</v>
      </c>
      <c r="DT4" t="n">
        <v>12222.3139893183</v>
      </c>
      <c r="DU4" t="n">
        <v>0</v>
      </c>
      <c r="DV4" t="n">
        <v>73.75</v>
      </c>
      <c r="DW4" t="n">
        <v>214936.48</v>
      </c>
      <c r="DX4" t="n">
        <v>2.06938847235861</v>
      </c>
      <c r="DY4" t="n">
        <v>74.6270772977208</v>
      </c>
      <c r="DZ4" t="n">
        <v>1.10168784672316</v>
      </c>
      <c r="EA4" t="n">
        <v>1.17200213719743</v>
      </c>
      <c r="EB4" t="n">
        <v>143152774.700459</v>
      </c>
      <c r="EC4" t="n">
        <v>3.24988392814095</v>
      </c>
      <c r="ED4" t="n">
        <v>0.0431166666666667</v>
      </c>
      <c r="EE4" t="n">
        <v>0.0255759818181819</v>
      </c>
      <c r="EF4" t="n">
        <v>0.0299805555556667</v>
      </c>
      <c r="EG4" t="n">
        <v>0.0448996666666666</v>
      </c>
      <c r="EH4" t="n">
        <v>702206.198749734</v>
      </c>
      <c r="EI4" t="n">
        <v>361756.697954932</v>
      </c>
      <c r="EJ4" t="n">
        <v>873.055705469245</v>
      </c>
      <c r="EK4" t="n">
        <v>2.81971899033744</v>
      </c>
      <c r="EL4" t="n">
        <v>4.4728530754043</v>
      </c>
    </row>
    <row r="5">
      <c r="A5" s="2" t="n">
        <v>46266</v>
      </c>
      <c r="B5" t="n">
        <v>366513.56131485</v>
      </c>
      <c r="C5" t="n">
        <v>37366.1984493942</v>
      </c>
      <c r="D5" t="n">
        <v>20012.5016774658</v>
      </c>
      <c r="E5" t="n">
        <v>218926.68591664</v>
      </c>
      <c r="F5" t="n">
        <v>43735.4937611829</v>
      </c>
      <c r="G5" t="n">
        <v>11776.4015904793</v>
      </c>
      <c r="H5" t="n">
        <v>49994.1416280519</v>
      </c>
      <c r="I5" t="n">
        <v>52329.7731648881</v>
      </c>
      <c r="J5" t="n">
        <v>96389.7824693769</v>
      </c>
      <c r="K5" t="n">
        <v>411.958808915839</v>
      </c>
      <c r="L5" t="n">
        <v>4738.24021693591</v>
      </c>
      <c r="M5" t="n">
        <v>0.669289317781248</v>
      </c>
      <c r="N5" t="n">
        <v>27194.188425767</v>
      </c>
      <c r="O5" t="n">
        <v>150.071786547243</v>
      </c>
      <c r="P5" t="n">
        <v>1.34582128071346</v>
      </c>
      <c r="Q5" t="n">
        <v>1.17310624347625</v>
      </c>
      <c r="R5" t="n">
        <v>1.06747086151594</v>
      </c>
      <c r="S5" t="n">
        <v>0.100156396902134</v>
      </c>
      <c r="T5" t="n">
        <v>9581.74219554343</v>
      </c>
      <c r="U5" t="n">
        <v>0.381088652433932</v>
      </c>
      <c r="V5" t="n">
        <v>0.60898292827866</v>
      </c>
      <c r="W5" t="n">
        <v>19661396.4277297</v>
      </c>
      <c r="X5" t="n">
        <v>62199.838304279</v>
      </c>
      <c r="Y5" t="n">
        <v>4385748.14303785</v>
      </c>
      <c r="Z5" t="n">
        <v>886.241058407486</v>
      </c>
      <c r="AA5" t="n">
        <v>1.06786056710345</v>
      </c>
      <c r="AB5" t="n">
        <v>1.0553158611435</v>
      </c>
      <c r="AC5" t="n">
        <v>1.10028642657466</v>
      </c>
      <c r="AD5" t="n">
        <v>1.1041656136087</v>
      </c>
      <c r="AE5" t="n">
        <v>110.152678846956</v>
      </c>
      <c r="AF5" t="n">
        <v>95134.2975196453</v>
      </c>
      <c r="AG5" t="n">
        <v>904.095972370054</v>
      </c>
      <c r="AH5" t="n">
        <v>103.951014315117</v>
      </c>
      <c r="AI5" t="n">
        <v>67438.0616294527</v>
      </c>
      <c r="AJ5" t="n">
        <v>87051.6029622069</v>
      </c>
      <c r="AK5" t="n">
        <v>526.703415322078</v>
      </c>
      <c r="AL5" t="n">
        <v>24488.9444500462</v>
      </c>
      <c r="AM5" t="n">
        <v>19483.666485722</v>
      </c>
      <c r="AN5" t="n">
        <v>0.98252323889119</v>
      </c>
      <c r="AO5" t="n">
        <v>0.984954744884907</v>
      </c>
      <c r="AP5" t="n">
        <v>1.06336375040523</v>
      </c>
      <c r="AQ5" t="n">
        <v>1.09903986357431</v>
      </c>
      <c r="AR5" t="n">
        <v>33439.542071399</v>
      </c>
      <c r="AS5" t="n">
        <v>169303.160264164</v>
      </c>
      <c r="AT5" t="n">
        <v>0.0577389160734196</v>
      </c>
      <c r="AU5" t="n">
        <v>0.0429144945825906</v>
      </c>
      <c r="AV5" t="n">
        <v>-0.00796645283554109</v>
      </c>
      <c r="AW5" t="n">
        <v>750.115392871114</v>
      </c>
      <c r="AX5" t="n">
        <v>11302.0846309364</v>
      </c>
      <c r="AY5" t="n">
        <v>18070.9746123211</v>
      </c>
      <c r="AZ5" t="n">
        <v>176644.965638819</v>
      </c>
      <c r="BA5" t="n">
        <v>402813.015503541</v>
      </c>
      <c r="BB5" t="n">
        <v>179545.31894553</v>
      </c>
      <c r="BC5" t="n">
        <v>225129.278949406</v>
      </c>
      <c r="BD5" t="n">
        <v>50136.3423134933</v>
      </c>
      <c r="BE5" t="n">
        <v>15.0840162893591</v>
      </c>
      <c r="BF5" t="n">
        <v>41258.4714390999</v>
      </c>
      <c r="BG5" t="n">
        <v>15210.5860127387</v>
      </c>
      <c r="BH5" t="n">
        <v>21370.5613904574</v>
      </c>
      <c r="BI5" t="n">
        <v>71168.4554124291</v>
      </c>
      <c r="BJ5" t="n">
        <v>44212.601213399</v>
      </c>
      <c r="BK5" t="n">
        <v>94705.2012678294</v>
      </c>
      <c r="BL5" t="n">
        <v>21199.1731434147</v>
      </c>
      <c r="BM5" t="n">
        <v>19190.5297528669</v>
      </c>
      <c r="BN5" t="n">
        <v>36834.5513858008</v>
      </c>
      <c r="BO5" t="n">
        <v>183519.015549912</v>
      </c>
      <c r="BP5" t="n">
        <v>180726.190344558</v>
      </c>
      <c r="BQ5" t="n">
        <v>778371.835122549</v>
      </c>
      <c r="BR5" t="n">
        <v>714750.021573421</v>
      </c>
      <c r="BS5" t="n">
        <v>707838.19366459</v>
      </c>
      <c r="BT5" t="n">
        <v>109.630265335199</v>
      </c>
      <c r="BU5" t="n">
        <v>1.08901267043912</v>
      </c>
      <c r="BV5" t="n">
        <v>1.03891449657925</v>
      </c>
      <c r="BW5" t="n">
        <v>97.324857664392</v>
      </c>
      <c r="BX5" t="n">
        <v>77982.1262379499</v>
      </c>
      <c r="BY5" t="n">
        <v>1.11145075164774</v>
      </c>
      <c r="BZ5" t="n">
        <v>86673.2928222584</v>
      </c>
      <c r="CA5" t="n">
        <v>10243.5143093821</v>
      </c>
      <c r="CB5" t="n">
        <v>14981.754526318</v>
      </c>
      <c r="CC5" t="n">
        <v>15599.5181655075</v>
      </c>
      <c r="CD5" t="n">
        <v>617.76363918953</v>
      </c>
      <c r="CE5" t="n">
        <v>0.039601450334911</v>
      </c>
      <c r="CF5" t="n">
        <v>11042891.9327549</v>
      </c>
      <c r="CG5" t="n">
        <v>374982.790552561</v>
      </c>
      <c r="CH5" t="n">
        <v>473056.588803401</v>
      </c>
      <c r="CI5" t="n">
        <v>278061.419138829</v>
      </c>
      <c r="CJ5" t="n">
        <v>20594.6628873053</v>
      </c>
      <c r="CK5" t="n">
        <v>771684.209324221</v>
      </c>
      <c r="CL5" t="n">
        <v>0.054969483061969</v>
      </c>
      <c r="CM5" t="n">
        <v>18.1919120263996</v>
      </c>
      <c r="CN5" t="n">
        <v>1140568.34476457</v>
      </c>
      <c r="CO5" t="n">
        <v>2672035.90319811</v>
      </c>
      <c r="CP5" t="n">
        <v>3170690.72925524</v>
      </c>
      <c r="CQ5" t="n">
        <v>3812604.24796268</v>
      </c>
      <c r="CR5" t="n">
        <v>9070771.47153513</v>
      </c>
      <c r="CS5" t="n">
        <v>0.0119424941414101</v>
      </c>
      <c r="CT5" t="n">
        <v>-0.0028819273494189</v>
      </c>
      <c r="CU5" t="n">
        <v>0.0543599749701248</v>
      </c>
      <c r="CV5" t="n">
        <v>1.40993502584956</v>
      </c>
      <c r="CW5" t="n">
        <v>0.054359974970125</v>
      </c>
      <c r="CX5" t="n">
        <v>0.0383713858586026</v>
      </c>
      <c r="CY5" t="n">
        <v>0.00872664663310529</v>
      </c>
      <c r="CZ5" t="n">
        <v>-0.0116085739825242</v>
      </c>
      <c r="DA5" t="n">
        <v>0.566216010570483</v>
      </c>
      <c r="DB5" t="n">
        <v>5.9054475114714</v>
      </c>
      <c r="DC5" t="n">
        <v>0.0754684073234196</v>
      </c>
      <c r="DD5" t="n">
        <v>0.0507672060858387</v>
      </c>
      <c r="DE5" t="n">
        <v>0.00716270355757902</v>
      </c>
      <c r="DF5" t="n">
        <v>0.117728268046744</v>
      </c>
      <c r="DG5" t="n">
        <v>204296.680709037</v>
      </c>
      <c r="DH5" t="n">
        <v>110.860315713459</v>
      </c>
      <c r="DI5" t="n">
        <v>4.74431946944321</v>
      </c>
      <c r="DJ5" t="n">
        <v>4.13335899184489</v>
      </c>
      <c r="DK5" t="n">
        <v>0.0484267358713257</v>
      </c>
      <c r="DL5" t="n">
        <v>0.669440030437354</v>
      </c>
      <c r="DM5" t="n">
        <v>1.0976537265697</v>
      </c>
      <c r="DN5" t="n">
        <v>0.0399169327369503</v>
      </c>
      <c r="DO5" t="n">
        <v>0.0374213819593254</v>
      </c>
      <c r="DP5" t="n">
        <v>28092.15</v>
      </c>
      <c r="DQ5" t="n">
        <v>23307.5857496445</v>
      </c>
      <c r="DR5" t="n">
        <v>163180.527005572</v>
      </c>
      <c r="DS5" t="n">
        <v>28810.6642051475</v>
      </c>
      <c r="DT5" t="n">
        <v>12305.489498317</v>
      </c>
      <c r="DU5" t="n">
        <v>0</v>
      </c>
      <c r="DV5" t="n">
        <v>61.25</v>
      </c>
      <c r="DW5" t="n">
        <v>211612.72</v>
      </c>
      <c r="DX5" t="n">
        <v>2.08411967568879</v>
      </c>
      <c r="DY5" t="n">
        <v>78.3306392241504</v>
      </c>
      <c r="DZ5" t="n">
        <v>1.14641906913042</v>
      </c>
      <c r="EA5" t="n">
        <v>1.17581388761627</v>
      </c>
      <c r="EB5" t="n">
        <v>144706624.746536</v>
      </c>
      <c r="EC5" t="n">
        <v>3.22424467803606</v>
      </c>
      <c r="ED5" t="n">
        <v>0.0431166666666667</v>
      </c>
      <c r="EE5" t="n">
        <v>0.0255759818181819</v>
      </c>
      <c r="EF5" t="n">
        <v>0.0299805555556667</v>
      </c>
      <c r="EG5" t="n">
        <v>0.0448996666666666</v>
      </c>
      <c r="EH5" t="n">
        <v>707634.084344806</v>
      </c>
      <c r="EI5" t="n">
        <v>364406.73790123</v>
      </c>
      <c r="EJ5" t="n">
        <v>885.933246269758</v>
      </c>
      <c r="EK5" t="n">
        <v>3.84717960998227</v>
      </c>
      <c r="EL5" t="n">
        <v>4.57964219320095</v>
      </c>
    </row>
    <row r="6">
      <c r="A6" s="2" t="n">
        <v>46357</v>
      </c>
      <c r="B6" t="n">
        <v>369343.65653203</v>
      </c>
      <c r="C6" t="n">
        <v>37326.3949317088</v>
      </c>
      <c r="D6" t="n">
        <v>20571.78062632</v>
      </c>
      <c r="E6" t="n">
        <v>220549.52752416</v>
      </c>
      <c r="F6" t="n">
        <v>44936.3340923586</v>
      </c>
      <c r="G6" t="n">
        <v>11892.3124212184</v>
      </c>
      <c r="H6" t="n">
        <v>50998.018232438</v>
      </c>
      <c r="I6" t="n">
        <v>52547.8203679494</v>
      </c>
      <c r="J6" t="n">
        <v>95692.0675890419</v>
      </c>
      <c r="K6" t="n">
        <v>411.839770161488</v>
      </c>
      <c r="L6" t="n">
        <v>4775.66908713216</v>
      </c>
      <c r="M6" t="n">
        <v>0.670019318874565</v>
      </c>
      <c r="N6" t="n">
        <v>27579.0279012739</v>
      </c>
      <c r="O6" t="n">
        <v>151.922234841203</v>
      </c>
      <c r="P6" t="n">
        <v>1.3745080264491</v>
      </c>
      <c r="Q6" t="n">
        <v>1.20239960128495</v>
      </c>
      <c r="R6" t="n">
        <v>1.07750190042151</v>
      </c>
      <c r="S6" t="n">
        <v>0.108102894048223</v>
      </c>
      <c r="T6" t="n">
        <v>9794.65345206199</v>
      </c>
      <c r="U6" t="n">
        <v>0.378453186594326</v>
      </c>
      <c r="V6" t="n">
        <v>0.60163210116838</v>
      </c>
      <c r="W6" t="n">
        <v>19883542.938453</v>
      </c>
      <c r="X6" t="n">
        <v>63115.3307295702</v>
      </c>
      <c r="Y6" t="n">
        <v>4408406.75066759</v>
      </c>
      <c r="Z6" t="n">
        <v>887.012791472366</v>
      </c>
      <c r="AA6" t="n">
        <v>1.07568255037134</v>
      </c>
      <c r="AB6" t="n">
        <v>1.06297894087079</v>
      </c>
      <c r="AC6" t="n">
        <v>1.11204867514645</v>
      </c>
      <c r="AD6" t="n">
        <v>1.12110527248436</v>
      </c>
      <c r="AE6" t="n">
        <v>111.105077577033</v>
      </c>
      <c r="AF6" t="n">
        <v>96649.6137528056</v>
      </c>
      <c r="AG6" t="n">
        <v>924.112901714552</v>
      </c>
      <c r="AH6" t="n">
        <v>105.049498109135</v>
      </c>
      <c r="AI6" t="n">
        <v>68452.5902321389</v>
      </c>
      <c r="AJ6" t="n">
        <v>84796.6960838837</v>
      </c>
      <c r="AK6" t="n">
        <v>558.06083422698</v>
      </c>
      <c r="AL6" t="n">
        <v>24568.7295040078</v>
      </c>
      <c r="AM6" t="n">
        <v>19484.1136123902</v>
      </c>
      <c r="AN6" t="n">
        <v>1.00892246664696</v>
      </c>
      <c r="AO6" t="n">
        <v>0.996288551983336</v>
      </c>
      <c r="AP6" t="n">
        <v>1.07508772126585</v>
      </c>
      <c r="AQ6" t="n">
        <v>1.11105650338108</v>
      </c>
      <c r="AR6" t="n">
        <v>33572.6672520477</v>
      </c>
      <c r="AS6" t="n">
        <v>170725.438426201</v>
      </c>
      <c r="AT6" t="n">
        <v>0.0653964703296235</v>
      </c>
      <c r="AU6" t="n">
        <v>0.0441150310987217</v>
      </c>
      <c r="AV6" t="n">
        <v>-0.0404564914500411</v>
      </c>
      <c r="AW6" t="n">
        <v>1622.84160752018</v>
      </c>
      <c r="AX6" t="n">
        <v>11290.0453348839</v>
      </c>
      <c r="AY6" t="n">
        <v>18191.0359166537</v>
      </c>
      <c r="AZ6" t="n">
        <v>176200.884370134</v>
      </c>
      <c r="BA6" t="n">
        <v>410361.672646858</v>
      </c>
      <c r="BB6" t="n">
        <v>182699.595601168</v>
      </c>
      <c r="BC6" t="n">
        <v>229045.008002828</v>
      </c>
      <c r="BD6" t="n">
        <v>50205.4396483049</v>
      </c>
      <c r="BE6" t="n">
        <v>15.0912172994908</v>
      </c>
      <c r="BF6" t="n">
        <v>41846.8181607721</v>
      </c>
      <c r="BG6" t="n">
        <v>15518.2579317722</v>
      </c>
      <c r="BH6" t="n">
        <v>22128.7054497996</v>
      </c>
      <c r="BI6" t="n">
        <v>72763.6611372488</v>
      </c>
      <c r="BJ6" t="n">
        <v>45759.6074433373</v>
      </c>
      <c r="BK6" t="n">
        <v>96545.8768704835</v>
      </c>
      <c r="BL6" t="n">
        <v>21872.8943331446</v>
      </c>
      <c r="BM6" t="n">
        <v>19411.799337567</v>
      </c>
      <c r="BN6" t="n">
        <v>37300.9379950668</v>
      </c>
      <c r="BO6" t="n">
        <v>186721.068536262</v>
      </c>
      <c r="BP6" t="n">
        <v>183956.984354527</v>
      </c>
      <c r="BQ6" t="n">
        <v>793842.402552691</v>
      </c>
      <c r="BR6" t="n">
        <v>719498.731692409</v>
      </c>
      <c r="BS6" t="n">
        <v>714453.261756663</v>
      </c>
      <c r="BT6" t="n">
        <v>110.785187353698</v>
      </c>
      <c r="BU6" t="n">
        <v>1.10332702677654</v>
      </c>
      <c r="BV6" t="n">
        <v>1.05970562635786</v>
      </c>
      <c r="BW6" t="n">
        <v>98.3483765498065</v>
      </c>
      <c r="BX6" t="n">
        <v>78584.2781520558</v>
      </c>
      <c r="BY6" t="n">
        <v>1.12319580913062</v>
      </c>
      <c r="BZ6" t="n">
        <v>88265.5318839438</v>
      </c>
      <c r="CA6" t="n">
        <v>10299.4126815897</v>
      </c>
      <c r="CB6" t="n">
        <v>15075.0817687218</v>
      </c>
      <c r="CC6" t="n">
        <v>15676.5083921603</v>
      </c>
      <c r="CD6" t="n">
        <v>601.4266234385</v>
      </c>
      <c r="CE6" t="n">
        <v>0.0383648270973903</v>
      </c>
      <c r="CF6" t="n">
        <v>11077307.4256493</v>
      </c>
      <c r="CG6" t="n">
        <v>382658.34426732</v>
      </c>
      <c r="CH6" t="n">
        <v>477709.384758331</v>
      </c>
      <c r="CI6" t="n">
        <v>283668.072039299</v>
      </c>
      <c r="CJ6" t="n">
        <v>20797.2237784189</v>
      </c>
      <c r="CK6" t="n">
        <v>787021.856521137</v>
      </c>
      <c r="CL6" t="n">
        <v>0.0569760672961325</v>
      </c>
      <c r="CM6" t="n">
        <v>17.5512289186705</v>
      </c>
      <c r="CN6" t="n">
        <v>1142037.78462271</v>
      </c>
      <c r="CO6" t="n">
        <v>2696653.70096068</v>
      </c>
      <c r="CP6" t="n">
        <v>3182647.11934927</v>
      </c>
      <c r="CQ6" t="n">
        <v>3838691.48558339</v>
      </c>
      <c r="CR6" t="n">
        <v>9108815.09924987</v>
      </c>
      <c r="CS6" t="n">
        <v>0.0166565937683259</v>
      </c>
      <c r="CT6" t="n">
        <v>-0.0046248454625759</v>
      </c>
      <c r="CU6" t="n">
        <v>0.0593630174869259</v>
      </c>
      <c r="CV6" t="n">
        <v>1.42732011816573</v>
      </c>
      <c r="CW6" t="n">
        <v>0.0593630174869261</v>
      </c>
      <c r="CX6" t="n">
        <v>0.0383713858586026</v>
      </c>
      <c r="CY6" t="n">
        <v>0.00775489285005937</v>
      </c>
      <c r="CZ6" t="n">
        <v>-0.0123797383126353</v>
      </c>
      <c r="DA6" t="n">
        <v>0.559417078517735</v>
      </c>
      <c r="DB6" t="n">
        <v>5.83859757197172</v>
      </c>
      <c r="DC6" t="n">
        <v>0.0831259615796235</v>
      </c>
      <c r="DD6" t="n">
        <v>0.0557545230271706</v>
      </c>
      <c r="DE6" t="n">
        <v>0.00725135911061979</v>
      </c>
      <c r="DF6" t="n">
        <v>0.12053167003288</v>
      </c>
      <c r="DG6" t="n">
        <v>205686.964121783</v>
      </c>
      <c r="DH6" t="n">
        <v>112.382866676769</v>
      </c>
      <c r="DI6" t="n">
        <v>4.75813328172613</v>
      </c>
      <c r="DJ6" t="n">
        <v>4.14423549413935</v>
      </c>
      <c r="DK6" t="n">
        <v>0.0484267358713257</v>
      </c>
      <c r="DL6" t="n">
        <v>0.669440030437354</v>
      </c>
      <c r="DM6" t="n">
        <v>1.10868970273905</v>
      </c>
      <c r="DN6" t="n">
        <v>0.0399169327369503</v>
      </c>
      <c r="DO6" t="n">
        <v>0.0374213819593254</v>
      </c>
      <c r="DP6" t="n">
        <v>28179.7</v>
      </c>
      <c r="DQ6" t="n">
        <v>23397.099084385</v>
      </c>
      <c r="DR6" t="n">
        <v>164291.006036321</v>
      </c>
      <c r="DS6" t="n">
        <v>29006.7270506895</v>
      </c>
      <c r="DT6" t="n">
        <v>12389.231034772</v>
      </c>
      <c r="DU6" t="n">
        <v>0</v>
      </c>
      <c r="DV6" t="n">
        <v>61.25</v>
      </c>
      <c r="DW6" t="n">
        <v>208288.96</v>
      </c>
      <c r="DX6" t="n">
        <v>2.09895574495133</v>
      </c>
      <c r="DY6" t="n">
        <v>82.218</v>
      </c>
      <c r="DZ6" t="n">
        <v>1.19296648862472</v>
      </c>
      <c r="EA6" t="n">
        <v>1.17963803514669</v>
      </c>
      <c r="EB6" t="n">
        <v>146277341.038978</v>
      </c>
      <c r="EC6" t="n">
        <v>3.19880770320023</v>
      </c>
      <c r="ED6" t="n">
        <v>0.0431166666666667</v>
      </c>
      <c r="EE6" t="n">
        <v>0.0255759818181819</v>
      </c>
      <c r="EF6" t="n">
        <v>0.0299805555556667</v>
      </c>
      <c r="EG6" t="n">
        <v>0.0448996666666666</v>
      </c>
      <c r="EH6" t="n">
        <v>713084.818945062</v>
      </c>
      <c r="EI6" t="n">
        <v>367139.982675112</v>
      </c>
      <c r="EJ6" t="n">
        <v>896.389772566303</v>
      </c>
      <c r="EK6" t="n">
        <v>4.44702210883747</v>
      </c>
      <c r="EL6" t="n">
        <v>4.87398765612976</v>
      </c>
    </row>
    <row r="7">
      <c r="A7" s="2" t="n">
        <v>46447</v>
      </c>
      <c r="B7" t="n">
        <v>371764.515144055</v>
      </c>
      <c r="C7" t="n">
        <v>37201.5948014705</v>
      </c>
      <c r="D7" t="n">
        <v>21071.4464579776</v>
      </c>
      <c r="E7" t="n">
        <v>221938.390388739</v>
      </c>
      <c r="F7" t="n">
        <v>45510.1249903398</v>
      </c>
      <c r="G7" t="n">
        <v>12081.6762143066</v>
      </c>
      <c r="H7" t="n">
        <v>51925.8086074006</v>
      </c>
      <c r="I7" t="n">
        <v>52928.3121427039</v>
      </c>
      <c r="J7" t="n">
        <v>96493.8568020498</v>
      </c>
      <c r="K7" t="n">
        <v>411.551423928778</v>
      </c>
      <c r="L7" t="n">
        <v>4811.02261267421</v>
      </c>
      <c r="M7" t="n">
        <v>0.670583167884301</v>
      </c>
      <c r="N7" t="n">
        <v>27948.2647503312</v>
      </c>
      <c r="O7" t="n">
        <v>153.814321481773</v>
      </c>
      <c r="P7" t="n">
        <v>1.40070128914797</v>
      </c>
      <c r="Q7" t="n">
        <v>1.23120330141944</v>
      </c>
      <c r="R7" t="n">
        <v>1.0849985439215</v>
      </c>
      <c r="S7" t="n">
        <v>0.114488195292211</v>
      </c>
      <c r="T7" t="n">
        <v>9723.49750900334</v>
      </c>
      <c r="U7" t="n">
        <v>0.375918384438078</v>
      </c>
      <c r="V7" t="n">
        <v>0.594588178416237</v>
      </c>
      <c r="W7" t="n">
        <v>20076611.6484139</v>
      </c>
      <c r="X7" t="n">
        <v>64063.5584925953</v>
      </c>
      <c r="Y7" t="n">
        <v>4424433.72011974</v>
      </c>
      <c r="Z7" t="n">
        <v>891.721656437013</v>
      </c>
      <c r="AA7" t="n">
        <v>1.08266439134135</v>
      </c>
      <c r="AB7" t="n">
        <v>1.0700114015091</v>
      </c>
      <c r="AC7" t="n">
        <v>1.12308250984098</v>
      </c>
      <c r="AD7" t="n">
        <v>1.13922607778869</v>
      </c>
      <c r="AE7" t="n">
        <v>112.123003079477</v>
      </c>
      <c r="AF7" t="n">
        <v>97849.1115426818</v>
      </c>
      <c r="AG7" t="n">
        <v>944.252245895916</v>
      </c>
      <c r="AH7" t="n">
        <v>106.238662564646</v>
      </c>
      <c r="AI7" t="n">
        <v>69232.0992157487</v>
      </c>
      <c r="AJ7" t="n">
        <v>82180.6578234048</v>
      </c>
      <c r="AK7" t="n">
        <v>590.444367494473</v>
      </c>
      <c r="AL7" t="n">
        <v>24619.9825217282</v>
      </c>
      <c r="AM7" t="n">
        <v>19489.8758406282</v>
      </c>
      <c r="AN7" t="n">
        <v>1.01663072208843</v>
      </c>
      <c r="AO7" t="n">
        <v>1.00498104322085</v>
      </c>
      <c r="AP7" t="n">
        <v>1.08686306560616</v>
      </c>
      <c r="AQ7" t="n">
        <v>1.12330736763739</v>
      </c>
      <c r="AR7" t="n">
        <v>33817.4584717854</v>
      </c>
      <c r="AS7" t="n">
        <v>171680.898325422</v>
      </c>
      <c r="AT7" t="n">
        <v>0.071071119062714</v>
      </c>
      <c r="AU7" t="n">
        <v>0.0455787282507709</v>
      </c>
      <c r="AV7" t="n">
        <v>-0.0571875568891934</v>
      </c>
      <c r="AW7" t="n">
        <v>1388.8628645789</v>
      </c>
      <c r="AX7" t="n">
        <v>11252.2972713281</v>
      </c>
      <c r="AY7" t="n">
        <v>18315.5452996805</v>
      </c>
      <c r="AZ7" t="n">
        <v>177377.736414144</v>
      </c>
      <c r="BA7" t="n">
        <v>417605.819884587</v>
      </c>
      <c r="BB7" t="n">
        <v>185768.002173132</v>
      </c>
      <c r="BC7" t="n">
        <v>231986.703876457</v>
      </c>
      <c r="BD7" t="n">
        <v>51305.1888867054</v>
      </c>
      <c r="BE7" t="n">
        <v>15.2058281658819</v>
      </c>
      <c r="BF7" t="n">
        <v>42381.0269331634</v>
      </c>
      <c r="BG7" t="n">
        <v>15761.1072938255</v>
      </c>
      <c r="BH7" t="n">
        <v>22813.3047541083</v>
      </c>
      <c r="BI7" t="n">
        <v>74079.134827269</v>
      </c>
      <c r="BJ7" t="n">
        <v>46113.4506609526</v>
      </c>
      <c r="BK7" t="n">
        <v>98098.6193177654</v>
      </c>
      <c r="BL7" t="n">
        <v>22550.1598402638</v>
      </c>
      <c r="BM7" t="n">
        <v>19586.9557545593</v>
      </c>
      <c r="BN7" t="n">
        <v>37917.1500037208</v>
      </c>
      <c r="BO7" t="n">
        <v>189742.444916309</v>
      </c>
      <c r="BP7" t="n">
        <v>186273.524702218</v>
      </c>
      <c r="BQ7" t="n">
        <v>807990.766741129</v>
      </c>
      <c r="BR7" t="n">
        <v>724423.374010534</v>
      </c>
      <c r="BS7" t="n">
        <v>719156.513632876</v>
      </c>
      <c r="BT7" t="n">
        <v>111.930489579184</v>
      </c>
      <c r="BU7" t="n">
        <v>1.11535710904923</v>
      </c>
      <c r="BV7" t="n">
        <v>1.06970834532072</v>
      </c>
      <c r="BW7" t="n">
        <v>98.5907632147126</v>
      </c>
      <c r="BX7" t="n">
        <v>79099.3578702794</v>
      </c>
      <c r="BY7" t="n">
        <v>1.13591042992214</v>
      </c>
      <c r="BZ7" t="n">
        <v>89849.7856049941</v>
      </c>
      <c r="CA7" t="n">
        <v>10344.0990153041</v>
      </c>
      <c r="CB7" t="n">
        <v>15155.1216279783</v>
      </c>
      <c r="CC7" t="n">
        <v>15749.797271801</v>
      </c>
      <c r="CD7" t="n">
        <v>594.675643822669</v>
      </c>
      <c r="CE7" t="n">
        <v>0.0377576647260996</v>
      </c>
      <c r="CF7" t="n">
        <v>11111722.9185437</v>
      </c>
      <c r="CG7" t="n">
        <v>389840.38934657</v>
      </c>
      <c r="CH7" t="n">
        <v>481937.479054114</v>
      </c>
      <c r="CI7" t="n">
        <v>288572.679188325</v>
      </c>
      <c r="CJ7" t="n">
        <v>20981.2951532573</v>
      </c>
      <c r="CK7" t="n">
        <v>801048.660600279</v>
      </c>
      <c r="CL7" t="n">
        <v>0.0607234554179459</v>
      </c>
      <c r="CM7" t="n">
        <v>16.4681010511873</v>
      </c>
      <c r="CN7" t="n">
        <v>1144042.61366084</v>
      </c>
      <c r="CO7" t="n">
        <v>2721891.51893076</v>
      </c>
      <c r="CP7" t="n">
        <v>3194467.88781945</v>
      </c>
      <c r="CQ7" t="n">
        <v>3865934.1325916</v>
      </c>
      <c r="CR7" t="n">
        <v>9147878.51472826</v>
      </c>
      <c r="CS7" t="n">
        <v>0.0216629276193992</v>
      </c>
      <c r="CT7" t="n">
        <v>-0.00382946319254401</v>
      </c>
      <c r="CU7" t="n">
        <v>0.0650800038488965</v>
      </c>
      <c r="CV7" t="n">
        <v>1.44509640568692</v>
      </c>
      <c r="CW7" t="n">
        <v>0.0650800038488965</v>
      </c>
      <c r="CX7" t="n">
        <v>0.039440022763365</v>
      </c>
      <c r="CY7" t="n">
        <v>0.00970026312287411</v>
      </c>
      <c r="CZ7" t="n">
        <v>-0.0135297263154181</v>
      </c>
      <c r="DA7" t="n">
        <v>0.552809452575389</v>
      </c>
      <c r="DB7" t="n">
        <v>5.7973903070052</v>
      </c>
      <c r="DC7" t="n">
        <v>0.088800610312714</v>
      </c>
      <c r="DD7" t="n">
        <v>0.059536976364279</v>
      </c>
      <c r="DE7" t="n">
        <v>0.00735969834111119</v>
      </c>
      <c r="DF7" t="n">
        <v>0.124276319915922</v>
      </c>
      <c r="DG7" t="n">
        <v>207086.708715988</v>
      </c>
      <c r="DH7" t="n">
        <v>113.713840475641</v>
      </c>
      <c r="DI7" t="n">
        <v>4.77008021894141</v>
      </c>
      <c r="DJ7" t="n">
        <v>4.15324512136618</v>
      </c>
      <c r="DK7" t="n">
        <v>0.0484267358713257</v>
      </c>
      <c r="DL7" t="n">
        <v>0.669440030437354</v>
      </c>
      <c r="DM7" t="n">
        <v>1.11983663627779</v>
      </c>
      <c r="DN7" t="n">
        <v>0.0399169327369503</v>
      </c>
      <c r="DO7" t="n">
        <v>0.0374213819593254</v>
      </c>
      <c r="DP7" t="n">
        <v>28267.25</v>
      </c>
      <c r="DQ7" t="n">
        <v>23486.7172725075</v>
      </c>
      <c r="DR7" t="n">
        <v>165409.042118762</v>
      </c>
      <c r="DS7" t="n">
        <v>29204.1241466024</v>
      </c>
      <c r="DT7" t="n">
        <v>12473.5424506234</v>
      </c>
      <c r="DU7" t="n">
        <v>0</v>
      </c>
      <c r="DV7" t="n">
        <v>61.25</v>
      </c>
      <c r="DW7" t="n">
        <v>208288.96</v>
      </c>
      <c r="DX7" t="n">
        <v>2.11030270909113</v>
      </c>
      <c r="DY7" t="n">
        <v>80.6083433839946</v>
      </c>
      <c r="DZ7" t="n">
        <v>1.18119551508904</v>
      </c>
      <c r="EA7" t="n">
        <v>1.18588501702756</v>
      </c>
      <c r="EB7" t="n">
        <v>147730387.822721</v>
      </c>
      <c r="EC7" t="n">
        <v>3.18782304357156</v>
      </c>
      <c r="ED7" t="n">
        <v>0.0435</v>
      </c>
      <c r="EE7" t="n">
        <v>0.0304926484848485</v>
      </c>
      <c r="EF7" t="n">
        <v>0.03050813492075</v>
      </c>
      <c r="EG7" t="n">
        <v>0.0441803333333333</v>
      </c>
      <c r="EH7" t="n">
        <v>718573.412050377</v>
      </c>
      <c r="EI7" t="n">
        <v>369859.83497478</v>
      </c>
      <c r="EJ7" t="n">
        <v>905.483966883357</v>
      </c>
      <c r="EK7" t="n">
        <v>2.92577747551372</v>
      </c>
      <c r="EL7" t="n">
        <v>4.94081914433149</v>
      </c>
    </row>
    <row r="8">
      <c r="A8" s="2" t="n">
        <v>46539</v>
      </c>
      <c r="B8" t="n">
        <v>373741.073389824</v>
      </c>
      <c r="C8" t="n">
        <v>37027.6696104432</v>
      </c>
      <c r="D8" t="n">
        <v>21575.6369841068</v>
      </c>
      <c r="E8" t="n">
        <v>223481.058337728</v>
      </c>
      <c r="F8" t="n">
        <v>46091.2523237803</v>
      </c>
      <c r="G8" t="n">
        <v>12268.1154162491</v>
      </c>
      <c r="H8" t="n">
        <v>52836.0729721081</v>
      </c>
      <c r="I8" t="n">
        <v>53460.575039832</v>
      </c>
      <c r="J8" t="n">
        <v>96935.2025995102</v>
      </c>
      <c r="K8" t="n">
        <v>411.151341473274</v>
      </c>
      <c r="L8" t="n">
        <v>4844.36183888837</v>
      </c>
      <c r="M8" t="n">
        <v>0.67083355469851</v>
      </c>
      <c r="N8" t="n">
        <v>28319.2813117101</v>
      </c>
      <c r="O8" t="n">
        <v>155.7401265663</v>
      </c>
      <c r="P8" t="n">
        <v>1.4271529595192</v>
      </c>
      <c r="Q8" t="n">
        <v>1.26039865650921</v>
      </c>
      <c r="R8" t="n">
        <v>1.09323853570304</v>
      </c>
      <c r="S8" t="n">
        <v>0.119696130161229</v>
      </c>
      <c r="T8" t="n">
        <v>9693.4767969926</v>
      </c>
      <c r="U8" t="n">
        <v>0.373604704040058</v>
      </c>
      <c r="V8" t="n">
        <v>0.587980149692322</v>
      </c>
      <c r="W8" t="n">
        <v>20349303.9403572</v>
      </c>
      <c r="X8" t="n">
        <v>65034.9584914361</v>
      </c>
      <c r="Y8" t="n">
        <v>4434603.36342379</v>
      </c>
      <c r="Z8" t="n">
        <v>901.562521232711</v>
      </c>
      <c r="AA8" t="n">
        <v>1.08976897936909</v>
      </c>
      <c r="AB8" t="n">
        <v>1.0768212750154</v>
      </c>
      <c r="AC8" t="n">
        <v>1.13465499495093</v>
      </c>
      <c r="AD8" t="n">
        <v>1.1583484379047</v>
      </c>
      <c r="AE8" t="n">
        <v>113.151605263381</v>
      </c>
      <c r="AF8" t="n">
        <v>98484.1116616326</v>
      </c>
      <c r="AG8" t="n">
        <v>964.68098889018</v>
      </c>
      <c r="AH8" t="n">
        <v>107.500652840412</v>
      </c>
      <c r="AI8" t="n">
        <v>69843.2449161418</v>
      </c>
      <c r="AJ8" t="n">
        <v>79726.4314915912</v>
      </c>
      <c r="AK8" t="n">
        <v>604.396572535373</v>
      </c>
      <c r="AL8" t="n">
        <v>24698.9062341873</v>
      </c>
      <c r="AM8" t="n">
        <v>19484.9286266687</v>
      </c>
      <c r="AN8" t="n">
        <v>1.02325491910399</v>
      </c>
      <c r="AO8" t="n">
        <v>1.01404111727402</v>
      </c>
      <c r="AP8" t="n">
        <v>1.09868448580716</v>
      </c>
      <c r="AQ8" t="n">
        <v>1.13575020313802</v>
      </c>
      <c r="AR8" t="n">
        <v>34039.5910186961</v>
      </c>
      <c r="AS8" t="n">
        <v>172317.179089587</v>
      </c>
      <c r="AT8" t="n">
        <v>0.0756460953604322</v>
      </c>
      <c r="AU8" t="n">
        <v>0.0472209081544774</v>
      </c>
      <c r="AV8" t="n">
        <v>-0.0636509046409227</v>
      </c>
      <c r="AW8" t="n">
        <v>1542.66794898894</v>
      </c>
      <c r="AX8" t="n">
        <v>11199.6904418937</v>
      </c>
      <c r="AY8" t="n">
        <v>18430.9905367453</v>
      </c>
      <c r="AZ8" t="n">
        <v>178151.71278162</v>
      </c>
      <c r="BA8" t="n">
        <v>424476.501074086</v>
      </c>
      <c r="BB8" t="n">
        <v>188959.414074365</v>
      </c>
      <c r="BC8" t="n">
        <v>234378.458607958</v>
      </c>
      <c r="BD8" t="n">
        <v>53226.3426708645</v>
      </c>
      <c r="BE8" t="n">
        <v>15.4060420800951</v>
      </c>
      <c r="BF8" t="n">
        <v>42890.9432525081</v>
      </c>
      <c r="BG8" t="n">
        <v>15983.6713598475</v>
      </c>
      <c r="BH8" t="n">
        <v>23512.4598954081</v>
      </c>
      <c r="BI8" t="n">
        <v>75208.6912948775</v>
      </c>
      <c r="BJ8" t="n">
        <v>46878.2899357236</v>
      </c>
      <c r="BK8" t="n">
        <v>99189.4228942911</v>
      </c>
      <c r="BL8" t="n">
        <v>23230.3957106476</v>
      </c>
      <c r="BM8" t="n">
        <v>19758.5187945917</v>
      </c>
      <c r="BN8" t="n">
        <v>38516.3436627444</v>
      </c>
      <c r="BO8" t="n">
        <v>192284.241062275</v>
      </c>
      <c r="BP8" t="n">
        <v>188383.780544379</v>
      </c>
      <c r="BQ8" t="n">
        <v>821810.431404711</v>
      </c>
      <c r="BR8" t="n">
        <v>728989.507649247</v>
      </c>
      <c r="BS8" t="n">
        <v>723584.950029542</v>
      </c>
      <c r="BT8" t="n">
        <v>113.096182703449</v>
      </c>
      <c r="BU8" t="n">
        <v>1.12732819417544</v>
      </c>
      <c r="BV8" t="n">
        <v>1.07932861301187</v>
      </c>
      <c r="BW8" t="n">
        <v>98.7276406532607</v>
      </c>
      <c r="BX8" t="n">
        <v>79519.9049684149</v>
      </c>
      <c r="BY8" t="n">
        <v>1.1494037089422</v>
      </c>
      <c r="BZ8" t="n">
        <v>91400.4737054271</v>
      </c>
      <c r="CA8" t="n">
        <v>10377.9638740089</v>
      </c>
      <c r="CB8" t="n">
        <v>15222.3257128973</v>
      </c>
      <c r="CC8" t="n">
        <v>15815.8672629859</v>
      </c>
      <c r="CD8" t="n">
        <v>593.541550088641</v>
      </c>
      <c r="CE8" t="n">
        <v>0.0375282277070139</v>
      </c>
      <c r="CF8" t="n">
        <v>11146138.411438</v>
      </c>
      <c r="CG8" t="n">
        <v>396767.229796618</v>
      </c>
      <c r="CH8" t="n">
        <v>486868.423173744</v>
      </c>
      <c r="CI8" t="n">
        <v>293398.504830588</v>
      </c>
      <c r="CJ8" t="n">
        <v>21195.9653095631</v>
      </c>
      <c r="CK8" t="n">
        <v>814749.589279646</v>
      </c>
      <c r="CL8" t="n">
        <v>0.0623508556520079</v>
      </c>
      <c r="CM8" t="n">
        <v>16.0382722826001</v>
      </c>
      <c r="CN8" t="n">
        <v>1146514.51454452</v>
      </c>
      <c r="CO8" t="n">
        <v>2747504.40145928</v>
      </c>
      <c r="CP8" t="n">
        <v>3206069.12492034</v>
      </c>
      <c r="CQ8" t="n">
        <v>3894018.9160038</v>
      </c>
      <c r="CR8" t="n">
        <v>9187564.53524135</v>
      </c>
      <c r="CS8" t="n">
        <v>0.0251010648484363</v>
      </c>
      <c r="CT8" t="n">
        <v>-0.00332412235751849</v>
      </c>
      <c r="CU8" t="n">
        <v>0.0691510996492329</v>
      </c>
      <c r="CV8" t="n">
        <v>1.46318948036874</v>
      </c>
      <c r="CW8" t="n">
        <v>0.0691510996492329</v>
      </c>
      <c r="CX8" t="n">
        <v>0.039440022763365</v>
      </c>
      <c r="CY8" t="n">
        <v>0.012305022763365</v>
      </c>
      <c r="CZ8" t="n">
        <v>-0.0156291451208835</v>
      </c>
      <c r="DA8" t="n">
        <v>0.545582299226993</v>
      </c>
      <c r="DB8" t="n">
        <v>5.78889038496387</v>
      </c>
      <c r="DC8" t="n">
        <v>0.0933755866104322</v>
      </c>
      <c r="DD8" t="n">
        <v>0.0625706045242643</v>
      </c>
      <c r="DE8" t="n">
        <v>0.00748157560661103</v>
      </c>
      <c r="DF8" t="n">
        <v>0.126274943734169</v>
      </c>
      <c r="DG8" t="n">
        <v>208495.978877053</v>
      </c>
      <c r="DH8" t="n">
        <v>115.009434151433</v>
      </c>
      <c r="DI8" t="n">
        <v>4.78158256866157</v>
      </c>
      <c r="DJ8" t="n">
        <v>4.16181016109789</v>
      </c>
      <c r="DK8" t="n">
        <v>0.0484267358713257</v>
      </c>
      <c r="DL8" t="n">
        <v>0.669440030437354</v>
      </c>
      <c r="DM8" t="n">
        <v>1.13109564276806</v>
      </c>
      <c r="DN8" t="n">
        <v>0.0399169327369503</v>
      </c>
      <c r="DO8" t="n">
        <v>0.0374213819593254</v>
      </c>
      <c r="DP8" t="n">
        <v>28354.8</v>
      </c>
      <c r="DQ8" t="n">
        <v>23576.440314012</v>
      </c>
      <c r="DR8" t="n">
        <v>166534.686680277</v>
      </c>
      <c r="DS8" t="n">
        <v>29402.8645727506</v>
      </c>
      <c r="DT8" t="n">
        <v>12558.4276240246</v>
      </c>
      <c r="DU8" t="n">
        <v>0</v>
      </c>
      <c r="DV8" t="n">
        <v>61.25</v>
      </c>
      <c r="DW8" t="n">
        <v>208288.96</v>
      </c>
      <c r="DX8" t="n">
        <v>2.12171101496979</v>
      </c>
      <c r="DY8" t="n">
        <v>79.0302004805758</v>
      </c>
      <c r="DZ8" t="n">
        <v>1.16954068548472</v>
      </c>
      <c r="EA8" t="n">
        <v>1.19216508090601</v>
      </c>
      <c r="EB8" t="n">
        <v>149197868.454801</v>
      </c>
      <c r="EC8" t="n">
        <v>3.17687610510602</v>
      </c>
      <c r="ED8" t="n">
        <v>0.0435</v>
      </c>
      <c r="EE8" t="n">
        <v>0.0304926484848485</v>
      </c>
      <c r="EF8" t="n">
        <v>0.03050813492075</v>
      </c>
      <c r="EG8" t="n">
        <v>0.0441803333333333</v>
      </c>
      <c r="EH8" t="n">
        <v>724007.76381938</v>
      </c>
      <c r="EI8" t="n">
        <v>372473.190166138</v>
      </c>
      <c r="EJ8" t="n">
        <v>914.420282987964</v>
      </c>
      <c r="EK8" t="n">
        <v>3.53022582255542</v>
      </c>
      <c r="EL8" t="n">
        <v>5.05450305119959</v>
      </c>
    </row>
    <row r="9">
      <c r="A9" s="2" t="n">
        <v>46631</v>
      </c>
      <c r="B9" t="n">
        <v>375470.918781582</v>
      </c>
      <c r="C9" t="n">
        <v>36908.9972932988</v>
      </c>
      <c r="D9" t="n">
        <v>21995.2430889281</v>
      </c>
      <c r="E9" t="n">
        <v>224985.88758652</v>
      </c>
      <c r="F9" t="n">
        <v>46579.8239333935</v>
      </c>
      <c r="G9" t="n">
        <v>12461.8172840582</v>
      </c>
      <c r="H9" t="n">
        <v>53693.4764180695</v>
      </c>
      <c r="I9" t="n">
        <v>56683.4750251418</v>
      </c>
      <c r="J9" t="n">
        <v>96841.8793361456</v>
      </c>
      <c r="K9" t="n">
        <v>410.47261118605</v>
      </c>
      <c r="L9" t="n">
        <v>4874.35300077286</v>
      </c>
      <c r="M9" t="n">
        <v>0.671046577454215</v>
      </c>
      <c r="N9" t="n">
        <v>28694.0313009322</v>
      </c>
      <c r="O9" t="n">
        <v>157.671477678942</v>
      </c>
      <c r="P9" t="n">
        <v>1.4543314468507</v>
      </c>
      <c r="Q9" t="n">
        <v>1.29112542224167</v>
      </c>
      <c r="R9" t="n">
        <v>1.10388162370264</v>
      </c>
      <c r="S9" t="n">
        <v>0.123345220983489</v>
      </c>
      <c r="T9" t="n">
        <v>9597.22869968684</v>
      </c>
      <c r="U9" t="n">
        <v>0.369940218168073</v>
      </c>
      <c r="V9" t="n">
        <v>0.57925505812771</v>
      </c>
      <c r="W9" t="n">
        <v>20676615.093247</v>
      </c>
      <c r="X9" t="n">
        <v>66019.4957183576</v>
      </c>
      <c r="Y9" t="n">
        <v>4437508.75285939</v>
      </c>
      <c r="Z9" t="n">
        <v>917.206313523025</v>
      </c>
      <c r="AA9" t="n">
        <v>1.09731865555436</v>
      </c>
      <c r="AB9" t="n">
        <v>1.08390884247415</v>
      </c>
      <c r="AC9" t="n">
        <v>1.1464798727791</v>
      </c>
      <c r="AD9" t="n">
        <v>1.17829675172656</v>
      </c>
      <c r="AE9" t="n">
        <v>114.201331096472</v>
      </c>
      <c r="AF9" t="n">
        <v>98730.7731338266</v>
      </c>
      <c r="AG9" t="n">
        <v>985.779613790243</v>
      </c>
      <c r="AH9" t="n">
        <v>108.809900068582</v>
      </c>
      <c r="AI9" t="n">
        <v>70310.7772928511</v>
      </c>
      <c r="AJ9" t="n">
        <v>77125.9096868264</v>
      </c>
      <c r="AK9" t="n">
        <v>620.323195774046</v>
      </c>
      <c r="AL9" t="n">
        <v>24787.4686492951</v>
      </c>
      <c r="AM9" t="n">
        <v>19447.5232679078</v>
      </c>
      <c r="AN9" t="n">
        <v>1.03380003257888</v>
      </c>
      <c r="AO9" t="n">
        <v>1.02512127654078</v>
      </c>
      <c r="AP9" t="n">
        <v>1.1103935614096</v>
      </c>
      <c r="AQ9" t="n">
        <v>1.14819966485835</v>
      </c>
      <c r="AR9" t="n">
        <v>34192.8839295334</v>
      </c>
      <c r="AS9" t="n">
        <v>172682.899339875</v>
      </c>
      <c r="AT9" t="n">
        <v>0.0782042206508805</v>
      </c>
      <c r="AU9" t="n">
        <v>0.0489069299112585</v>
      </c>
      <c r="AV9" t="n">
        <v>-0.0528369372703191</v>
      </c>
      <c r="AW9" t="n">
        <v>1504.82924879182</v>
      </c>
      <c r="AX9" t="n">
        <v>11163.795846581</v>
      </c>
      <c r="AY9" t="n">
        <v>18518.4684248278</v>
      </c>
      <c r="AZ9" t="n">
        <v>178261.754958415</v>
      </c>
      <c r="BA9" t="n">
        <v>431115.58418122</v>
      </c>
      <c r="BB9" t="n">
        <v>192110.943731476</v>
      </c>
      <c r="BC9" t="n">
        <v>236253.359418643</v>
      </c>
      <c r="BD9" t="n">
        <v>58304.9120744652</v>
      </c>
      <c r="BE9" t="n">
        <v>15.9353074972012</v>
      </c>
      <c r="BF9" t="n">
        <v>43489.7516201783</v>
      </c>
      <c r="BG9" t="n">
        <v>16235.8593659039</v>
      </c>
      <c r="BH9" t="n">
        <v>24135.7905749338</v>
      </c>
      <c r="BI9" t="n">
        <v>76210.4724784699</v>
      </c>
      <c r="BJ9" t="n">
        <v>47427.6290749469</v>
      </c>
      <c r="BK9" t="n">
        <v>100115.138012707</v>
      </c>
      <c r="BL9" t="n">
        <v>23909.6653642748</v>
      </c>
      <c r="BM9" t="n">
        <v>19936.0698779541</v>
      </c>
      <c r="BN9" t="n">
        <v>39048.7285877989</v>
      </c>
      <c r="BO9" t="n">
        <v>194599.161842735</v>
      </c>
      <c r="BP9" t="n">
        <v>190621.479308982</v>
      </c>
      <c r="BQ9" t="n">
        <v>834703.713560883</v>
      </c>
      <c r="BR9" t="n">
        <v>732449.466179321</v>
      </c>
      <c r="BS9" t="n">
        <v>727300.58684029</v>
      </c>
      <c r="BT9" t="n">
        <v>114.280977763115</v>
      </c>
      <c r="BU9" t="n">
        <v>1.13960586602926</v>
      </c>
      <c r="BV9" t="n">
        <v>1.09164841268466</v>
      </c>
      <c r="BW9" t="n">
        <v>98.891800465257</v>
      </c>
      <c r="BX9" t="n">
        <v>79887.9596216403</v>
      </c>
      <c r="BY9" t="n">
        <v>1.1634022622553</v>
      </c>
      <c r="BZ9" t="n">
        <v>92941.8329507767</v>
      </c>
      <c r="CA9" t="n">
        <v>10401.9346908132</v>
      </c>
      <c r="CB9" t="n">
        <v>15276.2876915861</v>
      </c>
      <c r="CC9" t="n">
        <v>15878.292434351</v>
      </c>
      <c r="CD9" t="n">
        <v>602.00474276495</v>
      </c>
      <c r="CE9" t="n">
        <v>0.0379136900922971</v>
      </c>
      <c r="CF9" t="n">
        <v>11179119.1065133</v>
      </c>
      <c r="CG9" t="n">
        <v>403442.785538192</v>
      </c>
      <c r="CH9" t="n">
        <v>494825.038713968</v>
      </c>
      <c r="CI9" t="n">
        <v>297663.434627383</v>
      </c>
      <c r="CJ9" t="n">
        <v>21542.3589940678</v>
      </c>
      <c r="CK9" t="n">
        <v>827532.094757523</v>
      </c>
      <c r="CL9" t="n">
        <v>0.0646356583952498</v>
      </c>
      <c r="CM9" t="n">
        <v>15.4713361761546</v>
      </c>
      <c r="CN9" t="n">
        <v>1149450.41843631</v>
      </c>
      <c r="CO9" t="n">
        <v>2773317.97472876</v>
      </c>
      <c r="CP9" t="n">
        <v>3217403.46490812</v>
      </c>
      <c r="CQ9" t="n">
        <v>3922768.39316508</v>
      </c>
      <c r="CR9" t="n">
        <v>9227648.3523904</v>
      </c>
      <c r="CS9" t="n">
        <v>0.0275638484227091</v>
      </c>
      <c r="CT9" t="n">
        <v>-0.00173344231691288</v>
      </c>
      <c r="CU9" t="n">
        <v>0.0727048487553177</v>
      </c>
      <c r="CV9" t="n">
        <v>1.48133466037611</v>
      </c>
      <c r="CW9" t="n">
        <v>0.0727048487553175</v>
      </c>
      <c r="CX9" t="n">
        <v>0.039440022763365</v>
      </c>
      <c r="CY9" t="n">
        <v>0.00952971139750516</v>
      </c>
      <c r="CZ9" t="n">
        <v>-0.011263153714418</v>
      </c>
      <c r="DA9" t="n">
        <v>0.5364351280877</v>
      </c>
      <c r="DB9" t="n">
        <v>5.81719869075294</v>
      </c>
      <c r="DC9" t="n">
        <v>0.0959337119008805</v>
      </c>
      <c r="DD9" t="n">
        <v>0.0643093626041923</v>
      </c>
      <c r="DE9" t="n">
        <v>0.00760706663766725</v>
      </c>
      <c r="DF9" t="n">
        <v>0.128402438761753</v>
      </c>
      <c r="DG9" t="n">
        <v>209787.037336164</v>
      </c>
      <c r="DH9" t="n">
        <v>116.392027929878</v>
      </c>
      <c r="DI9" t="n">
        <v>4.79370576192909</v>
      </c>
      <c r="DJ9" t="n">
        <v>4.17099604437695</v>
      </c>
      <c r="DK9" t="n">
        <v>0.0484267358713257</v>
      </c>
      <c r="DL9" t="n">
        <v>0.669440030437354</v>
      </c>
      <c r="DM9" t="n">
        <v>1.14246784900823</v>
      </c>
      <c r="DN9" t="n">
        <v>0.0399169327369503</v>
      </c>
      <c r="DO9" t="n">
        <v>0.0374213819593254</v>
      </c>
      <c r="DP9" t="n">
        <v>28438.7</v>
      </c>
      <c r="DQ9" t="n">
        <v>23661.9825923103</v>
      </c>
      <c r="DR9" t="n">
        <v>167565.910481964</v>
      </c>
      <c r="DS9" t="n">
        <v>29584.9343528644</v>
      </c>
      <c r="DT9" t="n">
        <v>12636.1925013352</v>
      </c>
      <c r="DU9" t="n">
        <v>0</v>
      </c>
      <c r="DV9" t="n">
        <v>56.25</v>
      </c>
      <c r="DW9" t="n">
        <v>208288.96</v>
      </c>
      <c r="DX9" t="n">
        <v>2.13318099420103</v>
      </c>
      <c r="DY9" t="n">
        <v>77.4829543171104</v>
      </c>
      <c r="DZ9" t="n">
        <v>1.15800085382221</v>
      </c>
      <c r="EA9" t="n">
        <v>1.1984784019736</v>
      </c>
      <c r="EB9" t="n">
        <v>150679926.313932</v>
      </c>
      <c r="EC9" t="n">
        <v>3.16596675826966</v>
      </c>
      <c r="ED9" t="n">
        <v>0.0435</v>
      </c>
      <c r="EE9" t="n">
        <v>0.0304926484848485</v>
      </c>
      <c r="EF9" t="n">
        <v>0.03050813492075</v>
      </c>
      <c r="EG9" t="n">
        <v>0.0441803333333333</v>
      </c>
      <c r="EH9" t="n">
        <v>729157.495196967</v>
      </c>
      <c r="EI9" t="n">
        <v>374937.692847995</v>
      </c>
      <c r="EJ9" t="n">
        <v>924.414416812001</v>
      </c>
      <c r="EK9" t="n">
        <v>2.47631256686598</v>
      </c>
      <c r="EL9" t="n">
        <v>5.06403722281714</v>
      </c>
    </row>
    <row r="10">
      <c r="A10" s="2" t="n">
        <v>46722</v>
      </c>
      <c r="B10" t="n">
        <v>377283.567466032</v>
      </c>
      <c r="C10" t="n">
        <v>36880.2350066421</v>
      </c>
      <c r="D10" t="n">
        <v>22395.8677398617</v>
      </c>
      <c r="E10" t="n">
        <v>226433.90524198</v>
      </c>
      <c r="F10" t="n">
        <v>47207.9617150504</v>
      </c>
      <c r="G10" t="n">
        <v>12652.7929097683</v>
      </c>
      <c r="H10" t="n">
        <v>54579.0538353802</v>
      </c>
      <c r="I10" t="n">
        <v>56801.9575395417</v>
      </c>
      <c r="J10" t="n">
        <v>97134.7875789308</v>
      </c>
      <c r="K10" t="n">
        <v>409.745792616749</v>
      </c>
      <c r="L10" t="n">
        <v>4903.27516039137</v>
      </c>
      <c r="M10" t="n">
        <v>0.671066602822236</v>
      </c>
      <c r="N10" t="n">
        <v>29056.4632192764</v>
      </c>
      <c r="O10" t="n">
        <v>159.601649428925</v>
      </c>
      <c r="P10" t="n">
        <v>1.48160292079767</v>
      </c>
      <c r="Q10" t="n">
        <v>1.32131548788429</v>
      </c>
      <c r="R10" t="n">
        <v>1.11154558211824</v>
      </c>
      <c r="S10" t="n">
        <v>0.125718225614493</v>
      </c>
      <c r="T10" t="n">
        <v>9456.38670536151</v>
      </c>
      <c r="U10" t="n">
        <v>0.368031132184108</v>
      </c>
      <c r="V10" t="n">
        <v>0.573418923578122</v>
      </c>
      <c r="W10" t="n">
        <v>21056055.0329833</v>
      </c>
      <c r="X10" t="n">
        <v>67017.0937046919</v>
      </c>
      <c r="Y10" t="n">
        <v>4437318.02555719</v>
      </c>
      <c r="Z10" t="n">
        <v>938.158794212447</v>
      </c>
      <c r="AA10" t="n">
        <v>1.10458877997671</v>
      </c>
      <c r="AB10" t="n">
        <v>1.09094878870481</v>
      </c>
      <c r="AC10" t="n">
        <v>1.1582681303432</v>
      </c>
      <c r="AD10" t="n">
        <v>1.19895195634565</v>
      </c>
      <c r="AE10" t="n">
        <v>115.266323794406</v>
      </c>
      <c r="AF10" t="n">
        <v>98604.9249243951</v>
      </c>
      <c r="AG10" t="n">
        <v>1007.31643729733</v>
      </c>
      <c r="AH10" t="n">
        <v>110.173979417855</v>
      </c>
      <c r="AI10" t="n">
        <v>70669.3722202694</v>
      </c>
      <c r="AJ10" t="n">
        <v>75457.1224905679</v>
      </c>
      <c r="AK10" t="n">
        <v>625.436403024632</v>
      </c>
      <c r="AL10" t="n">
        <v>24913.7715475099</v>
      </c>
      <c r="AM10" t="n">
        <v>19427.2182131604</v>
      </c>
      <c r="AN10" t="n">
        <v>1.03847646642573</v>
      </c>
      <c r="AO10" t="n">
        <v>1.03331643599796</v>
      </c>
      <c r="AP10" t="n">
        <v>1.12192533680659</v>
      </c>
      <c r="AQ10" t="n">
        <v>1.16061752279711</v>
      </c>
      <c r="AR10" t="n">
        <v>34375.572750458</v>
      </c>
      <c r="AS10" t="n">
        <v>173114.338580482</v>
      </c>
      <c r="AT10" t="n">
        <v>0.0795699053926581</v>
      </c>
      <c r="AU10" t="n">
        <v>0.0505613788619618</v>
      </c>
      <c r="AV10" t="n">
        <v>-0.0376913332093216</v>
      </c>
      <c r="AW10" t="n">
        <v>1448.01765546089</v>
      </c>
      <c r="AX10" t="n">
        <v>11155.0961711667</v>
      </c>
      <c r="AY10" t="n">
        <v>18617.048604612</v>
      </c>
      <c r="AZ10" t="n">
        <v>178815.627147161</v>
      </c>
      <c r="BA10" t="n">
        <v>437881.920554893</v>
      </c>
      <c r="BB10" t="n">
        <v>195288.083735419</v>
      </c>
      <c r="BC10" t="n">
        <v>237958.504932104</v>
      </c>
      <c r="BD10" t="n">
        <v>60477.8451401624</v>
      </c>
      <c r="BE10" t="n">
        <v>16.1617607035992</v>
      </c>
      <c r="BF10" t="n">
        <v>44217.6299117009</v>
      </c>
      <c r="BG10" t="n">
        <v>16527.4230689795</v>
      </c>
      <c r="BH10" t="n">
        <v>24738.2242232937</v>
      </c>
      <c r="BI10" t="n">
        <v>77096.6652800353</v>
      </c>
      <c r="BJ10" t="n">
        <v>47959.0666852465</v>
      </c>
      <c r="BK10" t="n">
        <v>100872.190971982</v>
      </c>
      <c r="BL10" t="n">
        <v>24598.9946599684</v>
      </c>
      <c r="BM10" t="n">
        <v>20074.4638853775</v>
      </c>
      <c r="BN10" t="n">
        <v>39623.4589927246</v>
      </c>
      <c r="BO10" t="n">
        <v>196758.668510053</v>
      </c>
      <c r="BP10" t="n">
        <v>192424.478250455</v>
      </c>
      <c r="BQ10" t="n">
        <v>848043.203719166</v>
      </c>
      <c r="BR10" t="n">
        <v>736348.54674915</v>
      </c>
      <c r="BS10" t="n">
        <v>731077.234952298</v>
      </c>
      <c r="BT10" t="n">
        <v>115.466929147438</v>
      </c>
      <c r="BU10" t="n">
        <v>1.15168720392873</v>
      </c>
      <c r="BV10" t="n">
        <v>1.10034381026511</v>
      </c>
      <c r="BW10" t="n">
        <v>98.9922345935848</v>
      </c>
      <c r="BX10" t="n">
        <v>80273.6321136179</v>
      </c>
      <c r="BY10" t="n">
        <v>1.17798708403935</v>
      </c>
      <c r="BZ10" t="n">
        <v>94561.3018187682</v>
      </c>
      <c r="CA10" t="n">
        <v>10419.938058417</v>
      </c>
      <c r="CB10" t="n">
        <v>15323.2132188084</v>
      </c>
      <c r="CC10" t="n">
        <v>15936.2333268275</v>
      </c>
      <c r="CD10" t="n">
        <v>613.020108019176</v>
      </c>
      <c r="CE10" t="n">
        <v>0.0384670586359749</v>
      </c>
      <c r="CF10" t="n">
        <v>11212099.8015885</v>
      </c>
      <c r="CG10" t="n">
        <v>409793.582096794</v>
      </c>
      <c r="CH10" t="n">
        <v>500383.892717193</v>
      </c>
      <c r="CI10" t="n">
        <v>302546.040870049</v>
      </c>
      <c r="CJ10" t="n">
        <v>21784.3653986836</v>
      </c>
      <c r="CK10" t="n">
        <v>840756.974501485</v>
      </c>
      <c r="CL10" t="n">
        <v>0.0661390468169017</v>
      </c>
      <c r="CM10" t="n">
        <v>15.1196615029603</v>
      </c>
      <c r="CN10" t="n">
        <v>1152758.19727538</v>
      </c>
      <c r="CO10" t="n">
        <v>2799185.40927965</v>
      </c>
      <c r="CP10" t="n">
        <v>3228528.29956111</v>
      </c>
      <c r="CQ10" t="n">
        <v>3951943.60655503</v>
      </c>
      <c r="CR10" t="n">
        <v>9267948.40043336</v>
      </c>
      <c r="CS10" t="n">
        <v>0.029021579824983</v>
      </c>
      <c r="CT10" t="n">
        <v>0.0000130532942867537</v>
      </c>
      <c r="CU10" t="n">
        <v>0.0751699000468178</v>
      </c>
      <c r="CV10" t="n">
        <v>1.49946876018807</v>
      </c>
      <c r="CW10" t="n">
        <v>0.0751699000468176</v>
      </c>
      <c r="CX10" t="n">
        <v>0.039440022763365</v>
      </c>
      <c r="CY10" t="n">
        <v>0.0067269292695177</v>
      </c>
      <c r="CZ10" t="n">
        <v>-0.00671387597523095</v>
      </c>
      <c r="DA10" t="n">
        <v>0.529979509689706</v>
      </c>
      <c r="DB10" t="n">
        <v>5.87812718458299</v>
      </c>
      <c r="DC10" t="n">
        <v>0.0972993966426581</v>
      </c>
      <c r="DD10" t="n">
        <v>0.0652661707778078</v>
      </c>
      <c r="DE10" t="n">
        <v>0.00773056222345308</v>
      </c>
      <c r="DF10" t="n">
        <v>0.129750104604306</v>
      </c>
      <c r="DG10" t="n">
        <v>211086.090347275</v>
      </c>
      <c r="DH10" t="n">
        <v>117.59819770546</v>
      </c>
      <c r="DI10" t="n">
        <v>4.80418873725383</v>
      </c>
      <c r="DJ10" t="n">
        <v>4.17854170971324</v>
      </c>
      <c r="DK10" t="n">
        <v>0.0484267358713257</v>
      </c>
      <c r="DL10" t="n">
        <v>0.669440030437354</v>
      </c>
      <c r="DM10" t="n">
        <v>1.15395439312565</v>
      </c>
      <c r="DN10" t="n">
        <v>0.0399169327369503</v>
      </c>
      <c r="DO10" t="n">
        <v>0.0374213819593254</v>
      </c>
      <c r="DP10" t="n">
        <v>28522.6</v>
      </c>
      <c r="DQ10" t="n">
        <v>23747.617985765</v>
      </c>
      <c r="DR10" t="n">
        <v>168603.519875448</v>
      </c>
      <c r="DS10" t="n">
        <v>29768.1315539051</v>
      </c>
      <c r="DT10" t="n">
        <v>12714.4389179217</v>
      </c>
      <c r="DU10" t="n">
        <v>0</v>
      </c>
      <c r="DV10" t="n">
        <v>56.25</v>
      </c>
      <c r="DW10" t="n">
        <v>208288.96</v>
      </c>
      <c r="DX10" t="n">
        <v>2.14471298019127</v>
      </c>
      <c r="DY10" t="n">
        <v>75.966</v>
      </c>
      <c r="DZ10" t="n">
        <v>1.1465748854194</v>
      </c>
      <c r="EA10" t="n">
        <v>1.20482515634968</v>
      </c>
      <c r="EB10" t="n">
        <v>152176706.203079</v>
      </c>
      <c r="EC10" t="n">
        <v>3.15509487397338</v>
      </c>
      <c r="ED10" t="n">
        <v>0.0435</v>
      </c>
      <c r="EE10" t="n">
        <v>0.0304926484848485</v>
      </c>
      <c r="EF10" t="n">
        <v>0.03050813492075</v>
      </c>
      <c r="EG10" t="n">
        <v>0.0441803333333333</v>
      </c>
      <c r="EH10" t="n">
        <v>734129.985895133</v>
      </c>
      <c r="EI10" t="n">
        <v>377283.381307048</v>
      </c>
      <c r="EJ10" t="n">
        <v>936.44519317609</v>
      </c>
      <c r="EK10" t="n">
        <v>2.34188252383807</v>
      </c>
      <c r="EL10" t="n">
        <v>5.05483255676751</v>
      </c>
    </row>
    <row r="11">
      <c r="A11" s="2" t="n">
        <v>46813</v>
      </c>
      <c r="B11" t="n">
        <v>379125.691403618</v>
      </c>
      <c r="C11" t="n">
        <v>36964.5856614639</v>
      </c>
      <c r="D11" t="n">
        <v>22777.7086126516</v>
      </c>
      <c r="E11" t="n">
        <v>227872.808912931</v>
      </c>
      <c r="F11" t="n">
        <v>47821.9962828688</v>
      </c>
      <c r="G11" t="n">
        <v>12834.7191416008</v>
      </c>
      <c r="H11" t="n">
        <v>55449.9125230401</v>
      </c>
      <c r="I11" t="n">
        <v>57214.5019928795</v>
      </c>
      <c r="J11" t="n">
        <v>97327.3172421182</v>
      </c>
      <c r="K11" t="n">
        <v>408.953561539423</v>
      </c>
      <c r="L11" t="n">
        <v>4931.53537259987</v>
      </c>
      <c r="M11" t="n">
        <v>0.671018836037757</v>
      </c>
      <c r="N11" t="n">
        <v>29417.2781784838</v>
      </c>
      <c r="O11" t="n">
        <v>161.516062281551</v>
      </c>
      <c r="P11" t="n">
        <v>1.50881804293704</v>
      </c>
      <c r="Q11" t="n">
        <v>1.34650683539914</v>
      </c>
      <c r="R11" t="n">
        <v>1.11683634815389</v>
      </c>
      <c r="S11" t="n">
        <v>0.12699412672274</v>
      </c>
      <c r="T11" t="n">
        <v>9294.34323395871</v>
      </c>
      <c r="U11" t="n">
        <v>0.367602048052999</v>
      </c>
      <c r="V11" t="n">
        <v>0.569978389830929</v>
      </c>
      <c r="W11" t="n">
        <v>21474858.9299757</v>
      </c>
      <c r="X11" t="n">
        <v>68025.1447748453</v>
      </c>
      <c r="Y11" t="n">
        <v>4434710.63069253</v>
      </c>
      <c r="Z11" t="n">
        <v>962.739753391625</v>
      </c>
      <c r="AA11" t="n">
        <v>1.11184787341376</v>
      </c>
      <c r="AB11" t="n">
        <v>1.0976016691007</v>
      </c>
      <c r="AC11" t="n">
        <v>1.17023190677172</v>
      </c>
      <c r="AD11" t="n">
        <v>1.22012019994585</v>
      </c>
      <c r="AE11" t="n">
        <v>116.337353486274</v>
      </c>
      <c r="AF11" t="n">
        <v>98292.98206449</v>
      </c>
      <c r="AG11" t="n">
        <v>1029.40747012444</v>
      </c>
      <c r="AH11" t="n">
        <v>111.586397416907</v>
      </c>
      <c r="AI11" t="n">
        <v>71045.2944033686</v>
      </c>
      <c r="AJ11" t="n">
        <v>74141.6667438782</v>
      </c>
      <c r="AK11" t="n">
        <v>628.048664326624</v>
      </c>
      <c r="AL11" t="n">
        <v>25064.9819947707</v>
      </c>
      <c r="AM11" t="n">
        <v>19406.7087716109</v>
      </c>
      <c r="AN11" t="n">
        <v>1.03798446623485</v>
      </c>
      <c r="AO11" t="n">
        <v>1.03980250434318</v>
      </c>
      <c r="AP11" t="n">
        <v>1.13318340668613</v>
      </c>
      <c r="AQ11" t="n">
        <v>1.17290955007384</v>
      </c>
      <c r="AR11" t="n">
        <v>34549.527940942</v>
      </c>
      <c r="AS11" t="n">
        <v>173789.024288664</v>
      </c>
      <c r="AT11" t="n">
        <v>0.0797187810770761</v>
      </c>
      <c r="AU11" t="n">
        <v>0.0521124830446222</v>
      </c>
      <c r="AV11" t="n">
        <v>-0.0179821461452909</v>
      </c>
      <c r="AW11" t="n">
        <v>1438.90367095036</v>
      </c>
      <c r="AX11" t="n">
        <v>11180.609557035</v>
      </c>
      <c r="AY11" t="n">
        <v>18712.4778328873</v>
      </c>
      <c r="AZ11" t="n">
        <v>179257.031787558</v>
      </c>
      <c r="BA11" t="n">
        <v>444680.145230246</v>
      </c>
      <c r="BB11" t="n">
        <v>198526.981066878</v>
      </c>
      <c r="BC11" t="n">
        <v>239464.59200677</v>
      </c>
      <c r="BD11" t="n">
        <v>63194.569194531</v>
      </c>
      <c r="BE11" t="n">
        <v>16.444885334874</v>
      </c>
      <c r="BF11" t="n">
        <v>45101.2376481807</v>
      </c>
      <c r="BG11" t="n">
        <v>16869.5054306887</v>
      </c>
      <c r="BH11" t="n">
        <v>25325.346882215</v>
      </c>
      <c r="BI11" t="n">
        <v>77979.432985698</v>
      </c>
      <c r="BJ11" t="n">
        <v>48530.45969465</v>
      </c>
      <c r="BK11" t="n">
        <v>101024.24343763</v>
      </c>
      <c r="BL11" t="n">
        <v>25196.4793092375</v>
      </c>
      <c r="BM11" t="n">
        <v>20179.1443817798</v>
      </c>
      <c r="BN11" t="n">
        <v>40194.0064484926</v>
      </c>
      <c r="BO11" t="n">
        <v>198183.43357714</v>
      </c>
      <c r="BP11" t="n">
        <v>194093.89923578</v>
      </c>
      <c r="BQ11" t="n">
        <v>861102.643279916</v>
      </c>
      <c r="BR11" t="n">
        <v>740122.999693959</v>
      </c>
      <c r="BS11" t="n">
        <v>735084.969436484</v>
      </c>
      <c r="BT11" t="n">
        <v>116.64771645336</v>
      </c>
      <c r="BU11" t="n">
        <v>1.16345882946938</v>
      </c>
      <c r="BV11" t="n">
        <v>1.10558247897361</v>
      </c>
      <c r="BW11" t="n">
        <v>98.992343936613</v>
      </c>
      <c r="BX11" t="n">
        <v>80665.5759776633</v>
      </c>
      <c r="BY11" t="n">
        <v>1.19308874569249</v>
      </c>
      <c r="BZ11" t="n">
        <v>96241.1908637526</v>
      </c>
      <c r="CA11" t="n">
        <v>10433.9890416258</v>
      </c>
      <c r="CB11" t="n">
        <v>15365.5244142257</v>
      </c>
      <c r="CC11" t="n">
        <v>15992.6244235409</v>
      </c>
      <c r="CD11" t="n">
        <v>627.100009315198</v>
      </c>
      <c r="CE11" t="n">
        <v>0.0392118206718482</v>
      </c>
      <c r="CF11" t="n">
        <v>11245080.4966638</v>
      </c>
      <c r="CG11" t="n">
        <v>416027.876107995</v>
      </c>
      <c r="CH11" t="n">
        <v>506751.789052128</v>
      </c>
      <c r="CI11" t="n">
        <v>307286.840158249</v>
      </c>
      <c r="CJ11" t="n">
        <v>22061.5937079881</v>
      </c>
      <c r="CK11" t="n">
        <v>853704.209790476</v>
      </c>
      <c r="CL11" t="n">
        <v>0.0675732161506501</v>
      </c>
      <c r="CM11" t="n">
        <v>14.7987628377872</v>
      </c>
      <c r="CN11" t="n">
        <v>1156412.82376221</v>
      </c>
      <c r="CO11" t="n">
        <v>2824996.90451772</v>
      </c>
      <c r="CP11" t="n">
        <v>3239535.2178785</v>
      </c>
      <c r="CQ11" t="n">
        <v>3981409.72827993</v>
      </c>
      <c r="CR11" t="n">
        <v>9308421.44047563</v>
      </c>
      <c r="CS11" t="n">
        <v>0.0296471055296803</v>
      </c>
      <c r="CT11" t="n">
        <v>0.00204080749722641</v>
      </c>
      <c r="CU11" t="n">
        <v>0.0769224511753441</v>
      </c>
      <c r="CV11" t="n">
        <v>1.51745480404718</v>
      </c>
      <c r="CW11" t="n">
        <v>0.0769224511753439</v>
      </c>
      <c r="CX11" t="n">
        <v>0.039440022763365</v>
      </c>
      <c r="CY11" t="n">
        <v>0.00389649394370375</v>
      </c>
      <c r="CZ11" t="n">
        <v>-0.00185568644647734</v>
      </c>
      <c r="DA11" t="n">
        <v>0.525786802277224</v>
      </c>
      <c r="DB11" t="n">
        <v>5.96064403621602</v>
      </c>
      <c r="DC11" t="n">
        <v>0.0974482723270761</v>
      </c>
      <c r="DD11" t="n">
        <v>0.0654254634882204</v>
      </c>
      <c r="DE11" t="n">
        <v>0.00784666264311797</v>
      </c>
      <c r="DF11" t="n">
        <v>0.130832417094055</v>
      </c>
      <c r="DG11" t="n">
        <v>212393.187414621</v>
      </c>
      <c r="DH11" t="n">
        <v>118.778401940915</v>
      </c>
      <c r="DI11" t="n">
        <v>4.81434792608547</v>
      </c>
      <c r="DJ11" t="n">
        <v>4.18576358855643</v>
      </c>
      <c r="DK11" t="n">
        <v>0.0484267358713257</v>
      </c>
      <c r="DL11" t="n">
        <v>0.669440030437354</v>
      </c>
      <c r="DM11" t="n">
        <v>1.1655564246906</v>
      </c>
      <c r="DN11" t="n">
        <v>0.0399169327369503</v>
      </c>
      <c r="DO11" t="n">
        <v>0.0374213819593254</v>
      </c>
      <c r="DP11" t="n">
        <v>28606.5</v>
      </c>
      <c r="DQ11" t="n">
        <v>23833.3464943762</v>
      </c>
      <c r="DR11" t="n">
        <v>169647.554401886</v>
      </c>
      <c r="DS11" t="n">
        <v>29952.4631571409</v>
      </c>
      <c r="DT11" t="n">
        <v>12793.1698555937</v>
      </c>
      <c r="DU11" t="n">
        <v>0</v>
      </c>
      <c r="DV11" t="n">
        <v>56.25</v>
      </c>
      <c r="DW11" t="n">
        <v>208288.96</v>
      </c>
      <c r="DX11" t="n">
        <v>2.15587456584291</v>
      </c>
      <c r="DY11" t="n">
        <v>75.5295022413614</v>
      </c>
      <c r="DZ11" t="n">
        <v>1.13495748489578</v>
      </c>
      <c r="EA11" t="n">
        <v>1.20489817214186</v>
      </c>
      <c r="EB11" t="n">
        <v>153676165.156582</v>
      </c>
      <c r="EC11" t="n">
        <v>3.15387992712949</v>
      </c>
      <c r="ED11" t="n">
        <v>0.0435</v>
      </c>
      <c r="EE11" t="n">
        <v>0.0304926484848485</v>
      </c>
      <c r="EF11" t="n">
        <v>0.03050813492075</v>
      </c>
      <c r="EG11" t="n">
        <v>0.0441803333333333</v>
      </c>
      <c r="EH11" t="n">
        <v>738911.793954124</v>
      </c>
      <c r="EI11" t="n">
        <v>379528.080931984</v>
      </c>
      <c r="EJ11" t="n">
        <v>951.031290685364</v>
      </c>
      <c r="EK11" t="n">
        <v>2.16718927724673</v>
      </c>
      <c r="EL11" t="n">
        <v>5.00716755473958</v>
      </c>
    </row>
    <row r="12">
      <c r="A12" s="2" t="n">
        <v>46905</v>
      </c>
      <c r="B12" t="n">
        <v>380784.317869581</v>
      </c>
      <c r="C12" t="n">
        <v>37146.4706531439</v>
      </c>
      <c r="D12" t="n">
        <v>23066.6067055583</v>
      </c>
      <c r="E12" t="n">
        <v>229277.831718346</v>
      </c>
      <c r="F12" t="n">
        <v>48389.7176158463</v>
      </c>
      <c r="G12" t="n">
        <v>13008.5965301757</v>
      </c>
      <c r="H12" t="n">
        <v>56289.1887931225</v>
      </c>
      <c r="I12" t="n">
        <v>57855.0197032256</v>
      </c>
      <c r="J12" t="n">
        <v>97847.0279907295</v>
      </c>
      <c r="K12" t="n">
        <v>408.120196863931</v>
      </c>
      <c r="L12" t="n">
        <v>4959.19074808287</v>
      </c>
      <c r="M12" t="n">
        <v>0.67088942289252</v>
      </c>
      <c r="N12" t="n">
        <v>29772.853481495</v>
      </c>
      <c r="O12" t="n">
        <v>163.39466789876</v>
      </c>
      <c r="P12" t="n">
        <v>1.53545264393855</v>
      </c>
      <c r="Q12" t="n">
        <v>1.36447641016847</v>
      </c>
      <c r="R12" t="n">
        <v>1.11577149753405</v>
      </c>
      <c r="S12" t="n">
        <v>0.127186350643628</v>
      </c>
      <c r="T12" t="n">
        <v>9113.35824193972</v>
      </c>
      <c r="U12" t="n">
        <v>0.370792547997141</v>
      </c>
      <c r="V12" t="n">
        <v>0.572328500571345</v>
      </c>
      <c r="W12" t="n">
        <v>21912854.5199741</v>
      </c>
      <c r="X12" t="n">
        <v>69035.9266074862</v>
      </c>
      <c r="Y12" t="n">
        <v>4430092.43448003</v>
      </c>
      <c r="Z12" t="n">
        <v>989.034541990268</v>
      </c>
      <c r="AA12" t="n">
        <v>1.11832007682287</v>
      </c>
      <c r="AB12" t="n">
        <v>1.10296265766439</v>
      </c>
      <c r="AC12" t="n">
        <v>1.18227182470405</v>
      </c>
      <c r="AD12" t="n">
        <v>1.24159178941171</v>
      </c>
      <c r="AE12" t="n">
        <v>117.418313053404</v>
      </c>
      <c r="AF12" t="n">
        <v>97827.41208873</v>
      </c>
      <c r="AG12" t="n">
        <v>1052.14434074963</v>
      </c>
      <c r="AH12" t="n">
        <v>113.050138601182</v>
      </c>
      <c r="AI12" t="n">
        <v>71438.2672585611</v>
      </c>
      <c r="AJ12" t="n">
        <v>73412.9571186464</v>
      </c>
      <c r="AK12" t="n">
        <v>628.427529902241</v>
      </c>
      <c r="AL12" t="n">
        <v>25223.8107596322</v>
      </c>
      <c r="AM12" t="n">
        <v>19391.7496195839</v>
      </c>
      <c r="AN12" t="n">
        <v>1.02564623332545</v>
      </c>
      <c r="AO12" t="n">
        <v>1.04184624669911</v>
      </c>
      <c r="AP12" t="n">
        <v>1.14400044183249</v>
      </c>
      <c r="AQ12" t="n">
        <v>1.184942347835</v>
      </c>
      <c r="AR12" t="n">
        <v>34711.8982367318</v>
      </c>
      <c r="AS12" t="n">
        <v>174742.11602585</v>
      </c>
      <c r="AT12" t="n">
        <v>0.0786957917261237</v>
      </c>
      <c r="AU12" t="n">
        <v>0.0534960762270323</v>
      </c>
      <c r="AV12" t="n">
        <v>0.00461124622997751</v>
      </c>
      <c r="AW12" t="n">
        <v>1405.02280541571</v>
      </c>
      <c r="AX12" t="n">
        <v>11235.6239725862</v>
      </c>
      <c r="AY12" t="n">
        <v>18805.1501102205</v>
      </c>
      <c r="AZ12" t="n">
        <v>180016.825957266</v>
      </c>
      <c r="BA12" t="n">
        <v>451207.46472703</v>
      </c>
      <c r="BB12" t="n">
        <v>201811.499595459</v>
      </c>
      <c r="BC12" t="n">
        <v>240738.725787507</v>
      </c>
      <c r="BD12" t="n">
        <v>66366.5753305749</v>
      </c>
      <c r="BE12" t="n">
        <v>16.7754573950817</v>
      </c>
      <c r="BF12" t="n">
        <v>46120.7529685665</v>
      </c>
      <c r="BG12" t="n">
        <v>17251.7685350068</v>
      </c>
      <c r="BH12" t="n">
        <v>25795.8493830028</v>
      </c>
      <c r="BI12" t="n">
        <v>78793.7403885212</v>
      </c>
      <c r="BJ12" t="n">
        <v>49022.2468405647</v>
      </c>
      <c r="BK12" t="n">
        <v>100356.435700781</v>
      </c>
      <c r="BL12" t="n">
        <v>25659.1837150729</v>
      </c>
      <c r="BM12" t="n">
        <v>20203.2215580924</v>
      </c>
      <c r="BN12" t="n">
        <v>40758.1253383847</v>
      </c>
      <c r="BO12" t="n">
        <v>198566.526312331</v>
      </c>
      <c r="BP12" t="n">
        <v>194972.272480432</v>
      </c>
      <c r="BQ12" t="n">
        <v>873597.576270051</v>
      </c>
      <c r="BR12" t="n">
        <v>743788.40869606</v>
      </c>
      <c r="BS12" t="n">
        <v>738943.676405493</v>
      </c>
      <c r="BT12" t="n">
        <v>117.796967640571</v>
      </c>
      <c r="BU12" t="n">
        <v>1.17452431628372</v>
      </c>
      <c r="BV12" t="n">
        <v>1.10304425853764</v>
      </c>
      <c r="BW12" t="n">
        <v>98.8593328450728</v>
      </c>
      <c r="BX12" t="n">
        <v>81018.4775674061</v>
      </c>
      <c r="BY12" t="n">
        <v>1.20873915805449</v>
      </c>
      <c r="BZ12" t="n">
        <v>97930.2063616828</v>
      </c>
      <c r="CA12" t="n">
        <v>10444.4069373003</v>
      </c>
      <c r="CB12" t="n">
        <v>15403.5976853831</v>
      </c>
      <c r="CC12" t="n">
        <v>16047.1168948508</v>
      </c>
      <c r="CD12" t="n">
        <v>643.519209467659</v>
      </c>
      <c r="CE12" t="n">
        <v>0.0401018528669038</v>
      </c>
      <c r="CF12" t="n">
        <v>11278061.191739</v>
      </c>
      <c r="CG12" t="n">
        <v>422099.837156403</v>
      </c>
      <c r="CH12" t="n">
        <v>514029.186450329</v>
      </c>
      <c r="CI12" t="n">
        <v>311697.651622224</v>
      </c>
      <c r="CJ12" t="n">
        <v>22378.4174235017</v>
      </c>
      <c r="CK12" t="n">
        <v>866091.78864414</v>
      </c>
      <c r="CL12" t="n">
        <v>0.0689567460445277</v>
      </c>
      <c r="CM12" t="n">
        <v>14.5018443787105</v>
      </c>
      <c r="CN12" t="n">
        <v>1160389.87516031</v>
      </c>
      <c r="CO12" t="n">
        <v>2850770.68414474</v>
      </c>
      <c r="CP12" t="n">
        <v>3250538.27777927</v>
      </c>
      <c r="CQ12" t="n">
        <v>4011160.55930505</v>
      </c>
      <c r="CR12" t="n">
        <v>9349175.33140152</v>
      </c>
      <c r="CS12" t="n">
        <v>0.0295463432106764</v>
      </c>
      <c r="CT12" t="n">
        <v>0.004346627711585</v>
      </c>
      <c r="CU12" t="n">
        <v>0.0780369021281808</v>
      </c>
      <c r="CV12" t="n">
        <v>1.53510443640247</v>
      </c>
      <c r="CW12" t="n">
        <v>0.0780369021281806</v>
      </c>
      <c r="CX12" t="n">
        <v>0.039440022763365</v>
      </c>
      <c r="CY12" t="n">
        <v>0.014150022763365</v>
      </c>
      <c r="CZ12" t="n">
        <v>-0.00980339505177999</v>
      </c>
      <c r="DA12" t="n">
        <v>0.526791454878224</v>
      </c>
      <c r="DB12" t="n">
        <v>6.05304049825592</v>
      </c>
      <c r="DC12" t="n">
        <v>0.0964252829761237</v>
      </c>
      <c r="DD12" t="n">
        <v>0.0648239904462039</v>
      </c>
      <c r="DE12" t="n">
        <v>0.00795048530629537</v>
      </c>
      <c r="DF12" t="n">
        <v>0.131673041903784</v>
      </c>
      <c r="DG12" t="n">
        <v>213708.378348979</v>
      </c>
      <c r="DH12" t="n">
        <v>119.918096023585</v>
      </c>
      <c r="DI12" t="n">
        <v>4.82407062413097</v>
      </c>
      <c r="DJ12" t="n">
        <v>4.19254897661348</v>
      </c>
      <c r="DK12" t="n">
        <v>0.0484267358713257</v>
      </c>
      <c r="DL12" t="n">
        <v>0.669440030437354</v>
      </c>
      <c r="DM12" t="n">
        <v>1.1772751048313</v>
      </c>
      <c r="DN12" t="n">
        <v>0.0399169327369503</v>
      </c>
      <c r="DO12" t="n">
        <v>0.0374213819593254</v>
      </c>
      <c r="DP12" t="n">
        <v>28690.4</v>
      </c>
      <c r="DQ12" t="n">
        <v>23919.168118144</v>
      </c>
      <c r="DR12" t="n">
        <v>170698.053847284</v>
      </c>
      <c r="DS12" t="n">
        <v>30137.9361870694</v>
      </c>
      <c r="DT12" t="n">
        <v>12872.3883146252</v>
      </c>
      <c r="DU12" t="n">
        <v>0</v>
      </c>
      <c r="DV12" t="n">
        <v>56.25</v>
      </c>
      <c r="DW12" t="n">
        <v>208288.96</v>
      </c>
      <c r="DX12" t="n">
        <v>2.16709423898477</v>
      </c>
      <c r="DY12" t="n">
        <v>75.0955125823108</v>
      </c>
      <c r="DZ12" t="n">
        <v>1.12345779495229</v>
      </c>
      <c r="EA12" t="n">
        <v>1.204971192359</v>
      </c>
      <c r="EB12" t="n">
        <v>155190398.888756</v>
      </c>
      <c r="EC12" t="n">
        <v>3.15266544813075</v>
      </c>
      <c r="ED12" t="n">
        <v>0.0435</v>
      </c>
      <c r="EE12" t="n">
        <v>0.0304926484848485</v>
      </c>
      <c r="EF12" t="n">
        <v>0.03050813492075</v>
      </c>
      <c r="EG12" t="n">
        <v>0.0441803333333333</v>
      </c>
      <c r="EH12" t="n">
        <v>743496.775208975</v>
      </c>
      <c r="EI12" t="n">
        <v>381646.245366589</v>
      </c>
      <c r="EJ12" t="n">
        <v>968.227357137146</v>
      </c>
      <c r="EK12" t="n">
        <v>2.0300567966383</v>
      </c>
      <c r="EL12" t="n">
        <v>4.91494485154473</v>
      </c>
    </row>
    <row r="13">
      <c r="A13" s="2" t="n">
        <v>46997</v>
      </c>
      <c r="B13" t="n">
        <v>382307.490345511</v>
      </c>
      <c r="C13" t="n">
        <v>37391.9150101135</v>
      </c>
      <c r="D13" t="n">
        <v>23414.6894469873</v>
      </c>
      <c r="E13" t="n">
        <v>230654.208243485</v>
      </c>
      <c r="F13" t="n">
        <v>48846.7797997464</v>
      </c>
      <c r="G13" t="n">
        <v>13162.9757316604</v>
      </c>
      <c r="H13" t="n">
        <v>57069.0522539526</v>
      </c>
      <c r="I13" t="n">
        <v>61469.5333538666</v>
      </c>
      <c r="J13" t="n">
        <v>97716.560100144</v>
      </c>
      <c r="K13" t="n">
        <v>407.046704879245</v>
      </c>
      <c r="L13" t="n">
        <v>4978.15975313489</v>
      </c>
      <c r="M13" t="n">
        <v>0.670675377966698</v>
      </c>
      <c r="N13" t="n">
        <v>30129.496390783</v>
      </c>
      <c r="O13" t="n">
        <v>165.242238262515</v>
      </c>
      <c r="P13" t="n">
        <v>1.56299307953176</v>
      </c>
      <c r="Q13" t="n">
        <v>1.38369088447399</v>
      </c>
      <c r="R13" t="n">
        <v>1.12188515771303</v>
      </c>
      <c r="S13" t="n">
        <v>0.12592001341697</v>
      </c>
      <c r="T13" t="n">
        <v>8894.5953547581</v>
      </c>
      <c r="U13" t="n">
        <v>0.369673946698015</v>
      </c>
      <c r="V13" t="n">
        <v>0.567895028818787</v>
      </c>
      <c r="W13" t="n">
        <v>22349129.0409053</v>
      </c>
      <c r="X13" t="n">
        <v>70047.4505172657</v>
      </c>
      <c r="Y13" t="n">
        <v>4421305.86637866</v>
      </c>
      <c r="Z13" t="n">
        <v>1015.4696244247</v>
      </c>
      <c r="AA13" t="n">
        <v>1.12530080536618</v>
      </c>
      <c r="AB13" t="n">
        <v>1.10861513899508</v>
      </c>
      <c r="AC13" t="n">
        <v>1.19466922278804</v>
      </c>
      <c r="AD13" t="n">
        <v>1.26309634995508</v>
      </c>
      <c r="AE13" t="n">
        <v>118.513882258481</v>
      </c>
      <c r="AF13" t="n">
        <v>97120.2281112416</v>
      </c>
      <c r="AG13" t="n">
        <v>1075.84467647387</v>
      </c>
      <c r="AH13" t="n">
        <v>114.564316022003</v>
      </c>
      <c r="AI13" t="n">
        <v>71757.0763046184</v>
      </c>
      <c r="AJ13" t="n">
        <v>73241.3780963506</v>
      </c>
      <c r="AK13" t="n">
        <v>625.160236216576</v>
      </c>
      <c r="AL13" t="n">
        <v>25387.9439320175</v>
      </c>
      <c r="AM13" t="n">
        <v>19334.7317375413</v>
      </c>
      <c r="AN13" t="n">
        <v>1.02666653369809</v>
      </c>
      <c r="AO13" t="n">
        <v>1.04949457271813</v>
      </c>
      <c r="AP13" t="n">
        <v>1.1544254745204</v>
      </c>
      <c r="AQ13" t="n">
        <v>1.19675312696286</v>
      </c>
      <c r="AR13" t="n">
        <v>34798.7654382051</v>
      </c>
      <c r="AS13" t="n">
        <v>175369.851845832</v>
      </c>
      <c r="AT13" t="n">
        <v>0.0759125952791328</v>
      </c>
      <c r="AU13" t="n">
        <v>0.0546166114098969</v>
      </c>
      <c r="AV13" t="n">
        <v>0.0400969118191555</v>
      </c>
      <c r="AW13" t="n">
        <v>1376.3765251381</v>
      </c>
      <c r="AX13" t="n">
        <v>11309.8630712843</v>
      </c>
      <c r="AY13" t="n">
        <v>18867.1241146943</v>
      </c>
      <c r="AZ13" t="n">
        <v>179978.181390585</v>
      </c>
      <c r="BA13" t="n">
        <v>457527.685683172</v>
      </c>
      <c r="BB13" t="n">
        <v>204535.0790446</v>
      </c>
      <c r="BC13" t="n">
        <v>241586.979828619</v>
      </c>
      <c r="BD13" t="n">
        <v>72241.5427352605</v>
      </c>
      <c r="BE13" t="n">
        <v>17.3877197915986</v>
      </c>
      <c r="BF13" t="n">
        <v>47229.5913671048</v>
      </c>
      <c r="BG13" t="n">
        <v>17677.2377108692</v>
      </c>
      <c r="BH13" t="n">
        <v>26348.5688920938</v>
      </c>
      <c r="BI13" t="n">
        <v>79550.9803888088</v>
      </c>
      <c r="BJ13" t="n">
        <v>49383.808475148</v>
      </c>
      <c r="BK13" t="n">
        <v>100322.322042916</v>
      </c>
      <c r="BL13" t="n">
        <v>26106.2676537419</v>
      </c>
      <c r="BM13" t="n">
        <v>20291.6960235105</v>
      </c>
      <c r="BN13" t="n">
        <v>41241.3678988392</v>
      </c>
      <c r="BO13" t="n">
        <v>199551.213619008</v>
      </c>
      <c r="BP13" t="n">
        <v>196744.833896172</v>
      </c>
      <c r="BQ13" t="n">
        <v>885059.331284632</v>
      </c>
      <c r="BR13" t="n">
        <v>746239.627935882</v>
      </c>
      <c r="BS13" t="n">
        <v>742061.275995762</v>
      </c>
      <c r="BT13" t="n">
        <v>118.953225005462</v>
      </c>
      <c r="BU13" t="n">
        <v>1.18602563439812</v>
      </c>
      <c r="BV13" t="n">
        <v>1.10875225028497</v>
      </c>
      <c r="BW13" t="n">
        <v>98.8293893240529</v>
      </c>
      <c r="BX13" t="n">
        <v>81342.5589680344</v>
      </c>
      <c r="BY13" t="n">
        <v>1.22492883781459</v>
      </c>
      <c r="BZ13" t="n">
        <v>99638.8462215794</v>
      </c>
      <c r="CA13" t="n">
        <v>10451.1817700149</v>
      </c>
      <c r="CB13" t="n">
        <v>15429.3415231498</v>
      </c>
      <c r="CC13" t="n">
        <v>16098.7995230853</v>
      </c>
      <c r="CD13" t="n">
        <v>669.457999935479</v>
      </c>
      <c r="CE13" t="n">
        <v>0.041584336870502</v>
      </c>
      <c r="CF13" t="n">
        <v>11311651.1845183</v>
      </c>
      <c r="CG13" t="n">
        <v>427869.985142935</v>
      </c>
      <c r="CH13" t="n">
        <v>525223.158586923</v>
      </c>
      <c r="CI13" t="n">
        <v>315511.812591139</v>
      </c>
      <c r="CJ13" t="n">
        <v>22865.7504149017</v>
      </c>
      <c r="CK13" t="n">
        <v>877455.066394937</v>
      </c>
      <c r="CL13" t="n">
        <v>0.0702854049321255</v>
      </c>
      <c r="CM13" t="n">
        <v>14.2277048978475</v>
      </c>
      <c r="CN13" t="n">
        <v>1164591.16678994</v>
      </c>
      <c r="CO13" t="n">
        <v>2876524.403238</v>
      </c>
      <c r="CP13" t="n">
        <v>3261635.0445215</v>
      </c>
      <c r="CQ13" t="n">
        <v>4041115.57002794</v>
      </c>
      <c r="CR13" t="n">
        <v>9390227.10886666</v>
      </c>
      <c r="CS13" t="n">
        <v>0.0278965514453331</v>
      </c>
      <c r="CT13" t="n">
        <v>0.0066005675760971</v>
      </c>
      <c r="CU13" t="n">
        <v>0.0779039695831705</v>
      </c>
      <c r="CV13" t="n">
        <v>1.55246249036126</v>
      </c>
      <c r="CW13" t="n">
        <v>0.0779039695831703</v>
      </c>
      <c r="CX13" t="n">
        <v>0.039440022763365</v>
      </c>
      <c r="CY13" t="n">
        <v>0.0151272823316509</v>
      </c>
      <c r="CZ13" t="n">
        <v>-0.00852671475555376</v>
      </c>
      <c r="DA13" t="n">
        <v>0.521865654017732</v>
      </c>
      <c r="DB13" t="n">
        <v>6.14533932184735</v>
      </c>
      <c r="DC13" t="n">
        <v>0.0936420865291328</v>
      </c>
      <c r="DD13" t="n">
        <v>0.0630492834554568</v>
      </c>
      <c r="DE13" t="n">
        <v>0.00803474850861037</v>
      </c>
      <c r="DF13" t="n">
        <v>0.132157946734837</v>
      </c>
      <c r="DG13" t="n">
        <v>214344.876304041</v>
      </c>
      <c r="DH13" t="n">
        <v>121.158101418704</v>
      </c>
      <c r="DI13" t="n">
        <v>4.8345312735084</v>
      </c>
      <c r="DJ13" t="n">
        <v>4.20007231600245</v>
      </c>
      <c r="DK13" t="n">
        <v>0.0484267358713257</v>
      </c>
      <c r="DL13" t="n">
        <v>0.669440030437354</v>
      </c>
      <c r="DM13" t="n">
        <v>1.18911160635012</v>
      </c>
      <c r="DN13" t="n">
        <v>0.0399169327369503</v>
      </c>
      <c r="DO13" t="n">
        <v>0.0374213819593254</v>
      </c>
      <c r="DP13" t="n">
        <v>28775.85</v>
      </c>
      <c r="DQ13" t="n">
        <v>24003.8624526405</v>
      </c>
      <c r="DR13" t="n">
        <v>171206.452081581</v>
      </c>
      <c r="DS13" t="n">
        <v>30227.6974538062</v>
      </c>
      <c r="DT13" t="n">
        <v>12910.7267686546</v>
      </c>
      <c r="DU13" t="n">
        <v>0</v>
      </c>
      <c r="DV13" t="n">
        <v>56.25</v>
      </c>
      <c r="DW13" t="n">
        <v>208288.96</v>
      </c>
      <c r="DX13" t="n">
        <v>2.17837230191767</v>
      </c>
      <c r="DY13" t="n">
        <v>74.6640166114029</v>
      </c>
      <c r="DZ13" t="n">
        <v>1.11207462291414</v>
      </c>
      <c r="EA13" t="n">
        <v>1.20504421700137</v>
      </c>
      <c r="EB13" t="n">
        <v>156719552.981504</v>
      </c>
      <c r="EC13" t="n">
        <v>3.15145143679701</v>
      </c>
      <c r="ED13" t="n">
        <v>0.0435</v>
      </c>
      <c r="EE13" t="n">
        <v>0.0304926484848485</v>
      </c>
      <c r="EF13" t="n">
        <v>0.03050813492075</v>
      </c>
      <c r="EG13" t="n">
        <v>0.0441803333333333</v>
      </c>
      <c r="EH13" t="n">
        <v>747660.336082336</v>
      </c>
      <c r="EI13" t="n">
        <v>383625.81388144</v>
      </c>
      <c r="EJ13" t="n">
        <v>987.741466707652</v>
      </c>
      <c r="EK13" t="n">
        <v>1.88274582661585</v>
      </c>
      <c r="EL13" t="n">
        <v>4.80160438337998</v>
      </c>
    </row>
    <row r="14">
      <c r="A14" s="2" t="n">
        <v>47088</v>
      </c>
      <c r="B14" t="n">
        <v>384059.18819393</v>
      </c>
      <c r="C14" t="n">
        <v>37661.9482885952</v>
      </c>
      <c r="D14" t="n">
        <v>23631.096860896</v>
      </c>
      <c r="E14" t="n">
        <v>231918.038543986</v>
      </c>
      <c r="F14" t="n">
        <v>49455.0858800896</v>
      </c>
      <c r="G14" t="n">
        <v>13301.1162694389</v>
      </c>
      <c r="H14" t="n">
        <v>57880.1025494201</v>
      </c>
      <c r="I14" t="n">
        <v>61745.1454328557</v>
      </c>
      <c r="J14" t="n">
        <v>97992.407306802</v>
      </c>
      <c r="K14" t="n">
        <v>406.04260085539</v>
      </c>
      <c r="L14" t="n">
        <v>4996.72827354139</v>
      </c>
      <c r="M14" t="n">
        <v>0.670330680446722</v>
      </c>
      <c r="N14" t="n">
        <v>30461.5077241288</v>
      </c>
      <c r="O14" t="n">
        <v>167.069663394763</v>
      </c>
      <c r="P14" t="n">
        <v>1.59064116408403</v>
      </c>
      <c r="Q14" t="n">
        <v>1.40523222136184</v>
      </c>
      <c r="R14" t="n">
        <v>1.12692013689254</v>
      </c>
      <c r="S14" t="n">
        <v>0.123754226617575</v>
      </c>
      <c r="T14" t="n">
        <v>8658.90386217855</v>
      </c>
      <c r="U14" t="n">
        <v>0.36909916171812</v>
      </c>
      <c r="V14" t="n">
        <v>0.564371530644145</v>
      </c>
      <c r="W14" t="n">
        <v>22780844.0086978</v>
      </c>
      <c r="X14" t="n">
        <v>71065.9350947722</v>
      </c>
      <c r="Y14" t="n">
        <v>4412361.23512441</v>
      </c>
      <c r="Z14" t="n">
        <v>1041.48797970611</v>
      </c>
      <c r="AA14" t="n">
        <v>1.13180098106046</v>
      </c>
      <c r="AB14" t="n">
        <v>1.11424134933698</v>
      </c>
      <c r="AC14" t="n">
        <v>1.20684821048063</v>
      </c>
      <c r="AD14" t="n">
        <v>1.28452098911073</v>
      </c>
      <c r="AE14" t="n">
        <v>119.617731114982</v>
      </c>
      <c r="AF14" t="n">
        <v>96337.325997721</v>
      </c>
      <c r="AG14" t="n">
        <v>1100.16772172261</v>
      </c>
      <c r="AH14" t="n">
        <v>116.137610605092</v>
      </c>
      <c r="AI14" t="n">
        <v>72053.0304425861</v>
      </c>
      <c r="AJ14" t="n">
        <v>73913.3127264179</v>
      </c>
      <c r="AK14" t="n">
        <v>624.56225648281</v>
      </c>
      <c r="AL14" t="n">
        <v>25573.7814888956</v>
      </c>
      <c r="AM14" t="n">
        <v>19292.5951275925</v>
      </c>
      <c r="AN14" t="n">
        <v>1.02565218615986</v>
      </c>
      <c r="AO14" t="n">
        <v>1.05554089927155</v>
      </c>
      <c r="AP14" t="n">
        <v>1.16453359960054</v>
      </c>
      <c r="AQ14" t="n">
        <v>1.2084205155194</v>
      </c>
      <c r="AR14" t="n">
        <v>34917.7619550076</v>
      </c>
      <c r="AS14" t="n">
        <v>176004.791162634</v>
      </c>
      <c r="AT14" t="n">
        <v>0.0724872179027902</v>
      </c>
      <c r="AU14" t="n">
        <v>0.0554529482333417</v>
      </c>
      <c r="AV14" t="n">
        <v>0.0723097712193723</v>
      </c>
      <c r="AW14" t="n">
        <v>1263.83030050105</v>
      </c>
      <c r="AX14" t="n">
        <v>11391.5395353941</v>
      </c>
      <c r="AY14" t="n">
        <v>18941.2437856058</v>
      </c>
      <c r="AZ14" t="n">
        <v>180405.008175008</v>
      </c>
      <c r="BA14" t="n">
        <v>464105.003465889</v>
      </c>
      <c r="BB14" t="n">
        <v>207233.759816666</v>
      </c>
      <c r="BC14" t="n">
        <v>242547.412185565</v>
      </c>
      <c r="BD14" t="n">
        <v>74640.843083578</v>
      </c>
      <c r="BE14" t="n">
        <v>17.637763967172</v>
      </c>
      <c r="BF14" t="n">
        <v>48377.5630675036</v>
      </c>
      <c r="BG14" t="n">
        <v>18119.8517072884</v>
      </c>
      <c r="BH14" t="n">
        <v>26745.6986106968</v>
      </c>
      <c r="BI14" t="n">
        <v>80284.4650613316</v>
      </c>
      <c r="BJ14" t="n">
        <v>49651.7730891107</v>
      </c>
      <c r="BK14" t="n">
        <v>100506.126781289</v>
      </c>
      <c r="BL14" t="n">
        <v>26616.846080203</v>
      </c>
      <c r="BM14" t="n">
        <v>20364.1232102609</v>
      </c>
      <c r="BN14" t="n">
        <v>41767.8346067106</v>
      </c>
      <c r="BO14" t="n">
        <v>200844.490678463</v>
      </c>
      <c r="BP14" t="n">
        <v>198343.343350739</v>
      </c>
      <c r="BQ14" t="n">
        <v>897019.262146209</v>
      </c>
      <c r="BR14" t="n">
        <v>749171.237096983</v>
      </c>
      <c r="BS14" t="n">
        <v>745200.995788866</v>
      </c>
      <c r="BT14" t="n">
        <v>120.098325559619</v>
      </c>
      <c r="BU14" t="n">
        <v>1.19734877146588</v>
      </c>
      <c r="BV14" t="n">
        <v>1.11329775547931</v>
      </c>
      <c r="BW14" t="n">
        <v>98.791184843782</v>
      </c>
      <c r="BX14" t="n">
        <v>81715.2631109754</v>
      </c>
      <c r="BY14" t="n">
        <v>1.24175060197398</v>
      </c>
      <c r="BZ14" t="n">
        <v>101469.977158516</v>
      </c>
      <c r="CA14" t="n">
        <v>10455.8307248178</v>
      </c>
      <c r="CB14" t="n">
        <v>15452.5589983592</v>
      </c>
      <c r="CC14" t="n">
        <v>16147.3522266927</v>
      </c>
      <c r="CD14" t="n">
        <v>694.793228333447</v>
      </c>
      <c r="CE14" t="n">
        <v>0.0430282999846384</v>
      </c>
      <c r="CF14" t="n">
        <v>11345241.1772976</v>
      </c>
      <c r="CG14" t="n">
        <v>433235.826161067</v>
      </c>
      <c r="CH14" t="n">
        <v>533230.571493671</v>
      </c>
      <c r="CI14" t="n">
        <v>320055.803679759</v>
      </c>
      <c r="CJ14" t="n">
        <v>23214.3555782524</v>
      </c>
      <c r="CK14" t="n">
        <v>889312.239758661</v>
      </c>
      <c r="CL14" t="n">
        <v>0.0721294827178821</v>
      </c>
      <c r="CM14" t="n">
        <v>13.8639563507099</v>
      </c>
      <c r="CN14" t="n">
        <v>1169072.23766058</v>
      </c>
      <c r="CO14" t="n">
        <v>2902184.21946511</v>
      </c>
      <c r="CP14" t="n">
        <v>3272888.32650704</v>
      </c>
      <c r="CQ14" t="n">
        <v>4071256.45712569</v>
      </c>
      <c r="CR14" t="n">
        <v>9431621.27794994</v>
      </c>
      <c r="CS14" t="n">
        <v>0.025695634027816</v>
      </c>
      <c r="CT14" t="n">
        <v>0.0086613643583675</v>
      </c>
      <c r="CU14" t="n">
        <v>0.0769626427426005</v>
      </c>
      <c r="CV14" t="n">
        <v>1.56963127844831</v>
      </c>
      <c r="CW14" t="n">
        <v>0.0769626427426005</v>
      </c>
      <c r="CX14" t="n">
        <v>0.039440022763365</v>
      </c>
      <c r="CY14" t="n">
        <v>0.0161030338327086</v>
      </c>
      <c r="CZ14" t="n">
        <v>-0.00744166947434113</v>
      </c>
      <c r="DA14" t="n">
        <v>0.517909705425307</v>
      </c>
      <c r="DB14" t="n">
        <v>6.23385454033757</v>
      </c>
      <c r="DC14" t="n">
        <v>0.0902167091527902</v>
      </c>
      <c r="DD14" t="n">
        <v>0.0608410854659595</v>
      </c>
      <c r="DE14" t="n">
        <v>0.0080977452450003</v>
      </c>
      <c r="DF14" t="n">
        <v>0.132901853263485</v>
      </c>
      <c r="DG14" t="n">
        <v>214981.374259104</v>
      </c>
      <c r="DH14" t="n">
        <v>122.197469411761</v>
      </c>
      <c r="DI14" t="n">
        <v>4.84324660543941</v>
      </c>
      <c r="DJ14" t="n">
        <v>4.20585033794501</v>
      </c>
      <c r="DK14" t="n">
        <v>0.0484267358713257</v>
      </c>
      <c r="DL14" t="n">
        <v>0.669440030437354</v>
      </c>
      <c r="DM14" t="n">
        <v>1.20106711384098</v>
      </c>
      <c r="DN14" t="n">
        <v>0.0399169327369503</v>
      </c>
      <c r="DO14" t="n">
        <v>0.0374213819593254</v>
      </c>
      <c r="DP14" t="n">
        <v>28861.3</v>
      </c>
      <c r="DQ14" t="n">
        <v>24088.63669485</v>
      </c>
      <c r="DR14" t="n">
        <v>171714.850315877</v>
      </c>
      <c r="DS14" t="n">
        <v>30317.458720543</v>
      </c>
      <c r="DT14" t="n">
        <v>12949.065222684</v>
      </c>
      <c r="DU14" t="n">
        <v>0</v>
      </c>
      <c r="DV14" t="n">
        <v>56.25</v>
      </c>
      <c r="DW14" t="n">
        <v>208288.96</v>
      </c>
      <c r="DX14" t="n">
        <v>2.18970905851568</v>
      </c>
      <c r="DY14" t="n">
        <v>74.235</v>
      </c>
      <c r="DZ14" t="n">
        <v>1.10080678819105</v>
      </c>
      <c r="EA14" t="n">
        <v>1.20511724606925</v>
      </c>
      <c r="EB14" t="n">
        <v>158263774.451203</v>
      </c>
      <c r="EC14" t="n">
        <v>3.15023789294817</v>
      </c>
      <c r="ED14" t="n">
        <v>0.0435</v>
      </c>
      <c r="EE14" t="n">
        <v>0.0304926484848485</v>
      </c>
      <c r="EF14" t="n">
        <v>0.03050813492075</v>
      </c>
      <c r="EG14" t="n">
        <v>0.0441803333333333</v>
      </c>
      <c r="EH14" t="n">
        <v>751545.064426794</v>
      </c>
      <c r="EI14" t="n">
        <v>385530.21315668</v>
      </c>
      <c r="EJ14" t="n">
        <v>1009.17984806711</v>
      </c>
      <c r="EK14" t="n">
        <v>1.741388694857</v>
      </c>
      <c r="EL14" t="n">
        <v>4.67915838749742</v>
      </c>
    </row>
    <row r="15">
      <c r="A15" s="2" t="n">
        <v>47178</v>
      </c>
      <c r="B15" t="n">
        <v>386011.016192965</v>
      </c>
      <c r="C15" t="n">
        <v>37926.6214422795</v>
      </c>
      <c r="D15" t="n">
        <v>23948.2737574414</v>
      </c>
      <c r="E15" t="n">
        <v>233156.702825035</v>
      </c>
      <c r="F15" t="n">
        <v>50137.4916863933</v>
      </c>
      <c r="G15" t="n">
        <v>13419.6041104246</v>
      </c>
      <c r="H15" t="n">
        <v>58703.8885200303</v>
      </c>
      <c r="I15" t="n">
        <v>62332.4678342859</v>
      </c>
      <c r="J15" t="n">
        <v>98168.167134394</v>
      </c>
      <c r="K15" t="n">
        <v>405.117655618726</v>
      </c>
      <c r="L15" t="n">
        <v>5015.35758256076</v>
      </c>
      <c r="M15" t="n">
        <v>0.669935462460628</v>
      </c>
      <c r="N15" t="n">
        <v>30785.7252249589</v>
      </c>
      <c r="O15" t="n">
        <v>168.876185763166</v>
      </c>
      <c r="P15" t="n">
        <v>1.61872412173638</v>
      </c>
      <c r="Q15" t="n">
        <v>1.42532958288149</v>
      </c>
      <c r="R15" t="n">
        <v>1.13122496157531</v>
      </c>
      <c r="S15" t="n">
        <v>0.121150382694619</v>
      </c>
      <c r="T15" t="n">
        <v>8440.21835500999</v>
      </c>
      <c r="U15" t="n">
        <v>0.36896401097928</v>
      </c>
      <c r="V15" t="n">
        <v>0.561553827240129</v>
      </c>
      <c r="W15" t="n">
        <v>23205093.8796642</v>
      </c>
      <c r="X15" t="n">
        <v>72094.9041120534</v>
      </c>
      <c r="Y15" t="n">
        <v>4404295.69502573</v>
      </c>
      <c r="Z15" t="n">
        <v>1065.79195415247</v>
      </c>
      <c r="AA15" t="n">
        <v>1.13864940160482</v>
      </c>
      <c r="AB15" t="n">
        <v>1.12013742548421</v>
      </c>
      <c r="AC15" t="n">
        <v>1.21909464077175</v>
      </c>
      <c r="AD15" t="n">
        <v>1.30571509422342</v>
      </c>
      <c r="AE15" t="n">
        <v>120.718892073974</v>
      </c>
      <c r="AF15" t="n">
        <v>95644.113459122</v>
      </c>
      <c r="AG15" t="n">
        <v>1125.14102014165</v>
      </c>
      <c r="AH15" t="n">
        <v>117.757555539757</v>
      </c>
      <c r="AI15" t="n">
        <v>72345.2091035274</v>
      </c>
      <c r="AJ15" t="n">
        <v>75262.5323916295</v>
      </c>
      <c r="AK15" t="n">
        <v>623.536534250513</v>
      </c>
      <c r="AL15" t="n">
        <v>25780.8090603632</v>
      </c>
      <c r="AM15" t="n">
        <v>19253.1563336269</v>
      </c>
      <c r="AN15" t="n">
        <v>1.02403362890971</v>
      </c>
      <c r="AO15" t="n">
        <v>1.0609448813378</v>
      </c>
      <c r="AP15" t="n">
        <v>1.17435542151136</v>
      </c>
      <c r="AQ15" t="n">
        <v>1.21994205726811</v>
      </c>
      <c r="AR15" t="n">
        <v>35042.8590503184</v>
      </c>
      <c r="AS15" t="n">
        <v>176870.73038177</v>
      </c>
      <c r="AT15" t="n">
        <v>0.0687086049537369</v>
      </c>
      <c r="AU15" t="n">
        <v>0.0560029348060052</v>
      </c>
      <c r="AV15" t="n">
        <v>0.100633058287251</v>
      </c>
      <c r="AW15" t="n">
        <v>1238.66428104902</v>
      </c>
      <c r="AX15" t="n">
        <v>11471.5947325137</v>
      </c>
      <c r="AY15" t="n">
        <v>19016.7961354438</v>
      </c>
      <c r="AZ15" t="n">
        <v>180741.978653783</v>
      </c>
      <c r="BA15" t="n">
        <v>470911.074531086</v>
      </c>
      <c r="BB15" t="n">
        <v>209956.439323817</v>
      </c>
      <c r="BC15" t="n">
        <v>243685.906836333</v>
      </c>
      <c r="BD15" t="n">
        <v>77210.942352611</v>
      </c>
      <c r="BE15" t="n">
        <v>17.9056080298453</v>
      </c>
      <c r="BF15" t="n">
        <v>49521.3620900817</v>
      </c>
      <c r="BG15" t="n">
        <v>18569.3471083039</v>
      </c>
      <c r="BH15" t="n">
        <v>27268.687583379</v>
      </c>
      <c r="BI15" t="n">
        <v>81036.575472003</v>
      </c>
      <c r="BJ15" t="n">
        <v>50029.8878686195</v>
      </c>
      <c r="BK15" t="n">
        <v>100527.504434049</v>
      </c>
      <c r="BL15" t="n">
        <v>27105.2021034745</v>
      </c>
      <c r="BM15" t="n">
        <v>20426.5376617579</v>
      </c>
      <c r="BN15" t="n">
        <v>42303.3511965886</v>
      </c>
      <c r="BO15" t="n">
        <v>201952.15539587</v>
      </c>
      <c r="BP15" t="n">
        <v>200080.585179916</v>
      </c>
      <c r="BQ15" t="n">
        <v>909164.944193245</v>
      </c>
      <c r="BR15" t="n">
        <v>752159.512213833</v>
      </c>
      <c r="BS15" t="n">
        <v>748718.239887547</v>
      </c>
      <c r="BT15" t="n">
        <v>121.240834789397</v>
      </c>
      <c r="BU15" t="n">
        <v>1.20873954028807</v>
      </c>
      <c r="BV15" t="n">
        <v>1.11735058396542</v>
      </c>
      <c r="BW15" t="n">
        <v>98.7735085344497</v>
      </c>
      <c r="BX15" t="n">
        <v>82130.5484195721</v>
      </c>
      <c r="BY15" t="n">
        <v>1.25907115461239</v>
      </c>
      <c r="BZ15" t="n">
        <v>103408.20442758</v>
      </c>
      <c r="CA15" t="n">
        <v>10460.5466885113</v>
      </c>
      <c r="CB15" t="n">
        <v>15475.904271072</v>
      </c>
      <c r="CC15" t="n">
        <v>16194.6787683804</v>
      </c>
      <c r="CD15" t="n">
        <v>718.774497308385</v>
      </c>
      <c r="CE15" t="n">
        <v>0.0443833674735848</v>
      </c>
      <c r="CF15" t="n">
        <v>11378831.1700768</v>
      </c>
      <c r="CG15" t="n">
        <v>438508.464349238</v>
      </c>
      <c r="CH15" t="n">
        <v>542147.586366028</v>
      </c>
      <c r="CI15" t="n">
        <v>324818.591347604</v>
      </c>
      <c r="CJ15" t="n">
        <v>23602.5605406266</v>
      </c>
      <c r="CK15" t="n">
        <v>901353.568368264</v>
      </c>
      <c r="CL15" t="n">
        <v>0.0738768249852673</v>
      </c>
      <c r="CM15" t="n">
        <v>13.5360446283313</v>
      </c>
      <c r="CN15" t="n">
        <v>1173696.863867</v>
      </c>
      <c r="CO15" t="n">
        <v>2927728.78274261</v>
      </c>
      <c r="CP15" t="n">
        <v>3284321.45834951</v>
      </c>
      <c r="CQ15" t="n">
        <v>4101425.64660961</v>
      </c>
      <c r="CR15" t="n">
        <v>9473223.59927633</v>
      </c>
      <c r="CS15" t="n">
        <v>0.0231396170918059</v>
      </c>
      <c r="CT15" t="n">
        <v>0.0104339469440742</v>
      </c>
      <c r="CU15" t="n">
        <v>0.0755813948326884</v>
      </c>
      <c r="CV15" t="n">
        <v>1.58660368359384</v>
      </c>
      <c r="CW15" t="n">
        <v>0.0755813948326886</v>
      </c>
      <c r="CX15" t="n">
        <v>0.039440022763365</v>
      </c>
      <c r="CY15" t="n">
        <v>0.0170772798001701</v>
      </c>
      <c r="CZ15" t="n">
        <v>-0.00664333285609585</v>
      </c>
      <c r="DA15" t="n">
        <v>0.514722055238128</v>
      </c>
      <c r="DB15" t="n">
        <v>6.31108494863303</v>
      </c>
      <c r="DC15" t="n">
        <v>0.0864380962037369</v>
      </c>
      <c r="DD15" t="n">
        <v>0.0583853492482612</v>
      </c>
      <c r="DE15" t="n">
        <v>0.00813922167417855</v>
      </c>
      <c r="DF15" t="n">
        <v>0.133509415408835</v>
      </c>
      <c r="DG15" t="n">
        <v>215617.872214166</v>
      </c>
      <c r="DH15" t="n">
        <v>123.193266835465</v>
      </c>
      <c r="DI15" t="n">
        <v>4.85153597477924</v>
      </c>
      <c r="DJ15" t="n">
        <v>4.21120239729639</v>
      </c>
      <c r="DK15" t="n">
        <v>0.0484267358713257</v>
      </c>
      <c r="DL15" t="n">
        <v>0.669440030437354</v>
      </c>
      <c r="DM15" t="n">
        <v>1.21314282380787</v>
      </c>
      <c r="DN15" t="n">
        <v>0.0399169327369503</v>
      </c>
      <c r="DO15" t="n">
        <v>0.0374213819593254</v>
      </c>
      <c r="DP15" t="n">
        <v>28946.75</v>
      </c>
      <c r="DQ15" t="n">
        <v>24173.4908447725</v>
      </c>
      <c r="DR15" t="n">
        <v>172223.248550173</v>
      </c>
      <c r="DS15" t="n">
        <v>30407.2199872798</v>
      </c>
      <c r="DT15" t="n">
        <v>12987.4036767134</v>
      </c>
      <c r="DU15" t="n">
        <v>0</v>
      </c>
      <c r="DV15" t="n">
        <v>56.25</v>
      </c>
      <c r="DW15" t="n">
        <v>208288.96</v>
      </c>
      <c r="DX15" t="n">
        <v>2.20113715164015</v>
      </c>
      <c r="DY15" t="n">
        <v>74.1536162664648</v>
      </c>
      <c r="DZ15" t="n">
        <v>1.09227040691832</v>
      </c>
      <c r="EA15" t="n">
        <v>1.20496274583581</v>
      </c>
      <c r="EB15" t="n">
        <v>159694352.216244</v>
      </c>
      <c r="EC15" t="n">
        <v>3.15120884017177</v>
      </c>
      <c r="ED15" t="n">
        <v>0.0435</v>
      </c>
      <c r="EE15" t="n">
        <v>0.0304926484848485</v>
      </c>
      <c r="EF15" t="n">
        <v>0.03050813492075</v>
      </c>
      <c r="EG15" t="n">
        <v>0.0441803333333333</v>
      </c>
      <c r="EH15" t="n">
        <v>755196.941566506</v>
      </c>
      <c r="EI15" t="n">
        <v>387411.242875963</v>
      </c>
      <c r="EJ15" t="n">
        <v>1031.9151225337</v>
      </c>
      <c r="EK15" t="n">
        <v>1.62628543159062</v>
      </c>
      <c r="EL15" t="n">
        <v>4.5568987861931</v>
      </c>
    </row>
    <row r="16">
      <c r="A16" s="2" t="n">
        <v>47270</v>
      </c>
      <c r="B16" t="n">
        <v>387799.538502192</v>
      </c>
      <c r="C16" t="n">
        <v>38165.0447148107</v>
      </c>
      <c r="D16" t="n">
        <v>24187.0655653793</v>
      </c>
      <c r="E16" t="n">
        <v>234352.352301084</v>
      </c>
      <c r="F16" t="n">
        <v>50740.2476449278</v>
      </c>
      <c r="G16" t="n">
        <v>13528.4111307154</v>
      </c>
      <c r="H16" t="n">
        <v>59493.2147242513</v>
      </c>
      <c r="I16" t="n">
        <v>63150.5264700631</v>
      </c>
      <c r="J16" t="n">
        <v>98259.2244668362</v>
      </c>
      <c r="K16" t="n">
        <v>404.20712570734</v>
      </c>
      <c r="L16" t="n">
        <v>5033.75964378242</v>
      </c>
      <c r="M16" t="n">
        <v>0.669520034157097</v>
      </c>
      <c r="N16" t="n">
        <v>31106.8539232835</v>
      </c>
      <c r="O16" t="n">
        <v>170.659398523144</v>
      </c>
      <c r="P16" t="n">
        <v>1.64702212974919</v>
      </c>
      <c r="Q16" t="n">
        <v>1.44416696330273</v>
      </c>
      <c r="R16" t="n">
        <v>1.13487833367665</v>
      </c>
      <c r="S16" t="n">
        <v>0.118174324722881</v>
      </c>
      <c r="T16" t="n">
        <v>8224.35258152963</v>
      </c>
      <c r="U16" t="n">
        <v>0.369137000317806</v>
      </c>
      <c r="V16" t="n">
        <v>0.559249859397383</v>
      </c>
      <c r="W16" t="n">
        <v>23609820.9912058</v>
      </c>
      <c r="X16" t="n">
        <v>73130.6424105196</v>
      </c>
      <c r="Y16" t="n">
        <v>4395837.37305615</v>
      </c>
      <c r="Z16" t="n">
        <v>1087.70036282796</v>
      </c>
      <c r="AA16" t="n">
        <v>1.14535277164978</v>
      </c>
      <c r="AB16" t="n">
        <v>1.12578826718468</v>
      </c>
      <c r="AC16" t="n">
        <v>1.23143551093616</v>
      </c>
      <c r="AD16" t="n">
        <v>1.32654300525468</v>
      </c>
      <c r="AE16" t="n">
        <v>121.826552535863</v>
      </c>
      <c r="AF16" t="n">
        <v>95062.8285678277</v>
      </c>
      <c r="AG16" t="n">
        <v>1150.79145955602</v>
      </c>
      <c r="AH16" t="n">
        <v>119.424644154093</v>
      </c>
      <c r="AI16" t="n">
        <v>72632.209927831</v>
      </c>
      <c r="AJ16" t="n">
        <v>76942.9184348108</v>
      </c>
      <c r="AK16" t="n">
        <v>621.595599500419</v>
      </c>
      <c r="AL16" t="n">
        <v>25989.7904877553</v>
      </c>
      <c r="AM16" t="n">
        <v>19201.6998430207</v>
      </c>
      <c r="AN16" t="n">
        <v>1.02131212745254</v>
      </c>
      <c r="AO16" t="n">
        <v>1.0661913987008</v>
      </c>
      <c r="AP16" t="n">
        <v>1.18387451694625</v>
      </c>
      <c r="AQ16" t="n">
        <v>1.23130326130977</v>
      </c>
      <c r="AR16" t="n">
        <v>35136.3534538852</v>
      </c>
      <c r="AS16" t="n">
        <v>177791.069599422</v>
      </c>
      <c r="AT16" t="n">
        <v>0.0645659221147493</v>
      </c>
      <c r="AU16" t="n">
        <v>0.056263907271267</v>
      </c>
      <c r="AV16" t="n">
        <v>0.128339811952431</v>
      </c>
      <c r="AW16" t="n">
        <v>1195.64947604897</v>
      </c>
      <c r="AX16" t="n">
        <v>11543.7101768445</v>
      </c>
      <c r="AY16" t="n">
        <v>19079.8556094526</v>
      </c>
      <c r="AZ16" t="n">
        <v>180938.133373195</v>
      </c>
      <c r="BA16" t="n">
        <v>477498.837814597</v>
      </c>
      <c r="BB16" t="n">
        <v>212707.883712878</v>
      </c>
      <c r="BC16" t="n">
        <v>244814.492555477</v>
      </c>
      <c r="BD16" t="n">
        <v>80041.2889699499</v>
      </c>
      <c r="BE16" t="n">
        <v>18.2005738881279</v>
      </c>
      <c r="BF16" t="n">
        <v>50627.5731116641</v>
      </c>
      <c r="BG16" t="n">
        <v>19012.7461206739</v>
      </c>
      <c r="BH16" t="n">
        <v>27702.7225833821</v>
      </c>
      <c r="BI16" t="n">
        <v>81768.4889593176</v>
      </c>
      <c r="BJ16" t="n">
        <v>50378.1310599546</v>
      </c>
      <c r="BK16" t="n">
        <v>100353.337582062</v>
      </c>
      <c r="BL16" t="n">
        <v>27554.4971357577</v>
      </c>
      <c r="BM16" t="n">
        <v>20472.6872130631</v>
      </c>
      <c r="BN16" t="n">
        <v>42805.4080996839</v>
      </c>
      <c r="BO16" t="n">
        <v>202775.490030566</v>
      </c>
      <c r="BP16" t="n">
        <v>201771.232809581</v>
      </c>
      <c r="BQ16" t="n">
        <v>920700.640583452</v>
      </c>
      <c r="BR16" t="n">
        <v>754653.664396219</v>
      </c>
      <c r="BS16" t="n">
        <v>751936.576780454</v>
      </c>
      <c r="BT16" t="n">
        <v>122.371782984539</v>
      </c>
      <c r="BU16" t="n">
        <v>1.22003070218728</v>
      </c>
      <c r="BV16" t="n">
        <v>1.12068963158988</v>
      </c>
      <c r="BW16" t="n">
        <v>98.7497600698037</v>
      </c>
      <c r="BX16" t="n">
        <v>82511.0876061638</v>
      </c>
      <c r="BY16" t="n">
        <v>1.27689577042471</v>
      </c>
      <c r="BZ16" t="n">
        <v>105358.058777453</v>
      </c>
      <c r="CA16" t="n">
        <v>10463.976021225</v>
      </c>
      <c r="CB16" t="n">
        <v>15497.7356650074</v>
      </c>
      <c r="CC16" t="n">
        <v>16241.5014692576</v>
      </c>
      <c r="CD16" t="n">
        <v>743.765804250173</v>
      </c>
      <c r="CE16" t="n">
        <v>0.0457941454911124</v>
      </c>
      <c r="CF16" t="n">
        <v>11412421.1628561</v>
      </c>
      <c r="CG16" t="n">
        <v>443707.62931567</v>
      </c>
      <c r="CH16" t="n">
        <v>551489.443654093</v>
      </c>
      <c r="CI16" t="n">
        <v>329138.616811238</v>
      </c>
      <c r="CJ16" t="n">
        <v>24009.2611471559</v>
      </c>
      <c r="CK16" t="n">
        <v>912790.152204163</v>
      </c>
      <c r="CL16" t="n">
        <v>0.0755798822264025</v>
      </c>
      <c r="CM16" t="n">
        <v>13.2310341130787</v>
      </c>
      <c r="CN16" t="n">
        <v>1178563.48100673</v>
      </c>
      <c r="CO16" t="n">
        <v>2953156.16456034</v>
      </c>
      <c r="CP16" t="n">
        <v>3295927.63861345</v>
      </c>
      <c r="CQ16" t="n">
        <v>4131719.64556707</v>
      </c>
      <c r="CR16" t="n">
        <v>9515123.77849773</v>
      </c>
      <c r="CS16" t="n">
        <v>0.0201046755036588</v>
      </c>
      <c r="CT16" t="n">
        <v>0.0118026606601765</v>
      </c>
      <c r="CU16" t="n">
        <v>0.073713078111791</v>
      </c>
      <c r="CV16" t="n">
        <v>1.60335709332314</v>
      </c>
      <c r="CW16" t="n">
        <v>0.073713078111791</v>
      </c>
      <c r="CX16" t="n">
        <v>0.039440022763365</v>
      </c>
      <c r="CY16" t="n">
        <v>0.018050022763365</v>
      </c>
      <c r="CZ16" t="n">
        <v>-0.00624736210318851</v>
      </c>
      <c r="DA16" t="n">
        <v>0.512113500255387</v>
      </c>
      <c r="DB16" t="n">
        <v>6.37351574094793</v>
      </c>
      <c r="DC16" t="n">
        <v>0.0822954133647494</v>
      </c>
      <c r="DD16" t="n">
        <v>0.0556665352042835</v>
      </c>
      <c r="DE16" t="n">
        <v>0.0081589161054556</v>
      </c>
      <c r="DF16" t="n">
        <v>0.134014641349652</v>
      </c>
      <c r="DG16" t="n">
        <v>216254.370169228</v>
      </c>
      <c r="DH16" t="n">
        <v>124.241919820198</v>
      </c>
      <c r="DI16" t="n">
        <v>4.86018551870522</v>
      </c>
      <c r="DJ16" t="n">
        <v>4.21691463123391</v>
      </c>
      <c r="DK16" t="n">
        <v>0.0484267358713257</v>
      </c>
      <c r="DL16" t="n">
        <v>0.669440030437354</v>
      </c>
      <c r="DM16" t="n">
        <v>1.22533994478462</v>
      </c>
      <c r="DN16" t="n">
        <v>0.0399169327369503</v>
      </c>
      <c r="DO16" t="n">
        <v>0.0374213819593254</v>
      </c>
      <c r="DP16" t="n">
        <v>29032.2</v>
      </c>
      <c r="DQ16" t="n">
        <v>24258.424902408</v>
      </c>
      <c r="DR16" t="n">
        <v>172731.646784469</v>
      </c>
      <c r="DS16" t="n">
        <v>30496.9812540166</v>
      </c>
      <c r="DT16" t="n">
        <v>13025.7421307428</v>
      </c>
      <c r="DU16" t="n">
        <v>0</v>
      </c>
      <c r="DV16" t="n">
        <v>56.25</v>
      </c>
      <c r="DW16" t="n">
        <v>208288.96</v>
      </c>
      <c r="DX16" t="n">
        <v>2.21262488799071</v>
      </c>
      <c r="DY16" t="n">
        <v>74.0723217538103</v>
      </c>
      <c r="DZ16" t="n">
        <v>1.08380022237149</v>
      </c>
      <c r="EA16" t="n">
        <v>1.20480826540984</v>
      </c>
      <c r="EB16" t="n">
        <v>161137861.258508</v>
      </c>
      <c r="EC16" t="n">
        <v>3.15218008665484</v>
      </c>
      <c r="ED16" t="n">
        <v>0.0435</v>
      </c>
      <c r="EE16" t="n">
        <v>0.0304926484848485</v>
      </c>
      <c r="EF16" t="n">
        <v>0.03050813492075</v>
      </c>
      <c r="EG16" t="n">
        <v>0.0441803333333333</v>
      </c>
      <c r="EH16" t="n">
        <v>758548.734398896</v>
      </c>
      <c r="EI16" t="n">
        <v>389242.420524972</v>
      </c>
      <c r="EJ16" t="n">
        <v>1055.24180952641</v>
      </c>
      <c r="EK16" t="n">
        <v>1.46079927747287</v>
      </c>
      <c r="EL16" t="n">
        <v>4.44612466110905</v>
      </c>
    </row>
    <row r="17">
      <c r="A17" s="2" t="n">
        <v>47362</v>
      </c>
      <c r="B17" t="n">
        <v>389804.350803684</v>
      </c>
      <c r="C17" t="n">
        <v>38359.8279116673</v>
      </c>
      <c r="D17" t="n">
        <v>24452.2411418307</v>
      </c>
      <c r="E17" t="n">
        <v>235483.382835516</v>
      </c>
      <c r="F17" t="n">
        <v>51401.4958034082</v>
      </c>
      <c r="G17" t="n">
        <v>13627.3719653349</v>
      </c>
      <c r="H17" t="n">
        <v>60297.9456375687</v>
      </c>
      <c r="I17" t="n">
        <v>67144.3545683283</v>
      </c>
      <c r="J17" t="n">
        <v>98441.0908076243</v>
      </c>
      <c r="K17" t="n">
        <v>403.392895621331</v>
      </c>
      <c r="L17" t="n">
        <v>5052.34827530306</v>
      </c>
      <c r="M17" t="n">
        <v>0.669085946566653</v>
      </c>
      <c r="N17" t="n">
        <v>31417.3019428128</v>
      </c>
      <c r="O17" t="n">
        <v>172.432569548588</v>
      </c>
      <c r="P17" t="n">
        <v>1.67551367011464</v>
      </c>
      <c r="Q17" t="n">
        <v>1.46222816084026</v>
      </c>
      <c r="R17" t="n">
        <v>1.13841532314086</v>
      </c>
      <c r="S17" t="n">
        <v>0.11517248770095</v>
      </c>
      <c r="T17" t="n">
        <v>8020.56300437354</v>
      </c>
      <c r="U17" t="n">
        <v>0.369307254470831</v>
      </c>
      <c r="V17" t="n">
        <v>0.55697935108431</v>
      </c>
      <c r="W17" t="n">
        <v>23997685.7898315</v>
      </c>
      <c r="X17" t="n">
        <v>74179.8923996494</v>
      </c>
      <c r="Y17" t="n">
        <v>4388512.41862765</v>
      </c>
      <c r="Z17" t="n">
        <v>1107.28341209456</v>
      </c>
      <c r="AA17" t="n">
        <v>1.15191847285663</v>
      </c>
      <c r="AB17" t="n">
        <v>1.13132704604452</v>
      </c>
      <c r="AC17" t="n">
        <v>1.24370209644683</v>
      </c>
      <c r="AD17" t="n">
        <v>1.34691066729269</v>
      </c>
      <c r="AE17" t="n">
        <v>122.939610612955</v>
      </c>
      <c r="AF17" t="n">
        <v>94632.3560579527</v>
      </c>
      <c r="AG17" t="n">
        <v>1177.41639841833</v>
      </c>
      <c r="AH17" t="n">
        <v>121.143248117452</v>
      </c>
      <c r="AI17" t="n">
        <v>72944.4569228509</v>
      </c>
      <c r="AJ17" t="n">
        <v>79085.7074241258</v>
      </c>
      <c r="AK17" t="n">
        <v>619.69845409333</v>
      </c>
      <c r="AL17" t="n">
        <v>26216.1200066492</v>
      </c>
      <c r="AM17" t="n">
        <v>19155.7409810596</v>
      </c>
      <c r="AN17" t="n">
        <v>1.01846827448561</v>
      </c>
      <c r="AO17" t="n">
        <v>1.07109006850728</v>
      </c>
      <c r="AP17" t="n">
        <v>1.19319400680954</v>
      </c>
      <c r="AQ17" t="n">
        <v>1.24259695467794</v>
      </c>
      <c r="AR17" t="n">
        <v>35244.3858947341</v>
      </c>
      <c r="AS17" t="n">
        <v>178811.854088297</v>
      </c>
      <c r="AT17" t="n">
        <v>0.0606014134008382</v>
      </c>
      <c r="AU17" t="n">
        <v>0.0562663220875256</v>
      </c>
      <c r="AV17" t="n">
        <v>0.151153638847861</v>
      </c>
      <c r="AW17" t="n">
        <v>1131.03053443233</v>
      </c>
      <c r="AX17" t="n">
        <v>11602.6258885549</v>
      </c>
      <c r="AY17" t="n">
        <v>19148.3072982714</v>
      </c>
      <c r="AZ17" t="n">
        <v>181250.524981689</v>
      </c>
      <c r="BA17" t="n">
        <v>484369.700547013</v>
      </c>
      <c r="BB17" t="n">
        <v>215466.961750015</v>
      </c>
      <c r="BC17" t="n">
        <v>246175.289470914</v>
      </c>
      <c r="BD17" t="n">
        <v>85821.2068022577</v>
      </c>
      <c r="BE17" t="n">
        <v>18.8029306502875</v>
      </c>
      <c r="BF17" t="n">
        <v>51667.2614097364</v>
      </c>
      <c r="BG17" t="n">
        <v>19440.3582854998</v>
      </c>
      <c r="BH17" t="n">
        <v>28166.9882740196</v>
      </c>
      <c r="BI17" t="n">
        <v>82524.0361908256</v>
      </c>
      <c r="BJ17" t="n">
        <v>50699.6785067863</v>
      </c>
      <c r="BK17" t="n">
        <v>100259.127893323</v>
      </c>
      <c r="BL17" t="n">
        <v>27999.1941639555</v>
      </c>
      <c r="BM17" t="n">
        <v>20517.5239197108</v>
      </c>
      <c r="BN17" t="n">
        <v>43329.3107819133</v>
      </c>
      <c r="BO17" t="n">
        <v>203694.716758902</v>
      </c>
      <c r="BP17" t="n">
        <v>203562.154653345</v>
      </c>
      <c r="BQ17" t="n">
        <v>932467.547069454</v>
      </c>
      <c r="BR17" t="n">
        <v>757361.091511131</v>
      </c>
      <c r="BS17" t="n">
        <v>755352.39725432</v>
      </c>
      <c r="BT17" t="n">
        <v>123.49200142012</v>
      </c>
      <c r="BU17" t="n">
        <v>1.23120603552548</v>
      </c>
      <c r="BV17" t="n">
        <v>1.1238296649319</v>
      </c>
      <c r="BW17" t="n">
        <v>98.7187753087579</v>
      </c>
      <c r="BX17" t="n">
        <v>82937.646245406</v>
      </c>
      <c r="BY17" t="n">
        <v>1.29527119157326</v>
      </c>
      <c r="BZ17" t="n">
        <v>107426.743878569</v>
      </c>
      <c r="CA17" t="n">
        <v>10467.625353401</v>
      </c>
      <c r="CB17" t="n">
        <v>15519.973628704</v>
      </c>
      <c r="CC17" t="n">
        <v>16285.8128223405</v>
      </c>
      <c r="CD17" t="n">
        <v>765.839193636459</v>
      </c>
      <c r="CE17" t="n">
        <v>0.0470249214543294</v>
      </c>
      <c r="CF17" t="n">
        <v>11446433.7330752</v>
      </c>
      <c r="CG17" t="n">
        <v>448778.892263027</v>
      </c>
      <c r="CH17" t="n">
        <v>564622.094161967</v>
      </c>
      <c r="CI17" t="n">
        <v>333740.298735993</v>
      </c>
      <c r="CJ17" t="n">
        <v>24580.9950927935</v>
      </c>
      <c r="CK17" t="n">
        <v>924455.959621786</v>
      </c>
      <c r="CL17" t="n">
        <v>0.0772637100108077</v>
      </c>
      <c r="CM17" t="n">
        <v>12.9426868041946</v>
      </c>
      <c r="CN17" t="n">
        <v>1183589.76976586</v>
      </c>
      <c r="CO17" t="n">
        <v>2978463.06495351</v>
      </c>
      <c r="CP17" t="n">
        <v>3307679.2306135</v>
      </c>
      <c r="CQ17" t="n">
        <v>4162052.83471937</v>
      </c>
      <c r="CR17" t="n">
        <v>9557208.55965007</v>
      </c>
      <c r="CS17" t="n">
        <v>0.0170875312259311</v>
      </c>
      <c r="CT17" t="n">
        <v>0.0127524399126185</v>
      </c>
      <c r="CU17" t="n">
        <v>0.0716586055260428</v>
      </c>
      <c r="CV17" t="n">
        <v>1.6200161602478</v>
      </c>
      <c r="CW17" t="n">
        <v>0.071658605526043</v>
      </c>
      <c r="CX17" t="n">
        <v>0.039440022763365</v>
      </c>
      <c r="CY17" t="n">
        <v>0.0181450537893905</v>
      </c>
      <c r="CZ17" t="n">
        <v>-0.00539261387677194</v>
      </c>
      <c r="DA17" t="n">
        <v>0.509642191633155</v>
      </c>
      <c r="DB17" t="n">
        <v>6.42154446224005</v>
      </c>
      <c r="DC17" t="n">
        <v>0.0783309046508382</v>
      </c>
      <c r="DD17" t="n">
        <v>0.0530500772536257</v>
      </c>
      <c r="DE17" t="n">
        <v>0.00815909838169936</v>
      </c>
      <c r="DF17" t="n">
        <v>0.134534267963381</v>
      </c>
      <c r="DG17" t="n">
        <v>216898.875559068</v>
      </c>
      <c r="DH17" t="n">
        <v>125.212698134438</v>
      </c>
      <c r="DI17" t="n">
        <v>4.86814207378185</v>
      </c>
      <c r="DJ17" t="n">
        <v>4.22193387632208</v>
      </c>
      <c r="DK17" t="n">
        <v>0.0484267358713257</v>
      </c>
      <c r="DL17" t="n">
        <v>0.669440030437354</v>
      </c>
      <c r="DM17" t="n">
        <v>1.23765969745585</v>
      </c>
      <c r="DN17" t="n">
        <v>0.0399169327369503</v>
      </c>
      <c r="DO17" t="n">
        <v>0.0374213819593254</v>
      </c>
      <c r="DP17" t="n">
        <v>29118.725</v>
      </c>
      <c r="DQ17" t="n">
        <v>24340.3899094122</v>
      </c>
      <c r="DR17" t="n">
        <v>173246.440900589</v>
      </c>
      <c r="DS17" t="n">
        <v>30587.8717584566</v>
      </c>
      <c r="DT17" t="n">
        <v>13064.5629000218</v>
      </c>
      <c r="DU17" t="n">
        <v>0</v>
      </c>
      <c r="DV17" t="n">
        <v>56.25</v>
      </c>
      <c r="DW17" t="n">
        <v>208288.96</v>
      </c>
      <c r="DX17" t="n">
        <v>2.22417257884541</v>
      </c>
      <c r="DY17" t="n">
        <v>73.9911163642239</v>
      </c>
      <c r="DZ17" t="n">
        <v>1.07539572121753</v>
      </c>
      <c r="EA17" t="n">
        <v>1.2046538047888</v>
      </c>
      <c r="EB17" t="n">
        <v>162594418.466384</v>
      </c>
      <c r="EC17" t="n">
        <v>3.1531516324896</v>
      </c>
      <c r="ED17" t="n">
        <v>0.0435</v>
      </c>
      <c r="EE17" t="n">
        <v>0.0304926484848485</v>
      </c>
      <c r="EF17" t="n">
        <v>0.03050813492075</v>
      </c>
      <c r="EG17" t="n">
        <v>0.0441803333333333</v>
      </c>
      <c r="EH17" t="n">
        <v>761684.229550986</v>
      </c>
      <c r="EI17" t="n">
        <v>391076.169078163</v>
      </c>
      <c r="EJ17" t="n">
        <v>1078.54322966064</v>
      </c>
      <c r="EK17" t="n">
        <v>1.49033409094226</v>
      </c>
      <c r="EL17" t="n">
        <v>4.3513882174907</v>
      </c>
    </row>
    <row r="18">
      <c r="A18" s="2" t="n">
        <v>47453</v>
      </c>
      <c r="B18" t="n">
        <v>392020.281682245</v>
      </c>
      <c r="C18" t="n">
        <v>38506.0423271157</v>
      </c>
      <c r="D18" t="n">
        <v>24671.189110351</v>
      </c>
      <c r="E18" t="n">
        <v>236586.542210225</v>
      </c>
      <c r="F18" t="n">
        <v>52044.3009314181</v>
      </c>
      <c r="G18" t="n">
        <v>13717.528323958</v>
      </c>
      <c r="H18" t="n">
        <v>61099.6781268178</v>
      </c>
      <c r="I18" t="n">
        <v>67415.9584858281</v>
      </c>
      <c r="J18" t="n">
        <v>98552.2284247302</v>
      </c>
      <c r="K18" t="n">
        <v>402.62126615731</v>
      </c>
      <c r="L18" t="n">
        <v>5071.2137794014</v>
      </c>
      <c r="M18" t="n">
        <v>0.668675887292883</v>
      </c>
      <c r="N18" t="n">
        <v>31727.1166548907</v>
      </c>
      <c r="O18" t="n">
        <v>174.191904282396</v>
      </c>
      <c r="P18" t="n">
        <v>1.70427628379793</v>
      </c>
      <c r="Q18" t="n">
        <v>1.47945158785882</v>
      </c>
      <c r="R18" t="n">
        <v>1.14141063768708</v>
      </c>
      <c r="S18" t="n">
        <v>0.112214808914294</v>
      </c>
      <c r="T18" t="n">
        <v>7833.00036187896</v>
      </c>
      <c r="U18" t="n">
        <v>0.369739655975511</v>
      </c>
      <c r="V18" t="n">
        <v>0.555136986154041</v>
      </c>
      <c r="W18" t="n">
        <v>24370327.7136473</v>
      </c>
      <c r="X18" t="n">
        <v>75245.9447315933</v>
      </c>
      <c r="Y18" t="n">
        <v>4382096.03908088</v>
      </c>
      <c r="Z18" t="n">
        <v>1124.5220913581</v>
      </c>
      <c r="AA18" t="n">
        <v>1.15843638672598</v>
      </c>
      <c r="AB18" t="n">
        <v>1.13668389091578</v>
      </c>
      <c r="AC18" t="n">
        <v>1.25603924962627</v>
      </c>
      <c r="AD18" t="n">
        <v>1.36673685106349</v>
      </c>
      <c r="AE18" t="n">
        <v>124.054927611453</v>
      </c>
      <c r="AF18" t="n">
        <v>94366.7902940077</v>
      </c>
      <c r="AG18" t="n">
        <v>1204.59089663621</v>
      </c>
      <c r="AH18" t="n">
        <v>122.90918433862</v>
      </c>
      <c r="AI18" t="n">
        <v>73290.3253510542</v>
      </c>
      <c r="AJ18" t="n">
        <v>81490.1871502368</v>
      </c>
      <c r="AK18" t="n">
        <v>619.037648355468</v>
      </c>
      <c r="AL18" t="n">
        <v>26455.5663604021</v>
      </c>
      <c r="AM18" t="n">
        <v>19108.159658524</v>
      </c>
      <c r="AN18" t="n">
        <v>1.01471162145107</v>
      </c>
      <c r="AO18" t="n">
        <v>1.07575481840839</v>
      </c>
      <c r="AP18" t="n">
        <v>1.20229669322967</v>
      </c>
      <c r="AQ18" t="n">
        <v>1.25379826436351</v>
      </c>
      <c r="AR18" t="n">
        <v>35348.2236388558</v>
      </c>
      <c r="AS18" t="n">
        <v>180002.215002907</v>
      </c>
      <c r="AT18" t="n">
        <v>0.0567054843736665</v>
      </c>
      <c r="AU18" t="n">
        <v>0.0560319093100217</v>
      </c>
      <c r="AV18" t="n">
        <v>0.171819286094122</v>
      </c>
      <c r="AW18" t="n">
        <v>1103.15937470915</v>
      </c>
      <c r="AX18" t="n">
        <v>11646.8510911775</v>
      </c>
      <c r="AY18" t="n">
        <v>19214.8363695983</v>
      </c>
      <c r="AZ18" t="n">
        <v>181484.448091708</v>
      </c>
      <c r="BA18" t="n">
        <v>491514.35007098</v>
      </c>
      <c r="BB18" t="n">
        <v>218250.931244522</v>
      </c>
      <c r="BC18" t="n">
        <v>247683.864036604</v>
      </c>
      <c r="BD18" t="n">
        <v>87749.485684599</v>
      </c>
      <c r="BE18" t="n">
        <v>19.0038871098439</v>
      </c>
      <c r="BF18" t="n">
        <v>52627.6270370796</v>
      </c>
      <c r="BG18" t="n">
        <v>19849.4520956199</v>
      </c>
      <c r="BH18" t="n">
        <v>28580.0031692284</v>
      </c>
      <c r="BI18" t="n">
        <v>83307.9314159759</v>
      </c>
      <c r="BJ18" t="n">
        <v>51055.5818243369</v>
      </c>
      <c r="BK18" t="n">
        <v>100002.091502474</v>
      </c>
      <c r="BL18" t="n">
        <v>28427.4201774496</v>
      </c>
      <c r="BM18" t="n">
        <v>20555.6948235741</v>
      </c>
      <c r="BN18" t="n">
        <v>43851.2132471172</v>
      </c>
      <c r="BO18" t="n">
        <v>204425.979750615</v>
      </c>
      <c r="BP18" t="n">
        <v>205456.443011556</v>
      </c>
      <c r="BQ18" t="n">
        <v>944155.413596801</v>
      </c>
      <c r="BR18" t="n">
        <v>759992.474538354</v>
      </c>
      <c r="BS18" t="n">
        <v>758940.218613026</v>
      </c>
      <c r="BT18" t="n">
        <v>124.601872738625</v>
      </c>
      <c r="BU18" t="n">
        <v>1.24232205618705</v>
      </c>
      <c r="BV18" t="n">
        <v>1.12641045500116</v>
      </c>
      <c r="BW18" t="n">
        <v>98.6858206686838</v>
      </c>
      <c r="BX18" t="n">
        <v>83409.1240288926</v>
      </c>
      <c r="BY18" t="n">
        <v>1.31415269218497</v>
      </c>
      <c r="BZ18" t="n">
        <v>109612.324895359</v>
      </c>
      <c r="CA18" t="n">
        <v>10472.352815688</v>
      </c>
      <c r="CB18" t="n">
        <v>15543.5665950894</v>
      </c>
      <c r="CC18" t="n">
        <v>16330.6782603954</v>
      </c>
      <c r="CD18" t="n">
        <v>787.111665306009</v>
      </c>
      <c r="CE18" t="n">
        <v>0.0481983373583822</v>
      </c>
      <c r="CF18" t="n">
        <v>11480446.3032944</v>
      </c>
      <c r="CG18" t="n">
        <v>453893.371999072</v>
      </c>
      <c r="CH18" t="n">
        <v>573712.584253399</v>
      </c>
      <c r="CI18" t="n">
        <v>338228.650674796</v>
      </c>
      <c r="CJ18" t="n">
        <v>24976.7523517443</v>
      </c>
      <c r="CK18" t="n">
        <v>936043.406177356</v>
      </c>
      <c r="CL18" t="n">
        <v>0.079029442072817</v>
      </c>
      <c r="CM18" t="n">
        <v>12.653512080708</v>
      </c>
      <c r="CN18" t="n">
        <v>1188799.51801348</v>
      </c>
      <c r="CO18" t="n">
        <v>3003676.66084772</v>
      </c>
      <c r="CP18" t="n">
        <v>3319531.42894924</v>
      </c>
      <c r="CQ18" t="n">
        <v>4192476.17886121</v>
      </c>
      <c r="CR18" t="n">
        <v>9599484.10212765</v>
      </c>
      <c r="CS18" t="n">
        <v>0.0140751184358088</v>
      </c>
      <c r="CT18" t="n">
        <v>0.013401543372164</v>
      </c>
      <c r="CU18" t="n">
        <v>0.0695844429764367</v>
      </c>
      <c r="CV18" t="n">
        <v>1.63654523423607</v>
      </c>
      <c r="CW18" t="n">
        <v>0.0695844429764367</v>
      </c>
      <c r="CX18" t="n">
        <v>0.039440022763365</v>
      </c>
      <c r="CY18" t="n">
        <v>0.0182400641286471</v>
      </c>
      <c r="CZ18" t="n">
        <v>-0.0048385207564831</v>
      </c>
      <c r="DA18" t="n">
        <v>0.507627531588519</v>
      </c>
      <c r="DB18" t="n">
        <v>6.45565071459952</v>
      </c>
      <c r="DC18" t="n">
        <v>0.0744349756236665</v>
      </c>
      <c r="DD18" t="n">
        <v>0.0504679264370681</v>
      </c>
      <c r="DE18" t="n">
        <v>0.00814140781992308</v>
      </c>
      <c r="DF18" t="n">
        <v>0.13512348449402</v>
      </c>
      <c r="DG18" t="n">
        <v>217543.380948907</v>
      </c>
      <c r="DH18" t="n">
        <v>126.20120162625</v>
      </c>
      <c r="DI18" t="n">
        <v>4.87617897911261</v>
      </c>
      <c r="DJ18" t="n">
        <v>4.22703347166439</v>
      </c>
      <c r="DK18" t="n">
        <v>0.0484267358713257</v>
      </c>
      <c r="DL18" t="n">
        <v>0.669440030437354</v>
      </c>
      <c r="DM18" t="n">
        <v>1.25010331477911</v>
      </c>
      <c r="DN18" t="n">
        <v>0.0399169327369503</v>
      </c>
      <c r="DO18" t="n">
        <v>0.0374213819593254</v>
      </c>
      <c r="DP18" t="n">
        <v>29205.25</v>
      </c>
      <c r="DQ18" t="n">
        <v>24422.4123685837</v>
      </c>
      <c r="DR18" t="n">
        <v>173761.23501671</v>
      </c>
      <c r="DS18" t="n">
        <v>30678.7622628966</v>
      </c>
      <c r="DT18" t="n">
        <v>13103.3836693008</v>
      </c>
      <c r="DU18" t="n">
        <v>0</v>
      </c>
      <c r="DV18" t="n">
        <v>56.25</v>
      </c>
      <c r="DW18" t="n">
        <v>208288.96</v>
      </c>
      <c r="DX18" t="n">
        <v>2.23578053710685</v>
      </c>
      <c r="DY18" t="n">
        <v>73.91</v>
      </c>
      <c r="DZ18" t="n">
        <v>1.06705639410413</v>
      </c>
      <c r="EA18" t="n">
        <v>1.20449936397015</v>
      </c>
      <c r="EB18" t="n">
        <v>164064141.784839</v>
      </c>
      <c r="EC18" t="n">
        <v>3.15412347776834</v>
      </c>
      <c r="ED18" t="n">
        <v>0.0435</v>
      </c>
      <c r="EE18" t="n">
        <v>0.0304926484848485</v>
      </c>
      <c r="EF18" t="n">
        <v>0.03050813492075</v>
      </c>
      <c r="EG18" t="n">
        <v>0.0441803333333333</v>
      </c>
      <c r="EH18" t="n">
        <v>764621.987188316</v>
      </c>
      <c r="EI18" t="n">
        <v>392958.137839442</v>
      </c>
      <c r="EJ18" t="n">
        <v>1101.2711559924</v>
      </c>
      <c r="EK18" t="n">
        <v>1.44442777639233</v>
      </c>
      <c r="EL18" t="n">
        <v>4.26303659378577</v>
      </c>
    </row>
    <row r="19">
      <c r="A19" s="2" t="n">
        <v>47543</v>
      </c>
      <c r="B19" t="n">
        <v>394422.916539436</v>
      </c>
      <c r="C19" t="n">
        <v>38605.4985004893</v>
      </c>
      <c r="D19" t="n">
        <v>24896.2968245555</v>
      </c>
      <c r="E19" t="n">
        <v>237650.38988126</v>
      </c>
      <c r="F19" t="n">
        <v>52732.0880187671</v>
      </c>
      <c r="G19" t="n">
        <v>13804.6701917584</v>
      </c>
      <c r="H19" t="n">
        <v>61911.4718843911</v>
      </c>
      <c r="I19" t="n">
        <v>67969.8366699123</v>
      </c>
      <c r="J19" t="n">
        <v>98697.6615672619</v>
      </c>
      <c r="K19" t="n">
        <v>401.907356846438</v>
      </c>
      <c r="L19" t="n">
        <v>5090.47471685501</v>
      </c>
      <c r="M19" t="n">
        <v>0.668273778135251</v>
      </c>
      <c r="N19" t="n">
        <v>32032.024829105</v>
      </c>
      <c r="O19" t="n">
        <v>175.943644203024</v>
      </c>
      <c r="P19" t="n">
        <v>1.73345951769185</v>
      </c>
      <c r="Q19" t="n">
        <v>1.4957909291638</v>
      </c>
      <c r="R19" t="n">
        <v>1.14403598348417</v>
      </c>
      <c r="S19" t="n">
        <v>0.109387479993256</v>
      </c>
      <c r="T19" t="n">
        <v>7665.42437400825</v>
      </c>
      <c r="U19" t="n">
        <v>0.370333536929859</v>
      </c>
      <c r="V19" t="n">
        <v>0.553552923904495</v>
      </c>
      <c r="W19" t="n">
        <v>24736303.5719661</v>
      </c>
      <c r="X19" t="n">
        <v>76333.5369166168</v>
      </c>
      <c r="Y19" t="n">
        <v>4376976.48002457</v>
      </c>
      <c r="Z19" t="n">
        <v>1140.08806816101</v>
      </c>
      <c r="AA19" t="n">
        <v>1.16489221199418</v>
      </c>
      <c r="AB19" t="n">
        <v>1.14191772110691</v>
      </c>
      <c r="AC19" t="n">
        <v>1.26837001978808</v>
      </c>
      <c r="AD19" t="n">
        <v>1.38597192500425</v>
      </c>
      <c r="AE19" t="n">
        <v>125.17520172742</v>
      </c>
      <c r="AF19" t="n">
        <v>94272.9057243278</v>
      </c>
      <c r="AG19" t="n">
        <v>1232.28833772364</v>
      </c>
      <c r="AH19" t="n">
        <v>124.725693454934</v>
      </c>
      <c r="AI19" t="n">
        <v>73659.5206165974</v>
      </c>
      <c r="AJ19" t="n">
        <v>84121.6627006556</v>
      </c>
      <c r="AK19" t="n">
        <v>617.875355527737</v>
      </c>
      <c r="AL19" t="n">
        <v>26709.267111158</v>
      </c>
      <c r="AM19" t="n">
        <v>19061.8536826661</v>
      </c>
      <c r="AN19" t="n">
        <v>1.01128289665643</v>
      </c>
      <c r="AO19" t="n">
        <v>1.08017866833157</v>
      </c>
      <c r="AP19" t="n">
        <v>1.21122929384491</v>
      </c>
      <c r="AQ19" t="n">
        <v>1.26495078678002</v>
      </c>
      <c r="AR19" t="n">
        <v>35455.6609844816</v>
      </c>
      <c r="AS19" t="n">
        <v>181339.807857352</v>
      </c>
      <c r="AT19" t="n">
        <v>0.0530480658584758</v>
      </c>
      <c r="AU19" t="n">
        <v>0.0555912455299774</v>
      </c>
      <c r="AV19" t="n">
        <v>0.189536726758472</v>
      </c>
      <c r="AW19" t="n">
        <v>1063.8476710351</v>
      </c>
      <c r="AX19" t="n">
        <v>11676.9334151811</v>
      </c>
      <c r="AY19" t="n">
        <v>19282.2937369686</v>
      </c>
      <c r="AZ19" t="n">
        <v>181758.469971378</v>
      </c>
      <c r="BA19" t="n">
        <v>498925.579950529</v>
      </c>
      <c r="BB19" t="n">
        <v>221046.490519796</v>
      </c>
      <c r="BC19" t="n">
        <v>249430.402930402</v>
      </c>
      <c r="BD19" t="n">
        <v>89729.6521694575</v>
      </c>
      <c r="BE19" t="n">
        <v>19.2102510594643</v>
      </c>
      <c r="BF19" t="n">
        <v>53506.1370724717</v>
      </c>
      <c r="BG19" t="n">
        <v>20241.4913659997</v>
      </c>
      <c r="BH19" t="n">
        <v>29001.5022784202</v>
      </c>
      <c r="BI19" t="n">
        <v>84113.1111023346</v>
      </c>
      <c r="BJ19" t="n">
        <v>51393.9659149842</v>
      </c>
      <c r="BK19" t="n">
        <v>99811.2570829571</v>
      </c>
      <c r="BL19" t="n">
        <v>28842.2800652296</v>
      </c>
      <c r="BM19" t="n">
        <v>20590.2077268735</v>
      </c>
      <c r="BN19" t="n">
        <v>44381.6951611152</v>
      </c>
      <c r="BO19" t="n">
        <v>205215.000036175</v>
      </c>
      <c r="BP19" t="n">
        <v>207459.265426916</v>
      </c>
      <c r="BQ19" t="n">
        <v>955984.012813794</v>
      </c>
      <c r="BR19" t="n">
        <v>762660.573817417</v>
      </c>
      <c r="BS19" t="n">
        <v>762671.887613351</v>
      </c>
      <c r="BT19" t="n">
        <v>125.702706211024</v>
      </c>
      <c r="BU19" t="n">
        <v>1.25348555610129</v>
      </c>
      <c r="BV19" t="n">
        <v>1.1290532984157</v>
      </c>
      <c r="BW19" t="n">
        <v>98.6903659251307</v>
      </c>
      <c r="BX19" t="n">
        <v>83920.3263267423</v>
      </c>
      <c r="BY19" t="n">
        <v>1.33357492135709</v>
      </c>
      <c r="BZ19" t="n">
        <v>111914.042581447</v>
      </c>
      <c r="CA19" t="n">
        <v>10478.6984112956</v>
      </c>
      <c r="CB19" t="n">
        <v>15569.1731281506</v>
      </c>
      <c r="CC19" t="n">
        <v>16375.70963719</v>
      </c>
      <c r="CD19" t="n">
        <v>806.536509039401</v>
      </c>
      <c r="CE19" t="n">
        <v>0.0492519954716373</v>
      </c>
      <c r="CF19" t="n">
        <v>11514458.8735135</v>
      </c>
      <c r="CG19" t="n">
        <v>459010.370529899</v>
      </c>
      <c r="CH19" t="n">
        <v>583186.84992038</v>
      </c>
      <c r="CI19" t="n">
        <v>342812.089295825</v>
      </c>
      <c r="CJ19" t="n">
        <v>25389.2173974374</v>
      </c>
      <c r="CK19" t="n">
        <v>947770.37627352</v>
      </c>
      <c r="CL19" t="n">
        <v>0.0806054988452845</v>
      </c>
      <c r="CM19" t="n">
        <v>12.4061014983533</v>
      </c>
      <c r="CN19" t="n">
        <v>1194143.51550529</v>
      </c>
      <c r="CO19" t="n">
        <v>3028832.06891179</v>
      </c>
      <c r="CP19" t="n">
        <v>3331434.8585835</v>
      </c>
      <c r="CQ19" t="n">
        <v>4222975.58441708</v>
      </c>
      <c r="CR19" t="n">
        <v>9641886.93731779</v>
      </c>
      <c r="CS19" t="n">
        <v>0.0111981246845978</v>
      </c>
      <c r="CT19" t="n">
        <v>0.0137413043560994</v>
      </c>
      <c r="CU19" t="n">
        <v>0.0675375388193783</v>
      </c>
      <c r="CV19" t="n">
        <v>1.6530029544185</v>
      </c>
      <c r="CW19" t="n">
        <v>0.0675375388193783</v>
      </c>
      <c r="CX19" t="n">
        <v>0.039440022763365</v>
      </c>
      <c r="CY19" t="n">
        <v>0.018335053785263</v>
      </c>
      <c r="CZ19" t="n">
        <v>-0.00459374942916359</v>
      </c>
      <c r="DA19" t="n">
        <v>0.505934389841216</v>
      </c>
      <c r="DB19" t="n">
        <v>6.47984798385468</v>
      </c>
      <c r="DC19" t="n">
        <v>0.0707775571084758</v>
      </c>
      <c r="DD19" t="n">
        <v>0.0480359960197742</v>
      </c>
      <c r="DE19" t="n">
        <v>0.0081081710800594</v>
      </c>
      <c r="DF19" t="n">
        <v>0.135615821677777</v>
      </c>
      <c r="DG19" t="n">
        <v>218187.886338746</v>
      </c>
      <c r="DH19" t="n">
        <v>127.177458577302</v>
      </c>
      <c r="DI19" t="n">
        <v>4.88405824019612</v>
      </c>
      <c r="DJ19" t="n">
        <v>4.23197542275945</v>
      </c>
      <c r="DK19" t="n">
        <v>0.0484267358713257</v>
      </c>
      <c r="DL19" t="n">
        <v>0.669440030437354</v>
      </c>
      <c r="DM19" t="n">
        <v>1.2626720421083</v>
      </c>
      <c r="DN19" t="n">
        <v>0.0399169327369503</v>
      </c>
      <c r="DO19" t="n">
        <v>0.0374213819593254</v>
      </c>
      <c r="DP19" t="n">
        <v>29291.775</v>
      </c>
      <c r="DQ19" t="n">
        <v>24504.4922799227</v>
      </c>
      <c r="DR19" t="n">
        <v>174276.02913283</v>
      </c>
      <c r="DS19" t="n">
        <v>30769.6527673366</v>
      </c>
      <c r="DT19" t="n">
        <v>13142.2044385798</v>
      </c>
      <c r="DU19" t="n">
        <v>0</v>
      </c>
      <c r="DV19" t="n">
        <v>56.25</v>
      </c>
      <c r="DW19" t="n">
        <v>208288.96</v>
      </c>
      <c r="DX19" t="n">
        <v>2.24747659101981</v>
      </c>
      <c r="DY19" t="n">
        <v>73.8549385009494</v>
      </c>
      <c r="DZ19" t="n">
        <v>1.06103140913822</v>
      </c>
      <c r="EA19" t="n">
        <v>1.20449936397015</v>
      </c>
      <c r="EB19" t="n">
        <v>165420447.064754</v>
      </c>
      <c r="EC19" t="n">
        <v>3.15533702248047</v>
      </c>
      <c r="ED19" t="n">
        <v>0.0435</v>
      </c>
      <c r="EE19" t="n">
        <v>0.0304926484848485</v>
      </c>
      <c r="EF19" t="n">
        <v>0.03050813492075</v>
      </c>
      <c r="EG19" t="n">
        <v>0.0441803333333333</v>
      </c>
      <c r="EH19" t="n">
        <v>767402.180108793</v>
      </c>
      <c r="EI19" t="n">
        <v>394923.565613433</v>
      </c>
      <c r="EJ19" t="n">
        <v>1123.08243477339</v>
      </c>
      <c r="EK19" t="n">
        <v>1.39612162487663</v>
      </c>
      <c r="EL19" t="n">
        <v>4.1849941173878</v>
      </c>
    </row>
    <row r="20">
      <c r="A20" s="2" t="n">
        <v>47635</v>
      </c>
      <c r="B20" t="n">
        <v>396625.977989916</v>
      </c>
      <c r="C20" t="n">
        <v>38667.1035923455</v>
      </c>
      <c r="D20" t="n">
        <v>25091.1612108139</v>
      </c>
      <c r="E20" t="n">
        <v>238689.154686097</v>
      </c>
      <c r="F20" t="n">
        <v>53334.7946919289</v>
      </c>
      <c r="G20" t="n">
        <v>13887.4641926138</v>
      </c>
      <c r="H20" t="n">
        <v>62693.7514063905</v>
      </c>
      <c r="I20" t="n">
        <v>68733.2997232026</v>
      </c>
      <c r="J20" t="n">
        <v>98671.7551387336</v>
      </c>
      <c r="K20" t="n">
        <v>401.193326574528</v>
      </c>
      <c r="L20" t="n">
        <v>5109.68585563287</v>
      </c>
      <c r="M20" t="n">
        <v>0.667889334423273</v>
      </c>
      <c r="N20" t="n">
        <v>32338.0159717256</v>
      </c>
      <c r="O20" t="n">
        <v>177.685588533037</v>
      </c>
      <c r="P20" t="n">
        <v>1.76305992735093</v>
      </c>
      <c r="Q20" t="n">
        <v>1.51145855323427</v>
      </c>
      <c r="R20" t="n">
        <v>1.14648797248134</v>
      </c>
      <c r="S20" t="n">
        <v>0.106600857026043</v>
      </c>
      <c r="T20" t="n">
        <v>7505.5563342838</v>
      </c>
      <c r="U20" t="n">
        <v>0.370974250236218</v>
      </c>
      <c r="V20" t="n">
        <v>0.552049835495304</v>
      </c>
      <c r="W20" t="n">
        <v>25096704.6834473</v>
      </c>
      <c r="X20" t="n">
        <v>77438.043301928</v>
      </c>
      <c r="Y20" t="n">
        <v>4371653.82388219</v>
      </c>
      <c r="Z20" t="n">
        <v>1154.53446066984</v>
      </c>
      <c r="AA20" t="n">
        <v>1.17133314862224</v>
      </c>
      <c r="AB20" t="n">
        <v>1.14702067561024</v>
      </c>
      <c r="AC20" t="n">
        <v>1.28085858950774</v>
      </c>
      <c r="AD20" t="n">
        <v>1.40458920364193</v>
      </c>
      <c r="AE20" t="n">
        <v>126.303239879825</v>
      </c>
      <c r="AF20" t="n">
        <v>94304.910261586</v>
      </c>
      <c r="AG20" t="n">
        <v>1260.49883307092</v>
      </c>
      <c r="AH20" t="n">
        <v>126.590262841663</v>
      </c>
      <c r="AI20" t="n">
        <v>74035.6465213277</v>
      </c>
      <c r="AJ20" t="n">
        <v>86760.7856259274</v>
      </c>
      <c r="AK20" t="n">
        <v>616.23808411341</v>
      </c>
      <c r="AL20" t="n">
        <v>26957.4611883023</v>
      </c>
      <c r="AM20" t="n">
        <v>19003.3755619931</v>
      </c>
      <c r="AN20" t="n">
        <v>1.00775751721623</v>
      </c>
      <c r="AO20" t="n">
        <v>1.08488502023328</v>
      </c>
      <c r="AP20" t="n">
        <v>1.21998283219935</v>
      </c>
      <c r="AQ20" t="n">
        <v>1.27603990829296</v>
      </c>
      <c r="AR20" t="n">
        <v>35532.5312342712</v>
      </c>
      <c r="AS20" t="n">
        <v>182679.735025345</v>
      </c>
      <c r="AT20" t="n">
        <v>0.0494154046841973</v>
      </c>
      <c r="AU20" t="n">
        <v>0.0549598455096158</v>
      </c>
      <c r="AV20" t="n">
        <v>0.207282067146357</v>
      </c>
      <c r="AW20" t="n">
        <v>1038.7648048368</v>
      </c>
      <c r="AX20" t="n">
        <v>11695.5669928729</v>
      </c>
      <c r="AY20" t="n">
        <v>19337.446520318</v>
      </c>
      <c r="AZ20" t="n">
        <v>181806.108455316</v>
      </c>
      <c r="BA20" t="n">
        <v>506110.577891035</v>
      </c>
      <c r="BB20" t="n">
        <v>223882.327325548</v>
      </c>
      <c r="BC20" t="n">
        <v>251178.381740822</v>
      </c>
      <c r="BD20" t="n">
        <v>91953.8349403748</v>
      </c>
      <c r="BE20" t="n">
        <v>19.4420452771697</v>
      </c>
      <c r="BF20" t="n">
        <v>54311.3962419124</v>
      </c>
      <c r="BG20" t="n">
        <v>20619.9854927825</v>
      </c>
      <c r="BH20" t="n">
        <v>29390.108863651</v>
      </c>
      <c r="BI20" t="n">
        <v>84920.4164951471</v>
      </c>
      <c r="BJ20" t="n">
        <v>51743.7268298538</v>
      </c>
      <c r="BK20" t="n">
        <v>99437.2029779776</v>
      </c>
      <c r="BL20" t="n">
        <v>29227.7489408449</v>
      </c>
      <c r="BM20" t="n">
        <v>20616.4774810736</v>
      </c>
      <c r="BN20" t="n">
        <v>44878.7381601952</v>
      </c>
      <c r="BO20" t="n">
        <v>205749.727560091</v>
      </c>
      <c r="BP20" t="n">
        <v>209440.119022637</v>
      </c>
      <c r="BQ20" t="n">
        <v>967288.147677384</v>
      </c>
      <c r="BR20" t="n">
        <v>764841.997617819</v>
      </c>
      <c r="BS20" t="n">
        <v>766145.60080231</v>
      </c>
      <c r="BT20" t="n">
        <v>126.797365639457</v>
      </c>
      <c r="BU20" t="n">
        <v>1.26469016000331</v>
      </c>
      <c r="BV20" t="n">
        <v>1.13169865032703</v>
      </c>
      <c r="BW20" t="n">
        <v>98.7100325071618</v>
      </c>
      <c r="BX20" t="n">
        <v>84389.0659158723</v>
      </c>
      <c r="BY20" t="n">
        <v>1.35351101394872</v>
      </c>
      <c r="BZ20" t="n">
        <v>114221.530173977</v>
      </c>
      <c r="CA20" t="n">
        <v>10484.5826618559</v>
      </c>
      <c r="CB20" t="n">
        <v>15594.2685174887</v>
      </c>
      <c r="CC20" t="n">
        <v>16421.1477082613</v>
      </c>
      <c r="CD20" t="n">
        <v>826.879190772568</v>
      </c>
      <c r="CE20" t="n">
        <v>0.0503545230638067</v>
      </c>
      <c r="CF20" t="n">
        <v>11548471.4437326</v>
      </c>
      <c r="CG20" t="n">
        <v>464142.07191065</v>
      </c>
      <c r="CH20" t="n">
        <v>592780.777273174</v>
      </c>
      <c r="CI20" t="n">
        <v>346942.334259476</v>
      </c>
      <c r="CJ20" t="n">
        <v>25806.8919511222</v>
      </c>
      <c r="CK20" t="n">
        <v>958977.388116299</v>
      </c>
      <c r="CL20" t="n">
        <v>0.0821042513928733</v>
      </c>
      <c r="CM20" t="n">
        <v>12.1796372664668</v>
      </c>
      <c r="CN20" t="n">
        <v>1199625.73939788</v>
      </c>
      <c r="CO20" t="n">
        <v>3053953.54846238</v>
      </c>
      <c r="CP20" t="n">
        <v>3343342.3507083</v>
      </c>
      <c r="CQ20" t="n">
        <v>4253579.28786026</v>
      </c>
      <c r="CR20" t="n">
        <v>9684398.13288576</v>
      </c>
      <c r="CS20" t="n">
        <v>0.00824456926173044</v>
      </c>
      <c r="CT20" t="n">
        <v>0.0137890100871489</v>
      </c>
      <c r="CU20" t="n">
        <v>0.0654300216035766</v>
      </c>
      <c r="CV20" t="n">
        <v>1.66936864433579</v>
      </c>
      <c r="CW20" t="n">
        <v>0.0654300216035766</v>
      </c>
      <c r="CX20" t="n">
        <v>0.039440022763365</v>
      </c>
      <c r="CY20" t="n">
        <v>0.018430022763365</v>
      </c>
      <c r="CZ20" t="n">
        <v>-0.00464101267621615</v>
      </c>
      <c r="DA20" t="n">
        <v>0.504388659102451</v>
      </c>
      <c r="DB20" t="n">
        <v>6.49762577934215</v>
      </c>
      <c r="DC20" t="n">
        <v>0.0671448959341973</v>
      </c>
      <c r="DD20" t="n">
        <v>0.0456103072920624</v>
      </c>
      <c r="DE20" t="n">
        <v>0.00806059162260474</v>
      </c>
      <c r="DF20" t="n">
        <v>0.136054176999415</v>
      </c>
      <c r="DG20" t="n">
        <v>218832.391728586</v>
      </c>
      <c r="DH20" t="n">
        <v>128.232511704114</v>
      </c>
      <c r="DI20" t="n">
        <v>4.89249324119643</v>
      </c>
      <c r="DJ20" t="n">
        <v>4.23747311377131</v>
      </c>
      <c r="DK20" t="n">
        <v>0.0484267358713257</v>
      </c>
      <c r="DL20" t="n">
        <v>0.669440030437354</v>
      </c>
      <c r="DM20" t="n">
        <v>1.27536713731829</v>
      </c>
      <c r="DN20" t="n">
        <v>0.0399169327369503</v>
      </c>
      <c r="DO20" t="n">
        <v>0.0374213819593254</v>
      </c>
      <c r="DP20" t="n">
        <v>29378.3</v>
      </c>
      <c r="DQ20" t="n">
        <v>24586.629643429</v>
      </c>
      <c r="DR20" t="n">
        <v>174790.82324895</v>
      </c>
      <c r="DS20" t="n">
        <v>30860.5432717767</v>
      </c>
      <c r="DT20" t="n">
        <v>13181.0252078589</v>
      </c>
      <c r="DU20" t="n">
        <v>0</v>
      </c>
      <c r="DV20" t="n">
        <v>56.25</v>
      </c>
      <c r="DW20" t="n">
        <v>208288.96</v>
      </c>
      <c r="DX20" t="n">
        <v>2.25923383057906</v>
      </c>
      <c r="DY20" t="n">
        <v>73.7999180216347</v>
      </c>
      <c r="DZ20" t="n">
        <v>1.05504044340882</v>
      </c>
      <c r="EA20" t="n">
        <v>1.20449936397015</v>
      </c>
      <c r="EB20" t="n">
        <v>166787964.813112</v>
      </c>
      <c r="EC20" t="n">
        <v>3.15655103410227</v>
      </c>
      <c r="ED20" t="n">
        <v>0.0435</v>
      </c>
      <c r="EE20" t="n">
        <v>0.0304926484848485</v>
      </c>
      <c r="EF20" t="n">
        <v>0.03050813492075</v>
      </c>
      <c r="EG20" t="n">
        <v>0.0441803333333333</v>
      </c>
      <c r="EH20" t="n">
        <v>769956.297484652</v>
      </c>
      <c r="EI20" t="n">
        <v>396925.461337329</v>
      </c>
      <c r="EJ20" t="n">
        <v>1143.79676513599</v>
      </c>
      <c r="EK20" t="n">
        <v>1.35006741532906</v>
      </c>
      <c r="EL20" t="n">
        <v>4.11708354224669</v>
      </c>
    </row>
    <row r="21">
      <c r="A21" s="2" t="n">
        <v>47727</v>
      </c>
      <c r="B21" t="n">
        <v>399001.770005034</v>
      </c>
      <c r="C21" t="n">
        <v>38701.6561206232</v>
      </c>
      <c r="D21" t="n">
        <v>25284.7479097125</v>
      </c>
      <c r="E21" t="n">
        <v>239667.890802233</v>
      </c>
      <c r="F21" t="n">
        <v>54003.3705791098</v>
      </c>
      <c r="G21" t="n">
        <v>13969.5089975016</v>
      </c>
      <c r="H21" t="n">
        <v>63501.8015020763</v>
      </c>
      <c r="I21" t="n">
        <v>72910.3449115251</v>
      </c>
      <c r="J21" t="n">
        <v>98875.1239823392</v>
      </c>
      <c r="K21" t="n">
        <v>400.53343674324</v>
      </c>
      <c r="L21" t="n">
        <v>5129.4983750747</v>
      </c>
      <c r="M21" t="n">
        <v>0.6675080847</v>
      </c>
      <c r="N21" t="n">
        <v>32636.5399257858</v>
      </c>
      <c r="O21" t="n">
        <v>179.427279954816</v>
      </c>
      <c r="P21" t="n">
        <v>1.7928991686357</v>
      </c>
      <c r="Q21" t="n">
        <v>1.52667067797461</v>
      </c>
      <c r="R21" t="n">
        <v>1.14899071566254</v>
      </c>
      <c r="S21" t="n">
        <v>0.103994353676494</v>
      </c>
      <c r="T21" t="n">
        <v>7356.19452821749</v>
      </c>
      <c r="U21" t="n">
        <v>0.371534932576541</v>
      </c>
      <c r="V21" t="n">
        <v>0.550452228501654</v>
      </c>
      <c r="W21" t="n">
        <v>25461399.6261557</v>
      </c>
      <c r="X21" t="n">
        <v>78564.5932084206</v>
      </c>
      <c r="Y21" t="n">
        <v>4367639.72298224</v>
      </c>
      <c r="Z21" t="n">
        <v>1168.78941471521</v>
      </c>
      <c r="AA21" t="n">
        <v>1.17773620743408</v>
      </c>
      <c r="AB21" t="n">
        <v>1.15208452773572</v>
      </c>
      <c r="AC21" t="n">
        <v>1.29327843135786</v>
      </c>
      <c r="AD21" t="n">
        <v>1.42260768619206</v>
      </c>
      <c r="AE21" t="n">
        <v>127.43781710802</v>
      </c>
      <c r="AF21" t="n">
        <v>94482.133396611</v>
      </c>
      <c r="AG21" t="n">
        <v>1289.51566382414</v>
      </c>
      <c r="AH21" t="n">
        <v>128.510126847846</v>
      </c>
      <c r="AI21" t="n">
        <v>74420.53086314</v>
      </c>
      <c r="AJ21" t="n">
        <v>89581.9218465922</v>
      </c>
      <c r="AK21" t="n">
        <v>614.629072743724</v>
      </c>
      <c r="AL21" t="n">
        <v>27216.3301955144</v>
      </c>
      <c r="AM21" t="n">
        <v>18952.8564291058</v>
      </c>
      <c r="AN21" t="n">
        <v>1.00448649775598</v>
      </c>
      <c r="AO21" t="n">
        <v>1.08939296635831</v>
      </c>
      <c r="AP21" t="n">
        <v>1.22862065283001</v>
      </c>
      <c r="AQ21" t="n">
        <v>1.28713116208516</v>
      </c>
      <c r="AR21" t="n">
        <v>35631.4520442363</v>
      </c>
      <c r="AS21" t="n">
        <v>184079.125247573</v>
      </c>
      <c r="AT21" t="n">
        <v>0.0461024303502146</v>
      </c>
      <c r="AU21" t="n">
        <v>0.0541700859743356</v>
      </c>
      <c r="AV21" t="n">
        <v>0.22224424436924</v>
      </c>
      <c r="AW21" t="n">
        <v>978.7361161359</v>
      </c>
      <c r="AX21" t="n">
        <v>11706.0180319139</v>
      </c>
      <c r="AY21" t="n">
        <v>19401.0180861257</v>
      </c>
      <c r="AZ21" t="n">
        <v>182121.450541807</v>
      </c>
      <c r="BA21" t="n">
        <v>513567.61323677</v>
      </c>
      <c r="BB21" t="n">
        <v>226734.170597491</v>
      </c>
      <c r="BC21" t="n">
        <v>253173.144670813</v>
      </c>
      <c r="BD21" t="n">
        <v>97363.8298582026</v>
      </c>
      <c r="BE21" t="n">
        <v>20.005850354776</v>
      </c>
      <c r="BF21" t="n">
        <v>55057.2734655605</v>
      </c>
      <c r="BG21" t="n">
        <v>20987.709997453</v>
      </c>
      <c r="BH21" t="n">
        <v>29778.7631091116</v>
      </c>
      <c r="BI21" t="n">
        <v>85738.7413163006</v>
      </c>
      <c r="BJ21" t="n">
        <v>52055.9133482145</v>
      </c>
      <c r="BK21" t="n">
        <v>99318.7270042078</v>
      </c>
      <c r="BL21" t="n">
        <v>29618.9654349433</v>
      </c>
      <c r="BM21" t="n">
        <v>20647.1084862667</v>
      </c>
      <c r="BN21" t="n">
        <v>45407.9446890658</v>
      </c>
      <c r="BO21" t="n">
        <v>206582.305614484</v>
      </c>
      <c r="BP21" t="n">
        <v>211505.205856744</v>
      </c>
      <c r="BQ21" t="n">
        <v>978997.28482864</v>
      </c>
      <c r="BR21" t="n">
        <v>767356.404221362</v>
      </c>
      <c r="BS21" t="n">
        <v>769744.054506591</v>
      </c>
      <c r="BT21" t="n">
        <v>127.886287429115</v>
      </c>
      <c r="BU21" t="n">
        <v>1.27580519375047</v>
      </c>
      <c r="BV21" t="n">
        <v>1.13431067565027</v>
      </c>
      <c r="BW21" t="n">
        <v>98.7223534696874</v>
      </c>
      <c r="BX21" t="n">
        <v>84894.5569328306</v>
      </c>
      <c r="BY21" t="n">
        <v>1.37403832007259</v>
      </c>
      <c r="BZ21" t="n">
        <v>116648.374391293</v>
      </c>
      <c r="CA21" t="n">
        <v>10492.213378958</v>
      </c>
      <c r="CB21" t="n">
        <v>15621.7117540327</v>
      </c>
      <c r="CC21" t="n">
        <v>16466.8433925604</v>
      </c>
      <c r="CD21" t="n">
        <v>845.131638527697</v>
      </c>
      <c r="CE21" t="n">
        <v>0.0513232247433072</v>
      </c>
      <c r="CF21" t="n">
        <v>11583260.3771553</v>
      </c>
      <c r="CG21" t="n">
        <v>469251.086386147</v>
      </c>
      <c r="CH21" t="n">
        <v>606242.490353601</v>
      </c>
      <c r="CI21" t="n">
        <v>351403.1711911</v>
      </c>
      <c r="CJ21" t="n">
        <v>26392.951736228</v>
      </c>
      <c r="CK21" t="n">
        <v>970585.922542538</v>
      </c>
      <c r="CL21" t="n">
        <v>0.0835525855639189</v>
      </c>
      <c r="CM21" t="n">
        <v>11.9685105284382</v>
      </c>
      <c r="CN21" t="n">
        <v>1205213.69911461</v>
      </c>
      <c r="CO21" t="n">
        <v>3079048.57385439</v>
      </c>
      <c r="CP21" t="n">
        <v>3355216.02168546</v>
      </c>
      <c r="CQ21" t="n">
        <v>4284262.272969</v>
      </c>
      <c r="CR21" t="n">
        <v>9726954.78897167</v>
      </c>
      <c r="CS21" t="n">
        <v>0.00553752764917691</v>
      </c>
      <c r="CT21" t="n">
        <v>0.0136051832732979</v>
      </c>
      <c r="CU21" t="n">
        <v>0.0634294509754563</v>
      </c>
      <c r="CV21" t="n">
        <v>1.68573195816236</v>
      </c>
      <c r="CW21" t="n">
        <v>0.0634294509754566</v>
      </c>
      <c r="CX21" t="n">
        <v>0.039440022763365</v>
      </c>
      <c r="CY21" t="n">
        <v>0.0184162730434113</v>
      </c>
      <c r="CZ21" t="n">
        <v>-0.00481108977011347</v>
      </c>
      <c r="DA21" t="n">
        <v>0.502815415968424</v>
      </c>
      <c r="DB21" t="n">
        <v>6.51400063028066</v>
      </c>
      <c r="DC21" t="n">
        <v>0.0638319216002146</v>
      </c>
      <c r="DD21" t="n">
        <v>0.0433939526287089</v>
      </c>
      <c r="DE21" t="n">
        <v>0.00800115090529939</v>
      </c>
      <c r="DF21" t="n">
        <v>0.136512810106561</v>
      </c>
      <c r="DG21" t="n">
        <v>219491.608452085</v>
      </c>
      <c r="DH21" t="n">
        <v>129.219216493709</v>
      </c>
      <c r="DI21" t="n">
        <v>4.90033175217363</v>
      </c>
      <c r="DJ21" t="n">
        <v>4.24237431476006</v>
      </c>
      <c r="DK21" t="n">
        <v>0.0484267358713257</v>
      </c>
      <c r="DL21" t="n">
        <v>0.669440030437354</v>
      </c>
      <c r="DM21" t="n">
        <v>1.28818987093083</v>
      </c>
      <c r="DN21" t="n">
        <v>0.0399169327369503</v>
      </c>
      <c r="DO21" t="n">
        <v>0.0374213819593254</v>
      </c>
      <c r="DP21" t="n">
        <v>29466.8</v>
      </c>
      <c r="DQ21" t="n">
        <v>24669.129513182</v>
      </c>
      <c r="DR21" t="n">
        <v>175317.367938654</v>
      </c>
      <c r="DS21" t="n">
        <v>30953.5084222296</v>
      </c>
      <c r="DT21" t="n">
        <v>13220.7320912012</v>
      </c>
      <c r="DU21" t="n">
        <v>0</v>
      </c>
      <c r="DV21" t="n">
        <v>57.125</v>
      </c>
      <c r="DW21" t="n">
        <v>208288.96</v>
      </c>
      <c r="DX21" t="n">
        <v>2.27105257586549</v>
      </c>
      <c r="DY21" t="n">
        <v>73.7449385314969</v>
      </c>
      <c r="DZ21" t="n">
        <v>1.04908330483105</v>
      </c>
      <c r="EA21" t="n">
        <v>1.20449936397015</v>
      </c>
      <c r="EB21" t="n">
        <v>168166787.722502</v>
      </c>
      <c r="EC21" t="n">
        <v>3.15776551281339</v>
      </c>
      <c r="ED21" t="n">
        <v>0.0435</v>
      </c>
      <c r="EE21" t="n">
        <v>0.0304926484848485</v>
      </c>
      <c r="EF21" t="n">
        <v>0.03050813492075</v>
      </c>
      <c r="EG21" t="n">
        <v>0.0441803333333333</v>
      </c>
      <c r="EH21" t="n">
        <v>772388.131158806</v>
      </c>
      <c r="EI21" t="n">
        <v>398995.64996395</v>
      </c>
      <c r="EJ21" t="n">
        <v>1163.45564611107</v>
      </c>
      <c r="EK21" t="n">
        <v>1.31975524254722</v>
      </c>
      <c r="EL21" t="n">
        <v>4.05649027010377</v>
      </c>
    </row>
    <row r="22">
      <c r="A22" s="2" t="n">
        <v>47818</v>
      </c>
      <c r="B22" t="n">
        <v>401600.960317238</v>
      </c>
      <c r="C22" t="n">
        <v>38724.7990810531</v>
      </c>
      <c r="D22" t="n">
        <v>25460.2490801589</v>
      </c>
      <c r="E22" t="n">
        <v>240635.353006912</v>
      </c>
      <c r="F22" t="n">
        <v>54669.5415979352</v>
      </c>
      <c r="G22" t="n">
        <v>14050.4462432428</v>
      </c>
      <c r="H22" t="n">
        <v>64316.5174046105</v>
      </c>
      <c r="I22" t="n">
        <v>73028.6989370575</v>
      </c>
      <c r="J22" t="n">
        <v>98932.3853142947</v>
      </c>
      <c r="K22" t="n">
        <v>399.912367548399</v>
      </c>
      <c r="L22" t="n">
        <v>5149.72294283301</v>
      </c>
      <c r="M22" t="n">
        <v>0.667150595683309</v>
      </c>
      <c r="N22" t="n">
        <v>32934.7109528472</v>
      </c>
      <c r="O22" t="n">
        <v>181.169140122598</v>
      </c>
      <c r="P22" t="n">
        <v>1.8232415234022</v>
      </c>
      <c r="Q22" t="n">
        <v>1.54157002411616</v>
      </c>
      <c r="R22" t="n">
        <v>1.15157723871544</v>
      </c>
      <c r="S22" t="n">
        <v>0.101634787443863</v>
      </c>
      <c r="T22" t="n">
        <v>7223.63977394519</v>
      </c>
      <c r="U22" t="n">
        <v>0.372019157222089</v>
      </c>
      <c r="V22" t="n">
        <v>0.548743919450009</v>
      </c>
      <c r="W22" t="n">
        <v>25836457.0461273</v>
      </c>
      <c r="X22" t="n">
        <v>79717.4830423221</v>
      </c>
      <c r="Y22" t="n">
        <v>4364727.77717768</v>
      </c>
      <c r="Z22" t="n">
        <v>1183.17554855507</v>
      </c>
      <c r="AA22" t="n">
        <v>1.18418645598488</v>
      </c>
      <c r="AB22" t="n">
        <v>1.15709081414583</v>
      </c>
      <c r="AC22" t="n">
        <v>1.3057877405227</v>
      </c>
      <c r="AD22" t="n">
        <v>1.44004985001626</v>
      </c>
      <c r="AE22" t="n">
        <v>128.575096377727</v>
      </c>
      <c r="AF22" t="n">
        <v>94808.8822283957</v>
      </c>
      <c r="AG22" t="n">
        <v>1318.8665727491</v>
      </c>
      <c r="AH22" t="n">
        <v>130.478227770603</v>
      </c>
      <c r="AI22" t="n">
        <v>74835.304313416</v>
      </c>
      <c r="AJ22" t="n">
        <v>92425.4018398917</v>
      </c>
      <c r="AK22" t="n">
        <v>613.04959758905</v>
      </c>
      <c r="AL22" t="n">
        <v>27490.0083486569</v>
      </c>
      <c r="AM22" t="n">
        <v>18901.1173727852</v>
      </c>
      <c r="AN22" t="n">
        <v>1.00149689405215</v>
      </c>
      <c r="AO22" t="n">
        <v>1.09409193363112</v>
      </c>
      <c r="AP22" t="n">
        <v>1.23716552143925</v>
      </c>
      <c r="AQ22" t="n">
        <v>1.29822748886825</v>
      </c>
      <c r="AR22" t="n">
        <v>35729.4282321452</v>
      </c>
      <c r="AS22" t="n">
        <v>185634.647243332</v>
      </c>
      <c r="AT22" t="n">
        <v>0.0430906625040256</v>
      </c>
      <c r="AU22" t="n">
        <v>0.0532510216507828</v>
      </c>
      <c r="AV22" t="n">
        <v>0.235209739270926</v>
      </c>
      <c r="AW22" t="n">
        <v>967.462204679439</v>
      </c>
      <c r="AX22" t="n">
        <v>11713.0180401632</v>
      </c>
      <c r="AY22" t="n">
        <v>19463.6737970695</v>
      </c>
      <c r="AZ22" t="n">
        <v>182287.604716295</v>
      </c>
      <c r="BA22" t="n">
        <v>521369.407523983</v>
      </c>
      <c r="BB22" t="n">
        <v>229614.825355655</v>
      </c>
      <c r="BC22" t="n">
        <v>255335.395822841</v>
      </c>
      <c r="BD22" t="n">
        <v>98575.2499814288</v>
      </c>
      <c r="BE22" t="n">
        <v>20.1320990531507</v>
      </c>
      <c r="BF22" t="n">
        <v>55765.6411085805</v>
      </c>
      <c r="BG22" t="n">
        <v>21355.6608551846</v>
      </c>
      <c r="BH22" t="n">
        <v>30149.6821267258</v>
      </c>
      <c r="BI22" t="n">
        <v>86591.2423951395</v>
      </c>
      <c r="BJ22" t="n">
        <v>52422.6834458245</v>
      </c>
      <c r="BK22" t="n">
        <v>99080.4766134368</v>
      </c>
      <c r="BL22" t="n">
        <v>30004.6160847375</v>
      </c>
      <c r="BM22" t="n">
        <v>20679.5600541792</v>
      </c>
      <c r="BN22" t="n">
        <v>45939.1467846915</v>
      </c>
      <c r="BO22" t="n">
        <v>207293.359537045</v>
      </c>
      <c r="BP22" t="n">
        <v>213772.634482392</v>
      </c>
      <c r="BQ22" t="n">
        <v>990789.867865746</v>
      </c>
      <c r="BR22" t="n">
        <v>769834.58665443</v>
      </c>
      <c r="BS22" t="n">
        <v>773611.605871397</v>
      </c>
      <c r="BT22" t="n">
        <v>128.97287831126</v>
      </c>
      <c r="BU22" t="n">
        <v>1.28701656908349</v>
      </c>
      <c r="BV22" t="n">
        <v>1.13717748312985</v>
      </c>
      <c r="BW22" t="n">
        <v>98.7495623305601</v>
      </c>
      <c r="BX22" t="n">
        <v>85447.5798177562</v>
      </c>
      <c r="BY22" t="n">
        <v>1.39508137832776</v>
      </c>
      <c r="BZ22" t="n">
        <v>119206.327426927</v>
      </c>
      <c r="CA22" t="n">
        <v>10501.5018056352</v>
      </c>
      <c r="CB22" t="n">
        <v>15651.2247484682</v>
      </c>
      <c r="CC22" t="n">
        <v>16513.0980872052</v>
      </c>
      <c r="CD22" t="n">
        <v>861.873338736932</v>
      </c>
      <c r="CE22" t="n">
        <v>0.0521933076971457</v>
      </c>
      <c r="CF22" t="n">
        <v>11618049.3105779</v>
      </c>
      <c r="CG22" t="n">
        <v>474432.838286328</v>
      </c>
      <c r="CH22" t="n">
        <v>615062.964655982</v>
      </c>
      <c r="CI22" t="n">
        <v>355851.268834356</v>
      </c>
      <c r="CJ22" t="n">
        <v>26776.9537754411</v>
      </c>
      <c r="CK22" t="n">
        <v>982277.185903123</v>
      </c>
      <c r="CL22" t="n">
        <v>0.0848671330207035</v>
      </c>
      <c r="CM22" t="n">
        <v>11.7831245666806</v>
      </c>
      <c r="CN22" t="n">
        <v>1210904.39794278</v>
      </c>
      <c r="CO22" t="n">
        <v>3104126.32746158</v>
      </c>
      <c r="CP22" t="n">
        <v>3367029.08999295</v>
      </c>
      <c r="CQ22" t="n">
        <v>4315030.72540436</v>
      </c>
      <c r="CR22" t="n">
        <v>9769536.30971451</v>
      </c>
      <c r="CS22" t="n">
        <v>0.00303578240528724</v>
      </c>
      <c r="CT22" t="n">
        <v>0.0131961415520444</v>
      </c>
      <c r="CU22" t="n">
        <v>0.0615799073451249</v>
      </c>
      <c r="CV22" t="n">
        <v>1.70209685736956</v>
      </c>
      <c r="CW22" t="n">
        <v>0.0615799073451247</v>
      </c>
      <c r="CX22" t="n">
        <v>0.039440022763365</v>
      </c>
      <c r="CY22" t="n">
        <v>0.0184025231367616</v>
      </c>
      <c r="CZ22" t="n">
        <v>-0.00520638158471724</v>
      </c>
      <c r="DA22" t="n">
        <v>0.501191818513319</v>
      </c>
      <c r="DB22" t="n">
        <v>6.5307786290447</v>
      </c>
      <c r="DC22" t="n">
        <v>0.0608201537540256</v>
      </c>
      <c r="DD22" t="n">
        <v>0.0413741798741542</v>
      </c>
      <c r="DE22" t="n">
        <v>0.00793207889734045</v>
      </c>
      <c r="DF22" t="n">
        <v>0.136927516292756</v>
      </c>
      <c r="DG22" t="n">
        <v>220150.825175584</v>
      </c>
      <c r="DH22" t="n">
        <v>130.225568045675</v>
      </c>
      <c r="DI22" t="n">
        <v>4.90826283305621</v>
      </c>
      <c r="DJ22" t="n">
        <v>4.24736808565418</v>
      </c>
      <c r="DK22" t="n">
        <v>0.0484267358713257</v>
      </c>
      <c r="DL22" t="n">
        <v>0.669440030437354</v>
      </c>
      <c r="DM22" t="n">
        <v>1.30114152624166</v>
      </c>
      <c r="DN22" t="n">
        <v>0.0399169327369503</v>
      </c>
      <c r="DO22" t="n">
        <v>0.0374213819593254</v>
      </c>
      <c r="DP22" t="n">
        <v>29555.3</v>
      </c>
      <c r="DQ22" t="n">
        <v>24751.68004653</v>
      </c>
      <c r="DR22" t="n">
        <v>175843.912628358</v>
      </c>
      <c r="DS22" t="n">
        <v>31046.4735726826</v>
      </c>
      <c r="DT22" t="n">
        <v>13260.4389745435</v>
      </c>
      <c r="DU22" t="n">
        <v>0</v>
      </c>
      <c r="DV22" t="n">
        <v>57.125</v>
      </c>
      <c r="DW22" t="n">
        <v>208288.96</v>
      </c>
      <c r="DX22" t="n">
        <v>2.28293314863443</v>
      </c>
      <c r="DY22" t="n">
        <v>73.69</v>
      </c>
      <c r="DZ22" t="n">
        <v>1.04315980240464</v>
      </c>
      <c r="EA22" t="n">
        <v>1.20449936397015</v>
      </c>
      <c r="EB22" t="n">
        <v>169557009.251796</v>
      </c>
      <c r="EC22" t="n">
        <v>3.15898045879354</v>
      </c>
      <c r="ED22" t="n">
        <v>0.0435</v>
      </c>
      <c r="EE22" t="n">
        <v>0.0304926484848485</v>
      </c>
      <c r="EF22" t="n">
        <v>0.03050813492075</v>
      </c>
      <c r="EG22" t="n">
        <v>0.0441803333333333</v>
      </c>
      <c r="EH22" t="n">
        <v>774716.786650077</v>
      </c>
      <c r="EI22" t="n">
        <v>401172.06996789</v>
      </c>
      <c r="EJ22" t="n">
        <v>1182.17627009225</v>
      </c>
      <c r="EK22" t="n">
        <v>1.29502757537887</v>
      </c>
      <c r="EL22" t="n">
        <v>4.00548800987384</v>
      </c>
    </row>
    <row r="23">
      <c r="A23" s="2" t="n">
        <v>47908</v>
      </c>
      <c r="B23" t="n">
        <v>404372.766736747</v>
      </c>
      <c r="C23" t="n">
        <v>38751.8275568061</v>
      </c>
      <c r="D23" t="n">
        <v>25631.6657608084</v>
      </c>
      <c r="E23" t="n">
        <v>241575.445706559</v>
      </c>
      <c r="F23" t="n">
        <v>55362.8102581137</v>
      </c>
      <c r="G23" t="n">
        <v>14135.7678440675</v>
      </c>
      <c r="H23" t="n">
        <v>65148.6338196486</v>
      </c>
      <c r="I23" t="n">
        <v>73445.7174910504</v>
      </c>
      <c r="J23" t="n">
        <v>99047.6538962813</v>
      </c>
      <c r="K23" t="n">
        <v>399.335703412164</v>
      </c>
      <c r="L23" t="n">
        <v>5170.48215789324</v>
      </c>
      <c r="M23" t="n">
        <v>0.66682171722335</v>
      </c>
      <c r="N23" t="n">
        <v>33231.3112814155</v>
      </c>
      <c r="O23" t="n">
        <v>182.915188843591</v>
      </c>
      <c r="P23" t="n">
        <v>1.85405246611523</v>
      </c>
      <c r="Q23" t="n">
        <v>1.5562800819168</v>
      </c>
      <c r="R23" t="n">
        <v>1.15430946621677</v>
      </c>
      <c r="S23" t="n">
        <v>0.0995638146637151</v>
      </c>
      <c r="T23" t="n">
        <v>7104.93143371571</v>
      </c>
      <c r="U23" t="n">
        <v>0.372366972154892</v>
      </c>
      <c r="V23" t="n">
        <v>0.546832880038969</v>
      </c>
      <c r="W23" t="n">
        <v>26223649.6808062</v>
      </c>
      <c r="X23" t="n">
        <v>80900.6175224585</v>
      </c>
      <c r="Y23" t="n">
        <v>4363203.99734989</v>
      </c>
      <c r="Z23" t="n">
        <v>1198.01634583865</v>
      </c>
      <c r="AA23" t="n">
        <v>1.1906432378595</v>
      </c>
      <c r="AB23" t="n">
        <v>1.16210246924483</v>
      </c>
      <c r="AC23" t="n">
        <v>1.31830626908512</v>
      </c>
      <c r="AD23" t="n">
        <v>1.45696301375314</v>
      </c>
      <c r="AE23" t="n">
        <v>129.717787566943</v>
      </c>
      <c r="AF23" t="n">
        <v>95292.4060425701</v>
      </c>
      <c r="AG23" t="n">
        <v>1348.52417791936</v>
      </c>
      <c r="AH23" t="n">
        <v>132.493499232046</v>
      </c>
      <c r="AI23" t="n">
        <v>75280.2828286308</v>
      </c>
      <c r="AJ23" t="n">
        <v>95262.1170007971</v>
      </c>
      <c r="AK23" t="n">
        <v>611.287897970804</v>
      </c>
      <c r="AL23" t="n">
        <v>27778.0892373242</v>
      </c>
      <c r="AM23" t="n">
        <v>18851.8920270896</v>
      </c>
      <c r="AN23" t="n">
        <v>0.999052655119698</v>
      </c>
      <c r="AO23" t="n">
        <v>1.09890655645886</v>
      </c>
      <c r="AP23" t="n">
        <v>1.24565456520337</v>
      </c>
      <c r="AQ23" t="n">
        <v>1.30935621134811</v>
      </c>
      <c r="AR23" t="n">
        <v>35836.1674777208</v>
      </c>
      <c r="AS23" t="n">
        <v>187330.211164966</v>
      </c>
      <c r="AT23" t="n">
        <v>0.0404445384630477</v>
      </c>
      <c r="AU23" t="n">
        <v>0.0522336478812536</v>
      </c>
      <c r="AV23" t="n">
        <v>0.245886851776048</v>
      </c>
      <c r="AW23" t="n">
        <v>940.092699646426</v>
      </c>
      <c r="AX23" t="n">
        <v>11721.1932930142</v>
      </c>
      <c r="AY23" t="n">
        <v>19529.3629018123</v>
      </c>
      <c r="AZ23" t="n">
        <v>182526.076302904</v>
      </c>
      <c r="BA23" t="n">
        <v>529467.995125316</v>
      </c>
      <c r="BB23" t="n">
        <v>232510.279563811</v>
      </c>
      <c r="BC23" t="n">
        <v>257717.707201724</v>
      </c>
      <c r="BD23" t="n">
        <v>99881.6408269561</v>
      </c>
      <c r="BE23" t="n">
        <v>20.2682451684861</v>
      </c>
      <c r="BF23" t="n">
        <v>56459.979465606</v>
      </c>
      <c r="BG23" t="n">
        <v>21731.7073307262</v>
      </c>
      <c r="BH23" t="n">
        <v>30518.1695131815</v>
      </c>
      <c r="BI23" t="n">
        <v>87483.4017368241</v>
      </c>
      <c r="BJ23" t="n">
        <v>52772.1961470168</v>
      </c>
      <c r="BK23" t="n">
        <v>98953.8216084567</v>
      </c>
      <c r="BL23" t="n">
        <v>30393.1584966154</v>
      </c>
      <c r="BM23" t="n">
        <v>20716.4677502233</v>
      </c>
      <c r="BN23" t="n">
        <v>46485.8836008837</v>
      </c>
      <c r="BO23" t="n">
        <v>208138.891456179</v>
      </c>
      <c r="BP23" t="n">
        <v>216237.036056106</v>
      </c>
      <c r="BQ23" t="n">
        <v>1002845.58428255</v>
      </c>
      <c r="BR23" t="n">
        <v>772432.746960698</v>
      </c>
      <c r="BS23" t="n">
        <v>777666.857876584</v>
      </c>
      <c r="BT23" t="n">
        <v>130.059150500755</v>
      </c>
      <c r="BU23" t="n">
        <v>1.29829501498549</v>
      </c>
      <c r="BV23" t="n">
        <v>1.14032414256673</v>
      </c>
      <c r="BW23" t="n">
        <v>98.7884251096137</v>
      </c>
      <c r="BX23" t="n">
        <v>86037.3297777246</v>
      </c>
      <c r="BY23" t="n">
        <v>1.41662878693509</v>
      </c>
      <c r="BZ23" t="n">
        <v>121882.958114153</v>
      </c>
      <c r="CA23" t="n">
        <v>10512.9950922125</v>
      </c>
      <c r="CB23" t="n">
        <v>15683.4772501057</v>
      </c>
      <c r="CC23" t="n">
        <v>16560.0380647803</v>
      </c>
      <c r="CD23" t="n">
        <v>876.560814674587</v>
      </c>
      <c r="CE23" t="n">
        <v>0.0529322867467246</v>
      </c>
      <c r="CF23" t="n">
        <v>11652838.2440006</v>
      </c>
      <c r="CG23" t="n">
        <v>479691.910009559</v>
      </c>
      <c r="CH23" t="n">
        <v>624123.160159657</v>
      </c>
      <c r="CI23" t="n">
        <v>360426.151590419</v>
      </c>
      <c r="CJ23" t="n">
        <v>27171.3921502732</v>
      </c>
      <c r="CK23" t="n">
        <v>994229.321850433</v>
      </c>
      <c r="CL23" t="n">
        <v>0.0860371283908528</v>
      </c>
      <c r="CM23" t="n">
        <v>11.6228890794351</v>
      </c>
      <c r="CN23" t="n">
        <v>1216678.08004831</v>
      </c>
      <c r="CO23" t="n">
        <v>3129216.97517852</v>
      </c>
      <c r="CP23" t="n">
        <v>3378770.63173065</v>
      </c>
      <c r="CQ23" t="n">
        <v>4345895.05522683</v>
      </c>
      <c r="CR23" t="n">
        <v>9812142.1812747</v>
      </c>
      <c r="CS23" t="n">
        <v>0.000820801714009271</v>
      </c>
      <c r="CT23" t="n">
        <v>0.0126099111322152</v>
      </c>
      <c r="CU23" t="n">
        <v>0.0599400779146766</v>
      </c>
      <c r="CV23" t="n">
        <v>1.71850110832976</v>
      </c>
      <c r="CW23" t="n">
        <v>0.0599400779146766</v>
      </c>
      <c r="CX23" t="n">
        <v>0.039440022763365</v>
      </c>
      <c r="CY23" t="n">
        <v>0.0183887730434136</v>
      </c>
      <c r="CZ23" t="n">
        <v>-0.00577886191119836</v>
      </c>
      <c r="DA23" t="n">
        <v>0.499436269361389</v>
      </c>
      <c r="DB23" t="n">
        <v>6.54957280154063</v>
      </c>
      <c r="DC23" t="n">
        <v>0.0581740297130477</v>
      </c>
      <c r="DD23" t="n">
        <v>0.0395964207320676</v>
      </c>
      <c r="DE23" t="n">
        <v>0.007855744850182</v>
      </c>
      <c r="DF23" t="n">
        <v>0.137302620015227</v>
      </c>
      <c r="DG23" t="n">
        <v>220810.041899084</v>
      </c>
      <c r="DH23" t="n">
        <v>131.226230601832</v>
      </c>
      <c r="DI23" t="n">
        <v>4.91609084228508</v>
      </c>
      <c r="DJ23" t="n">
        <v>4.2522587848946</v>
      </c>
      <c r="DK23" t="n">
        <v>0.0484267358713257</v>
      </c>
      <c r="DL23" t="n">
        <v>0.669440030437354</v>
      </c>
      <c r="DM23" t="n">
        <v>1.314223399449</v>
      </c>
      <c r="DN23" t="n">
        <v>0.0399169327369503</v>
      </c>
      <c r="DO23" t="n">
        <v>0.0374213819593254</v>
      </c>
      <c r="DP23" t="n">
        <v>29643.8</v>
      </c>
      <c r="DQ23" t="n">
        <v>24834.281243473</v>
      </c>
      <c r="DR23" t="n">
        <v>176370.457318062</v>
      </c>
      <c r="DS23" t="n">
        <v>31139.4387231356</v>
      </c>
      <c r="DT23" t="n">
        <v>13300.1458578858</v>
      </c>
      <c r="DU23" t="n">
        <v>0</v>
      </c>
      <c r="DV23" t="n">
        <v>57.125</v>
      </c>
      <c r="DW23" t="n">
        <v>208288.96</v>
      </c>
      <c r="DX23" t="n">
        <v>2.2947578707023</v>
      </c>
      <c r="DY23" t="n">
        <v>73.5938118310111</v>
      </c>
      <c r="DZ23" t="n">
        <v>1.03747956574746</v>
      </c>
      <c r="EA23" t="n">
        <v>1.20449936397015</v>
      </c>
      <c r="EB23" t="n">
        <v>170935146.341831</v>
      </c>
      <c r="EC23" t="n">
        <v>3.16067903168604</v>
      </c>
      <c r="ED23" t="n">
        <v>0.0435</v>
      </c>
      <c r="EE23" t="n">
        <v>0.0304926484848485</v>
      </c>
      <c r="EF23" t="n">
        <v>0.03050813492075</v>
      </c>
      <c r="EG23" t="n">
        <v>0.0441803333333333</v>
      </c>
      <c r="EH23" t="n">
        <v>776990.361654632</v>
      </c>
      <c r="EI23" t="n">
        <v>403477.485364157</v>
      </c>
      <c r="EJ23" t="n">
        <v>1200.14110748649</v>
      </c>
      <c r="EK23" t="n">
        <v>1.28132664500635</v>
      </c>
      <c r="EL23" t="n">
        <v>3.96237367490384</v>
      </c>
    </row>
    <row r="24">
      <c r="A24" s="2" t="n">
        <v>48000</v>
      </c>
      <c r="B24" t="n">
        <v>406945.693507214</v>
      </c>
      <c r="C24" t="n">
        <v>38792.9873961775</v>
      </c>
      <c r="D24" t="n">
        <v>25792.5204175591</v>
      </c>
      <c r="E24" t="n">
        <v>242507.120015761</v>
      </c>
      <c r="F24" t="n">
        <v>56016.9753854521</v>
      </c>
      <c r="G24" t="n">
        <v>14223.3445809433</v>
      </c>
      <c r="H24" t="n">
        <v>65973.9171861954</v>
      </c>
      <c r="I24" t="n">
        <v>74078.5603832294</v>
      </c>
      <c r="J24" t="n">
        <v>99147.2776794938</v>
      </c>
      <c r="K24" t="n">
        <v>398.773074809231</v>
      </c>
      <c r="L24" t="n">
        <v>5191.50304489912</v>
      </c>
      <c r="M24" t="n">
        <v>0.66652563566975</v>
      </c>
      <c r="N24" t="n">
        <v>33530.2055487578</v>
      </c>
      <c r="O24" t="n">
        <v>184.665705424226</v>
      </c>
      <c r="P24" t="n">
        <v>1.88534916288175</v>
      </c>
      <c r="Q24" t="n">
        <v>1.57093448277261</v>
      </c>
      <c r="R24" t="n">
        <v>1.1573470955173</v>
      </c>
      <c r="S24" t="n">
        <v>0.0977124240304856</v>
      </c>
      <c r="T24" t="n">
        <v>6996.71146384605</v>
      </c>
      <c r="U24" t="n">
        <v>0.37254454987586</v>
      </c>
      <c r="V24" t="n">
        <v>0.544678787295645</v>
      </c>
      <c r="W24" t="n">
        <v>26622662.6296656</v>
      </c>
      <c r="X24" t="n">
        <v>82109.4699145865</v>
      </c>
      <c r="Y24" t="n">
        <v>4362207.39558917</v>
      </c>
      <c r="Z24" t="n">
        <v>1213.35240492091</v>
      </c>
      <c r="AA24" t="n">
        <v>1.19715588293125</v>
      </c>
      <c r="AB24" t="n">
        <v>1.16714408095269</v>
      </c>
      <c r="AC24" t="n">
        <v>1.3309442661288</v>
      </c>
      <c r="AD24" t="n">
        <v>1.47340802513028</v>
      </c>
      <c r="AE24" t="n">
        <v>130.867404645849</v>
      </c>
      <c r="AF24" t="n">
        <v>95897.1116117863</v>
      </c>
      <c r="AG24" t="n">
        <v>1378.47229934638</v>
      </c>
      <c r="AH24" t="n">
        <v>134.552939640452</v>
      </c>
      <c r="AI24" t="n">
        <v>75738.4570965244</v>
      </c>
      <c r="AJ24" t="n">
        <v>97986.6857776884</v>
      </c>
      <c r="AK24" t="n">
        <v>609.526514912055</v>
      </c>
      <c r="AL24" t="n">
        <v>28061.7225479823</v>
      </c>
      <c r="AM24" t="n">
        <v>18797.1633511602</v>
      </c>
      <c r="AN24" t="n">
        <v>0.997156150066416</v>
      </c>
      <c r="AO24" t="n">
        <v>1.10417704973148</v>
      </c>
      <c r="AP24" t="n">
        <v>1.25409861767699</v>
      </c>
      <c r="AQ24" t="n">
        <v>1.32051895934569</v>
      </c>
      <c r="AR24" t="n">
        <v>35930.8687490427</v>
      </c>
      <c r="AS24" t="n">
        <v>189027.074370099</v>
      </c>
      <c r="AT24" t="n">
        <v>0.0380238394740192</v>
      </c>
      <c r="AU24" t="n">
        <v>0.0511383366819299</v>
      </c>
      <c r="AV24" t="n">
        <v>0.255842506807202</v>
      </c>
      <c r="AW24" t="n">
        <v>931.674309202732</v>
      </c>
      <c r="AX24" t="n">
        <v>11733.6428331675</v>
      </c>
      <c r="AY24" t="n">
        <v>19590.0361138305</v>
      </c>
      <c r="AZ24" t="n">
        <v>182726.345893527</v>
      </c>
      <c r="BA24" t="n">
        <v>537379.505006143</v>
      </c>
      <c r="BB24" t="n">
        <v>235440.050517611</v>
      </c>
      <c r="BC24" t="n">
        <v>260173.071312359</v>
      </c>
      <c r="BD24" t="n">
        <v>101367.785071168</v>
      </c>
      <c r="BE24" t="n">
        <v>20.4231243659103</v>
      </c>
      <c r="BF24" t="n">
        <v>57157.8989483058</v>
      </c>
      <c r="BG24" t="n">
        <v>22122.0136930658</v>
      </c>
      <c r="BH24" t="n">
        <v>30877.6675535053</v>
      </c>
      <c r="BI24" t="n">
        <v>88397.6910574614</v>
      </c>
      <c r="BJ24" t="n">
        <v>53146.2625030606</v>
      </c>
      <c r="BK24" t="n">
        <v>98865.3177004499</v>
      </c>
      <c r="BL24" t="n">
        <v>30774.663249977</v>
      </c>
      <c r="BM24" t="n">
        <v>20755.3963724047</v>
      </c>
      <c r="BN24" t="n">
        <v>47021.7953985784</v>
      </c>
      <c r="BO24" t="n">
        <v>209006.73272141</v>
      </c>
      <c r="BP24" t="n">
        <v>218769.935496367</v>
      </c>
      <c r="BQ24" t="n">
        <v>1014757.8865042</v>
      </c>
      <c r="BR24" t="n">
        <v>774832.516786322</v>
      </c>
      <c r="BS24" t="n">
        <v>781563.220815747</v>
      </c>
      <c r="BT24" t="n">
        <v>131.14836502563</v>
      </c>
      <c r="BU24" t="n">
        <v>1.30964803986344</v>
      </c>
      <c r="BV24" t="n">
        <v>1.14382374199721</v>
      </c>
      <c r="BW24" t="n">
        <v>98.8315213670579</v>
      </c>
      <c r="BX24" t="n">
        <v>86584.7646379676</v>
      </c>
      <c r="BY24" t="n">
        <v>1.43864845268802</v>
      </c>
      <c r="BZ24" t="n">
        <v>124565.037672769</v>
      </c>
      <c r="CA24" t="n">
        <v>10525.4232015335</v>
      </c>
      <c r="CB24" t="n">
        <v>15716.9262464326</v>
      </c>
      <c r="CC24" t="n">
        <v>16607.7746760916</v>
      </c>
      <c r="CD24" t="n">
        <v>890.84842965896</v>
      </c>
      <c r="CE24" t="n">
        <v>0.0536404373561586</v>
      </c>
      <c r="CF24" t="n">
        <v>11687627.1774232</v>
      </c>
      <c r="CG24" t="n">
        <v>485038.69672769</v>
      </c>
      <c r="CH24" t="n">
        <v>633262.581573476</v>
      </c>
      <c r="CI24" t="n">
        <v>364791.709818073</v>
      </c>
      <c r="CJ24" t="n">
        <v>27569.2796492694</v>
      </c>
      <c r="CK24" t="n">
        <v>1006039.27579062</v>
      </c>
      <c r="CL24" t="n">
        <v>0.0871161427853139</v>
      </c>
      <c r="CM24" t="n">
        <v>11.4789287958303</v>
      </c>
      <c r="CN24" t="n">
        <v>1222529.311821</v>
      </c>
      <c r="CO24" t="n">
        <v>3154350.51543775</v>
      </c>
      <c r="CP24" t="n">
        <v>3390445.10562541</v>
      </c>
      <c r="CQ24" t="n">
        <v>4376879.82725875</v>
      </c>
      <c r="CR24" t="n">
        <v>9854801.42720138</v>
      </c>
      <c r="CS24" t="n">
        <v>-0.00125968908232832</v>
      </c>
      <c r="CT24" t="n">
        <v>0.0118548081255823</v>
      </c>
      <c r="CU24" t="n">
        <v>0.0584288954741381</v>
      </c>
      <c r="CV24" t="n">
        <v>1.73494733514662</v>
      </c>
      <c r="CW24" t="n">
        <v>0.0584288954741381</v>
      </c>
      <c r="CX24" t="n">
        <v>0.039440022763365</v>
      </c>
      <c r="CY24" t="n">
        <v>0.018375022763365</v>
      </c>
      <c r="CZ24" t="n">
        <v>-0.00652021463778269</v>
      </c>
      <c r="DA24" t="n">
        <v>0.49746813325137</v>
      </c>
      <c r="DB24" t="n">
        <v>6.57053458915678</v>
      </c>
      <c r="DC24" t="n">
        <v>0.0557533307240192</v>
      </c>
      <c r="DD24" t="n">
        <v>0.0379656541788235</v>
      </c>
      <c r="DE24" t="n">
        <v>0.00777371156306698</v>
      </c>
      <c r="DF24" t="n">
        <v>0.137651412658226</v>
      </c>
      <c r="DG24" t="n">
        <v>221469.258622583</v>
      </c>
      <c r="DH24" t="n">
        <v>132.277959416455</v>
      </c>
      <c r="DI24" t="n">
        <v>4.92424682912963</v>
      </c>
      <c r="DJ24" t="n">
        <v>4.25747746175069</v>
      </c>
      <c r="DK24" t="n">
        <v>0.0484267358713257</v>
      </c>
      <c r="DL24" t="n">
        <v>0.669440030437354</v>
      </c>
      <c r="DM24" t="n">
        <v>1.32743679978322</v>
      </c>
      <c r="DN24" t="n">
        <v>0.0399169327369503</v>
      </c>
      <c r="DO24" t="n">
        <v>0.0374213819593254</v>
      </c>
      <c r="DP24" t="n">
        <v>29732.3</v>
      </c>
      <c r="DQ24" t="n">
        <v>24916.933104011</v>
      </c>
      <c r="DR24" t="n">
        <v>176897.002007766</v>
      </c>
      <c r="DS24" t="n">
        <v>31232.4038735885</v>
      </c>
      <c r="DT24" t="n">
        <v>13339.8527412281</v>
      </c>
      <c r="DU24" t="n">
        <v>0</v>
      </c>
      <c r="DV24" t="n">
        <v>57.125</v>
      </c>
      <c r="DW24" t="n">
        <v>208288.96</v>
      </c>
      <c r="DX24" t="n">
        <v>2.30664384031571</v>
      </c>
      <c r="DY24" t="n">
        <v>73.4977492172379</v>
      </c>
      <c r="DZ24" t="n">
        <v>1.03183025923963</v>
      </c>
      <c r="EA24" t="n">
        <v>1.20449936397015</v>
      </c>
      <c r="EB24" t="n">
        <v>172324484.749035</v>
      </c>
      <c r="EC24" t="n">
        <v>3.16237851789531</v>
      </c>
      <c r="ED24" t="n">
        <v>0.0435</v>
      </c>
      <c r="EE24" t="n">
        <v>0.0304926484848485</v>
      </c>
      <c r="EF24" t="n">
        <v>0.03050813492075</v>
      </c>
      <c r="EG24" t="n">
        <v>0.0441803333333333</v>
      </c>
      <c r="EH24" t="n">
        <v>779187.369886273</v>
      </c>
      <c r="EI24" t="n">
        <v>405856.563968949</v>
      </c>
      <c r="EJ24" t="n">
        <v>1217.53123245225</v>
      </c>
      <c r="EK24" t="n">
        <v>1.3062200035588</v>
      </c>
      <c r="EL24" t="n">
        <v>3.92835285563475</v>
      </c>
    </row>
    <row r="25">
      <c r="A25" s="2" t="n">
        <v>48092</v>
      </c>
      <c r="B25" t="n">
        <v>409686.461696267</v>
      </c>
      <c r="C25" t="n">
        <v>38851.6988369897</v>
      </c>
      <c r="D25" t="n">
        <v>25949.7921572066</v>
      </c>
      <c r="E25" t="n">
        <v>243410.918674417</v>
      </c>
      <c r="F25" t="n">
        <v>56720.0220361388</v>
      </c>
      <c r="G25" t="n">
        <v>14317.6546533323</v>
      </c>
      <c r="H25" t="n">
        <v>66822.9829956329</v>
      </c>
      <c r="I25" t="n">
        <v>78382.5468869359</v>
      </c>
      <c r="J25" t="n">
        <v>99272.1454156771</v>
      </c>
      <c r="K25" t="n">
        <v>398.26603458303</v>
      </c>
      <c r="L25" t="n">
        <v>5213.02907133848</v>
      </c>
      <c r="M25" t="n">
        <v>0.666255995128093</v>
      </c>
      <c r="N25" t="n">
        <v>33825.4120834859</v>
      </c>
      <c r="O25" t="n">
        <v>186.429953443277</v>
      </c>
      <c r="P25" t="n">
        <v>1.91716480609426</v>
      </c>
      <c r="Q25" t="n">
        <v>1.58563916494102</v>
      </c>
      <c r="R25" t="n">
        <v>1.1607135280363</v>
      </c>
      <c r="S25" t="n">
        <v>0.0962143785545418</v>
      </c>
      <c r="T25" t="n">
        <v>6900.43500594488</v>
      </c>
      <c r="U25" t="n">
        <v>0.372527215185958</v>
      </c>
      <c r="V25" t="n">
        <v>0.542246458978607</v>
      </c>
      <c r="W25" t="n">
        <v>27035224.6285278</v>
      </c>
      <c r="X25" t="n">
        <v>83348.9355474407</v>
      </c>
      <c r="Y25" t="n">
        <v>4362410.15404074</v>
      </c>
      <c r="Z25" t="n">
        <v>1229.37417071264</v>
      </c>
      <c r="AA25" t="n">
        <v>1.20370979158501</v>
      </c>
      <c r="AB25" t="n">
        <v>1.17226349744841</v>
      </c>
      <c r="AC25" t="n">
        <v>1.34356885130914</v>
      </c>
      <c r="AD25" t="n">
        <v>1.48947170049811</v>
      </c>
      <c r="AE25" t="n">
        <v>132.023682539125</v>
      </c>
      <c r="AF25" t="n">
        <v>96642.6801483007</v>
      </c>
      <c r="AG25" t="n">
        <v>1409.03779547149</v>
      </c>
      <c r="AH25" t="n">
        <v>136.659366100957</v>
      </c>
      <c r="AI25" t="n">
        <v>76218.0530222918</v>
      </c>
      <c r="AJ25" t="n">
        <v>100677.078353097</v>
      </c>
      <c r="AK25" t="n">
        <v>608.302005897311</v>
      </c>
      <c r="AL25" t="n">
        <v>28356.622480183</v>
      </c>
      <c r="AM25" t="n">
        <v>18746.4564985455</v>
      </c>
      <c r="AN25" t="n">
        <v>0.995874928900467</v>
      </c>
      <c r="AO25" t="n">
        <v>1.10956036201705</v>
      </c>
      <c r="AP25" t="n">
        <v>1.26256726838087</v>
      </c>
      <c r="AQ25" t="n">
        <v>1.33177850959269</v>
      </c>
      <c r="AR25" t="n">
        <v>36038.5347804872</v>
      </c>
      <c r="AS25" t="n">
        <v>190786.82471245</v>
      </c>
      <c r="AT25" t="n">
        <v>0.0360858200850291</v>
      </c>
      <c r="AU25" t="n">
        <v>0.0499997034572961</v>
      </c>
      <c r="AV25" t="n">
        <v>0.262928659107059</v>
      </c>
      <c r="AW25" t="n">
        <v>903.798658655636</v>
      </c>
      <c r="AX25" t="n">
        <v>11751.4011736035</v>
      </c>
      <c r="AY25" t="n">
        <v>19655.3534285969</v>
      </c>
      <c r="AZ25" t="n">
        <v>182973.490123307</v>
      </c>
      <c r="BA25" t="n">
        <v>545611.626666454</v>
      </c>
      <c r="BB25" t="n">
        <v>238392.141960187</v>
      </c>
      <c r="BC25" t="n">
        <v>262859.962313588</v>
      </c>
      <c r="BD25" t="n">
        <v>106323.186785919</v>
      </c>
      <c r="BE25" t="n">
        <v>20.9395538063796</v>
      </c>
      <c r="BF25" t="n">
        <v>57868.5059339714</v>
      </c>
      <c r="BG25" t="n">
        <v>22529.3727523274</v>
      </c>
      <c r="BH25" t="n">
        <v>31236.0189092255</v>
      </c>
      <c r="BI25" t="n">
        <v>89347.640553516</v>
      </c>
      <c r="BJ25" t="n">
        <v>53504.8163449319</v>
      </c>
      <c r="BK25" t="n">
        <v>98862.6407576343</v>
      </c>
      <c r="BL25" t="n">
        <v>31166.298197141</v>
      </c>
      <c r="BM25" t="n">
        <v>20800.3250590631</v>
      </c>
      <c r="BN25" t="n">
        <v>47579.4007503426</v>
      </c>
      <c r="BO25" t="n">
        <v>209998.224764181</v>
      </c>
      <c r="BP25" t="n">
        <v>221448.84841483</v>
      </c>
      <c r="BQ25" t="n">
        <v>1027039.49946996</v>
      </c>
      <c r="BR25" t="n">
        <v>777415.971921536</v>
      </c>
      <c r="BS25" t="n">
        <v>785659.281869438</v>
      </c>
      <c r="BT25" t="n">
        <v>132.243026953802</v>
      </c>
      <c r="BU25" t="n">
        <v>1.3210939013468</v>
      </c>
      <c r="BV25" t="n">
        <v>1.14769754144528</v>
      </c>
      <c r="BW25" t="n">
        <v>98.8786219616961</v>
      </c>
      <c r="BX25" t="n">
        <v>87167.9106752956</v>
      </c>
      <c r="BY25" t="n">
        <v>1.46117049625098</v>
      </c>
      <c r="BZ25" t="n">
        <v>127367.179298583</v>
      </c>
      <c r="CA25" t="n">
        <v>10539.3131741819</v>
      </c>
      <c r="CB25" t="n">
        <v>15752.3422455204</v>
      </c>
      <c r="CC25" t="n">
        <v>16654.2734201715</v>
      </c>
      <c r="CD25" t="n">
        <v>901.931174651043</v>
      </c>
      <c r="CE25" t="n">
        <v>0.0541561327556985</v>
      </c>
      <c r="CF25" t="n">
        <v>11722976.2716382</v>
      </c>
      <c r="CG25" t="n">
        <v>490411.66575862</v>
      </c>
      <c r="CH25" t="n">
        <v>646376.531235257</v>
      </c>
      <c r="CI25" t="n">
        <v>369411.960796273</v>
      </c>
      <c r="CJ25" t="n">
        <v>28140.1994478682</v>
      </c>
      <c r="CK25" t="n">
        <v>1018215.36742583</v>
      </c>
      <c r="CL25" t="n">
        <v>0.0881541533792065</v>
      </c>
      <c r="CM25" t="n">
        <v>11.3437650033161</v>
      </c>
      <c r="CN25" t="n">
        <v>1228446.27045475</v>
      </c>
      <c r="CO25" t="n">
        <v>3179539.45662469</v>
      </c>
      <c r="CP25" t="n">
        <v>3402067.18052027</v>
      </c>
      <c r="CQ25" t="n">
        <v>4407985.72707944</v>
      </c>
      <c r="CR25" t="n">
        <v>9897529.40191692</v>
      </c>
      <c r="CS25" t="n">
        <v>-0.00294209969520037</v>
      </c>
      <c r="CT25" t="n">
        <v>0.0109717836770667</v>
      </c>
      <c r="CU25" t="n">
        <v>0.0571864587743123</v>
      </c>
      <c r="CV25" t="n">
        <v>1.75152256979649</v>
      </c>
      <c r="CW25" t="n">
        <v>0.0571864587743123</v>
      </c>
      <c r="CX25" t="n">
        <v>0.039440022763365</v>
      </c>
      <c r="CY25" t="n">
        <v>0.0183950249028683</v>
      </c>
      <c r="CZ25" t="n">
        <v>-0.00742324122580163</v>
      </c>
      <c r="DA25" t="n">
        <v>0.495281666005696</v>
      </c>
      <c r="DB25" t="n">
        <v>6.59429532651088</v>
      </c>
      <c r="DC25" t="n">
        <v>0.0538153113350291</v>
      </c>
      <c r="DD25" t="n">
        <v>0.0366578662542389</v>
      </c>
      <c r="DE25" t="n">
        <v>0.00768859684611709</v>
      </c>
      <c r="DF25" t="n">
        <v>0.138057645081283</v>
      </c>
      <c r="DG25" t="n">
        <v>222139.089852647</v>
      </c>
      <c r="DH25" t="n">
        <v>133.298809070463</v>
      </c>
      <c r="DI25" t="n">
        <v>4.93210797030706</v>
      </c>
      <c r="DJ25" t="n">
        <v>4.26240129293967</v>
      </c>
      <c r="DK25" t="n">
        <v>0.0484267358713257</v>
      </c>
      <c r="DL25" t="n">
        <v>0.669440030437354</v>
      </c>
      <c r="DM25" t="n">
        <v>1.3407830496379</v>
      </c>
      <c r="DN25" t="n">
        <v>0.0399169327369503</v>
      </c>
      <c r="DO25" t="n">
        <v>0.0374213819593254</v>
      </c>
      <c r="DP25" t="n">
        <v>29822.225</v>
      </c>
      <c r="DQ25" t="n">
        <v>24996.8083468721</v>
      </c>
      <c r="DR25" t="n">
        <v>177432.024959423</v>
      </c>
      <c r="DS25" t="n">
        <v>31326.8659205318</v>
      </c>
      <c r="DT25" t="n">
        <v>13380.1989726921</v>
      </c>
      <c r="DU25" t="n">
        <v>0</v>
      </c>
      <c r="DV25" t="n">
        <v>57.45</v>
      </c>
      <c r="DW25" t="n">
        <v>208288.96</v>
      </c>
      <c r="DX25" t="n">
        <v>2.31859137471356</v>
      </c>
      <c r="DY25" t="n">
        <v>73.4018119947924</v>
      </c>
      <c r="DZ25" t="n">
        <v>1.02621171445962</v>
      </c>
      <c r="EA25" t="n">
        <v>1.20449936397015</v>
      </c>
      <c r="EB25" t="n">
        <v>173725115.516243</v>
      </c>
      <c r="EC25" t="n">
        <v>3.16407891791246</v>
      </c>
      <c r="ED25" t="n">
        <v>0.0435</v>
      </c>
      <c r="EE25" t="n">
        <v>0.0304926484848485</v>
      </c>
      <c r="EF25" t="n">
        <v>0.03050813492075</v>
      </c>
      <c r="EG25" t="n">
        <v>0.0441803333333333</v>
      </c>
      <c r="EH25" t="n">
        <v>781364.538829168</v>
      </c>
      <c r="EI25" t="n">
        <v>408332.526877649</v>
      </c>
      <c r="EJ25" t="n">
        <v>1234.55351554426</v>
      </c>
      <c r="EK25" t="n">
        <v>1.31093813055241</v>
      </c>
      <c r="EL25" t="n">
        <v>3.90279197802295</v>
      </c>
    </row>
    <row r="26">
      <c r="A26" s="2" t="n">
        <v>48183</v>
      </c>
      <c r="B26" t="n">
        <v>412616.81008759</v>
      </c>
      <c r="C26" t="n">
        <v>38930.7195260791</v>
      </c>
      <c r="D26" t="n">
        <v>26101.6897937255</v>
      </c>
      <c r="E26" t="n">
        <v>244312.065475159</v>
      </c>
      <c r="F26" t="n">
        <v>57448.6332209958</v>
      </c>
      <c r="G26" t="n">
        <v>14418.1626760992</v>
      </c>
      <c r="H26" t="n">
        <v>67695.9649424274</v>
      </c>
      <c r="I26" t="n">
        <v>78300.7065422185</v>
      </c>
      <c r="J26" t="n">
        <v>99400.4541682625</v>
      </c>
      <c r="K26" t="n">
        <v>397.792094389762</v>
      </c>
      <c r="L26" t="n">
        <v>5235.13593297688</v>
      </c>
      <c r="M26" t="n">
        <v>0.666030795073682</v>
      </c>
      <c r="N26" t="n">
        <v>34124.4773785053</v>
      </c>
      <c r="O26" t="n">
        <v>188.207223893322</v>
      </c>
      <c r="P26" t="n">
        <v>1.94955408365074</v>
      </c>
      <c r="Q26" t="n">
        <v>1.60051042568725</v>
      </c>
      <c r="R26" t="n">
        <v>1.16450682774579</v>
      </c>
      <c r="S26" t="n">
        <v>0.0950707594524607</v>
      </c>
      <c r="T26" t="n">
        <v>6816.51391215968</v>
      </c>
      <c r="U26" t="n">
        <v>0.372285201397918</v>
      </c>
      <c r="V26" t="n">
        <v>0.539492355547142</v>
      </c>
      <c r="W26" t="n">
        <v>27458624.8013287</v>
      </c>
      <c r="X26" t="n">
        <v>84622.2992284504</v>
      </c>
      <c r="Y26" t="n">
        <v>4363939.67061127</v>
      </c>
      <c r="Z26" t="n">
        <v>1245.78746134298</v>
      </c>
      <c r="AA26" t="n">
        <v>1.21036333221365</v>
      </c>
      <c r="AB26" t="n">
        <v>1.17746513119077</v>
      </c>
      <c r="AC26" t="n">
        <v>1.35626073949639</v>
      </c>
      <c r="AD26" t="n">
        <v>1.50523890950194</v>
      </c>
      <c r="AE26" t="n">
        <v>133.184304730831</v>
      </c>
      <c r="AF26" t="n">
        <v>97516.9701078726</v>
      </c>
      <c r="AG26" t="n">
        <v>1439.71726006888</v>
      </c>
      <c r="AH26" t="n">
        <v>138.80715838823</v>
      </c>
      <c r="AI26" t="n">
        <v>76729.2262741923</v>
      </c>
      <c r="AJ26" t="n">
        <v>103260.611578543</v>
      </c>
      <c r="AK26" t="n">
        <v>607.436651651271</v>
      </c>
      <c r="AL26" t="n">
        <v>28665.0305266333</v>
      </c>
      <c r="AM26" t="n">
        <v>18698.7798200403</v>
      </c>
      <c r="AN26" t="n">
        <v>0.995296401066246</v>
      </c>
      <c r="AO26" t="n">
        <v>1.11529158554681</v>
      </c>
      <c r="AP26" t="n">
        <v>1.27106865593547</v>
      </c>
      <c r="AQ26" t="n">
        <v>1.34312962911063</v>
      </c>
      <c r="AR26" t="n">
        <v>36157.7192774222</v>
      </c>
      <c r="AS26" t="n">
        <v>192675.659863394</v>
      </c>
      <c r="AT26" t="n">
        <v>0.0345243135412693</v>
      </c>
      <c r="AU26" t="n">
        <v>0.0488435629065147</v>
      </c>
      <c r="AV26" t="n">
        <v>0.268306276303779</v>
      </c>
      <c r="AW26" t="n">
        <v>901.146800741553</v>
      </c>
      <c r="AX26" t="n">
        <v>11775.302414638</v>
      </c>
      <c r="AY26" t="n">
        <v>19724.7266347161</v>
      </c>
      <c r="AZ26" t="n">
        <v>183242.679900441</v>
      </c>
      <c r="BA26" t="n">
        <v>554197.864408914</v>
      </c>
      <c r="BB26" t="n">
        <v>241369.72000587</v>
      </c>
      <c r="BC26" t="n">
        <v>265744.761474028</v>
      </c>
      <c r="BD26" t="n">
        <v>106725.407150935</v>
      </c>
      <c r="BE26" t="n">
        <v>20.9814713844102</v>
      </c>
      <c r="BF26" t="n">
        <v>58600.0338055612</v>
      </c>
      <c r="BG26" t="n">
        <v>22956.58890868</v>
      </c>
      <c r="BH26" t="n">
        <v>31592.5282351405</v>
      </c>
      <c r="BI26" t="n">
        <v>90345.9876311408</v>
      </c>
      <c r="BJ26" t="n">
        <v>53897.9478044349</v>
      </c>
      <c r="BK26" t="n">
        <v>98932.914298022</v>
      </c>
      <c r="BL26" t="n">
        <v>31569.6306226941</v>
      </c>
      <c r="BM26" t="n">
        <v>20854.5917932834</v>
      </c>
      <c r="BN26" t="n">
        <v>48156.4070261604</v>
      </c>
      <c r="BO26" t="n">
        <v>211103.10374016</v>
      </c>
      <c r="BP26" t="n">
        <v>224372.121451348</v>
      </c>
      <c r="BQ26" t="n">
        <v>1039691.65308855</v>
      </c>
      <c r="BR26" t="n">
        <v>780159.847202067</v>
      </c>
      <c r="BS26" t="n">
        <v>790022.802555796</v>
      </c>
      <c r="BT26" t="n">
        <v>133.344691193489</v>
      </c>
      <c r="BU26" t="n">
        <v>1.33266490950204</v>
      </c>
      <c r="BV26" t="n">
        <v>1.15204112849068</v>
      </c>
      <c r="BW26" t="n">
        <v>98.9295297409939</v>
      </c>
      <c r="BX26" t="n">
        <v>87791.3931935235</v>
      </c>
      <c r="BY26" t="n">
        <v>1.48413482582295</v>
      </c>
      <c r="BZ26" t="n">
        <v>130294.264046024</v>
      </c>
      <c r="CA26" t="n">
        <v>10555.5696152127</v>
      </c>
      <c r="CB26" t="n">
        <v>15790.7055481895</v>
      </c>
      <c r="CC26" t="n">
        <v>16701.8616413327</v>
      </c>
      <c r="CD26" t="n">
        <v>911.156093143134</v>
      </c>
      <c r="CE26" t="n">
        <v>0.0545541557683491</v>
      </c>
      <c r="CF26" t="n">
        <v>11758325.3658533</v>
      </c>
      <c r="CG26" t="n">
        <v>495952.520108183</v>
      </c>
      <c r="CH26" t="n">
        <v>654465.151778793</v>
      </c>
      <c r="CI26" t="n">
        <v>374169.745112524</v>
      </c>
      <c r="CJ26" t="n">
        <v>28492.3400104567</v>
      </c>
      <c r="CK26" t="n">
        <v>1030758.8160976</v>
      </c>
      <c r="CL26" t="n">
        <v>0.0891125081645754</v>
      </c>
      <c r="CM26" t="n">
        <v>11.2217692061049</v>
      </c>
      <c r="CN26" t="n">
        <v>1234424.30446232</v>
      </c>
      <c r="CO26" t="n">
        <v>3204804.33257894</v>
      </c>
      <c r="CP26" t="n">
        <v>3413654.82794049</v>
      </c>
      <c r="CQ26" t="n">
        <v>4439228.63704126</v>
      </c>
      <c r="CR26" t="n">
        <v>9940359.95929896</v>
      </c>
      <c r="CS26" t="n">
        <v>-0.00432382453545366</v>
      </c>
      <c r="CT26" t="n">
        <v>0.00999542482979177</v>
      </c>
      <c r="CU26" t="n">
        <v>0.0562226213757377</v>
      </c>
      <c r="CV26" t="n">
        <v>1.7682201511046</v>
      </c>
      <c r="CW26" t="n">
        <v>0.056222621375738</v>
      </c>
      <c r="CX26" t="n">
        <v>0.039440022763365</v>
      </c>
      <c r="CY26" t="n">
        <v>0.0184150256159903</v>
      </c>
      <c r="CZ26" t="n">
        <v>-0.00841960078619854</v>
      </c>
      <c r="DA26" t="n">
        <v>0.492815377941913</v>
      </c>
      <c r="DB26" t="n">
        <v>6.61923296870424</v>
      </c>
      <c r="DC26" t="n">
        <v>0.0522538047912693</v>
      </c>
      <c r="DD26" t="n">
        <v>0.0356020296346133</v>
      </c>
      <c r="DE26" t="n">
        <v>0.00760234361933013</v>
      </c>
      <c r="DF26" t="n">
        <v>0.13847394279123</v>
      </c>
      <c r="DG26" t="n">
        <v>222808.921082711</v>
      </c>
      <c r="DH26" t="n">
        <v>134.330750725246</v>
      </c>
      <c r="DI26" t="n">
        <v>4.93999303507923</v>
      </c>
      <c r="DJ26" t="n">
        <v>4.26734904772339</v>
      </c>
      <c r="DK26" t="n">
        <v>0.0484267358713257</v>
      </c>
      <c r="DL26" t="n">
        <v>0.669440030437354</v>
      </c>
      <c r="DM26" t="n">
        <v>1.35426348470216</v>
      </c>
      <c r="DN26" t="n">
        <v>0.0399169327369503</v>
      </c>
      <c r="DO26" t="n">
        <v>0.0374213819593254</v>
      </c>
      <c r="DP26" t="n">
        <v>29912.15</v>
      </c>
      <c r="DQ26" t="n">
        <v>25076.7108140773</v>
      </c>
      <c r="DR26" t="n">
        <v>177967.04791108</v>
      </c>
      <c r="DS26" t="n">
        <v>31421.3279674751</v>
      </c>
      <c r="DT26" t="n">
        <v>13420.545204156</v>
      </c>
      <c r="DU26" t="n">
        <v>0</v>
      </c>
      <c r="DV26" t="n">
        <v>57.45</v>
      </c>
      <c r="DW26" t="n">
        <v>208288.96</v>
      </c>
      <c r="DX26" t="n">
        <v>2.33060079277792</v>
      </c>
      <c r="DY26" t="n">
        <v>73.306</v>
      </c>
      <c r="DZ26" t="n">
        <v>1.02062376390299</v>
      </c>
      <c r="EA26" t="n">
        <v>1.20449936397015</v>
      </c>
      <c r="EB26" t="n">
        <v>175137130.426272</v>
      </c>
      <c r="EC26" t="n">
        <v>3.16578023222883</v>
      </c>
      <c r="ED26" t="n">
        <v>0.0435</v>
      </c>
      <c r="EE26" t="n">
        <v>0.0304926484848485</v>
      </c>
      <c r="EF26" t="n">
        <v>0.03050813492075</v>
      </c>
      <c r="EG26" t="n">
        <v>0.0441803333333333</v>
      </c>
      <c r="EH26" t="n">
        <v>783567.102309626</v>
      </c>
      <c r="EI26" t="n">
        <v>410929.883995971</v>
      </c>
      <c r="EJ26" t="n">
        <v>1251.33788800849</v>
      </c>
      <c r="EK26" t="n">
        <v>1.3412310549086</v>
      </c>
      <c r="EL26" t="n">
        <v>3.88481380767229</v>
      </c>
    </row>
    <row r="27">
      <c r="A27" s="2" t="n">
        <v>48274</v>
      </c>
      <c r="B27" t="n">
        <v>415689.571892267</v>
      </c>
      <c r="C27" t="n">
        <v>39030.4748121544</v>
      </c>
      <c r="D27" t="n">
        <v>26264.9088377267</v>
      </c>
      <c r="E27" t="n">
        <v>245214.13267269</v>
      </c>
      <c r="F27" t="n">
        <v>58308.8171249864</v>
      </c>
      <c r="G27" t="n">
        <v>14528.3991921222</v>
      </c>
      <c r="H27" t="n">
        <v>68607.2016103089</v>
      </c>
      <c r="I27" t="n">
        <v>78534.2433529958</v>
      </c>
      <c r="J27" t="n">
        <v>99545.3942739723</v>
      </c>
      <c r="K27" t="n">
        <v>397.359664410514</v>
      </c>
      <c r="L27" t="n">
        <v>5257.93228953862</v>
      </c>
      <c r="M27" t="n">
        <v>0.665846575317287</v>
      </c>
      <c r="N27" t="n">
        <v>34424.8658973166</v>
      </c>
      <c r="O27" t="n">
        <v>190.002523766819</v>
      </c>
      <c r="P27" t="n">
        <v>1.9830303209556</v>
      </c>
      <c r="Q27" t="n">
        <v>1.61561626284965</v>
      </c>
      <c r="R27" t="n">
        <v>1.16853968837558</v>
      </c>
      <c r="S27" t="n">
        <v>0.0942998082145787</v>
      </c>
      <c r="T27" t="n">
        <v>6755.15869745401</v>
      </c>
      <c r="U27" t="n">
        <v>0.371879385388408</v>
      </c>
      <c r="V27" t="n">
        <v>0.53643865879796</v>
      </c>
      <c r="W27" t="n">
        <v>27898902.1112932</v>
      </c>
      <c r="X27" t="n">
        <v>85932.9704153728</v>
      </c>
      <c r="Y27" t="n">
        <v>4367082.1769696</v>
      </c>
      <c r="Z27" t="n">
        <v>1262.55212751889</v>
      </c>
      <c r="AA27" t="n">
        <v>1.21707890203411</v>
      </c>
      <c r="AB27" t="n">
        <v>1.18275425142441</v>
      </c>
      <c r="AC27" t="n">
        <v>1.36899450684558</v>
      </c>
      <c r="AD27" t="n">
        <v>1.52080226262295</v>
      </c>
      <c r="AE27" t="n">
        <v>134.351135934591</v>
      </c>
      <c r="AF27" t="n">
        <v>98524.2288310036</v>
      </c>
      <c r="AG27" t="n">
        <v>1470.483283945</v>
      </c>
      <c r="AH27" t="n">
        <v>140.997380380328</v>
      </c>
      <c r="AI27" t="n">
        <v>77274.0647722561</v>
      </c>
      <c r="AJ27" t="n">
        <v>105750.841425404</v>
      </c>
      <c r="AK27" t="n">
        <v>607.11063667931</v>
      </c>
      <c r="AL27" t="n">
        <v>28987.2811553917</v>
      </c>
      <c r="AM27" t="n">
        <v>18654.3104387781</v>
      </c>
      <c r="AN27" t="n">
        <v>0.997620519721119</v>
      </c>
      <c r="AO27" t="n">
        <v>1.12122448010972</v>
      </c>
      <c r="AP27" t="n">
        <v>1.27964111639374</v>
      </c>
      <c r="AQ27" t="n">
        <v>1.35460587391737</v>
      </c>
      <c r="AR27" t="n">
        <v>36288.7989951951</v>
      </c>
      <c r="AS27" t="n">
        <v>194683.920846349</v>
      </c>
      <c r="AT27" t="n">
        <v>0.0334025273280607</v>
      </c>
      <c r="AU27" t="n">
        <v>0.0476978157349736</v>
      </c>
      <c r="AV27" t="n">
        <v>0.271540326243398</v>
      </c>
      <c r="AW27" t="n">
        <v>902.067197531054</v>
      </c>
      <c r="AX27" t="n">
        <v>11805.4752107048</v>
      </c>
      <c r="AY27" t="n">
        <v>19797.4793252379</v>
      </c>
      <c r="AZ27" t="n">
        <v>183546.983033183</v>
      </c>
      <c r="BA27" t="n">
        <v>563095.537195532</v>
      </c>
      <c r="BB27" t="n">
        <v>244368.354471647</v>
      </c>
      <c r="BC27" t="n">
        <v>268955.927913813</v>
      </c>
      <c r="BD27" t="n">
        <v>107143.031110824</v>
      </c>
      <c r="BE27" t="n">
        <v>21.0249942550768</v>
      </c>
      <c r="BF27" t="n">
        <v>59357.6344055723</v>
      </c>
      <c r="BG27" t="n">
        <v>23410.6152961174</v>
      </c>
      <c r="BH27" t="n">
        <v>31966.4664102464</v>
      </c>
      <c r="BI27" t="n">
        <v>91396.2277218419</v>
      </c>
      <c r="BJ27" t="n">
        <v>54300.6993085954</v>
      </c>
      <c r="BK27" t="n">
        <v>99308.5279714439</v>
      </c>
      <c r="BL27" t="n">
        <v>31985.129561284</v>
      </c>
      <c r="BM27" t="n">
        <v>20915.6695235244</v>
      </c>
      <c r="BN27" t="n">
        <v>48754.413667065</v>
      </c>
      <c r="BO27" t="n">
        <v>212553.300723317</v>
      </c>
      <c r="BP27" t="n">
        <v>227495.888197529</v>
      </c>
      <c r="BQ27" t="n">
        <v>1052952.94733534</v>
      </c>
      <c r="BR27" t="n">
        <v>783037.389057773</v>
      </c>
      <c r="BS27" t="n">
        <v>794604.300495477</v>
      </c>
      <c r="BT27" t="n">
        <v>134.455819524714</v>
      </c>
      <c r="BU27" t="n">
        <v>1.34470328059357</v>
      </c>
      <c r="BV27" t="n">
        <v>1.15803211368988</v>
      </c>
      <c r="BW27" t="n">
        <v>99.1007943683698</v>
      </c>
      <c r="BX27" t="n">
        <v>88445.176639058</v>
      </c>
      <c r="BY27" t="n">
        <v>1.50755281645471</v>
      </c>
      <c r="BZ27" t="n">
        <v>133335.775144046</v>
      </c>
      <c r="CA27" t="n">
        <v>10574.6662206414</v>
      </c>
      <c r="CB27" t="n">
        <v>15832.59851018</v>
      </c>
      <c r="CC27" t="n">
        <v>16750.4629271596</v>
      </c>
      <c r="CD27" t="n">
        <v>917.864416979552</v>
      </c>
      <c r="CE27" t="n">
        <v>0.0547963529653803</v>
      </c>
      <c r="CF27" t="n">
        <v>11793674.4600683</v>
      </c>
      <c r="CG27" t="n">
        <v>501645.60693409</v>
      </c>
      <c r="CH27" t="n">
        <v>662826.096166654</v>
      </c>
      <c r="CI27" t="n">
        <v>379269.494382353</v>
      </c>
      <c r="CJ27" t="n">
        <v>28856.3362746734</v>
      </c>
      <c r="CK27" t="n">
        <v>1043906.17177477</v>
      </c>
      <c r="CL27" t="n">
        <v>0.0898736304904468</v>
      </c>
      <c r="CM27" t="n">
        <v>11.1267342216279</v>
      </c>
      <c r="CN27" t="n">
        <v>1240457.04679315</v>
      </c>
      <c r="CO27" t="n">
        <v>3230175.50374672</v>
      </c>
      <c r="CP27" t="n">
        <v>3425228.63303496</v>
      </c>
      <c r="CQ27" t="n">
        <v>4470632.55053987</v>
      </c>
      <c r="CR27" t="n">
        <v>9983337.67789204</v>
      </c>
      <c r="CS27" t="n">
        <v>-0.00534403586352018</v>
      </c>
      <c r="CT27" t="n">
        <v>0.0089512525433927</v>
      </c>
      <c r="CU27" t="n">
        <v>0.0555532450229979</v>
      </c>
      <c r="CV27" t="n">
        <v>1.78508712011846</v>
      </c>
      <c r="CW27" t="n">
        <v>0.0555532450229976</v>
      </c>
      <c r="CX27" t="n">
        <v>0.039440022763365</v>
      </c>
      <c r="CY27" t="n">
        <v>0.0184350249027997</v>
      </c>
      <c r="CZ27" t="n">
        <v>-0.00948377235940701</v>
      </c>
      <c r="DA27" t="n">
        <v>0.490155250285007</v>
      </c>
      <c r="DB27" t="n">
        <v>6.64492293306778</v>
      </c>
      <c r="DC27" t="n">
        <v>0.0511320185780607</v>
      </c>
      <c r="DD27" t="n">
        <v>0.0348417865663192</v>
      </c>
      <c r="DE27" t="n">
        <v>0.00751703496949449</v>
      </c>
      <c r="DF27" t="n">
        <v>0.138826408315501</v>
      </c>
      <c r="DG27" t="n">
        <v>223478.752312775</v>
      </c>
      <c r="DH27" t="n">
        <v>135.373434705137</v>
      </c>
      <c r="DI27" t="n">
        <v>4.94789843994034</v>
      </c>
      <c r="DJ27" t="n">
        <v>4.27231714259604</v>
      </c>
      <c r="DK27" t="n">
        <v>0.0484267358713257</v>
      </c>
      <c r="DL27" t="n">
        <v>0.669440030437354</v>
      </c>
      <c r="DM27" t="n">
        <v>1.36787945409435</v>
      </c>
      <c r="DN27" t="n">
        <v>0.0399169327369503</v>
      </c>
      <c r="DO27" t="n">
        <v>0.0374213819593254</v>
      </c>
      <c r="DP27" t="n">
        <v>30002.075</v>
      </c>
      <c r="DQ27" t="n">
        <v>25156.6405056266</v>
      </c>
      <c r="DR27" t="n">
        <v>178502.070862737</v>
      </c>
      <c r="DS27" t="n">
        <v>31515.7900144184</v>
      </c>
      <c r="DT27" t="n">
        <v>13460.8914356199</v>
      </c>
      <c r="DU27" t="n">
        <v>0</v>
      </c>
      <c r="DV27" t="n">
        <v>57.45</v>
      </c>
      <c r="DW27" t="n">
        <v>208288.96</v>
      </c>
      <c r="DX27" t="n">
        <v>2.34216740503693</v>
      </c>
      <c r="DY27" t="n">
        <v>73.306</v>
      </c>
      <c r="DZ27" t="n">
        <v>1.02062376390299</v>
      </c>
      <c r="EA27" t="n">
        <v>1.20449936397015</v>
      </c>
      <c r="EB27" t="n">
        <v>176343282.108263</v>
      </c>
      <c r="EC27" t="n">
        <v>3.16578023222883</v>
      </c>
      <c r="ED27" t="n">
        <v>0.0435</v>
      </c>
      <c r="EE27" t="n">
        <v>0.0304926484848485</v>
      </c>
      <c r="EF27" t="n">
        <v>0.03050813492075</v>
      </c>
      <c r="EG27" t="n">
        <v>0.0441803333333333</v>
      </c>
      <c r="EH27" t="n">
        <v>785828.874849814</v>
      </c>
      <c r="EI27" t="n">
        <v>413660.294178546</v>
      </c>
      <c r="EJ27" t="n">
        <v>1267.99424009437</v>
      </c>
      <c r="EK27" t="n">
        <v>1.37288872575649</v>
      </c>
      <c r="EL27" t="n">
        <v>3.87465631915809</v>
      </c>
    </row>
    <row r="28">
      <c r="A28" s="2" t="n">
        <v>48366</v>
      </c>
      <c r="B28" t="n">
        <v>418425.864141988</v>
      </c>
      <c r="C28" t="n">
        <v>39148.6878407098</v>
      </c>
      <c r="D28" t="n">
        <v>26422.3580312745</v>
      </c>
      <c r="E28" t="n">
        <v>246124.329703754</v>
      </c>
      <c r="F28" t="n">
        <v>59055.1639908987</v>
      </c>
      <c r="G28" t="n">
        <v>14644.8093587527</v>
      </c>
      <c r="H28" t="n">
        <v>69487.2131457647</v>
      </c>
      <c r="I28" t="n">
        <v>79015.2111048404</v>
      </c>
      <c r="J28" t="n">
        <v>99353.5540790271</v>
      </c>
      <c r="K28" t="n">
        <v>396.8981238081</v>
      </c>
      <c r="L28" t="n">
        <v>5280.59511994091</v>
      </c>
      <c r="M28" t="n">
        <v>0.665702108430934</v>
      </c>
      <c r="N28" t="n">
        <v>34734.1806153503</v>
      </c>
      <c r="O28" t="n">
        <v>191.812302508562</v>
      </c>
      <c r="P28" t="n">
        <v>2.0173879640599</v>
      </c>
      <c r="Q28" t="n">
        <v>1.63097466706324</v>
      </c>
      <c r="R28" t="n">
        <v>1.17311372007438</v>
      </c>
      <c r="S28" t="n">
        <v>0.0936367496442589</v>
      </c>
      <c r="T28" t="n">
        <v>6689.77129086392</v>
      </c>
      <c r="U28" t="n">
        <v>0.371293263109187</v>
      </c>
      <c r="V28" t="n">
        <v>0.533116474792566</v>
      </c>
      <c r="W28" t="n">
        <v>28341111.8685069</v>
      </c>
      <c r="X28" t="n">
        <v>87272.3849424759</v>
      </c>
      <c r="Y28" t="n">
        <v>4369511.0869691</v>
      </c>
      <c r="Z28" t="n">
        <v>1279.46334297619</v>
      </c>
      <c r="AA28" t="n">
        <v>1.22394921358469</v>
      </c>
      <c r="AB28" t="n">
        <v>1.18817372769635</v>
      </c>
      <c r="AC28" t="n">
        <v>1.38198521141831</v>
      </c>
      <c r="AD28" t="n">
        <v>1.53625502267236</v>
      </c>
      <c r="AE28" t="n">
        <v>135.530642666753</v>
      </c>
      <c r="AF28" t="n">
        <v>99587.1104967657</v>
      </c>
      <c r="AG28" t="n">
        <v>1501.35349204286</v>
      </c>
      <c r="AH28" t="n">
        <v>143.227229659617</v>
      </c>
      <c r="AI28" t="n">
        <v>77817.1833275912</v>
      </c>
      <c r="AJ28" t="n">
        <v>107916.995340435</v>
      </c>
      <c r="AK28" t="n">
        <v>607.436078943402</v>
      </c>
      <c r="AL28" t="n">
        <v>29298.5638950846</v>
      </c>
      <c r="AM28" t="n">
        <v>18593.998583889</v>
      </c>
      <c r="AN28" t="n">
        <v>1.0008053470624</v>
      </c>
      <c r="AO28" t="n">
        <v>1.12808622562767</v>
      </c>
      <c r="AP28" t="n">
        <v>1.28826278307131</v>
      </c>
      <c r="AQ28" t="n">
        <v>1.36618253878245</v>
      </c>
      <c r="AR28" t="n">
        <v>36380.6308665194</v>
      </c>
      <c r="AS28" t="n">
        <v>196612.082723308</v>
      </c>
      <c r="AT28" t="n">
        <v>0.0322771316768383</v>
      </c>
      <c r="AU28" t="n">
        <v>0.0465615366494249</v>
      </c>
      <c r="AV28" t="n">
        <v>0.276278927574077</v>
      </c>
      <c r="AW28" t="n">
        <v>910.19703106425</v>
      </c>
      <c r="AX28" t="n">
        <v>11841.2308858513</v>
      </c>
      <c r="AY28" t="n">
        <v>19854.0337550607</v>
      </c>
      <c r="AZ28" t="n">
        <v>183443.217284496</v>
      </c>
      <c r="BA28" t="n">
        <v>571646.110749403</v>
      </c>
      <c r="BB28" t="n">
        <v>247426.615946804</v>
      </c>
      <c r="BC28" t="n">
        <v>272072.860887266</v>
      </c>
      <c r="BD28" t="n">
        <v>107969.253076962</v>
      </c>
      <c r="BE28" t="n">
        <v>21.1110993525516</v>
      </c>
      <c r="BF28" t="n">
        <v>60142.3683263227</v>
      </c>
      <c r="BG28" t="n">
        <v>23888.3566687707</v>
      </c>
      <c r="BH28" t="n">
        <v>32339.6243334317</v>
      </c>
      <c r="BI28" t="n">
        <v>92460.3318897681</v>
      </c>
      <c r="BJ28" t="n">
        <v>54719.4619436166</v>
      </c>
      <c r="BK28" t="n">
        <v>99433.5681719433</v>
      </c>
      <c r="BL28" t="n">
        <v>32381.4260935224</v>
      </c>
      <c r="BM28" t="n">
        <v>20975.6336818255</v>
      </c>
      <c r="BN28" t="n">
        <v>49306.9028196129</v>
      </c>
      <c r="BO28" t="n">
        <v>213687.090766904</v>
      </c>
      <c r="BP28" t="n">
        <v>230648.33177511</v>
      </c>
      <c r="BQ28" t="n">
        <v>1065661.62884991</v>
      </c>
      <c r="BR28" t="n">
        <v>785274.251252425</v>
      </c>
      <c r="BS28" t="n">
        <v>798873.090572194</v>
      </c>
      <c r="BT28" t="n">
        <v>135.581280596597</v>
      </c>
      <c r="BU28" t="n">
        <v>1.35705662675721</v>
      </c>
      <c r="BV28" t="n">
        <v>1.16486776633177</v>
      </c>
      <c r="BW28" t="n">
        <v>99.2970882872221</v>
      </c>
      <c r="BX28" t="n">
        <v>89027.3703425493</v>
      </c>
      <c r="BY28" t="n">
        <v>1.53139450452149</v>
      </c>
      <c r="BZ28" t="n">
        <v>136336.025694579</v>
      </c>
      <c r="CA28" t="n">
        <v>10592.8514950322</v>
      </c>
      <c r="CB28" t="n">
        <v>15873.4466149731</v>
      </c>
      <c r="CC28" t="n">
        <v>16800.0561131285</v>
      </c>
      <c r="CD28" t="n">
        <v>926.609498155445</v>
      </c>
      <c r="CE28" t="n">
        <v>0.0551551349157153</v>
      </c>
      <c r="CF28" t="n">
        <v>11829023.5542834</v>
      </c>
      <c r="CG28" t="n">
        <v>507458.873817366</v>
      </c>
      <c r="CH28" t="n">
        <v>671173.400664282</v>
      </c>
      <c r="CI28" t="n">
        <v>383797.507711425</v>
      </c>
      <c r="CJ28" t="n">
        <v>29219.7387221082</v>
      </c>
      <c r="CK28" t="n">
        <v>1056505.66266536</v>
      </c>
      <c r="CL28" t="n">
        <v>0.0908007243495701</v>
      </c>
      <c r="CM28" t="n">
        <v>11.0131280027034</v>
      </c>
      <c r="CN28" t="n">
        <v>1246554.92942111</v>
      </c>
      <c r="CO28" t="n">
        <v>3255684.93195806</v>
      </c>
      <c r="CP28" t="n">
        <v>3436809.44133259</v>
      </c>
      <c r="CQ28" t="n">
        <v>4502239.86137917</v>
      </c>
      <c r="CR28" t="n">
        <v>10026525.797029</v>
      </c>
      <c r="CS28" t="n">
        <v>-0.00642305397982454</v>
      </c>
      <c r="CT28" t="n">
        <v>0.00786135099276199</v>
      </c>
      <c r="CU28" t="n">
        <v>0.054936563987596</v>
      </c>
      <c r="CV28" t="n">
        <v>1.80209011912133</v>
      </c>
      <c r="CW28" t="n">
        <v>0.054936563987596</v>
      </c>
      <c r="CX28" t="n">
        <v>0.039440022763365</v>
      </c>
      <c r="CY28" t="n">
        <v>0.018455022763365</v>
      </c>
      <c r="CZ28" t="n">
        <v>-0.010593671770603</v>
      </c>
      <c r="DA28" t="n">
        <v>0.487164446524679</v>
      </c>
      <c r="DB28" t="n">
        <v>6.67039249434524</v>
      </c>
      <c r="DC28" t="n">
        <v>0.0500066229268383</v>
      </c>
      <c r="DD28" t="n">
        <v>0.0340763284152405</v>
      </c>
      <c r="DE28" t="n">
        <v>0.00743259762172495</v>
      </c>
      <c r="DF28" t="n">
        <v>0.139298266257729</v>
      </c>
      <c r="DG28" t="n">
        <v>224148.583542839</v>
      </c>
      <c r="DH28" t="n">
        <v>136.55211381939</v>
      </c>
      <c r="DI28" t="n">
        <v>4.95674093531859</v>
      </c>
      <c r="DJ28" t="n">
        <v>4.27822232798584</v>
      </c>
      <c r="DK28" t="n">
        <v>0.0484267358713257</v>
      </c>
      <c r="DL28" t="n">
        <v>0.669440030437354</v>
      </c>
      <c r="DM28" t="n">
        <v>1.38163232049703</v>
      </c>
      <c r="DN28" t="n">
        <v>0.0399169327369503</v>
      </c>
      <c r="DO28" t="n">
        <v>0.0374213819593254</v>
      </c>
      <c r="DP28" t="n">
        <v>30092</v>
      </c>
      <c r="DQ28" t="n">
        <v>25236.59742152</v>
      </c>
      <c r="DR28" t="n">
        <v>179037.093814394</v>
      </c>
      <c r="DS28" t="n">
        <v>31610.2520613617</v>
      </c>
      <c r="DT28" t="n">
        <v>13501.2376670838</v>
      </c>
      <c r="DU28" t="n">
        <v>0</v>
      </c>
      <c r="DV28" t="n">
        <v>57.45</v>
      </c>
      <c r="DW28" t="n">
        <v>208288.96</v>
      </c>
      <c r="DX28" t="n">
        <v>2.35379142160112</v>
      </c>
      <c r="DY28" t="n">
        <v>73.306</v>
      </c>
      <c r="DZ28" t="n">
        <v>1.02062376390299</v>
      </c>
      <c r="EA28" t="n">
        <v>1.20449936397015</v>
      </c>
      <c r="EB28" t="n">
        <v>177557740.434747</v>
      </c>
      <c r="EC28" t="n">
        <v>3.16578023222883</v>
      </c>
      <c r="ED28" t="n">
        <v>0.0435</v>
      </c>
      <c r="EE28" t="n">
        <v>0.0304926484848485</v>
      </c>
      <c r="EF28" t="n">
        <v>0.03050813492075</v>
      </c>
      <c r="EG28" t="n">
        <v>0.0441803333333333</v>
      </c>
      <c r="EH28" t="n">
        <v>788023.25364836</v>
      </c>
      <c r="EI28" t="n">
        <v>416437.244298273</v>
      </c>
      <c r="EJ28" t="n">
        <v>1284.58005958792</v>
      </c>
      <c r="EK28" t="n">
        <v>1.34761180511773</v>
      </c>
      <c r="EL28" t="n">
        <v>3.87001856566629</v>
      </c>
    </row>
    <row r="29">
      <c r="A29" s="2" t="n">
        <v>48458</v>
      </c>
      <c r="B29" t="n">
        <v>421316.136811352</v>
      </c>
      <c r="C29" t="n">
        <v>39279.3211405225</v>
      </c>
      <c r="D29" t="n">
        <v>26597.2444647778</v>
      </c>
      <c r="E29" t="n">
        <v>246990.791957252</v>
      </c>
      <c r="F29" t="n">
        <v>59947.8389076811</v>
      </c>
      <c r="G29" t="n">
        <v>14772.2321967894</v>
      </c>
      <c r="H29" t="n">
        <v>70428.256647619</v>
      </c>
      <c r="I29" t="n">
        <v>83404.500457233</v>
      </c>
      <c r="J29" t="n">
        <v>99670.0258515011</v>
      </c>
      <c r="K29" t="n">
        <v>396.503445798279</v>
      </c>
      <c r="L29" t="n">
        <v>5303.86227075181</v>
      </c>
      <c r="M29" t="n">
        <v>0.665566555365318</v>
      </c>
      <c r="N29" t="n">
        <v>35035.6348260656</v>
      </c>
      <c r="O29" t="n">
        <v>193.649904101166</v>
      </c>
      <c r="P29" t="n">
        <v>2.05202907151281</v>
      </c>
      <c r="Q29" t="n">
        <v>1.64656214919094</v>
      </c>
      <c r="R29" t="n">
        <v>1.17807205676353</v>
      </c>
      <c r="S29" t="n">
        <v>0.093341974998775</v>
      </c>
      <c r="T29" t="n">
        <v>6631.06613404919</v>
      </c>
      <c r="U29" t="n">
        <v>0.370536826657109</v>
      </c>
      <c r="V29" t="n">
        <v>0.529589755988126</v>
      </c>
      <c r="W29" t="n">
        <v>28793833.1091351</v>
      </c>
      <c r="X29" t="n">
        <v>88646.0980555417</v>
      </c>
      <c r="Y29" t="n">
        <v>4373718.95202668</v>
      </c>
      <c r="Z29" t="n">
        <v>1297.00423409103</v>
      </c>
      <c r="AA29" t="n">
        <v>1.23085472539158</v>
      </c>
      <c r="AB29" t="n">
        <v>1.19376646649353</v>
      </c>
      <c r="AC29" t="n">
        <v>1.39482728623531</v>
      </c>
      <c r="AD29" t="n">
        <v>1.55172471040034</v>
      </c>
      <c r="AE29" t="n">
        <v>136.718775430307</v>
      </c>
      <c r="AF29" t="n">
        <v>100753.69856648</v>
      </c>
      <c r="AG29" t="n">
        <v>1532.67743863195</v>
      </c>
      <c r="AH29" t="n">
        <v>145.504984593823</v>
      </c>
      <c r="AI29" t="n">
        <v>78362.6024966405</v>
      </c>
      <c r="AJ29" t="n">
        <v>110145.965707914</v>
      </c>
      <c r="AK29" t="n">
        <v>608.568359831502</v>
      </c>
      <c r="AL29" t="n">
        <v>29622.445081948</v>
      </c>
      <c r="AM29" t="n">
        <v>18550.4907789505</v>
      </c>
      <c r="AN29" t="n">
        <v>1.00471075409183</v>
      </c>
      <c r="AO29" t="n">
        <v>1.13463227866226</v>
      </c>
      <c r="AP29" t="n">
        <v>1.29702199444482</v>
      </c>
      <c r="AQ29" t="n">
        <v>1.37794961100495</v>
      </c>
      <c r="AR29" t="n">
        <v>36520.2398145306</v>
      </c>
      <c r="AS29" t="n">
        <v>198531.443002212</v>
      </c>
      <c r="AT29" t="n">
        <v>0.0317251274730424</v>
      </c>
      <c r="AU29" t="n">
        <v>0.0454689139230046</v>
      </c>
      <c r="AV29" t="n">
        <v>0.277563621476639</v>
      </c>
      <c r="AW29" t="n">
        <v>866.462253498321</v>
      </c>
      <c r="AX29" t="n">
        <v>11880.7432973721</v>
      </c>
      <c r="AY29" t="n">
        <v>19929.189327462</v>
      </c>
      <c r="AZ29" t="n">
        <v>183930.945772444</v>
      </c>
      <c r="BA29" t="n">
        <v>580552.408208546</v>
      </c>
      <c r="BB29" t="n">
        <v>250469.183751696</v>
      </c>
      <c r="BC29" t="n">
        <v>275524.471400517</v>
      </c>
      <c r="BD29" t="n">
        <v>112362.099742658</v>
      </c>
      <c r="BE29" t="n">
        <v>21.5689018630686</v>
      </c>
      <c r="BF29" t="n">
        <v>60950.6932214994</v>
      </c>
      <c r="BG29" t="n">
        <v>24379.6306373885</v>
      </c>
      <c r="BH29" t="n">
        <v>32737.3440318669</v>
      </c>
      <c r="BI29" t="n">
        <v>93546.6462116118</v>
      </c>
      <c r="BJ29" t="n">
        <v>55085.1953464673</v>
      </c>
      <c r="BK29" t="n">
        <v>100139.546833614</v>
      </c>
      <c r="BL29" t="n">
        <v>32814.648810659</v>
      </c>
      <c r="BM29" t="n">
        <v>21047.9856228238</v>
      </c>
      <c r="BN29" t="n">
        <v>49930.0246586374</v>
      </c>
      <c r="BO29" t="n">
        <v>215521.765925734</v>
      </c>
      <c r="BP29" t="n">
        <v>233884.345389847</v>
      </c>
      <c r="BQ29" t="n">
        <v>1079358.52194496</v>
      </c>
      <c r="BR29" t="n">
        <v>788246.832876149</v>
      </c>
      <c r="BS29" t="n">
        <v>803277.304734073</v>
      </c>
      <c r="BT29" t="n">
        <v>136.717913659391</v>
      </c>
      <c r="BU29" t="n">
        <v>1.36931538863851</v>
      </c>
      <c r="BV29" t="n">
        <v>1.17175369821875</v>
      </c>
      <c r="BW29" t="n">
        <v>99.4636696025085</v>
      </c>
      <c r="BX29" t="n">
        <v>89642.3260548449</v>
      </c>
      <c r="BY29" t="n">
        <v>1.5557484028492</v>
      </c>
      <c r="BZ29" t="n">
        <v>139460.905587512</v>
      </c>
      <c r="CA29" t="n">
        <v>10613.606711546</v>
      </c>
      <c r="CB29" t="n">
        <v>15917.4689822978</v>
      </c>
      <c r="CC29" t="n">
        <v>16848.3972508217</v>
      </c>
      <c r="CD29" t="n">
        <v>930.928268523903</v>
      </c>
      <c r="CE29" t="n">
        <v>0.0552532161444418</v>
      </c>
      <c r="CF29" t="n">
        <v>11864235.0651459</v>
      </c>
      <c r="CG29" t="n">
        <v>513282.621853719</v>
      </c>
      <c r="CH29" t="n">
        <v>683896.519808713</v>
      </c>
      <c r="CI29" t="n">
        <v>389094.396467606</v>
      </c>
      <c r="CJ29" t="n">
        <v>29773.6435949214</v>
      </c>
      <c r="CK29" t="n">
        <v>1070084.87460665</v>
      </c>
      <c r="CL29" t="n">
        <v>0.0917753416312085</v>
      </c>
      <c r="CM29" t="n">
        <v>10.8961730049278</v>
      </c>
      <c r="CN29" t="n">
        <v>1252711.12346183</v>
      </c>
      <c r="CO29" t="n">
        <v>3281328.68165512</v>
      </c>
      <c r="CP29" t="n">
        <v>3448415.65445244</v>
      </c>
      <c r="CQ29" t="n">
        <v>4534039.80511695</v>
      </c>
      <c r="CR29" t="n">
        <v>10069931.9538866</v>
      </c>
      <c r="CS29" t="n">
        <v>-0.00700229011484697</v>
      </c>
      <c r="CT29" t="n">
        <v>0.00674149633511531</v>
      </c>
      <c r="CU29" t="n">
        <v>0.0546145574108857</v>
      </c>
      <c r="CV29" t="n">
        <v>1.81935451577161</v>
      </c>
      <c r="CW29" t="n">
        <v>0.0546145574108857</v>
      </c>
      <c r="CX29" t="n">
        <v>0.039440022763365</v>
      </c>
      <c r="CY29" t="n">
        <v>0.0185913103635471</v>
      </c>
      <c r="CZ29" t="n">
        <v>-0.0118498140284318</v>
      </c>
      <c r="DA29" t="n">
        <v>0.483974910584632</v>
      </c>
      <c r="DB29" t="n">
        <v>6.69767558166957</v>
      </c>
      <c r="DC29" t="n">
        <v>0.0494546187230424</v>
      </c>
      <c r="DD29" t="n">
        <v>0.0336986174453326</v>
      </c>
      <c r="DE29" t="n">
        <v>0.00735156061975669</v>
      </c>
      <c r="DF29" t="n">
        <v>0.139909226897741</v>
      </c>
      <c r="DG29" t="n">
        <v>224815.807701116</v>
      </c>
      <c r="DH29" t="n">
        <v>137.598360377283</v>
      </c>
      <c r="DI29" t="n">
        <v>4.96454692688669</v>
      </c>
      <c r="DJ29" t="n">
        <v>4.28309100956548</v>
      </c>
      <c r="DK29" t="n">
        <v>0.0484267358713257</v>
      </c>
      <c r="DL29" t="n">
        <v>0.669440030437354</v>
      </c>
      <c r="DM29" t="n">
        <v>1.39552346029342</v>
      </c>
      <c r="DN29" t="n">
        <v>0.0399169327369503</v>
      </c>
      <c r="DO29" t="n">
        <v>0.0374213819593254</v>
      </c>
      <c r="DP29" t="n">
        <v>30181.575</v>
      </c>
      <c r="DQ29" t="n">
        <v>25314.3688110559</v>
      </c>
      <c r="DR29" t="n">
        <v>179570.034385922</v>
      </c>
      <c r="DS29" t="n">
        <v>31704.3464495179</v>
      </c>
      <c r="DT29" t="n">
        <v>13541.4268656758</v>
      </c>
      <c r="DU29" t="n">
        <v>0</v>
      </c>
      <c r="DV29" t="n">
        <v>57.775</v>
      </c>
      <c r="DW29" t="n">
        <v>208288.96</v>
      </c>
      <c r="DX29" t="n">
        <v>2.36547312736412</v>
      </c>
      <c r="DY29" t="n">
        <v>73.306</v>
      </c>
      <c r="DZ29" t="n">
        <v>1.02062376390299</v>
      </c>
      <c r="EA29" t="n">
        <v>1.20449936397015</v>
      </c>
      <c r="EB29" t="n">
        <v>178780562.612743</v>
      </c>
      <c r="EC29" t="n">
        <v>3.16578023222883</v>
      </c>
      <c r="ED29" t="n">
        <v>0.0435</v>
      </c>
      <c r="EE29" t="n">
        <v>0.0304926484848485</v>
      </c>
      <c r="EF29" t="n">
        <v>0.03050813492075</v>
      </c>
      <c r="EG29" t="n">
        <v>0.0441803333333333</v>
      </c>
      <c r="EH29" t="n">
        <v>790312.257671812</v>
      </c>
      <c r="EI29" t="n">
        <v>419281.373390409</v>
      </c>
      <c r="EJ29" t="n">
        <v>1301.24305115193</v>
      </c>
      <c r="EK29" t="n">
        <v>1.39318734703149</v>
      </c>
      <c r="EL29" t="n">
        <v>3.87274175878893</v>
      </c>
    </row>
    <row r="30">
      <c r="A30" s="2" t="n">
        <v>48549</v>
      </c>
      <c r="B30" t="n">
        <v>424308.953161687</v>
      </c>
      <c r="C30" t="n">
        <v>39421.5453587658</v>
      </c>
      <c r="D30" t="n">
        <v>26770.9478768231</v>
      </c>
      <c r="E30" t="n">
        <v>247893.759828903</v>
      </c>
      <c r="F30" t="n">
        <v>60801.5766056364</v>
      </c>
      <c r="G30" t="n">
        <v>14905.6240706211</v>
      </c>
      <c r="H30" t="n">
        <v>71374.4700716435</v>
      </c>
      <c r="I30" t="n">
        <v>83140.3501905198</v>
      </c>
      <c r="J30" t="n">
        <v>99651.9048147894</v>
      </c>
      <c r="K30" t="n">
        <v>396.113167960091</v>
      </c>
      <c r="L30" t="n">
        <v>5327.4471768966</v>
      </c>
      <c r="M30" t="n">
        <v>0.665479652936596</v>
      </c>
      <c r="N30" t="n">
        <v>35347.7493426255</v>
      </c>
      <c r="O30" t="n">
        <v>195.509052412018</v>
      </c>
      <c r="P30" t="n">
        <v>2.08765794082472</v>
      </c>
      <c r="Q30" t="n">
        <v>1.66246166799789</v>
      </c>
      <c r="R30" t="n">
        <v>1.18351330917741</v>
      </c>
      <c r="S30" t="n">
        <v>0.0933185576244071</v>
      </c>
      <c r="T30" t="n">
        <v>6582.37764947835</v>
      </c>
      <c r="U30" t="n">
        <v>0.369589355104529</v>
      </c>
      <c r="V30" t="n">
        <v>0.525780896493307</v>
      </c>
      <c r="W30" t="n">
        <v>29255126.4365234</v>
      </c>
      <c r="X30" t="n">
        <v>90054.4784997923</v>
      </c>
      <c r="Y30" t="n">
        <v>4378418.76301605</v>
      </c>
      <c r="Z30" t="n">
        <v>1314.65827673105</v>
      </c>
      <c r="AA30" t="n">
        <v>1.23797388125089</v>
      </c>
      <c r="AB30" t="n">
        <v>1.19946607578976</v>
      </c>
      <c r="AC30" t="n">
        <v>1.40790372873951</v>
      </c>
      <c r="AD30" t="n">
        <v>1.56729150510959</v>
      </c>
      <c r="AE30" t="n">
        <v>137.911513890319</v>
      </c>
      <c r="AF30" t="n">
        <v>101995.064757942</v>
      </c>
      <c r="AG30" t="n">
        <v>1563.95644977566</v>
      </c>
      <c r="AH30" t="n">
        <v>147.819456334026</v>
      </c>
      <c r="AI30" t="n">
        <v>78923.1287794575</v>
      </c>
      <c r="AJ30" t="n">
        <v>112100.555514982</v>
      </c>
      <c r="AK30" t="n">
        <v>610.599175403719</v>
      </c>
      <c r="AL30" t="n">
        <v>29957.4700782129</v>
      </c>
      <c r="AM30" t="n">
        <v>18501.0668955958</v>
      </c>
      <c r="AN30" t="n">
        <v>1.00949646131099</v>
      </c>
      <c r="AO30" t="n">
        <v>1.14186565392721</v>
      </c>
      <c r="AP30" t="n">
        <v>1.30589359463414</v>
      </c>
      <c r="AQ30" t="n">
        <v>1.38986394855651</v>
      </c>
      <c r="AR30" t="n">
        <v>36647.8615888774</v>
      </c>
      <c r="AS30" t="n">
        <v>200530.244647584</v>
      </c>
      <c r="AT30" t="n">
        <v>0.031364616446779</v>
      </c>
      <c r="AU30" t="n">
        <v>0.0444286144498954</v>
      </c>
      <c r="AV30" t="n">
        <v>0.278621244304547</v>
      </c>
      <c r="AW30" t="n">
        <v>902.9678716505</v>
      </c>
      <c r="AX30" t="n">
        <v>11923.7615924585</v>
      </c>
      <c r="AY30" t="n">
        <v>19998.6349592833</v>
      </c>
      <c r="AZ30" t="n">
        <v>184060.468258546</v>
      </c>
      <c r="BA30" t="n">
        <v>589731.718498664</v>
      </c>
      <c r="BB30" t="n">
        <v>253567.649999672</v>
      </c>
      <c r="BC30" t="n">
        <v>279034.205584056</v>
      </c>
      <c r="BD30" t="n">
        <v>112105.633377424</v>
      </c>
      <c r="BE30" t="n">
        <v>21.5421741043276</v>
      </c>
      <c r="BF30" t="n">
        <v>61785.0531590861</v>
      </c>
      <c r="BG30" t="n">
        <v>24892.7355729969</v>
      </c>
      <c r="BH30" t="n">
        <v>33141.734247836</v>
      </c>
      <c r="BI30" t="n">
        <v>94665.6146426862</v>
      </c>
      <c r="BJ30" t="n">
        <v>55553.1953920045</v>
      </c>
      <c r="BK30" t="n">
        <v>100598.24527343</v>
      </c>
      <c r="BL30" t="n">
        <v>33246.964032091</v>
      </c>
      <c r="BM30" t="n">
        <v>21125.7328490905</v>
      </c>
      <c r="BN30" t="n">
        <v>50541.6207256497</v>
      </c>
      <c r="BO30" t="n">
        <v>217102.122880261</v>
      </c>
      <c r="BP30" t="n">
        <v>237330.213433017</v>
      </c>
      <c r="BQ30" t="n">
        <v>1093109.61096019</v>
      </c>
      <c r="BR30" t="n">
        <v>790993.572697295</v>
      </c>
      <c r="BS30" t="n">
        <v>807893.32236988</v>
      </c>
      <c r="BT30" t="n">
        <v>137.870188201682</v>
      </c>
      <c r="BU30" t="n">
        <v>1.3819449919264</v>
      </c>
      <c r="BV30" t="n">
        <v>1.17951521548506</v>
      </c>
      <c r="BW30" t="n">
        <v>99.6621843065608</v>
      </c>
      <c r="BX30" t="n">
        <v>90279.099716375</v>
      </c>
      <c r="BY30" t="n">
        <v>1.58049487956484</v>
      </c>
      <c r="BZ30" t="n">
        <v>142685.654833454</v>
      </c>
      <c r="CA30" t="n">
        <v>10635.4801281517</v>
      </c>
      <c r="CB30" t="n">
        <v>15962.9273050483</v>
      </c>
      <c r="CC30" t="n">
        <v>16897.9631137946</v>
      </c>
      <c r="CD30" t="n">
        <v>935.035808746257</v>
      </c>
      <c r="CE30" t="n">
        <v>0.0553342236378556</v>
      </c>
      <c r="CF30" t="n">
        <v>11899446.5760084</v>
      </c>
      <c r="CG30" t="n">
        <v>519334.124083937</v>
      </c>
      <c r="CH30" t="n">
        <v>691231.732146694</v>
      </c>
      <c r="CI30" t="n">
        <v>394221.58610632</v>
      </c>
      <c r="CJ30" t="n">
        <v>30092.9843014733</v>
      </c>
      <c r="CK30" t="n">
        <v>1083717.81682685</v>
      </c>
      <c r="CL30" t="n">
        <v>0.0927627079330686</v>
      </c>
      <c r="CM30" t="n">
        <v>10.7801941349269</v>
      </c>
      <c r="CN30" t="n">
        <v>1258942.11814356</v>
      </c>
      <c r="CO30" t="n">
        <v>3307106.90090516</v>
      </c>
      <c r="CP30" t="n">
        <v>3460059.48907238</v>
      </c>
      <c r="CQ30" t="n">
        <v>4566049.01904873</v>
      </c>
      <c r="CR30" t="n">
        <v>10113585.0024383</v>
      </c>
      <c r="CS30" t="n">
        <v>-0.0074321330490547</v>
      </c>
      <c r="CT30" t="n">
        <v>0.00563186495406173</v>
      </c>
      <c r="CU30" t="n">
        <v>0.0545218081285735</v>
      </c>
      <c r="CV30" t="n">
        <v>1.83682134536049</v>
      </c>
      <c r="CW30" t="n">
        <v>0.0545218081285735</v>
      </c>
      <c r="CX30" t="n">
        <v>0.039440022763365</v>
      </c>
      <c r="CY30" t="n">
        <v>0.0187275728934862</v>
      </c>
      <c r="CZ30" t="n">
        <v>-0.0130957079394244</v>
      </c>
      <c r="DA30" t="n">
        <v>0.480529594633628</v>
      </c>
      <c r="DB30" t="n">
        <v>6.72428340535624</v>
      </c>
      <c r="DC30" t="n">
        <v>0.049094107696779</v>
      </c>
      <c r="DD30" t="n">
        <v>0.0334494228462657</v>
      </c>
      <c r="DE30" t="n">
        <v>0.00727454663634575</v>
      </c>
      <c r="DF30" t="n">
        <v>0.140564006816344</v>
      </c>
      <c r="DG30" t="n">
        <v>225483.031859392</v>
      </c>
      <c r="DH30" t="n">
        <v>138.737171836421</v>
      </c>
      <c r="DI30" t="n">
        <v>4.97296252042895</v>
      </c>
      <c r="DJ30" t="n">
        <v>4.28856929311929</v>
      </c>
      <c r="DK30" t="n">
        <v>0.0484267358713257</v>
      </c>
      <c r="DL30" t="n">
        <v>0.669440030437354</v>
      </c>
      <c r="DM30" t="n">
        <v>1.40955426370506</v>
      </c>
      <c r="DN30" t="n">
        <v>0.0399169327369503</v>
      </c>
      <c r="DO30" t="n">
        <v>0.0374213819593254</v>
      </c>
      <c r="DP30" t="n">
        <v>30271.15</v>
      </c>
      <c r="DQ30" t="n">
        <v>25392.1559272745</v>
      </c>
      <c r="DR30" t="n">
        <v>180102.97495745</v>
      </c>
      <c r="DS30" t="n">
        <v>31798.4408376741</v>
      </c>
      <c r="DT30" t="n">
        <v>13581.6160642677</v>
      </c>
      <c r="DU30" t="n">
        <v>0</v>
      </c>
      <c r="DV30" t="n">
        <v>57.775</v>
      </c>
      <c r="DW30" t="n">
        <v>208288.96</v>
      </c>
      <c r="DX30" t="n">
        <v>2.37721280863348</v>
      </c>
      <c r="DY30" t="n">
        <v>73.306</v>
      </c>
      <c r="DZ30" t="n">
        <v>1.02062376390299</v>
      </c>
      <c r="EA30" t="n">
        <v>1.20449936397015</v>
      </c>
      <c r="EB30" t="n">
        <v>180011806.243249</v>
      </c>
      <c r="EC30" t="n">
        <v>3.16578023222883</v>
      </c>
      <c r="ED30" t="n">
        <v>0.0435</v>
      </c>
      <c r="EE30" t="n">
        <v>0.0304926484848485</v>
      </c>
      <c r="EF30" t="n">
        <v>0.03050813492075</v>
      </c>
      <c r="EG30" t="n">
        <v>0.0441803333333333</v>
      </c>
      <c r="EH30" t="n">
        <v>792646.895210637</v>
      </c>
      <c r="EI30" t="n">
        <v>422200.805510038</v>
      </c>
      <c r="EJ30" t="n">
        <v>1318.01005429481</v>
      </c>
      <c r="EK30" t="n">
        <v>1.38865458586239</v>
      </c>
      <c r="EL30" t="n">
        <v>3.87967494958337</v>
      </c>
    </row>
    <row r="31">
      <c r="A31" s="2" t="n">
        <v>48639</v>
      </c>
      <c r="B31" t="n">
        <v>427360.250800108</v>
      </c>
      <c r="C31" t="n">
        <v>39574.8636973929</v>
      </c>
      <c r="D31" t="n">
        <v>26951.4304009709</v>
      </c>
      <c r="E31" t="n">
        <v>248782.372189342</v>
      </c>
      <c r="F31" t="n">
        <v>61688.5752385096</v>
      </c>
      <c r="G31" t="n">
        <v>15051.1917911529</v>
      </c>
      <c r="H31" t="n">
        <v>72345.0250992794</v>
      </c>
      <c r="I31" t="n">
        <v>83237.4509539885</v>
      </c>
      <c r="J31" t="n">
        <v>99745.7266287007</v>
      </c>
      <c r="K31" t="n">
        <v>395.740074676756</v>
      </c>
      <c r="L31" t="n">
        <v>5351.40155251657</v>
      </c>
      <c r="M31" t="n">
        <v>0.665416462469405</v>
      </c>
      <c r="N31" t="n">
        <v>35661.4931649903</v>
      </c>
      <c r="O31" t="n">
        <v>197.394813030331</v>
      </c>
      <c r="P31" t="n">
        <v>2.12395369678267</v>
      </c>
      <c r="Q31" t="n">
        <v>1.67872509495941</v>
      </c>
      <c r="R31" t="n">
        <v>1.18939335788455</v>
      </c>
      <c r="S31" t="n">
        <v>0.0935093871807964</v>
      </c>
      <c r="T31" t="n">
        <v>6536.31676083212</v>
      </c>
      <c r="U31" t="n">
        <v>0.368470783083908</v>
      </c>
      <c r="V31" t="n">
        <v>0.521747225171385</v>
      </c>
      <c r="W31" t="n">
        <v>29723832.7602924</v>
      </c>
      <c r="X31" t="n">
        <v>91499.3072842934</v>
      </c>
      <c r="Y31" t="n">
        <v>4383843.11861897</v>
      </c>
      <c r="Z31" t="n">
        <v>1332.69476931009</v>
      </c>
      <c r="AA31" t="n">
        <v>1.24516480999202</v>
      </c>
      <c r="AB31" t="n">
        <v>1.20535240118624</v>
      </c>
      <c r="AC31" t="n">
        <v>1.4209980234682</v>
      </c>
      <c r="AD31" t="n">
        <v>1.58305361571727</v>
      </c>
      <c r="AE31" t="n">
        <v>139.115891733034</v>
      </c>
      <c r="AF31" t="n">
        <v>103311.528374687</v>
      </c>
      <c r="AG31" t="n">
        <v>1595.20181134956</v>
      </c>
      <c r="AH31" t="n">
        <v>150.176815345014</v>
      </c>
      <c r="AI31" t="n">
        <v>79484.8807317647</v>
      </c>
      <c r="AJ31" t="n">
        <v>113903.786503299</v>
      </c>
      <c r="AK31" t="n">
        <v>612.705942201122</v>
      </c>
      <c r="AL31" t="n">
        <v>30304.7417991265</v>
      </c>
      <c r="AM31" t="n">
        <v>18454.2134165194</v>
      </c>
      <c r="AN31" t="n">
        <v>1.01504343314329</v>
      </c>
      <c r="AO31" t="n">
        <v>1.149346251592</v>
      </c>
      <c r="AP31" t="n">
        <v>1.31490389399542</v>
      </c>
      <c r="AQ31" t="n">
        <v>1.40195918701659</v>
      </c>
      <c r="AR31" t="n">
        <v>36785.2269949928</v>
      </c>
      <c r="AS31" t="n">
        <v>202553.034821691</v>
      </c>
      <c r="AT31" t="n">
        <v>0.0312523518173651</v>
      </c>
      <c r="AU31" t="n">
        <v>0.0434521639253637</v>
      </c>
      <c r="AV31" t="n">
        <v>0.278791228989827</v>
      </c>
      <c r="AW31" t="n">
        <v>888.612360439292</v>
      </c>
      <c r="AX31" t="n">
        <v>11970.1355055283</v>
      </c>
      <c r="AY31" t="n">
        <v>20071.4615063545</v>
      </c>
      <c r="AZ31" t="n">
        <v>184317.628546567</v>
      </c>
      <c r="BA31" t="n">
        <v>599141.631215169</v>
      </c>
      <c r="BB31" t="n">
        <v>256683.278934046</v>
      </c>
      <c r="BC31" t="n">
        <v>282701.062302756</v>
      </c>
      <c r="BD31" t="n">
        <v>112080.48718173</v>
      </c>
      <c r="BE31" t="n">
        <v>21.5395534821217</v>
      </c>
      <c r="BF31" t="n">
        <v>62649.131067676</v>
      </c>
      <c r="BG31" t="n">
        <v>25424.0135579563</v>
      </c>
      <c r="BH31" t="n">
        <v>33558.9727142382</v>
      </c>
      <c r="BI31" t="n">
        <v>95807.290962275</v>
      </c>
      <c r="BJ31" t="n">
        <v>55970.475444489</v>
      </c>
      <c r="BK31" t="n">
        <v>101246.244798569</v>
      </c>
      <c r="BL31" t="n">
        <v>33694.4661232292</v>
      </c>
      <c r="BM31" t="n">
        <v>21210.2810163554</v>
      </c>
      <c r="BN31" t="n">
        <v>51174.0965601051</v>
      </c>
      <c r="BO31" t="n">
        <v>218914.648498259</v>
      </c>
      <c r="BP31" t="n">
        <v>240915.234236277</v>
      </c>
      <c r="BQ31" t="n">
        <v>1107234.20815783</v>
      </c>
      <c r="BR31" t="n">
        <v>793874.03583562</v>
      </c>
      <c r="BS31" t="n">
        <v>812539.416419429</v>
      </c>
      <c r="BT31" t="n">
        <v>139.038749937247</v>
      </c>
      <c r="BU31" t="n">
        <v>1.39472277999806</v>
      </c>
      <c r="BV31" t="n">
        <v>1.1877032610744</v>
      </c>
      <c r="BW31" t="n">
        <v>99.8579026191004</v>
      </c>
      <c r="BX31" t="n">
        <v>90928.3162877216</v>
      </c>
      <c r="BY31" t="n">
        <v>1.60569990966415</v>
      </c>
      <c r="BZ31" t="n">
        <v>146003.589249108</v>
      </c>
      <c r="CA31" t="n">
        <v>10658.6955324448</v>
      </c>
      <c r="CB31" t="n">
        <v>16010.0970849613</v>
      </c>
      <c r="CC31" t="n">
        <v>16948.129864092</v>
      </c>
      <c r="CD31" t="n">
        <v>938.032779130679</v>
      </c>
      <c r="CE31" t="n">
        <v>0.0553472655612472</v>
      </c>
      <c r="CF31" t="n">
        <v>11934658.0868709</v>
      </c>
      <c r="CG31" t="n">
        <v>525491.924231173</v>
      </c>
      <c r="CH31" t="n">
        <v>698838.992113279</v>
      </c>
      <c r="CI31" t="n">
        <v>399536.841449373</v>
      </c>
      <c r="CJ31" t="n">
        <v>30424.1686845176</v>
      </c>
      <c r="CK31" t="n">
        <v>1097721.05811676</v>
      </c>
      <c r="CL31" t="n">
        <v>0.0937387162557159</v>
      </c>
      <c r="CM31" t="n">
        <v>10.6679506605578</v>
      </c>
      <c r="CN31" t="n">
        <v>1265245.5143556</v>
      </c>
      <c r="CO31" t="n">
        <v>3333032.54190264</v>
      </c>
      <c r="CP31" t="n">
        <v>3471752.2346134</v>
      </c>
      <c r="CQ31" t="n">
        <v>4598278.05625824</v>
      </c>
      <c r="CR31" t="n">
        <v>10157506.7851889</v>
      </c>
      <c r="CS31" t="n">
        <v>-0.00765391698874798</v>
      </c>
      <c r="CT31" t="n">
        <v>0.00454589511925069</v>
      </c>
      <c r="CU31" t="n">
        <v>0.0546031183746833</v>
      </c>
      <c r="CV31" t="n">
        <v>1.85453819945612</v>
      </c>
      <c r="CW31" t="n">
        <v>0.0546031183746833</v>
      </c>
      <c r="CX31" t="n">
        <v>0.039440022763365</v>
      </c>
      <c r="CY31" t="n">
        <v>0.0188638103583651</v>
      </c>
      <c r="CZ31" t="n">
        <v>-0.0143179152391144</v>
      </c>
      <c r="DA31" t="n">
        <v>0.476874611487004</v>
      </c>
      <c r="DB31" t="n">
        <v>6.75141736933744</v>
      </c>
      <c r="DC31" t="n">
        <v>0.0489818430673651</v>
      </c>
      <c r="DD31" t="n">
        <v>0.0333677818146116</v>
      </c>
      <c r="DE31" t="n">
        <v>0.00720238575353658</v>
      </c>
      <c r="DF31" t="n">
        <v>0.14125555561646</v>
      </c>
      <c r="DG31" t="n">
        <v>226150.256017668</v>
      </c>
      <c r="DH31" t="n">
        <v>139.872835482899</v>
      </c>
      <c r="DI31" t="n">
        <v>4.98128822915738</v>
      </c>
      <c r="DJ31" t="n">
        <v>4.29395769185927</v>
      </c>
      <c r="DK31" t="n">
        <v>0.0484267358713257</v>
      </c>
      <c r="DL31" t="n">
        <v>0.669440030437354</v>
      </c>
      <c r="DM31" t="n">
        <v>1.42372613493103</v>
      </c>
      <c r="DN31" t="n">
        <v>0.0399169327369503</v>
      </c>
      <c r="DO31" t="n">
        <v>0.0374213819593254</v>
      </c>
      <c r="DP31" t="n">
        <v>30360.725</v>
      </c>
      <c r="DQ31" t="n">
        <v>25469.9587701759</v>
      </c>
      <c r="DR31" t="n">
        <v>180635.915528978</v>
      </c>
      <c r="DS31" t="n">
        <v>31892.5352258304</v>
      </c>
      <c r="DT31" t="n">
        <v>13621.8052628597</v>
      </c>
      <c r="DU31" t="n">
        <v>0</v>
      </c>
      <c r="DV31" t="n">
        <v>57.775</v>
      </c>
      <c r="DW31" t="n">
        <v>208288.96</v>
      </c>
      <c r="DX31" t="n">
        <v>2.38901075313767</v>
      </c>
      <c r="DY31" t="n">
        <v>73.306</v>
      </c>
      <c r="DZ31" t="n">
        <v>1.02062376390299</v>
      </c>
      <c r="EA31" t="n">
        <v>1.20449936397015</v>
      </c>
      <c r="EB31" t="n">
        <v>181251529.323957</v>
      </c>
      <c r="EC31" t="n">
        <v>3.16578023222883</v>
      </c>
      <c r="ED31" t="n">
        <v>0.0435</v>
      </c>
      <c r="EE31" t="n">
        <v>0.0304926484848485</v>
      </c>
      <c r="EF31" t="n">
        <v>0.03050813492075</v>
      </c>
      <c r="EG31" t="n">
        <v>0.0441803333333333</v>
      </c>
      <c r="EH31" t="n">
        <v>795054.044905472</v>
      </c>
      <c r="EI31" t="n">
        <v>425193.807303524</v>
      </c>
      <c r="EJ31" t="n">
        <v>1334.95673947043</v>
      </c>
      <c r="EK31" t="n">
        <v>1.38392456468617</v>
      </c>
      <c r="EL31" t="n">
        <v>3.8906268806113</v>
      </c>
    </row>
    <row r="32">
      <c r="A32" s="2" t="n">
        <v>48731</v>
      </c>
      <c r="B32" t="n">
        <v>430071.644645782</v>
      </c>
      <c r="C32" t="n">
        <v>39737.5408647172</v>
      </c>
      <c r="D32" t="n">
        <v>27133.9280657061</v>
      </c>
      <c r="E32" t="n">
        <v>249684.783190091</v>
      </c>
      <c r="F32" t="n">
        <v>62534.8573040959</v>
      </c>
      <c r="G32" t="n">
        <v>15202.3765096586</v>
      </c>
      <c r="H32" t="n">
        <v>73311.4164158795</v>
      </c>
      <c r="I32" t="n">
        <v>83604.7752130088</v>
      </c>
      <c r="J32" t="n">
        <v>99830.3323457842</v>
      </c>
      <c r="K32" t="n">
        <v>395.355324792054</v>
      </c>
      <c r="L32" t="n">
        <v>5375.3728929157</v>
      </c>
      <c r="M32" t="n">
        <v>0.665376240024433</v>
      </c>
      <c r="N32" t="n">
        <v>35981.6872041953</v>
      </c>
      <c r="O32" t="n">
        <v>199.304926863459</v>
      </c>
      <c r="P32" t="n">
        <v>2.16097396595958</v>
      </c>
      <c r="Q32" t="n">
        <v>1.69531684757602</v>
      </c>
      <c r="R32" t="n">
        <v>1.19567683851153</v>
      </c>
      <c r="S32" t="n">
        <v>0.0938081533889731</v>
      </c>
      <c r="T32" t="n">
        <v>6491.84252098999</v>
      </c>
      <c r="U32" t="n">
        <v>0.36721656040722</v>
      </c>
      <c r="V32" t="n">
        <v>0.517539705730363</v>
      </c>
      <c r="W32" t="n">
        <v>30200260.038033</v>
      </c>
      <c r="X32" t="n">
        <v>92972.1170893882</v>
      </c>
      <c r="Y32" t="n">
        <v>4389017.23062986</v>
      </c>
      <c r="Z32" t="n">
        <v>1351.06785744011</v>
      </c>
      <c r="AA32" t="n">
        <v>1.25250249568483</v>
      </c>
      <c r="AB32" t="n">
        <v>1.21139751476918</v>
      </c>
      <c r="AC32" t="n">
        <v>1.43427705672525</v>
      </c>
      <c r="AD32" t="n">
        <v>1.59909573409935</v>
      </c>
      <c r="AE32" t="n">
        <v>140.331102826281</v>
      </c>
      <c r="AF32" t="n">
        <v>104647.51861124</v>
      </c>
      <c r="AG32" t="n">
        <v>1626.44320477033</v>
      </c>
      <c r="AH32" t="n">
        <v>152.574305394378</v>
      </c>
      <c r="AI32" t="n">
        <v>80027.211788574</v>
      </c>
      <c r="AJ32" t="n">
        <v>115475.887526689</v>
      </c>
      <c r="AK32" t="n">
        <v>615.03537089184</v>
      </c>
      <c r="AL32" t="n">
        <v>30643.4994942641</v>
      </c>
      <c r="AM32" t="n">
        <v>18401.6264239328</v>
      </c>
      <c r="AN32" t="n">
        <v>1.02124543360104</v>
      </c>
      <c r="AO32" t="n">
        <v>1.15731380655537</v>
      </c>
      <c r="AP32" t="n">
        <v>1.32404066141641</v>
      </c>
      <c r="AQ32" t="n">
        <v>1.41421933193609</v>
      </c>
      <c r="AR32" t="n">
        <v>36909.2006195573</v>
      </c>
      <c r="AS32" t="n">
        <v>204450.972474851</v>
      </c>
      <c r="AT32" t="n">
        <v>0.0311982967626562</v>
      </c>
      <c r="AU32" t="n">
        <v>0.0425387610448599</v>
      </c>
      <c r="AV32" t="n">
        <v>0.279563529662902</v>
      </c>
      <c r="AW32" t="n">
        <v>902.411000748863</v>
      </c>
      <c r="AX32" t="n">
        <v>12019.3401661284</v>
      </c>
      <c r="AY32" t="n">
        <v>20138.5697550929</v>
      </c>
      <c r="AZ32" t="n">
        <v>184540.729144367</v>
      </c>
      <c r="BA32" t="n">
        <v>608215.635484794</v>
      </c>
      <c r="BB32" t="n">
        <v>259846.333698115</v>
      </c>
      <c r="BC32" t="n">
        <v>286339.668335138</v>
      </c>
      <c r="BD32" t="n">
        <v>112410.070333604</v>
      </c>
      <c r="BE32" t="n">
        <v>21.5739011399926</v>
      </c>
      <c r="BF32" t="n">
        <v>63544.1320803679</v>
      </c>
      <c r="BG32" t="n">
        <v>25973.4811870158</v>
      </c>
      <c r="BH32" t="n">
        <v>33985.3126200297</v>
      </c>
      <c r="BI32" t="n">
        <v>96944.7645486418</v>
      </c>
      <c r="BJ32" t="n">
        <v>56430.6901042255</v>
      </c>
      <c r="BK32" t="n">
        <v>101951.271043006</v>
      </c>
      <c r="BL32" t="n">
        <v>34141.256591894</v>
      </c>
      <c r="BM32" t="n">
        <v>21296.4563234916</v>
      </c>
      <c r="BN32" t="n">
        <v>51795.0882737894</v>
      </c>
      <c r="BO32" t="n">
        <v>220773.632232181</v>
      </c>
      <c r="BP32" t="n">
        <v>244457.292399337</v>
      </c>
      <c r="BQ32" t="n">
        <v>1121256.68955603</v>
      </c>
      <c r="BR32" t="n">
        <v>796528.326599885</v>
      </c>
      <c r="BS32" t="n">
        <v>816868.543109336</v>
      </c>
      <c r="BT32" t="n">
        <v>140.224964841241</v>
      </c>
      <c r="BU32" t="n">
        <v>1.40767960809104</v>
      </c>
      <c r="BV32" t="n">
        <v>1.19634095549427</v>
      </c>
      <c r="BW32" t="n">
        <v>100.055543183689</v>
      </c>
      <c r="BX32" t="n">
        <v>91505.212423285</v>
      </c>
      <c r="BY32" t="n">
        <v>1.63133402333769</v>
      </c>
      <c r="BZ32" t="n">
        <v>149275.566338848</v>
      </c>
      <c r="CA32" t="n">
        <v>10681.6606729821</v>
      </c>
      <c r="CB32" t="n">
        <v>16057.0335658978</v>
      </c>
      <c r="CC32" t="n">
        <v>16998.8840273109</v>
      </c>
      <c r="CD32" t="n">
        <v>941.850461413065</v>
      </c>
      <c r="CE32" t="n">
        <v>0.0554065973024424</v>
      </c>
      <c r="CF32" t="n">
        <v>11969869.5977334</v>
      </c>
      <c r="CG32" t="n">
        <v>531764.567888582</v>
      </c>
      <c r="CH32" t="n">
        <v>706597.920030865</v>
      </c>
      <c r="CI32" t="n">
        <v>404652.476011432</v>
      </c>
      <c r="CJ32" t="n">
        <v>30761.9559780712</v>
      </c>
      <c r="CK32" t="n">
        <v>1111623.06096714</v>
      </c>
      <c r="CL32" t="n">
        <v>0.0947397243391617</v>
      </c>
      <c r="CM32" t="n">
        <v>10.5552344275361</v>
      </c>
      <c r="CN32" t="n">
        <v>1271626.9141249</v>
      </c>
      <c r="CO32" t="n">
        <v>3359104.46783453</v>
      </c>
      <c r="CP32" t="n">
        <v>3483504.59322543</v>
      </c>
      <c r="CQ32" t="n">
        <v>4630731.38195943</v>
      </c>
      <c r="CR32" t="n">
        <v>10201712.4695021</v>
      </c>
      <c r="CS32" t="n">
        <v>-0.00786397534870608</v>
      </c>
      <c r="CT32" t="n">
        <v>0.00347648893349767</v>
      </c>
      <c r="CU32" t="n">
        <v>0.0547458812776108</v>
      </c>
      <c r="CV32" t="n">
        <v>1.87248385372364</v>
      </c>
      <c r="CW32" t="n">
        <v>0.0547458812776108</v>
      </c>
      <c r="CX32" t="n">
        <v>0.039440022763365</v>
      </c>
      <c r="CY32" t="n">
        <v>0.019000022763365</v>
      </c>
      <c r="CZ32" t="n">
        <v>-0.0155235338298673</v>
      </c>
      <c r="DA32" t="n">
        <v>0.473047312851111</v>
      </c>
      <c r="DB32" t="n">
        <v>6.77889843819923</v>
      </c>
      <c r="DC32" t="n">
        <v>0.0489277880126562</v>
      </c>
      <c r="DD32" t="n">
        <v>0.0333239719398761</v>
      </c>
      <c r="DE32" t="n">
        <v>0.00713499490175855</v>
      </c>
      <c r="DF32" t="n">
        <v>0.141975339521123</v>
      </c>
      <c r="DG32" t="n">
        <v>226817.480175945</v>
      </c>
      <c r="DH32" t="n">
        <v>141.070791022766</v>
      </c>
      <c r="DI32" t="n">
        <v>4.98998967566403</v>
      </c>
      <c r="DJ32" t="n">
        <v>4.29972182837746</v>
      </c>
      <c r="DK32" t="n">
        <v>0.0484267358713257</v>
      </c>
      <c r="DL32" t="n">
        <v>0.669440030437354</v>
      </c>
      <c r="DM32" t="n">
        <v>1.4380404922884</v>
      </c>
      <c r="DN32" t="n">
        <v>0.0399169327369503</v>
      </c>
      <c r="DO32" t="n">
        <v>0.0374213819593254</v>
      </c>
      <c r="DP32" t="n">
        <v>30450.3</v>
      </c>
      <c r="DQ32" t="n">
        <v>25547.77733976</v>
      </c>
      <c r="DR32" t="n">
        <v>181168.856100506</v>
      </c>
      <c r="DS32" t="n">
        <v>31986.6296139866</v>
      </c>
      <c r="DT32" t="n">
        <v>13661.9944614517</v>
      </c>
      <c r="DU32" t="n">
        <v>0</v>
      </c>
      <c r="DV32" t="n">
        <v>57.775</v>
      </c>
      <c r="DW32" t="n">
        <v>208288.96</v>
      </c>
      <c r="DX32" t="n">
        <v>2.40086725003314</v>
      </c>
      <c r="DY32" t="n">
        <v>73.306</v>
      </c>
      <c r="DZ32" t="n">
        <v>1.02062376390299</v>
      </c>
      <c r="EA32" t="n">
        <v>1.20449936397015</v>
      </c>
      <c r="EB32" t="n">
        <v>182499790.251982</v>
      </c>
      <c r="EC32" t="n">
        <v>3.16578023222883</v>
      </c>
      <c r="ED32" t="n">
        <v>0.0435</v>
      </c>
      <c r="EE32" t="n">
        <v>0.0304926484848485</v>
      </c>
      <c r="EF32" t="n">
        <v>0.03050813492075</v>
      </c>
      <c r="EG32" t="n">
        <v>0.0441803333333333</v>
      </c>
      <c r="EH32" t="n">
        <v>797484.383647633</v>
      </c>
      <c r="EI32" t="n">
        <v>428178.757178292</v>
      </c>
      <c r="EJ32" t="n">
        <v>1352.13893702206</v>
      </c>
      <c r="EK32" t="n">
        <v>1.43313948337287</v>
      </c>
      <c r="EL32" t="n">
        <v>3.90622721113623</v>
      </c>
    </row>
    <row r="33">
      <c r="A33" s="2" t="n">
        <v>48823</v>
      </c>
      <c r="B33" t="n">
        <v>432810.305022509</v>
      </c>
      <c r="C33" t="n">
        <v>39906.3997087168</v>
      </c>
      <c r="D33" t="n">
        <v>27320.8638260166</v>
      </c>
      <c r="E33" t="n">
        <v>250572.147038975</v>
      </c>
      <c r="F33" t="n">
        <v>63421.4684969277</v>
      </c>
      <c r="G33" t="n">
        <v>15361.5877625722</v>
      </c>
      <c r="H33" t="n">
        <v>74300.281902143</v>
      </c>
      <c r="I33" t="n">
        <v>88130.6679966996</v>
      </c>
      <c r="J33" t="n">
        <v>99937.8366843475</v>
      </c>
      <c r="K33" t="n">
        <v>394.981316947374</v>
      </c>
      <c r="L33" t="n">
        <v>5399.41145426245</v>
      </c>
      <c r="M33" t="n">
        <v>0.665345047743474</v>
      </c>
      <c r="N33" t="n">
        <v>36302.2672054098</v>
      </c>
      <c r="O33" t="n">
        <v>201.243989917157</v>
      </c>
      <c r="P33" t="n">
        <v>2.19872287221181</v>
      </c>
      <c r="Q33" t="n">
        <v>1.71222855132902</v>
      </c>
      <c r="R33" t="n">
        <v>1.20234724784162</v>
      </c>
      <c r="S33" t="n">
        <v>0.0942278916261112</v>
      </c>
      <c r="T33" t="n">
        <v>6447.54289345086</v>
      </c>
      <c r="U33" t="n">
        <v>0.365837601091711</v>
      </c>
      <c r="V33" t="n">
        <v>0.513177332842779</v>
      </c>
      <c r="W33" t="n">
        <v>30686515.5478338</v>
      </c>
      <c r="X33" t="n">
        <v>94474.1524285325</v>
      </c>
      <c r="Y33" t="n">
        <v>4394344.16353747</v>
      </c>
      <c r="Z33" t="n">
        <v>1370.06683592327</v>
      </c>
      <c r="AA33" t="n">
        <v>1.25996671564382</v>
      </c>
      <c r="AB33" t="n">
        <v>1.21762396238967</v>
      </c>
      <c r="AC33" t="n">
        <v>1.44760199057611</v>
      </c>
      <c r="AD33" t="n">
        <v>1.61550536091552</v>
      </c>
      <c r="AE33" t="n">
        <v>141.557790472351</v>
      </c>
      <c r="AF33" t="n">
        <v>106015.126229305</v>
      </c>
      <c r="AG33" t="n">
        <v>1658.09841759175</v>
      </c>
      <c r="AH33" t="n">
        <v>155.016567029053</v>
      </c>
      <c r="AI33" t="n">
        <v>80548.3104067652</v>
      </c>
      <c r="AJ33" t="n">
        <v>116958.558742841</v>
      </c>
      <c r="AK33" t="n">
        <v>618.014377559827</v>
      </c>
      <c r="AL33" t="n">
        <v>30989.2587146117</v>
      </c>
      <c r="AM33" t="n">
        <v>18350.9539899893</v>
      </c>
      <c r="AN33" t="n">
        <v>1.02806500855253</v>
      </c>
      <c r="AO33" t="n">
        <v>1.16543482339294</v>
      </c>
      <c r="AP33" t="n">
        <v>1.33332978858513</v>
      </c>
      <c r="AQ33" t="n">
        <v>1.42667472728762</v>
      </c>
      <c r="AR33" t="n">
        <v>37040.6378149689</v>
      </c>
      <c r="AS33" t="n">
        <v>206276.578665875</v>
      </c>
      <c r="AT33" t="n">
        <v>0.0312965268498377</v>
      </c>
      <c r="AU33" t="n">
        <v>0.041693373686652</v>
      </c>
      <c r="AV33" t="n">
        <v>0.279780934200206</v>
      </c>
      <c r="AW33" t="n">
        <v>887.3638488836</v>
      </c>
      <c r="AX33" t="n">
        <v>12070.414586989</v>
      </c>
      <c r="AY33" t="n">
        <v>20208.0512141276</v>
      </c>
      <c r="AZ33" t="n">
        <v>184798.479703433</v>
      </c>
      <c r="BA33" t="n">
        <v>617479.525479188</v>
      </c>
      <c r="BB33" t="n">
        <v>263028.652777671</v>
      </c>
      <c r="BC33" t="n">
        <v>290087.72310556</v>
      </c>
      <c r="BD33" t="n">
        <v>116817.278594945</v>
      </c>
      <c r="BE33" t="n">
        <v>22.0332003507227</v>
      </c>
      <c r="BF33" t="n">
        <v>64469.0026642696</v>
      </c>
      <c r="BG33" t="n">
        <v>26539.4966294918</v>
      </c>
      <c r="BH33" t="n">
        <v>34423.3790634181</v>
      </c>
      <c r="BI33" t="n">
        <v>98077.5519157514</v>
      </c>
      <c r="BJ33" t="n">
        <v>56865.3377960676</v>
      </c>
      <c r="BK33" t="n">
        <v>102742.592925615</v>
      </c>
      <c r="BL33" t="n">
        <v>34600.8022555484</v>
      </c>
      <c r="BM33" t="n">
        <v>21386.8408224151</v>
      </c>
      <c r="BN33" t="n">
        <v>52433.9084677362</v>
      </c>
      <c r="BO33" t="n">
        <v>222753.704471315</v>
      </c>
      <c r="BP33" t="n">
        <v>248016.0766531</v>
      </c>
      <c r="BQ33" t="n">
        <v>1135620.57414407</v>
      </c>
      <c r="BR33" t="n">
        <v>799276.483460888</v>
      </c>
      <c r="BS33" t="n">
        <v>821184.554477399</v>
      </c>
      <c r="BT33" t="n">
        <v>141.429800032514</v>
      </c>
      <c r="BU33" t="n">
        <v>1.42081068251165</v>
      </c>
      <c r="BV33" t="n">
        <v>1.20538710507139</v>
      </c>
      <c r="BW33" t="n">
        <v>100.252826896325</v>
      </c>
      <c r="BX33" t="n">
        <v>92087.9099869296</v>
      </c>
      <c r="BY33" t="n">
        <v>1.65744683760376</v>
      </c>
      <c r="BZ33" t="n">
        <v>152630.815189376</v>
      </c>
      <c r="CA33" t="n">
        <v>10704.7517037674</v>
      </c>
      <c r="CB33" t="n">
        <v>16104.1631580298</v>
      </c>
      <c r="CC33" t="n">
        <v>17049.0799567285</v>
      </c>
      <c r="CD33" t="n">
        <v>944.916798698639</v>
      </c>
      <c r="CE33" t="n">
        <v>0.055423322310881</v>
      </c>
      <c r="CF33" t="n">
        <v>12004933.6978611</v>
      </c>
      <c r="CG33" t="n">
        <v>538077.049268702</v>
      </c>
      <c r="CH33" t="n">
        <v>718957.716611427</v>
      </c>
      <c r="CI33" t="n">
        <v>409990.061405723</v>
      </c>
      <c r="CJ33" t="n">
        <v>31300.0434922441</v>
      </c>
      <c r="CK33" t="n">
        <v>1125863.53373476</v>
      </c>
      <c r="CL33" t="n">
        <v>0.0958526973411188</v>
      </c>
      <c r="CM33" t="n">
        <v>10.4326745906922</v>
      </c>
      <c r="CN33" t="n">
        <v>1278087.06443063</v>
      </c>
      <c r="CO33" t="n">
        <v>3385300.9135406</v>
      </c>
      <c r="CP33" t="n">
        <v>3495325.44600001</v>
      </c>
      <c r="CQ33" t="n">
        <v>4663387.97797123</v>
      </c>
      <c r="CR33" t="n">
        <v>10246189.9182884</v>
      </c>
      <c r="CS33" t="n">
        <v>-0.00791901447066827</v>
      </c>
      <c r="CT33" t="n">
        <v>0.00247783236614606</v>
      </c>
      <c r="CU33" t="n">
        <v>0.0550123503056052</v>
      </c>
      <c r="CV33" t="n">
        <v>1.89070148796151</v>
      </c>
      <c r="CW33" t="n">
        <v>0.0550123503056052</v>
      </c>
      <c r="CX33" t="n">
        <v>0.039440022763365</v>
      </c>
      <c r="CY33" t="n">
        <v>0.0191100583388133</v>
      </c>
      <c r="CZ33" t="n">
        <v>-0.0166322259726673</v>
      </c>
      <c r="DA33" t="n">
        <v>0.469070808723475</v>
      </c>
      <c r="DB33" t="n">
        <v>6.80798883229884</v>
      </c>
      <c r="DC33" t="n">
        <v>0.0490260180998377</v>
      </c>
      <c r="DD33" t="n">
        <v>0.0333836962347561</v>
      </c>
      <c r="DE33" t="n">
        <v>0.00707271761437025</v>
      </c>
      <c r="DF33" t="n">
        <v>0.142804385381429</v>
      </c>
      <c r="DG33" t="n">
        <v>227481.911043019</v>
      </c>
      <c r="DH33" t="n">
        <v>142.254614299034</v>
      </c>
      <c r="DI33" t="n">
        <v>4.99851966770991</v>
      </c>
      <c r="DJ33" t="n">
        <v>4.30531451043489</v>
      </c>
      <c r="DK33" t="n">
        <v>0.0484267358713257</v>
      </c>
      <c r="DL33" t="n">
        <v>0.669440030437354</v>
      </c>
      <c r="DM33" t="n">
        <v>1.45249876835425</v>
      </c>
      <c r="DN33" t="n">
        <v>0.0399169327369503</v>
      </c>
      <c r="DO33" t="n">
        <v>0.0374213819593254</v>
      </c>
      <c r="DP33" t="n">
        <v>30539.5</v>
      </c>
      <c r="DQ33" t="n">
        <v>25624.41850969</v>
      </c>
      <c r="DR33" t="n">
        <v>181699.565550468</v>
      </c>
      <c r="DS33" t="n">
        <v>32080.3300820137</v>
      </c>
      <c r="DT33" t="n">
        <v>13702.0154105379</v>
      </c>
      <c r="DU33" t="n">
        <v>0</v>
      </c>
      <c r="DV33" t="n">
        <v>58.1</v>
      </c>
      <c r="DW33" t="n">
        <v>208288.96</v>
      </c>
      <c r="DX33" t="n">
        <v>2.4127825899114</v>
      </c>
      <c r="DY33" t="n">
        <v>73.306</v>
      </c>
      <c r="DZ33" t="n">
        <v>1.02062376390299</v>
      </c>
      <c r="EA33" t="n">
        <v>1.20449936397015</v>
      </c>
      <c r="EB33" t="n">
        <v>183756647.826614</v>
      </c>
      <c r="EC33" t="n">
        <v>3.16578023222883</v>
      </c>
      <c r="ED33" t="n">
        <v>0.0435</v>
      </c>
      <c r="EE33" t="n">
        <v>0.0304926484848485</v>
      </c>
      <c r="EF33" t="n">
        <v>0.03050813492075</v>
      </c>
      <c r="EG33" t="n">
        <v>0.0441803333333333</v>
      </c>
      <c r="EH33" t="n">
        <v>799957.092136702</v>
      </c>
      <c r="EI33" t="n">
        <v>431156.623696878</v>
      </c>
      <c r="EJ33" t="n">
        <v>1369.66155954335</v>
      </c>
      <c r="EK33" t="n">
        <v>1.39926354597506</v>
      </c>
      <c r="EL33" t="n">
        <v>3.9215541320506</v>
      </c>
    </row>
    <row r="34">
      <c r="A34" s="2" t="n">
        <v>48914</v>
      </c>
      <c r="B34" t="n">
        <v>435654.380400393</v>
      </c>
      <c r="C34" t="n">
        <v>40081.2831975642</v>
      </c>
      <c r="D34" t="n">
        <v>27509.479555609</v>
      </c>
      <c r="E34" t="n">
        <v>251463.744378572</v>
      </c>
      <c r="F34" t="n">
        <v>64346.699552447</v>
      </c>
      <c r="G34" t="n">
        <v>15526.7753667345</v>
      </c>
      <c r="H34" t="n">
        <v>75316.0691551573</v>
      </c>
      <c r="I34" t="n">
        <v>87756.9404120919</v>
      </c>
      <c r="J34" t="n">
        <v>100059.030710368</v>
      </c>
      <c r="K34" t="n">
        <v>394.618489129978</v>
      </c>
      <c r="L34" t="n">
        <v>5423.69573235817</v>
      </c>
      <c r="M34" t="n">
        <v>0.665324469772037</v>
      </c>
      <c r="N34" t="n">
        <v>36626.5902284406</v>
      </c>
      <c r="O34" t="n">
        <v>203.211414099388</v>
      </c>
      <c r="P34" t="n">
        <v>2.23723886033475</v>
      </c>
      <c r="Q34" t="n">
        <v>1.72940670547701</v>
      </c>
      <c r="R34" t="n">
        <v>1.2093255659783</v>
      </c>
      <c r="S34" t="n">
        <v>0.094791464031014</v>
      </c>
      <c r="T34" t="n">
        <v>6406.01854079376</v>
      </c>
      <c r="U34" t="n">
        <v>0.364388882034349</v>
      </c>
      <c r="V34" t="n">
        <v>0.508738842236853</v>
      </c>
      <c r="W34" t="n">
        <v>31183501.5479016</v>
      </c>
      <c r="X34" t="n">
        <v>96007.3973784974</v>
      </c>
      <c r="Y34" t="n">
        <v>4400094.43258326</v>
      </c>
      <c r="Z34" t="n">
        <v>1389.64486268454</v>
      </c>
      <c r="AA34" t="n">
        <v>1.26756249370936</v>
      </c>
      <c r="AB34" t="n">
        <v>1.2239948829257</v>
      </c>
      <c r="AC34" t="n">
        <v>1.46101955038065</v>
      </c>
      <c r="AD34" t="n">
        <v>1.63234961024769</v>
      </c>
      <c r="AE34" t="n">
        <v>142.792888235898</v>
      </c>
      <c r="AF34" t="n">
        <v>107410.107125632</v>
      </c>
      <c r="AG34" t="n">
        <v>1689.6517642752</v>
      </c>
      <c r="AH34" t="n">
        <v>157.500095971305</v>
      </c>
      <c r="AI34" t="n">
        <v>81061.392261798</v>
      </c>
      <c r="AJ34" t="n">
        <v>118358.109927802</v>
      </c>
      <c r="AK34" t="n">
        <v>621.019315953175</v>
      </c>
      <c r="AL34" t="n">
        <v>31348.702318496</v>
      </c>
      <c r="AM34" t="n">
        <v>18303.0108688845</v>
      </c>
      <c r="AN34" t="n">
        <v>1.03533110581697</v>
      </c>
      <c r="AO34" t="n">
        <v>1.17370690359125</v>
      </c>
      <c r="AP34" t="n">
        <v>1.3427737341419</v>
      </c>
      <c r="AQ34" t="n">
        <v>1.43932067234223</v>
      </c>
      <c r="AR34" t="n">
        <v>37182.1088605784</v>
      </c>
      <c r="AS34" t="n">
        <v>208126.568088835</v>
      </c>
      <c r="AT34" t="n">
        <v>0.0315452577287459</v>
      </c>
      <c r="AU34" t="n">
        <v>0.0409205238631088</v>
      </c>
      <c r="AV34" t="n">
        <v>0.279420790994471</v>
      </c>
      <c r="AW34" t="n">
        <v>891.597339597734</v>
      </c>
      <c r="AX34" t="n">
        <v>12123.3112709849</v>
      </c>
      <c r="AY34" t="n">
        <v>20280.8599534494</v>
      </c>
      <c r="AZ34" t="n">
        <v>185086.010393281</v>
      </c>
      <c r="BA34" t="n">
        <v>627046.357298992</v>
      </c>
      <c r="BB34" t="n">
        <v>266241.994446869</v>
      </c>
      <c r="BC34" t="n">
        <v>293948.353518467</v>
      </c>
      <c r="BD34" t="n">
        <v>116251.612281998</v>
      </c>
      <c r="BE34" t="n">
        <v>21.9742491789907</v>
      </c>
      <c r="BF34" t="n">
        <v>65426.6670057712</v>
      </c>
      <c r="BG34" t="n">
        <v>27122.7430913818</v>
      </c>
      <c r="BH34" t="n">
        <v>34869.9845061543</v>
      </c>
      <c r="BI34" t="n">
        <v>99218.7284134478</v>
      </c>
      <c r="BJ34" t="n">
        <v>57331.8443395543</v>
      </c>
      <c r="BK34" t="n">
        <v>103594.226912339</v>
      </c>
      <c r="BL34" t="n">
        <v>35073.8551963357</v>
      </c>
      <c r="BM34" t="n">
        <v>21482.3702133154</v>
      </c>
      <c r="BN34" t="n">
        <v>53093.4071490355</v>
      </c>
      <c r="BO34" t="n">
        <v>224833.419471026</v>
      </c>
      <c r="BP34" t="n">
        <v>251692.779749152</v>
      </c>
      <c r="BQ34" t="n">
        <v>1150398.95882404</v>
      </c>
      <c r="BR34" t="n">
        <v>802156.242258312</v>
      </c>
      <c r="BS34" t="n">
        <v>825626.773308382</v>
      </c>
      <c r="BT34" t="n">
        <v>142.652662121171</v>
      </c>
      <c r="BU34" t="n">
        <v>1.43413326300208</v>
      </c>
      <c r="BV34" t="n">
        <v>1.21475101761223</v>
      </c>
      <c r="BW34" t="n">
        <v>100.448634494016</v>
      </c>
      <c r="BX34" t="n">
        <v>92693.0364230503</v>
      </c>
      <c r="BY34" t="n">
        <v>1.68400088450548</v>
      </c>
      <c r="BZ34" t="n">
        <v>156095.155323915</v>
      </c>
      <c r="CA34" t="n">
        <v>10728.6147790465</v>
      </c>
      <c r="CB34" t="n">
        <v>16152.3105114046</v>
      </c>
      <c r="CC34" t="n">
        <v>17099.5509092358</v>
      </c>
      <c r="CD34" t="n">
        <v>947.24039783113</v>
      </c>
      <c r="CE34" t="n">
        <v>0.0553956218826285</v>
      </c>
      <c r="CF34" t="n">
        <v>12039997.7979888</v>
      </c>
      <c r="CG34" t="n">
        <v>544507.294154206</v>
      </c>
      <c r="CH34" t="n">
        <v>725797.013213281</v>
      </c>
      <c r="CI34" t="n">
        <v>415544.04522744</v>
      </c>
      <c r="CJ34" t="n">
        <v>31597.7943559574</v>
      </c>
      <c r="CK34" t="n">
        <v>1140514.94528675</v>
      </c>
      <c r="CL34" t="n">
        <v>0.0969431031144386</v>
      </c>
      <c r="CM34" t="n">
        <v>10.31532897002</v>
      </c>
      <c r="CN34" t="n">
        <v>1284629.12306272</v>
      </c>
      <c r="CO34" t="n">
        <v>3411598.65111146</v>
      </c>
      <c r="CP34" t="n">
        <v>3507220.42570393</v>
      </c>
      <c r="CQ34" t="n">
        <v>4696227.77417418</v>
      </c>
      <c r="CR34" t="n">
        <v>10290924.6941953</v>
      </c>
      <c r="CS34" t="n">
        <v>-0.00785118756289143</v>
      </c>
      <c r="CT34" t="n">
        <v>0.00152407857147149</v>
      </c>
      <c r="CU34" t="n">
        <v>0.0553950187393767</v>
      </c>
      <c r="CV34" t="n">
        <v>1.9091855770035</v>
      </c>
      <c r="CW34" t="n">
        <v>0.0553950187393767</v>
      </c>
      <c r="CX34" t="n">
        <v>0.039440022763365</v>
      </c>
      <c r="CY34" t="n">
        <v>0.0192200701938874</v>
      </c>
      <c r="CZ34" t="n">
        <v>-0.0176959916224159</v>
      </c>
      <c r="DA34" t="n">
        <v>0.465007911832161</v>
      </c>
      <c r="DB34" t="n">
        <v>6.83841933211925</v>
      </c>
      <c r="DC34" t="n">
        <v>0.0492747489787459</v>
      </c>
      <c r="DD34" t="n">
        <v>0.0335449705357618</v>
      </c>
      <c r="DE34" t="n">
        <v>0.00701586418916599</v>
      </c>
      <c r="DF34" t="n">
        <v>0.143644202411188</v>
      </c>
      <c r="DG34" t="n">
        <v>228146.341910095</v>
      </c>
      <c r="DH34" t="n">
        <v>143.437815623223</v>
      </c>
      <c r="DI34" t="n">
        <v>5.00697606793926</v>
      </c>
      <c r="DJ34" t="n">
        <v>4.31083360067579</v>
      </c>
      <c r="DK34" t="n">
        <v>0.0484267358713257</v>
      </c>
      <c r="DL34" t="n">
        <v>0.669440030437354</v>
      </c>
      <c r="DM34" t="n">
        <v>1.46710241010897</v>
      </c>
      <c r="DN34" t="n">
        <v>0.0399169327369503</v>
      </c>
      <c r="DO34" t="n">
        <v>0.0374213819593254</v>
      </c>
      <c r="DP34" t="n">
        <v>30628.7</v>
      </c>
      <c r="DQ34" t="n">
        <v>25701.070208788</v>
      </c>
      <c r="DR34" t="n">
        <v>182230.275000429</v>
      </c>
      <c r="DS34" t="n">
        <v>32174.0305500409</v>
      </c>
      <c r="DT34" t="n">
        <v>13742.0363596242</v>
      </c>
      <c r="DU34" t="n">
        <v>0</v>
      </c>
      <c r="DV34" t="n">
        <v>58.1</v>
      </c>
      <c r="DW34" t="n">
        <v>208288.96</v>
      </c>
      <c r="DX34" t="n">
        <v>2.42475706480615</v>
      </c>
      <c r="DY34" t="n">
        <v>73.306</v>
      </c>
      <c r="DZ34" t="n">
        <v>1.02062376390299</v>
      </c>
      <c r="EA34" t="n">
        <v>1.20449936397015</v>
      </c>
      <c r="EB34" t="n">
        <v>185022161.252085</v>
      </c>
      <c r="EC34" t="n">
        <v>3.16578023222883</v>
      </c>
      <c r="ED34" t="n">
        <v>0.0435</v>
      </c>
      <c r="EE34" t="n">
        <v>0.0304926484848485</v>
      </c>
      <c r="EF34" t="n">
        <v>0.03050813492075</v>
      </c>
      <c r="EG34" t="n">
        <v>0.0441803333333333</v>
      </c>
      <c r="EH34" t="n">
        <v>802496.223514504</v>
      </c>
      <c r="EI34" t="n">
        <v>434144.622152134</v>
      </c>
      <c r="EJ34" t="n">
        <v>1387.60546526721</v>
      </c>
      <c r="EK34" t="n">
        <v>1.41122127237419</v>
      </c>
      <c r="EL34" t="n">
        <v>3.93964452916373</v>
      </c>
    </row>
    <row r="35">
      <c r="A35" s="2" t="n">
        <v>49004</v>
      </c>
      <c r="B35" t="n">
        <v>438529.293802569</v>
      </c>
      <c r="C35" t="n">
        <v>40263.8838515558</v>
      </c>
      <c r="D35" t="n">
        <v>27700.9439116366</v>
      </c>
      <c r="E35" t="n">
        <v>252362.125223431</v>
      </c>
      <c r="F35" t="n">
        <v>65291.869149561</v>
      </c>
      <c r="G35" t="n">
        <v>15699.1741750797</v>
      </c>
      <c r="H35" t="n">
        <v>76352.1087986769</v>
      </c>
      <c r="I35" t="n">
        <v>87787.0464331131</v>
      </c>
      <c r="J35" t="n">
        <v>100195.897053895</v>
      </c>
      <c r="K35" t="n">
        <v>394.263316638664</v>
      </c>
      <c r="L35" t="n">
        <v>5448.20724103657</v>
      </c>
      <c r="M35" t="n">
        <v>0.665319669279469</v>
      </c>
      <c r="N35" t="n">
        <v>36955.1738117896</v>
      </c>
      <c r="O35" t="n">
        <v>205.207627810989</v>
      </c>
      <c r="P35" t="n">
        <v>2.27653971227788</v>
      </c>
      <c r="Q35" t="n">
        <v>1.74679735862072</v>
      </c>
      <c r="R35" t="n">
        <v>1.21658067432017</v>
      </c>
      <c r="S35" t="n">
        <v>0.0954728658160911</v>
      </c>
      <c r="T35" t="n">
        <v>6366.60891283608</v>
      </c>
      <c r="U35" t="n">
        <v>0.362888542430392</v>
      </c>
      <c r="V35" t="n">
        <v>0.504251117543874</v>
      </c>
      <c r="W35" t="n">
        <v>31691054.7577152</v>
      </c>
      <c r="X35" t="n">
        <v>97572.4240260531</v>
      </c>
      <c r="Y35" t="n">
        <v>4406192.32748888</v>
      </c>
      <c r="Z35" t="n">
        <v>1409.78242324686</v>
      </c>
      <c r="AA35" t="n">
        <v>1.27527442991457</v>
      </c>
      <c r="AB35" t="n">
        <v>1.23050774323163</v>
      </c>
      <c r="AC35" t="n">
        <v>1.47453083625468</v>
      </c>
      <c r="AD35" t="n">
        <v>1.64967915101611</v>
      </c>
      <c r="AE35" t="n">
        <v>144.037464193844</v>
      </c>
      <c r="AF35" t="n">
        <v>108837.398362661</v>
      </c>
      <c r="AG35" t="n">
        <v>1721.14177819587</v>
      </c>
      <c r="AH35" t="n">
        <v>160.024684168351</v>
      </c>
      <c r="AI35" t="n">
        <v>81568.8558176146</v>
      </c>
      <c r="AJ35" t="n">
        <v>119628.355079186</v>
      </c>
      <c r="AK35" t="n">
        <v>624.151295672223</v>
      </c>
      <c r="AL35" t="n">
        <v>31720.0691584094</v>
      </c>
      <c r="AM35" t="n">
        <v>18255.8775910771</v>
      </c>
      <c r="AN35" t="n">
        <v>1.04298351177939</v>
      </c>
      <c r="AO35" t="n">
        <v>1.18217343929676</v>
      </c>
      <c r="AP35" t="n">
        <v>1.35237568873387</v>
      </c>
      <c r="AQ35" t="n">
        <v>1.45215929266088</v>
      </c>
      <c r="AR35" t="n">
        <v>37327.9829743971</v>
      </c>
      <c r="AS35" t="n">
        <v>209991.700053094</v>
      </c>
      <c r="AT35" t="n">
        <v>0.0319037713355789</v>
      </c>
      <c r="AU35" t="n">
        <v>0.0402219529269906</v>
      </c>
      <c r="AV35" t="n">
        <v>0.27866518030762</v>
      </c>
      <c r="AW35" t="n">
        <v>898.380844859144</v>
      </c>
      <c r="AX35" t="n">
        <v>12178.5421515861</v>
      </c>
      <c r="AY35" t="n">
        <v>20354.8725934689</v>
      </c>
      <c r="AZ35" t="n">
        <v>185395.630212838</v>
      </c>
      <c r="BA35" t="n">
        <v>636814.390777612</v>
      </c>
      <c r="BB35" t="n">
        <v>269486.707236364</v>
      </c>
      <c r="BC35" t="n">
        <v>297900.619644388</v>
      </c>
      <c r="BD35" t="n">
        <v>116037.755135368</v>
      </c>
      <c r="BE35" t="n">
        <v>21.9519619593197</v>
      </c>
      <c r="BF35" t="n">
        <v>66422.4897288456</v>
      </c>
      <c r="BG35" t="n">
        <v>27724.9348457358</v>
      </c>
      <c r="BH35" t="n">
        <v>35326.3054550079</v>
      </c>
      <c r="BI35" t="n">
        <v>100371.107742215</v>
      </c>
      <c r="BJ35" t="n">
        <v>57809.9179155009</v>
      </c>
      <c r="BK35" t="n">
        <v>104502.668575157</v>
      </c>
      <c r="BL35" t="n">
        <v>35555.8376813327</v>
      </c>
      <c r="BM35" t="n">
        <v>21581.6135992243</v>
      </c>
      <c r="BN35" t="n">
        <v>53766.2801110316</v>
      </c>
      <c r="BO35" t="n">
        <v>226995.959966746</v>
      </c>
      <c r="BP35" t="n">
        <v>255471.844052233</v>
      </c>
      <c r="BQ35" t="n">
        <v>1165479.96961579</v>
      </c>
      <c r="BR35" t="n">
        <v>805083.61810318</v>
      </c>
      <c r="BS35" t="n">
        <v>830109.660420463</v>
      </c>
      <c r="BT35" t="n">
        <v>143.894202202704</v>
      </c>
      <c r="BU35" t="n">
        <v>1.44765081817792</v>
      </c>
      <c r="BV35" t="n">
        <v>1.22438678681989</v>
      </c>
      <c r="BW35" t="n">
        <v>100.641643638148</v>
      </c>
      <c r="BX35" t="n">
        <v>93304.7241844729</v>
      </c>
      <c r="BY35" t="n">
        <v>1.71099393952947</v>
      </c>
      <c r="BZ35" t="n">
        <v>159643.817609102</v>
      </c>
      <c r="CA35" t="n">
        <v>10753.1613656085</v>
      </c>
      <c r="CB35" t="n">
        <v>16201.368606645</v>
      </c>
      <c r="CC35" t="n">
        <v>17150.4324197954</v>
      </c>
      <c r="CD35" t="n">
        <v>949.063813150355</v>
      </c>
      <c r="CE35" t="n">
        <v>0.0553375940419492</v>
      </c>
      <c r="CF35" t="n">
        <v>12075061.8981165</v>
      </c>
      <c r="CG35" t="n">
        <v>551060.788876555</v>
      </c>
      <c r="CH35" t="n">
        <v>733048.70076654</v>
      </c>
      <c r="CI35" t="n">
        <v>421218.315262436</v>
      </c>
      <c r="CJ35" t="n">
        <v>31913.4987855294</v>
      </c>
      <c r="CK35" t="n">
        <v>1155466.38284334</v>
      </c>
      <c r="CL35" t="n">
        <v>0.098035124226625</v>
      </c>
      <c r="CM35" t="n">
        <v>10.2004256932273</v>
      </c>
      <c r="CN35" t="n">
        <v>1291253.43834633</v>
      </c>
      <c r="CO35" t="n">
        <v>3437988.04054813</v>
      </c>
      <c r="CP35" t="n">
        <v>3519194.96293132</v>
      </c>
      <c r="CQ35" t="n">
        <v>4729241.47889445</v>
      </c>
      <c r="CR35" t="n">
        <v>10335912.936143</v>
      </c>
      <c r="CS35" t="n">
        <v>-0.00767586432312504</v>
      </c>
      <c r="CT35" t="n">
        <v>0.000642317268286674</v>
      </c>
      <c r="CU35" t="n">
        <v>0.0558932301573872</v>
      </c>
      <c r="CV35" t="n">
        <v>1.92794014570574</v>
      </c>
      <c r="CW35" t="n">
        <v>0.0558932301573872</v>
      </c>
      <c r="CX35" t="n">
        <v>0.039440022763365</v>
      </c>
      <c r="CY35" t="n">
        <v>0.0193300583337005</v>
      </c>
      <c r="CZ35" t="n">
        <v>-0.0186877410654138</v>
      </c>
      <c r="DA35" t="n">
        <v>0.460885818479533</v>
      </c>
      <c r="DB35" t="n">
        <v>6.87002933704479</v>
      </c>
      <c r="DC35" t="n">
        <v>0.0496332625855789</v>
      </c>
      <c r="DD35" t="n">
        <v>0.033780612556414</v>
      </c>
      <c r="DE35" t="n">
        <v>0.00696454090599836</v>
      </c>
      <c r="DF35" t="n">
        <v>0.144505053015841</v>
      </c>
      <c r="DG35" t="n">
        <v>228810.772777169</v>
      </c>
      <c r="DH35" t="n">
        <v>144.636347955755</v>
      </c>
      <c r="DI35" t="n">
        <v>5.01547042437732</v>
      </c>
      <c r="DJ35" t="n">
        <v>4.31639064712539</v>
      </c>
      <c r="DK35" t="n">
        <v>0.0484267358713257</v>
      </c>
      <c r="DL35" t="n">
        <v>0.669440030437354</v>
      </c>
      <c r="DM35" t="n">
        <v>1.48185287908114</v>
      </c>
      <c r="DN35" t="n">
        <v>0.0399169327369503</v>
      </c>
      <c r="DO35" t="n">
        <v>0.0374213819593254</v>
      </c>
      <c r="DP35" t="n">
        <v>30717.9</v>
      </c>
      <c r="DQ35" t="n">
        <v>25777.732437054</v>
      </c>
      <c r="DR35" t="n">
        <v>182760.984450391</v>
      </c>
      <c r="DS35" t="n">
        <v>32267.7310180681</v>
      </c>
      <c r="DT35" t="n">
        <v>13782.0573087104</v>
      </c>
      <c r="DU35" t="n">
        <v>0</v>
      </c>
      <c r="DV35" t="n">
        <v>58.1</v>
      </c>
      <c r="DW35" t="n">
        <v>208288.96</v>
      </c>
      <c r="DX35" t="n">
        <v>2.43679096820042</v>
      </c>
      <c r="DY35" t="n">
        <v>73.306</v>
      </c>
      <c r="DZ35" t="n">
        <v>1.02062376390299</v>
      </c>
      <c r="EA35" t="n">
        <v>1.20449936397015</v>
      </c>
      <c r="EB35" t="n">
        <v>186296390.140366</v>
      </c>
      <c r="EC35" t="n">
        <v>3.16578023222883</v>
      </c>
      <c r="ED35" t="n">
        <v>0.0435</v>
      </c>
      <c r="EE35" t="n">
        <v>0.0304926484848485</v>
      </c>
      <c r="EF35" t="n">
        <v>0.03050813492075</v>
      </c>
      <c r="EG35" t="n">
        <v>0.0441803333333333</v>
      </c>
      <c r="EH35" t="n">
        <v>805105.620165068</v>
      </c>
      <c r="EI35" t="n">
        <v>437143.688179788</v>
      </c>
      <c r="EJ35" t="n">
        <v>1406.03490856308</v>
      </c>
      <c r="EK35" t="n">
        <v>1.41201018821087</v>
      </c>
      <c r="EL35" t="n">
        <v>3.95796356587039</v>
      </c>
    </row>
    <row r="36">
      <c r="A36" s="2" t="n">
        <v>49096</v>
      </c>
      <c r="B36" t="n">
        <v>441038.018122278</v>
      </c>
      <c r="C36" t="n">
        <v>40453.8474176129</v>
      </c>
      <c r="D36" t="n">
        <v>27893.0462228051</v>
      </c>
      <c r="E36" t="n">
        <v>253267.946771568</v>
      </c>
      <c r="F36" t="n">
        <v>66192.5057043324</v>
      </c>
      <c r="G36" t="n">
        <v>15876.4840154408</v>
      </c>
      <c r="H36" t="n">
        <v>77380.6230337994</v>
      </c>
      <c r="I36" t="n">
        <v>88121.424604159</v>
      </c>
      <c r="J36" t="n">
        <v>100347.42335058</v>
      </c>
      <c r="K36" t="n">
        <v>393.889156698412</v>
      </c>
      <c r="L36" t="n">
        <v>5472.58668553324</v>
      </c>
      <c r="M36" t="n">
        <v>0.665324357713518</v>
      </c>
      <c r="N36" t="n">
        <v>37290.0971982124</v>
      </c>
      <c r="O36" t="n">
        <v>207.230117487494</v>
      </c>
      <c r="P36" t="n">
        <v>2.31659324637983</v>
      </c>
      <c r="Q36" t="n">
        <v>1.76435711126408</v>
      </c>
      <c r="R36" t="n">
        <v>1.22406289153018</v>
      </c>
      <c r="S36" t="n">
        <v>0.0961440489064324</v>
      </c>
      <c r="T36" t="n">
        <v>6325.077012641</v>
      </c>
      <c r="U36" t="n">
        <v>0.361364728964912</v>
      </c>
      <c r="V36" t="n">
        <v>0.499757647525994</v>
      </c>
      <c r="W36" t="n">
        <v>32207324.6488575</v>
      </c>
      <c r="X36" t="n">
        <v>99160.1840715582</v>
      </c>
      <c r="Y36" t="n">
        <v>4411682.80532342</v>
      </c>
      <c r="Z36" t="n">
        <v>1430.42692963479</v>
      </c>
      <c r="AA36" t="n">
        <v>1.28310357264219</v>
      </c>
      <c r="AB36" t="n">
        <v>1.23715659742511</v>
      </c>
      <c r="AC36" t="n">
        <v>1.48821369479343</v>
      </c>
      <c r="AD36" t="n">
        <v>1.66753335021993</v>
      </c>
      <c r="AE36" t="n">
        <v>145.294696926069</v>
      </c>
      <c r="AF36" t="n">
        <v>110257.346026688</v>
      </c>
      <c r="AG36" t="n">
        <v>1752.6177191424</v>
      </c>
      <c r="AH36" t="n">
        <v>162.590208723222</v>
      </c>
      <c r="AI36" t="n">
        <v>82043.5410710965</v>
      </c>
      <c r="AJ36" t="n">
        <v>120734.337194918</v>
      </c>
      <c r="AK36" t="n">
        <v>627.237443650587</v>
      </c>
      <c r="AL36" t="n">
        <v>32081.9282708071</v>
      </c>
      <c r="AM36" t="n">
        <v>18202.7708516469</v>
      </c>
      <c r="AN36" t="n">
        <v>1.05092141150857</v>
      </c>
      <c r="AO36" t="n">
        <v>1.19098481192922</v>
      </c>
      <c r="AP36" t="n">
        <v>1.36211550236334</v>
      </c>
      <c r="AQ36" t="n">
        <v>1.46517282762365</v>
      </c>
      <c r="AR36" t="n">
        <v>37458.3053099878</v>
      </c>
      <c r="AS36" t="n">
        <v>211710.894272675</v>
      </c>
      <c r="AT36" t="n">
        <v>0.0321881504985048</v>
      </c>
      <c r="AU36" t="n">
        <v>0.0395881116382844</v>
      </c>
      <c r="AV36" t="n">
        <v>0.278890530450669</v>
      </c>
      <c r="AW36" t="n">
        <v>905.821548136766</v>
      </c>
      <c r="AX36" t="n">
        <v>12236.0000785218</v>
      </c>
      <c r="AY36" t="n">
        <v>20422.4262327758</v>
      </c>
      <c r="AZ36" t="n">
        <v>185691.925744991</v>
      </c>
      <c r="BA36" t="n">
        <v>646196.921866502</v>
      </c>
      <c r="BB36" t="n">
        <v>272777.20900439</v>
      </c>
      <c r="BC36" t="n">
        <v>301788.887051067</v>
      </c>
      <c r="BD36" t="n">
        <v>116245.980329384</v>
      </c>
      <c r="BE36" t="n">
        <v>21.973662242491</v>
      </c>
      <c r="BF36" t="n">
        <v>67458.1397135778</v>
      </c>
      <c r="BG36" t="n">
        <v>28345.8351446068</v>
      </c>
      <c r="BH36" t="n">
        <v>35789.6672603551</v>
      </c>
      <c r="BI36" t="n">
        <v>101500.707131425</v>
      </c>
      <c r="BJ36" t="n">
        <v>58297.0447358939</v>
      </c>
      <c r="BK36" t="n">
        <v>105457.25578884</v>
      </c>
      <c r="BL36" t="n">
        <v>36032.4529530641</v>
      </c>
      <c r="BM36" t="n">
        <v>21679.2236193393</v>
      </c>
      <c r="BN36" t="n">
        <v>54424.9311737883</v>
      </c>
      <c r="BO36" t="n">
        <v>229183.423535032</v>
      </c>
      <c r="BP36" t="n">
        <v>259147.449411851</v>
      </c>
      <c r="BQ36" t="n">
        <v>1180401.49897993</v>
      </c>
      <c r="BR36" t="n">
        <v>807755.525110946</v>
      </c>
      <c r="BS36" t="n">
        <v>834204.465185141</v>
      </c>
      <c r="BT36" t="n">
        <v>145.155397207777</v>
      </c>
      <c r="BU36" t="n">
        <v>1.46133508187091</v>
      </c>
      <c r="BV36" t="n">
        <v>1.23421318732925</v>
      </c>
      <c r="BW36" t="n">
        <v>100.829229925137</v>
      </c>
      <c r="BX36" t="n">
        <v>93838.4988581682</v>
      </c>
      <c r="BY36" t="n">
        <v>1.73842468865364</v>
      </c>
      <c r="BZ36" t="n">
        <v>163131.163161236</v>
      </c>
      <c r="CA36" t="n">
        <v>10776.787971156</v>
      </c>
      <c r="CB36" t="n">
        <v>16249.3746566893</v>
      </c>
      <c r="CC36" t="n">
        <v>17201.5655300878</v>
      </c>
      <c r="CD36" t="n">
        <v>952.190873398507</v>
      </c>
      <c r="CE36" t="n">
        <v>0.0553548873343689</v>
      </c>
      <c r="CF36" t="n">
        <v>12110125.9982441</v>
      </c>
      <c r="CG36" t="n">
        <v>557702.671553728</v>
      </c>
      <c r="CH36" t="n">
        <v>740566.396713392</v>
      </c>
      <c r="CI36" t="n">
        <v>426672.050205009</v>
      </c>
      <c r="CJ36" t="n">
        <v>32240.7839716554</v>
      </c>
      <c r="CK36" t="n">
        <v>1170259.70920703</v>
      </c>
      <c r="CL36" t="n">
        <v>0.0991667678349245</v>
      </c>
      <c r="CM36" t="n">
        <v>10.084023325885</v>
      </c>
      <c r="CN36" t="n">
        <v>1297961.52160075</v>
      </c>
      <c r="CO36" t="n">
        <v>3464461.99479976</v>
      </c>
      <c r="CP36" t="n">
        <v>3531256.13727602</v>
      </c>
      <c r="CQ36" t="n">
        <v>4762423.51640051</v>
      </c>
      <c r="CR36" t="n">
        <v>10381156.1479937</v>
      </c>
      <c r="CS36" t="n">
        <v>-0.00757599757729716</v>
      </c>
      <c r="CT36" t="n">
        <v>-0.000176036437517596</v>
      </c>
      <c r="CU36" t="n">
        <v>0.0563799008306304</v>
      </c>
      <c r="CV36" t="n">
        <v>1.94694157895266</v>
      </c>
      <c r="CW36" t="n">
        <v>0.0563799008306304</v>
      </c>
      <c r="CX36" t="n">
        <v>0.039440022763365</v>
      </c>
      <c r="CY36" t="n">
        <v>0.019440022763365</v>
      </c>
      <c r="CZ36" t="n">
        <v>-0.0196160592008826</v>
      </c>
      <c r="DA36" t="n">
        <v>0.456741517638074</v>
      </c>
      <c r="DB36" t="n">
        <v>6.90260154738905</v>
      </c>
      <c r="DC36" t="n">
        <v>0.0499176417485048</v>
      </c>
      <c r="DD36" t="n">
        <v>0.0339656153223819</v>
      </c>
      <c r="DE36" t="n">
        <v>0.00691802741900978</v>
      </c>
      <c r="DF36" t="n">
        <v>0.145380901521087</v>
      </c>
      <c r="DG36" t="n">
        <v>229475.203644245</v>
      </c>
      <c r="DH36" t="n">
        <v>145.895438649553</v>
      </c>
      <c r="DI36" t="n">
        <v>5.02431127874067</v>
      </c>
      <c r="DJ36" t="n">
        <v>4.32229419150029</v>
      </c>
      <c r="DK36" t="n">
        <v>0.0484267358713257</v>
      </c>
      <c r="DL36" t="n">
        <v>0.669440030437354</v>
      </c>
      <c r="DM36" t="n">
        <v>1.49675165149375</v>
      </c>
      <c r="DN36" t="n">
        <v>0.0399169327369503</v>
      </c>
      <c r="DO36" t="n">
        <v>0.0374213819593254</v>
      </c>
      <c r="DP36" t="n">
        <v>30807.1</v>
      </c>
      <c r="DQ36" t="n">
        <v>25854.405194488</v>
      </c>
      <c r="DR36" t="n">
        <v>183291.693900353</v>
      </c>
      <c r="DS36" t="n">
        <v>32361.4314860952</v>
      </c>
      <c r="DT36" t="n">
        <v>13822.0782577967</v>
      </c>
      <c r="DU36" t="n">
        <v>0</v>
      </c>
      <c r="DV36" t="n">
        <v>58.1</v>
      </c>
      <c r="DW36" t="n">
        <v>208288.96</v>
      </c>
      <c r="DX36" t="n">
        <v>2.4488845950338</v>
      </c>
      <c r="DY36" t="n">
        <v>73.306</v>
      </c>
      <c r="DZ36" t="n">
        <v>1.02062376390299</v>
      </c>
      <c r="EA36" t="n">
        <v>1.20449936397015</v>
      </c>
      <c r="EB36" t="n">
        <v>187579394.513965</v>
      </c>
      <c r="EC36" t="n">
        <v>3.16578023222883</v>
      </c>
      <c r="ED36" t="n">
        <v>0.0435</v>
      </c>
      <c r="EE36" t="n">
        <v>0.0304926484848485</v>
      </c>
      <c r="EF36" t="n">
        <v>0.03050813492075</v>
      </c>
      <c r="EG36" t="n">
        <v>0.0441803333333333</v>
      </c>
      <c r="EH36" t="n">
        <v>807727.061846399</v>
      </c>
      <c r="EI36" t="n">
        <v>440075.385440567</v>
      </c>
      <c r="EJ36" t="n">
        <v>1424.99236437237</v>
      </c>
      <c r="EK36" t="n">
        <v>1.40951654023236</v>
      </c>
      <c r="EL36" t="n">
        <v>3.9764148075802</v>
      </c>
    </row>
    <row r="37">
      <c r="A37" s="2" t="n">
        <v>49188</v>
      </c>
      <c r="B37" t="n">
        <v>443578.065262381</v>
      </c>
      <c r="C37" t="n">
        <v>40647.5150528972</v>
      </c>
      <c r="D37" t="n">
        <v>28086.2577573627</v>
      </c>
      <c r="E37" t="n">
        <v>254160.305300769</v>
      </c>
      <c r="F37" t="n">
        <v>67141.6872695627</v>
      </c>
      <c r="G37" t="n">
        <v>16059.1925870662</v>
      </c>
      <c r="H37" t="n">
        <v>78432.4569505585</v>
      </c>
      <c r="I37" t="n">
        <v>92853.9342243177</v>
      </c>
      <c r="J37" t="n">
        <v>100513.434661116</v>
      </c>
      <c r="K37" t="n">
        <v>393.527862683142</v>
      </c>
      <c r="L37" t="n">
        <v>5496.89174226572</v>
      </c>
      <c r="M37" t="n">
        <v>0.665325332771863</v>
      </c>
      <c r="N37" t="n">
        <v>37624.649403052</v>
      </c>
      <c r="O37" t="n">
        <v>209.284264076582</v>
      </c>
      <c r="P37" t="n">
        <v>2.3574288241359</v>
      </c>
      <c r="Q37" t="n">
        <v>1.78206601064279</v>
      </c>
      <c r="R37" t="n">
        <v>1.23176031266124</v>
      </c>
      <c r="S37" t="n">
        <v>0.0968739897047059</v>
      </c>
      <c r="T37" t="n">
        <v>6282.38094156748</v>
      </c>
      <c r="U37" t="n">
        <v>0.359820010396496</v>
      </c>
      <c r="V37" t="n">
        <v>0.495261562030673</v>
      </c>
      <c r="W37" t="n">
        <v>32734472.4415101</v>
      </c>
      <c r="X37" t="n">
        <v>100772.651381457</v>
      </c>
      <c r="Y37" t="n">
        <v>4417087.12891435</v>
      </c>
      <c r="Z37" t="n">
        <v>1451.78838626197</v>
      </c>
      <c r="AA37" t="n">
        <v>1.29102633659962</v>
      </c>
      <c r="AB37" t="n">
        <v>1.2439532825445</v>
      </c>
      <c r="AC37" t="n">
        <v>1.50194547123782</v>
      </c>
      <c r="AD37" t="n">
        <v>1.6859523255167</v>
      </c>
      <c r="AE37" t="n">
        <v>146.563932054412</v>
      </c>
      <c r="AF37" t="n">
        <v>111683.808240834</v>
      </c>
      <c r="AG37" t="n">
        <v>1784.53746356621</v>
      </c>
      <c r="AH37" t="n">
        <v>165.201888769887</v>
      </c>
      <c r="AI37" t="n">
        <v>82493.2872442604</v>
      </c>
      <c r="AJ37" t="n">
        <v>121821.410084991</v>
      </c>
      <c r="AK37" t="n">
        <v>630.591954752378</v>
      </c>
      <c r="AL37" t="n">
        <v>32451.9580221465</v>
      </c>
      <c r="AM37" t="n">
        <v>18151.7835522508</v>
      </c>
      <c r="AN37" t="n">
        <v>1.05913450380748</v>
      </c>
      <c r="AO37" t="n">
        <v>1.19978467650858</v>
      </c>
      <c r="AP37" t="n">
        <v>1.37202377995452</v>
      </c>
      <c r="AQ37" t="n">
        <v>1.4783967320521</v>
      </c>
      <c r="AR37" t="n">
        <v>37595.913090897</v>
      </c>
      <c r="AS37" t="n">
        <v>213353.146507385</v>
      </c>
      <c r="AT37" t="n">
        <v>0.0325792342905538</v>
      </c>
      <c r="AU37" t="n">
        <v>0.0390210847642605</v>
      </c>
      <c r="AV37" t="n">
        <v>0.278451203229331</v>
      </c>
      <c r="AW37" t="n">
        <v>892.35852920037</v>
      </c>
      <c r="AX37" t="n">
        <v>12294.5783683958</v>
      </c>
      <c r="AY37" t="n">
        <v>20492.3049800968</v>
      </c>
      <c r="AZ37" t="n">
        <v>186014.436284361</v>
      </c>
      <c r="BA37" t="n">
        <v>655784.36394256</v>
      </c>
      <c r="BB37" t="n">
        <v>276088.098602653</v>
      </c>
      <c r="BC37" t="n">
        <v>305769.103070168</v>
      </c>
      <c r="BD37" t="n">
        <v>120788.748805996</v>
      </c>
      <c r="BE37" t="n">
        <v>22.4470889226277</v>
      </c>
      <c r="BF37" t="n">
        <v>68529.7725299072</v>
      </c>
      <c r="BG37" t="n">
        <v>28983.593426254</v>
      </c>
      <c r="BH37" t="n">
        <v>36260.0984612807</v>
      </c>
      <c r="BI37" t="n">
        <v>102617.794444305</v>
      </c>
      <c r="BJ37" t="n">
        <v>58766.3626000577</v>
      </c>
      <c r="BK37" t="n">
        <v>106457.246745787</v>
      </c>
      <c r="BL37" t="n">
        <v>36518.6401847564</v>
      </c>
      <c r="BM37" t="n">
        <v>21778.2317572909</v>
      </c>
      <c r="BN37" t="n">
        <v>55102.0485177781</v>
      </c>
      <c r="BO37" t="n">
        <v>231445.727205613</v>
      </c>
      <c r="BP37" t="n">
        <v>262799.938449196</v>
      </c>
      <c r="BQ37" t="n">
        <v>1195675.87276343</v>
      </c>
      <c r="BR37" t="n">
        <v>810519.395674786</v>
      </c>
      <c r="BS37" t="n">
        <v>838288.076598739</v>
      </c>
      <c r="BT37" t="n">
        <v>146.436635194154</v>
      </c>
      <c r="BU37" t="n">
        <v>1.47519709607504</v>
      </c>
      <c r="BV37" t="n">
        <v>1.244235296081</v>
      </c>
      <c r="BW37" t="n">
        <v>101.0127768602</v>
      </c>
      <c r="BX37" t="n">
        <v>94378.9380059564</v>
      </c>
      <c r="BY37" t="n">
        <v>1.7663489351851</v>
      </c>
      <c r="BZ37" t="n">
        <v>166706.136650721</v>
      </c>
      <c r="CA37" t="n">
        <v>10799.8957481755</v>
      </c>
      <c r="CB37" t="n">
        <v>16296.7874904412</v>
      </c>
      <c r="CC37" t="n">
        <v>17251.1411960856</v>
      </c>
      <c r="CD37" t="n">
        <v>954.353705644407</v>
      </c>
      <c r="CE37" t="n">
        <v>0.0553211836005975</v>
      </c>
      <c r="CF37" t="n">
        <v>12145052.5150193</v>
      </c>
      <c r="CG37" t="n">
        <v>564348.04054021</v>
      </c>
      <c r="CH37" t="n">
        <v>753022.164943878</v>
      </c>
      <c r="CI37" t="n">
        <v>432390.368180141</v>
      </c>
      <c r="CJ37" t="n">
        <v>32783.0496408815</v>
      </c>
      <c r="CK37" t="n">
        <v>1185402.84841656</v>
      </c>
      <c r="CL37" t="n">
        <v>0.100374676514768</v>
      </c>
      <c r="CM37" t="n">
        <v>9.96267220699708</v>
      </c>
      <c r="CN37" t="n">
        <v>1304752.64890338</v>
      </c>
      <c r="CO37" t="n">
        <v>3490986.38038475</v>
      </c>
      <c r="CP37" t="n">
        <v>3543410.61734317</v>
      </c>
      <c r="CQ37" t="n">
        <v>4795739.02928813</v>
      </c>
      <c r="CR37" t="n">
        <v>10426626.1409485</v>
      </c>
      <c r="CS37" t="n">
        <v>-0.00737363169433819</v>
      </c>
      <c r="CT37" t="n">
        <v>-0.000931781220631527</v>
      </c>
      <c r="CU37" t="n">
        <v>0.0569211237198139</v>
      </c>
      <c r="CV37" t="n">
        <v>1.96624043112747</v>
      </c>
      <c r="CW37" t="n">
        <v>0.0569211237198139</v>
      </c>
      <c r="CX37" t="n">
        <v>0.039440022763365</v>
      </c>
      <c r="CY37" t="n">
        <v>0.0194400227633649</v>
      </c>
      <c r="CZ37" t="n">
        <v>-0.0203718039839964</v>
      </c>
      <c r="DA37" t="n">
        <v>0.452585578464908</v>
      </c>
      <c r="DB37" t="n">
        <v>6.93692090357414</v>
      </c>
      <c r="DC37" t="n">
        <v>0.0503087255405538</v>
      </c>
      <c r="DD37" t="n">
        <v>0.0342229386678985</v>
      </c>
      <c r="DE37" t="n">
        <v>0.00687646068750706</v>
      </c>
      <c r="DF37" t="n">
        <v>0.146331600206463</v>
      </c>
      <c r="DG37" t="n">
        <v>230137.027439532</v>
      </c>
      <c r="DH37" t="n">
        <v>147.130440434905</v>
      </c>
      <c r="DI37" t="n">
        <v>5.0329139404427</v>
      </c>
      <c r="DJ37" t="n">
        <v>4.32795954321387</v>
      </c>
      <c r="DK37" t="n">
        <v>0.0484267358713257</v>
      </c>
      <c r="DL37" t="n">
        <v>0.669440030437354</v>
      </c>
      <c r="DM37" t="n">
        <v>1.51180021841197</v>
      </c>
      <c r="DN37" t="n">
        <v>0.0399169327369503</v>
      </c>
      <c r="DO37" t="n">
        <v>0.0374213819593254</v>
      </c>
      <c r="DP37" t="n">
        <v>30895.95</v>
      </c>
      <c r="DQ37" t="n">
        <v>25928.8807239825</v>
      </c>
      <c r="DR37" t="n">
        <v>183820.320970185</v>
      </c>
      <c r="DS37" t="n">
        <v>32454.7642953353</v>
      </c>
      <c r="DT37" t="n">
        <v>13861.942174011</v>
      </c>
      <c r="DU37" t="n">
        <v>0</v>
      </c>
      <c r="DV37" t="n">
        <v>58.425</v>
      </c>
      <c r="DW37" t="n">
        <v>208288.96</v>
      </c>
      <c r="DX37" t="n">
        <v>2.46103824170963</v>
      </c>
      <c r="DY37" t="n">
        <v>73.306</v>
      </c>
      <c r="DZ37" t="n">
        <v>1.02062376390299</v>
      </c>
      <c r="EA37" t="n">
        <v>1.20449936397015</v>
      </c>
      <c r="EB37" t="n">
        <v>188871234.808762</v>
      </c>
      <c r="EC37" t="n">
        <v>3.16578023222883</v>
      </c>
      <c r="ED37" t="n">
        <v>0.0435</v>
      </c>
      <c r="EE37" t="n">
        <v>0.0304926484848485</v>
      </c>
      <c r="EF37" t="n">
        <v>0.03050813492075</v>
      </c>
      <c r="EG37" t="n">
        <v>0.0441803333333333</v>
      </c>
      <c r="EH37" t="n">
        <v>810377.704762105</v>
      </c>
      <c r="EI37" t="n">
        <v>442950.052471773</v>
      </c>
      <c r="EJ37" t="n">
        <v>1444.55343581178</v>
      </c>
      <c r="EK37" t="n">
        <v>1.40663618241534</v>
      </c>
      <c r="EL37" t="n">
        <v>3.9952865984892</v>
      </c>
    </row>
    <row r="38">
      <c r="A38" s="2" t="n">
        <v>49279</v>
      </c>
      <c r="B38" t="n">
        <v>446209.067710323</v>
      </c>
      <c r="C38" t="n">
        <v>40844.4435422706</v>
      </c>
      <c r="D38" t="n">
        <v>28278.161930134</v>
      </c>
      <c r="E38" t="n">
        <v>255055.803947952</v>
      </c>
      <c r="F38" t="n">
        <v>68124.38940245</v>
      </c>
      <c r="G38" t="n">
        <v>16245.5801418233</v>
      </c>
      <c r="H38" t="n">
        <v>79509.3597187952</v>
      </c>
      <c r="I38" t="n">
        <v>92432.6012842187</v>
      </c>
      <c r="J38" t="n">
        <v>100693.54882583</v>
      </c>
      <c r="K38" t="n">
        <v>393.169820236067</v>
      </c>
      <c r="L38" t="n">
        <v>5521.3343135137</v>
      </c>
      <c r="M38" t="n">
        <v>0.665334261103139</v>
      </c>
      <c r="N38" t="n">
        <v>37964.3450682821</v>
      </c>
      <c r="O38" t="n">
        <v>211.366910118493</v>
      </c>
      <c r="P38" t="n">
        <v>2.39907792926169</v>
      </c>
      <c r="Q38" t="n">
        <v>1.7998306598078</v>
      </c>
      <c r="R38" t="n">
        <v>1.23955762913285</v>
      </c>
      <c r="S38" t="n">
        <v>0.0976639205129315</v>
      </c>
      <c r="T38" t="n">
        <v>6240.20100276841</v>
      </c>
      <c r="U38" t="n">
        <v>0.358321290790966</v>
      </c>
      <c r="V38" t="n">
        <v>0.490855162522443</v>
      </c>
      <c r="W38" t="n">
        <v>33271412.0886602</v>
      </c>
      <c r="X38" t="n">
        <v>102411.418440786</v>
      </c>
      <c r="Y38" t="n">
        <v>4422626.23561841</v>
      </c>
      <c r="Z38" t="n">
        <v>1473.65974476297</v>
      </c>
      <c r="AA38" t="n">
        <v>1.29906554291995</v>
      </c>
      <c r="AB38" t="n">
        <v>1.25084857389737</v>
      </c>
      <c r="AC38" t="n">
        <v>1.51578561329454</v>
      </c>
      <c r="AD38" t="n">
        <v>1.70495334091527</v>
      </c>
      <c r="AE38" t="n">
        <v>147.842175791853</v>
      </c>
      <c r="AF38" t="n">
        <v>113115.576</v>
      </c>
      <c r="AG38" t="n">
        <v>1816.37030762648</v>
      </c>
      <c r="AH38" t="n">
        <v>167.855588951591</v>
      </c>
      <c r="AI38" t="n">
        <v>82932.4806355215</v>
      </c>
      <c r="AJ38" t="n">
        <v>122870.680992383</v>
      </c>
      <c r="AK38" t="n">
        <v>634.191362784053</v>
      </c>
      <c r="AL38" t="n">
        <v>32834.2275369968</v>
      </c>
      <c r="AM38" t="n">
        <v>18103.0154057383</v>
      </c>
      <c r="AN38" t="n">
        <v>1.067398622239</v>
      </c>
      <c r="AO38" t="n">
        <v>1.20861216680331</v>
      </c>
      <c r="AP38" t="n">
        <v>1.38208387170855</v>
      </c>
      <c r="AQ38" t="n">
        <v>1.49180897076131</v>
      </c>
      <c r="AR38" t="n">
        <v>37741.4693631516</v>
      </c>
      <c r="AS38" t="n">
        <v>215021.366850103</v>
      </c>
      <c r="AT38" t="n">
        <v>0.0330086542330379</v>
      </c>
      <c r="AU38" t="n">
        <v>0.0385186623147768</v>
      </c>
      <c r="AV38" t="n">
        <v>0.277843898394364</v>
      </c>
      <c r="AW38" t="n">
        <v>895.498647183762</v>
      </c>
      <c r="AX38" t="n">
        <v>12354.1429627485</v>
      </c>
      <c r="AY38" t="n">
        <v>20564.7321283619</v>
      </c>
      <c r="AZ38" t="n">
        <v>186363.765723082</v>
      </c>
      <c r="BA38" t="n">
        <v>665658.691880072</v>
      </c>
      <c r="BB38" t="n">
        <v>279433.483265043</v>
      </c>
      <c r="BC38" t="n">
        <v>309829.132800065</v>
      </c>
      <c r="BD38" t="n">
        <v>120138.746918084</v>
      </c>
      <c r="BE38" t="n">
        <v>22.379348680645</v>
      </c>
      <c r="BF38" t="n">
        <v>69637.8704752193</v>
      </c>
      <c r="BG38" t="n">
        <v>29638.5517168735</v>
      </c>
      <c r="BH38" t="n">
        <v>36735.1857805479</v>
      </c>
      <c r="BI38" t="n">
        <v>103735.974180809</v>
      </c>
      <c r="BJ38" t="n">
        <v>59262.761633019</v>
      </c>
      <c r="BK38" t="n">
        <v>107480.155285047</v>
      </c>
      <c r="BL38" t="n">
        <v>37013.0353953602</v>
      </c>
      <c r="BM38" t="n">
        <v>21879.524675203</v>
      </c>
      <c r="BN38" t="n">
        <v>55797.8094822991</v>
      </c>
      <c r="BO38" t="n">
        <v>233760.08483791</v>
      </c>
      <c r="BP38" t="n">
        <v>266531.375705619</v>
      </c>
      <c r="BQ38" t="n">
        <v>1211331.22806387</v>
      </c>
      <c r="BR38" t="n">
        <v>813384.061657148</v>
      </c>
      <c r="BS38" t="n">
        <v>842471.635115262</v>
      </c>
      <c r="BT38" t="n">
        <v>147.736349978793</v>
      </c>
      <c r="BU38" t="n">
        <v>1.48924876921977</v>
      </c>
      <c r="BV38" t="n">
        <v>1.25432153579282</v>
      </c>
      <c r="BW38" t="n">
        <v>101.191062546265</v>
      </c>
      <c r="BX38" t="n">
        <v>94938.7294753136</v>
      </c>
      <c r="BY38" t="n">
        <v>1.79472246363054</v>
      </c>
      <c r="BZ38" t="n">
        <v>170388.670457888</v>
      </c>
      <c r="CA38" t="n">
        <v>10823.2863345635</v>
      </c>
      <c r="CB38" t="n">
        <v>16344.6206480772</v>
      </c>
      <c r="CC38" t="n">
        <v>17300.9234726952</v>
      </c>
      <c r="CD38" t="n">
        <v>956.302824617953</v>
      </c>
      <c r="CE38" t="n">
        <v>0.0552746606293788</v>
      </c>
      <c r="CF38" t="n">
        <v>12179979.0317945</v>
      </c>
      <c r="CG38" t="n">
        <v>571114.668521799</v>
      </c>
      <c r="CH38" t="n">
        <v>759750.552348626</v>
      </c>
      <c r="CI38" t="n">
        <v>438298.920389418</v>
      </c>
      <c r="CJ38" t="n">
        <v>33075.9720388687</v>
      </c>
      <c r="CK38" t="n">
        <v>1200923.69582082</v>
      </c>
      <c r="CL38" t="n">
        <v>0.101629957513019</v>
      </c>
      <c r="CM38" t="n">
        <v>9.83961840062657</v>
      </c>
      <c r="CN38" t="n">
        <v>1311626.57936918</v>
      </c>
      <c r="CO38" t="n">
        <v>3517535.45004389</v>
      </c>
      <c r="CP38" t="n">
        <v>3555661.3594531</v>
      </c>
      <c r="CQ38" t="n">
        <v>4829162.02941307</v>
      </c>
      <c r="CR38" t="n">
        <v>10472299.8831834</v>
      </c>
      <c r="CS38" t="n">
        <v>-0.00712440647740324</v>
      </c>
      <c r="CT38" t="n">
        <v>-0.00161439839566431</v>
      </c>
      <c r="CU38" t="n">
        <v>0.0575308598024905</v>
      </c>
      <c r="CV38" t="n">
        <v>1.98580703767288</v>
      </c>
      <c r="CW38" t="n">
        <v>0.0575308598024905</v>
      </c>
      <c r="CX38" t="n">
        <v>0.039440022763365</v>
      </c>
      <c r="CY38" t="n">
        <v>0.019440022763365</v>
      </c>
      <c r="CZ38" t="n">
        <v>-0.0210544211590293</v>
      </c>
      <c r="DA38" t="n">
        <v>0.448491642113617</v>
      </c>
      <c r="DB38" t="n">
        <v>6.97204564298562</v>
      </c>
      <c r="DC38" t="n">
        <v>0.0507381454830379</v>
      </c>
      <c r="DD38" t="n">
        <v>0.0345065124684721</v>
      </c>
      <c r="DE38" t="n">
        <v>0.00683966434560499</v>
      </c>
      <c r="DF38" t="n">
        <v>0.147323686281428</v>
      </c>
      <c r="DG38" t="n">
        <v>230798.851234819</v>
      </c>
      <c r="DH38" t="n">
        <v>148.370165502072</v>
      </c>
      <c r="DI38" t="n">
        <v>5.04147797664794</v>
      </c>
      <c r="DJ38" t="n">
        <v>4.33358626943065</v>
      </c>
      <c r="DK38" t="n">
        <v>0.0484267358713257</v>
      </c>
      <c r="DL38" t="n">
        <v>0.669440030437354</v>
      </c>
      <c r="DM38" t="n">
        <v>1.52700008589235</v>
      </c>
      <c r="DN38" t="n">
        <v>0.0399169327369503</v>
      </c>
      <c r="DO38" t="n">
        <v>0.0374213819593254</v>
      </c>
      <c r="DP38" t="n">
        <v>30984.8</v>
      </c>
      <c r="DQ38" t="n">
        <v>26003.355732816</v>
      </c>
      <c r="DR38" t="n">
        <v>184348.948040018</v>
      </c>
      <c r="DS38" t="n">
        <v>32548.0971045753</v>
      </c>
      <c r="DT38" t="n">
        <v>13901.8060902253</v>
      </c>
      <c r="DU38" t="n">
        <v>0</v>
      </c>
      <c r="DV38" t="n">
        <v>58.425</v>
      </c>
      <c r="DW38" t="n">
        <v>208288.96</v>
      </c>
      <c r="DX38" t="n">
        <v>2.47325220610227</v>
      </c>
      <c r="DY38" t="n">
        <v>73.306</v>
      </c>
      <c r="DZ38" t="n">
        <v>1.02062376390299</v>
      </c>
      <c r="EA38" t="n">
        <v>1.20449936397015</v>
      </c>
      <c r="EB38" t="n">
        <v>190171971.876851</v>
      </c>
      <c r="EC38" t="n">
        <v>3.16578023222883</v>
      </c>
      <c r="ED38" t="n">
        <v>0.0435</v>
      </c>
      <c r="EE38" t="n">
        <v>0.0304926484848485</v>
      </c>
      <c r="EF38" t="n">
        <v>0.03050813492075</v>
      </c>
      <c r="EG38" t="n">
        <v>0.0441803333333333</v>
      </c>
      <c r="EH38" t="n">
        <v>813074.43853781</v>
      </c>
      <c r="EI38" t="n">
        <v>445789.888966274</v>
      </c>
      <c r="EJ38" t="n">
        <v>1464.7395718441</v>
      </c>
      <c r="EK38" t="n">
        <v>1.39970479656508</v>
      </c>
      <c r="EL38" t="n">
        <v>4.01330607104411</v>
      </c>
    </row>
    <row r="39">
      <c r="A39" s="2" t="n">
        <v>49369</v>
      </c>
      <c r="B39" t="n">
        <v>448862.974386194</v>
      </c>
      <c r="C39" t="n">
        <v>41044.6781158459</v>
      </c>
      <c r="D39" t="n">
        <v>28469.3374300523</v>
      </c>
      <c r="E39" t="n">
        <v>255955.99611379</v>
      </c>
      <c r="F39" t="n">
        <v>69125.6807938055</v>
      </c>
      <c r="G39" t="n">
        <v>16436.982300216</v>
      </c>
      <c r="H39" t="n">
        <v>80604.4652690985</v>
      </c>
      <c r="I39" t="n">
        <v>92447.6113144513</v>
      </c>
      <c r="J39" t="n">
        <v>100887.459320143</v>
      </c>
      <c r="K39" t="n">
        <v>392.814615978474</v>
      </c>
      <c r="L39" t="n">
        <v>5545.89538891808</v>
      </c>
      <c r="M39" t="n">
        <v>0.665347896150233</v>
      </c>
      <c r="N39" t="n">
        <v>38307.8809545883</v>
      </c>
      <c r="O39" t="n">
        <v>213.478403201183</v>
      </c>
      <c r="P39" t="n">
        <v>2.44155731792399</v>
      </c>
      <c r="Q39" t="n">
        <v>1.81755929333133</v>
      </c>
      <c r="R39" t="n">
        <v>1.24741189063555</v>
      </c>
      <c r="S39" t="n">
        <v>0.09848845593578</v>
      </c>
      <c r="T39" t="n">
        <v>6198.33513772136</v>
      </c>
      <c r="U39" t="n">
        <v>0.356881503055364</v>
      </c>
      <c r="V39" t="n">
        <v>0.486555398030871</v>
      </c>
      <c r="W39" t="n">
        <v>33818208.5674225</v>
      </c>
      <c r="X39" t="n">
        <v>104077.307260564</v>
      </c>
      <c r="Y39" t="n">
        <v>4428259.95068507</v>
      </c>
      <c r="Z39" t="n">
        <v>1496.01835228589</v>
      </c>
      <c r="AA39" t="n">
        <v>1.30719121921621</v>
      </c>
      <c r="AB39" t="n">
        <v>1.25783714939465</v>
      </c>
      <c r="AC39" t="n">
        <v>1.52972547892626</v>
      </c>
      <c r="AD39" t="n">
        <v>1.72454016332925</v>
      </c>
      <c r="AE39" t="n">
        <v>149.130895151104</v>
      </c>
      <c r="AF39" t="n">
        <v>114558.073606103</v>
      </c>
      <c r="AG39" t="n">
        <v>1848.16860950717</v>
      </c>
      <c r="AH39" t="n">
        <v>170.552781797331</v>
      </c>
      <c r="AI39" t="n">
        <v>83361.7732762982</v>
      </c>
      <c r="AJ39" t="n">
        <v>123862.147167282</v>
      </c>
      <c r="AK39" t="n">
        <v>637.631806997123</v>
      </c>
      <c r="AL39" t="n">
        <v>33227.6590623278</v>
      </c>
      <c r="AM39" t="n">
        <v>18054.7062957564</v>
      </c>
      <c r="AN39" t="n">
        <v>1.07566102424618</v>
      </c>
      <c r="AO39" t="n">
        <v>1.21747697361546</v>
      </c>
      <c r="AP39" t="n">
        <v>1.39229476785808</v>
      </c>
      <c r="AQ39" t="n">
        <v>1.50541105820418</v>
      </c>
      <c r="AR39" t="n">
        <v>37889.499615859</v>
      </c>
      <c r="AS39" t="n">
        <v>216705.657919522</v>
      </c>
      <c r="AT39" t="n">
        <v>0.0334639082080907</v>
      </c>
      <c r="AU39" t="n">
        <v>0.0380780249683048</v>
      </c>
      <c r="AV39" t="n">
        <v>0.277089969616021</v>
      </c>
      <c r="AW39" t="n">
        <v>900.192165837361</v>
      </c>
      <c r="AX39" t="n">
        <v>12414.7075422481</v>
      </c>
      <c r="AY39" t="n">
        <v>20637.6467649805</v>
      </c>
      <c r="AZ39" t="n">
        <v>186730.311996738</v>
      </c>
      <c r="BA39" t="n">
        <v>675723.287179308</v>
      </c>
      <c r="BB39" t="n">
        <v>282811.937127643</v>
      </c>
      <c r="BC39" t="n">
        <v>313952.861031551</v>
      </c>
      <c r="BD39" t="n">
        <v>119900.641024203</v>
      </c>
      <c r="BE39" t="n">
        <v>22.3545343667655</v>
      </c>
      <c r="BF39" t="n">
        <v>70783.1959016974</v>
      </c>
      <c r="BG39" t="n">
        <v>30311.2200496621</v>
      </c>
      <c r="BH39" t="n">
        <v>37214.8679054678</v>
      </c>
      <c r="BI39" t="n">
        <v>104855.534289563</v>
      </c>
      <c r="BJ39" t="n">
        <v>59767.429746501</v>
      </c>
      <c r="BK39" t="n">
        <v>108520.707825899</v>
      </c>
      <c r="BL39" t="n">
        <v>37510.1466701795</v>
      </c>
      <c r="BM39" t="n">
        <v>21981.1891804735</v>
      </c>
      <c r="BN39" t="n">
        <v>56504.9499454046</v>
      </c>
      <c r="BO39" t="n">
        <v>236106.553621957</v>
      </c>
      <c r="BP39" t="n">
        <v>270321.214456812</v>
      </c>
      <c r="BQ39" t="n">
        <v>1227252.81136499</v>
      </c>
      <c r="BR39" t="n">
        <v>816268.00886243</v>
      </c>
      <c r="BS39" t="n">
        <v>846673.326402296</v>
      </c>
      <c r="BT39" t="n">
        <v>149.054581824859</v>
      </c>
      <c r="BU39" t="n">
        <v>1.50349245726812</v>
      </c>
      <c r="BV39" t="n">
        <v>1.2644254224032</v>
      </c>
      <c r="BW39" t="n">
        <v>101.363906492745</v>
      </c>
      <c r="BX39" t="n">
        <v>95503.3942169922</v>
      </c>
      <c r="BY39" t="n">
        <v>1.82356101836219</v>
      </c>
      <c r="BZ39" t="n">
        <v>174156.266815383</v>
      </c>
      <c r="CA39" t="n">
        <v>10846.8729309031</v>
      </c>
      <c r="CB39" t="n">
        <v>16392.7683198211</v>
      </c>
      <c r="CC39" t="n">
        <v>17350.8294736977</v>
      </c>
      <c r="CD39" t="n">
        <v>958.061153876519</v>
      </c>
      <c r="CE39" t="n">
        <v>0.0552170142599571</v>
      </c>
      <c r="CF39" t="n">
        <v>12214905.5485696</v>
      </c>
      <c r="CG39" t="n">
        <v>577980.235311052</v>
      </c>
      <c r="CH39" t="n">
        <v>767005.614625155</v>
      </c>
      <c r="CI39" t="n">
        <v>444321.70585842</v>
      </c>
      <c r="CJ39" t="n">
        <v>33391.8233880477</v>
      </c>
      <c r="CK39" t="n">
        <v>1216708.48384437</v>
      </c>
      <c r="CL39" t="n">
        <v>0.102871463518755</v>
      </c>
      <c r="CM39" t="n">
        <v>9.72086879873816</v>
      </c>
      <c r="CN39" t="n">
        <v>1318580.6594442</v>
      </c>
      <c r="CO39" t="n">
        <v>3544098.25542478</v>
      </c>
      <c r="CP39" t="n">
        <v>3568010.85301912</v>
      </c>
      <c r="CQ39" t="n">
        <v>4862678.91486898</v>
      </c>
      <c r="CR39" t="n">
        <v>10518166.2622053</v>
      </c>
      <c r="CS39" t="n">
        <v>-0.00684051652709219</v>
      </c>
      <c r="CT39" t="n">
        <v>-0.00222639976687817</v>
      </c>
      <c r="CU39" t="n">
        <v>0.0581840312005971</v>
      </c>
      <c r="CV39" t="n">
        <v>2.00564466420227</v>
      </c>
      <c r="CW39" t="n">
        <v>0.0581840312005971</v>
      </c>
      <c r="CX39" t="n">
        <v>0.039440022763365</v>
      </c>
      <c r="CY39" t="n">
        <v>0.019440022763365</v>
      </c>
      <c r="CZ39" t="n">
        <v>-0.0216664225302432</v>
      </c>
      <c r="DA39" t="n">
        <v>0.444483249530414</v>
      </c>
      <c r="DB39" t="n">
        <v>7.00782060317379</v>
      </c>
      <c r="DC39" t="n">
        <v>0.0511933994580907</v>
      </c>
      <c r="DD39" t="n">
        <v>0.0348079281157469</v>
      </c>
      <c r="DE39" t="n">
        <v>0.00680741966887605</v>
      </c>
      <c r="DF39" t="n">
        <v>0.148310377094053</v>
      </c>
      <c r="DG39" t="n">
        <v>231460.675030106</v>
      </c>
      <c r="DH39" t="n">
        <v>149.623267584149</v>
      </c>
      <c r="DI39" t="n">
        <v>5.05006160263188</v>
      </c>
      <c r="DJ39" t="n">
        <v>4.33923258542614</v>
      </c>
      <c r="DK39" t="n">
        <v>0.0484267358713257</v>
      </c>
      <c r="DL39" t="n">
        <v>0.669440030437354</v>
      </c>
      <c r="DM39" t="n">
        <v>1.54235277513357</v>
      </c>
      <c r="DN39" t="n">
        <v>0.0399169327369503</v>
      </c>
      <c r="DO39" t="n">
        <v>0.0374213819593254</v>
      </c>
      <c r="DP39" t="n">
        <v>31073.65</v>
      </c>
      <c r="DQ39" t="n">
        <v>26077.8302209885</v>
      </c>
      <c r="DR39" t="n">
        <v>184877.575109851</v>
      </c>
      <c r="DS39" t="n">
        <v>32641.4299138154</v>
      </c>
      <c r="DT39" t="n">
        <v>13941.6700064396</v>
      </c>
      <c r="DU39" t="n">
        <v>0</v>
      </c>
      <c r="DV39" t="n">
        <v>58.425</v>
      </c>
      <c r="DW39" t="n">
        <v>208288.96</v>
      </c>
      <c r="DX39" t="n">
        <v>2.48552678756443</v>
      </c>
      <c r="DY39" t="n">
        <v>73.306</v>
      </c>
      <c r="DZ39" t="n">
        <v>1.02062376390299</v>
      </c>
      <c r="EA39" t="n">
        <v>1.20449936397015</v>
      </c>
      <c r="EB39" t="n">
        <v>191481666.98941</v>
      </c>
      <c r="EC39" t="n">
        <v>3.16578023222883</v>
      </c>
      <c r="ED39" t="n">
        <v>0.0435</v>
      </c>
      <c r="EE39" t="n">
        <v>0.0304926484848485</v>
      </c>
      <c r="EF39" t="n">
        <v>0.03050813492075</v>
      </c>
      <c r="EG39" t="n">
        <v>0.0441803333333333</v>
      </c>
      <c r="EH39" t="n">
        <v>815815.640107004</v>
      </c>
      <c r="EI39" t="n">
        <v>448601.805942535</v>
      </c>
      <c r="EJ39" t="n">
        <v>1485.56080231804</v>
      </c>
      <c r="EK39" t="n">
        <v>1.38922100857064</v>
      </c>
      <c r="EL39" t="n">
        <v>4.03044247351829</v>
      </c>
    </row>
    <row r="40">
      <c r="A40" s="2" t="n">
        <v>49461</v>
      </c>
      <c r="B40" t="n">
        <v>451133.358667824</v>
      </c>
      <c r="C40" t="n">
        <v>41246.9612813887</v>
      </c>
      <c r="D40" t="n">
        <v>28657.3995397325</v>
      </c>
      <c r="E40" t="n">
        <v>256860.462593801</v>
      </c>
      <c r="F40" t="n">
        <v>70074.9781343878</v>
      </c>
      <c r="G40" t="n">
        <v>16630.991853505</v>
      </c>
      <c r="H40" t="n">
        <v>81687.916545289</v>
      </c>
      <c r="I40" t="n">
        <v>92792.2719359469</v>
      </c>
      <c r="J40" t="n">
        <v>101094.848774625</v>
      </c>
      <c r="K40" t="n">
        <v>392.435257682063</v>
      </c>
      <c r="L40" t="n">
        <v>5570.21870972422</v>
      </c>
      <c r="M40" t="n">
        <v>0.665363094446729</v>
      </c>
      <c r="N40" t="n">
        <v>38657.7902660193</v>
      </c>
      <c r="O40" t="n">
        <v>215.61524459475</v>
      </c>
      <c r="P40" t="n">
        <v>2.48482258429458</v>
      </c>
      <c r="Q40" t="n">
        <v>1.83520989543738</v>
      </c>
      <c r="R40" t="n">
        <v>1.25529467591872</v>
      </c>
      <c r="S40" t="n">
        <v>0.0992285104892328</v>
      </c>
      <c r="T40" t="n">
        <v>6152.93028910091</v>
      </c>
      <c r="U40" t="n">
        <v>0.355511041818287</v>
      </c>
      <c r="V40" t="n">
        <v>0.482378767644486</v>
      </c>
      <c r="W40" t="n">
        <v>34372552.9650704</v>
      </c>
      <c r="X40" t="n">
        <v>105760.716936814</v>
      </c>
      <c r="Y40" t="n">
        <v>4433042.02961893</v>
      </c>
      <c r="Z40" t="n">
        <v>1518.77970518634</v>
      </c>
      <c r="AA40" t="n">
        <v>1.31540901402486</v>
      </c>
      <c r="AB40" t="n">
        <v>1.26490585619652</v>
      </c>
      <c r="AC40" t="n">
        <v>1.5438530666373</v>
      </c>
      <c r="AD40" t="n">
        <v>1.74470701246066</v>
      </c>
      <c r="AE40" t="n">
        <v>150.433087438194</v>
      </c>
      <c r="AF40" t="n">
        <v>115970.983848444</v>
      </c>
      <c r="AG40" t="n">
        <v>1879.99414466828</v>
      </c>
      <c r="AH40" t="n">
        <v>173.293256354201</v>
      </c>
      <c r="AI40" t="n">
        <v>83756.1255718922</v>
      </c>
      <c r="AJ40" t="n">
        <v>124729.785891715</v>
      </c>
      <c r="AK40" t="n">
        <v>640.865663527387</v>
      </c>
      <c r="AL40" t="n">
        <v>33609.4402139566</v>
      </c>
      <c r="AM40" t="n">
        <v>18000.0604059451</v>
      </c>
      <c r="AN40" t="n">
        <v>1.08386788798326</v>
      </c>
      <c r="AO40" t="n">
        <v>1.22656456176941</v>
      </c>
      <c r="AP40" t="n">
        <v>1.40262907026082</v>
      </c>
      <c r="AQ40" t="n">
        <v>1.51917863050637</v>
      </c>
      <c r="AR40" t="n">
        <v>38019.6466600954</v>
      </c>
      <c r="AS40" t="n">
        <v>218242.222005186</v>
      </c>
      <c r="AT40" t="n">
        <v>0.0337651236702528</v>
      </c>
      <c r="AU40" t="n">
        <v>0.0376856183182336</v>
      </c>
      <c r="AV40" t="n">
        <v>0.27758390710687</v>
      </c>
      <c r="AW40" t="n">
        <v>904.466480011732</v>
      </c>
      <c r="AX40" t="n">
        <v>12475.8917555546</v>
      </c>
      <c r="AY40" t="n">
        <v>20703.2378274268</v>
      </c>
      <c r="AZ40" t="n">
        <v>187078.793668092</v>
      </c>
      <c r="BA40" t="n">
        <v>685352.159999764</v>
      </c>
      <c r="BB40" t="n">
        <v>286239.93380868</v>
      </c>
      <c r="BC40" t="n">
        <v>317974.310595583</v>
      </c>
      <c r="BD40" t="n">
        <v>120149.612356015</v>
      </c>
      <c r="BE40" t="n">
        <v>22.3804810271942</v>
      </c>
      <c r="BF40" t="n">
        <v>71963.8625903324</v>
      </c>
      <c r="BG40" t="n">
        <v>31000.3775934166</v>
      </c>
      <c r="BH40" t="n">
        <v>37696.2016730761</v>
      </c>
      <c r="BI40" t="n">
        <v>105943.612722006</v>
      </c>
      <c r="BJ40" t="n">
        <v>60277.3144603556</v>
      </c>
      <c r="BK40" t="n">
        <v>109573.46022734</v>
      </c>
      <c r="BL40" t="n">
        <v>37994.7869284871</v>
      </c>
      <c r="BM40" t="n">
        <v>22078.2362036409</v>
      </c>
      <c r="BN40" t="n">
        <v>57194.1283038736</v>
      </c>
      <c r="BO40" t="n">
        <v>238430.171663342</v>
      </c>
      <c r="BP40" t="n">
        <v>273958.299343782</v>
      </c>
      <c r="BQ40" t="n">
        <v>1242945.33516719</v>
      </c>
      <c r="BR40" t="n">
        <v>818862.291296526</v>
      </c>
      <c r="BS40" t="n">
        <v>850455.69044143</v>
      </c>
      <c r="BT40" t="n">
        <v>150.391708983833</v>
      </c>
      <c r="BU40" t="n">
        <v>1.51789297178096</v>
      </c>
      <c r="BV40" t="n">
        <v>1.27449064102025</v>
      </c>
      <c r="BW40" t="n">
        <v>101.529199913755</v>
      </c>
      <c r="BX40" t="n">
        <v>95986.4579077969</v>
      </c>
      <c r="BY40" t="n">
        <v>1.85286234385836</v>
      </c>
      <c r="BZ40" t="n">
        <v>177849.693377702</v>
      </c>
      <c r="CA40" t="n">
        <v>10869.0832216518</v>
      </c>
      <c r="CB40" t="n">
        <v>16439.301931376</v>
      </c>
      <c r="CC40" t="n">
        <v>17400.7780417725</v>
      </c>
      <c r="CD40" t="n">
        <v>961.476110396539</v>
      </c>
      <c r="CE40" t="n">
        <v>0.055254767809915</v>
      </c>
      <c r="CF40" t="n">
        <v>12249832.0653448</v>
      </c>
      <c r="CG40" t="n">
        <v>584915.263904779</v>
      </c>
      <c r="CH40" t="n">
        <v>774604.693073099</v>
      </c>
      <c r="CI40" t="n">
        <v>450086.924177397</v>
      </c>
      <c r="CJ40" t="n">
        <v>33722.6515861824</v>
      </c>
      <c r="CK40" t="n">
        <v>1232266.18040555</v>
      </c>
      <c r="CL40" t="n">
        <v>0.104156171680117</v>
      </c>
      <c r="CM40" t="n">
        <v>9.60096731541925</v>
      </c>
      <c r="CN40" t="n">
        <v>1325612.8574042</v>
      </c>
      <c r="CO40" t="n">
        <v>3570664.67565743</v>
      </c>
      <c r="CP40" t="n">
        <v>3580461.61273461</v>
      </c>
      <c r="CQ40" t="n">
        <v>4896277.53306163</v>
      </c>
      <c r="CR40" t="n">
        <v>10564215.6401134</v>
      </c>
      <c r="CS40" t="n">
        <v>-0.00669775503154427</v>
      </c>
      <c r="CT40" t="n">
        <v>-0.00277726038356347</v>
      </c>
      <c r="CU40" t="n">
        <v>0.0587656317874357</v>
      </c>
      <c r="CV40" t="n">
        <v>2.02572043990131</v>
      </c>
      <c r="CW40" t="n">
        <v>0.0587656317874357</v>
      </c>
      <c r="CX40" t="n">
        <v>0.039440022763365</v>
      </c>
      <c r="CY40" t="n">
        <v>0.019440022763365</v>
      </c>
      <c r="CZ40" t="n">
        <v>-0.0222172831469285</v>
      </c>
      <c r="DA40" t="n">
        <v>0.440572666627681</v>
      </c>
      <c r="DB40" t="n">
        <v>7.04393470898078</v>
      </c>
      <c r="DC40" t="n">
        <v>0.0514946149202528</v>
      </c>
      <c r="DD40" t="n">
        <v>0.0350050703573718</v>
      </c>
      <c r="DE40" t="n">
        <v>0.00677872535677452</v>
      </c>
      <c r="DF40" t="n">
        <v>0.14930024150945</v>
      </c>
      <c r="DG40" t="n">
        <v>232122.498825393</v>
      </c>
      <c r="DH40" t="n">
        <v>150.938838932809</v>
      </c>
      <c r="DI40" t="n">
        <v>5.05898904177811</v>
      </c>
      <c r="DJ40" t="n">
        <v>4.34522271458392</v>
      </c>
      <c r="DK40" t="n">
        <v>0.0484267358713257</v>
      </c>
      <c r="DL40" t="n">
        <v>0.669440030437354</v>
      </c>
      <c r="DM40" t="n">
        <v>1.55785982262868</v>
      </c>
      <c r="DN40" t="n">
        <v>0.0399169327369503</v>
      </c>
      <c r="DO40" t="n">
        <v>0.0374213819593254</v>
      </c>
      <c r="DP40" t="n">
        <v>31162.5</v>
      </c>
      <c r="DQ40" t="n">
        <v>26152.3041885</v>
      </c>
      <c r="DR40" t="n">
        <v>185406.202179684</v>
      </c>
      <c r="DS40" t="n">
        <v>32734.7627230555</v>
      </c>
      <c r="DT40" t="n">
        <v>13981.5339226539</v>
      </c>
      <c r="DU40" t="n">
        <v>0</v>
      </c>
      <c r="DV40" t="n">
        <v>58.425</v>
      </c>
      <c r="DW40" t="n">
        <v>208288.96</v>
      </c>
      <c r="DX40" t="n">
        <v>2.49786228693448</v>
      </c>
      <c r="DY40" t="n">
        <v>73.306</v>
      </c>
      <c r="DZ40" t="n">
        <v>1.02062376390299</v>
      </c>
      <c r="EA40" t="n">
        <v>1.20449936397015</v>
      </c>
      <c r="EB40" t="n">
        <v>192800381.839582</v>
      </c>
      <c r="EC40" t="n">
        <v>3.16578023222883</v>
      </c>
      <c r="ED40" t="n">
        <v>0.0435</v>
      </c>
      <c r="EE40" t="n">
        <v>0.0304926484848485</v>
      </c>
      <c r="EF40" t="n">
        <v>0.03050813492075</v>
      </c>
      <c r="EG40" t="n">
        <v>0.0441803333333333</v>
      </c>
      <c r="EH40" t="n">
        <v>818537.487886374</v>
      </c>
      <c r="EI40" t="n">
        <v>451310.953043899</v>
      </c>
      <c r="EJ40" t="n">
        <v>1507.00489302766</v>
      </c>
      <c r="EK40" t="n">
        <v>1.37501581113348</v>
      </c>
      <c r="EL40" t="n">
        <v>4.04628787017971</v>
      </c>
    </row>
    <row r="41">
      <c r="A41" s="2" t="n">
        <v>49553</v>
      </c>
      <c r="B41" t="n">
        <v>453398.438581173</v>
      </c>
      <c r="C41" t="n">
        <v>41447.1816180583</v>
      </c>
      <c r="D41" t="n">
        <v>28842.3066514863</v>
      </c>
      <c r="E41" t="n">
        <v>257747.059753916</v>
      </c>
      <c r="F41" t="n">
        <v>71059.1450657914</v>
      </c>
      <c r="G41" t="n">
        <v>16826.5970668527</v>
      </c>
      <c r="H41" t="n">
        <v>82789.3604243736</v>
      </c>
      <c r="I41" t="n">
        <v>97774.703980686</v>
      </c>
      <c r="J41" t="n">
        <v>101315.414101176</v>
      </c>
      <c r="K41" t="n">
        <v>392.047363428363</v>
      </c>
      <c r="L41" t="n">
        <v>5594.41552294604</v>
      </c>
      <c r="M41" t="n">
        <v>0.665364856244272</v>
      </c>
      <c r="N41" t="n">
        <v>39008.3076459045</v>
      </c>
      <c r="O41" t="n">
        <v>217.779053027811</v>
      </c>
      <c r="P41" t="n">
        <v>2.52888828407967</v>
      </c>
      <c r="Q41" t="n">
        <v>1.8527504248634</v>
      </c>
      <c r="R41" t="n">
        <v>1.26317621128704</v>
      </c>
      <c r="S41" t="n">
        <v>0.0998810070895534</v>
      </c>
      <c r="T41" t="n">
        <v>6103.1184140826</v>
      </c>
      <c r="U41" t="n">
        <v>0.35421436176688</v>
      </c>
      <c r="V41" t="n">
        <v>0.478329895610404</v>
      </c>
      <c r="W41" t="n">
        <v>34936051.6033547</v>
      </c>
      <c r="X41" t="n">
        <v>107462.3340658</v>
      </c>
      <c r="Y41" t="n">
        <v>4437408.84446314</v>
      </c>
      <c r="Z41" t="n">
        <v>1542.15162561716</v>
      </c>
      <c r="AA41" t="n">
        <v>1.32369559111776</v>
      </c>
      <c r="AB41" t="n">
        <v>1.27206214826253</v>
      </c>
      <c r="AC41" t="n">
        <v>1.5580599747697</v>
      </c>
      <c r="AD41" t="n">
        <v>1.76545311003393</v>
      </c>
      <c r="AE41" t="n">
        <v>151.748744331308</v>
      </c>
      <c r="AF41" t="n">
        <v>117353.889883185</v>
      </c>
      <c r="AG41" t="n">
        <v>1912.34044509593</v>
      </c>
      <c r="AH41" t="n">
        <v>176.082572691586</v>
      </c>
      <c r="AI41" t="n">
        <v>84119.7742490003</v>
      </c>
      <c r="AJ41" t="n">
        <v>125644.118382325</v>
      </c>
      <c r="AK41" t="n">
        <v>644.188279353508</v>
      </c>
      <c r="AL41" t="n">
        <v>33996.1211235607</v>
      </c>
      <c r="AM41" t="n">
        <v>17946.4843667453</v>
      </c>
      <c r="AN41" t="n">
        <v>1.09199317856002</v>
      </c>
      <c r="AO41" t="n">
        <v>1.23554762484511</v>
      </c>
      <c r="AP41" t="n">
        <v>1.41308755258224</v>
      </c>
      <c r="AQ41" t="n">
        <v>1.53312168944329</v>
      </c>
      <c r="AR41" t="n">
        <v>38153.3857308202</v>
      </c>
      <c r="AS41" t="n">
        <v>219693.46952269</v>
      </c>
      <c r="AT41" t="n">
        <v>0.0339802334369201</v>
      </c>
      <c r="AU41" t="n">
        <v>0.037332935394967</v>
      </c>
      <c r="AV41" t="n">
        <v>0.278518837258183</v>
      </c>
      <c r="AW41" t="n">
        <v>886.597160114878</v>
      </c>
      <c r="AX41" t="n">
        <v>12536.4520288438</v>
      </c>
      <c r="AY41" t="n">
        <v>20769.7770521731</v>
      </c>
      <c r="AZ41" t="n">
        <v>187446.061250915</v>
      </c>
      <c r="BA41" t="n">
        <v>695114.982243071</v>
      </c>
      <c r="BB41" t="n">
        <v>289694.370896179</v>
      </c>
      <c r="BC41" t="n">
        <v>322025.113563763</v>
      </c>
      <c r="BD41" t="n">
        <v>125038.761055437</v>
      </c>
      <c r="BE41" t="n">
        <v>22.8900058795785</v>
      </c>
      <c r="BF41" t="n">
        <v>73173.0556897422</v>
      </c>
      <c r="BG41" t="n">
        <v>31703.2866596699</v>
      </c>
      <c r="BH41" t="n">
        <v>38178.4341522387</v>
      </c>
      <c r="BI41" t="n">
        <v>107005.579702592</v>
      </c>
      <c r="BJ41" t="n">
        <v>60764.4743997487</v>
      </c>
      <c r="BK41" t="n">
        <v>110635.741081468</v>
      </c>
      <c r="BL41" t="n">
        <v>38481.2132577318</v>
      </c>
      <c r="BM41" t="n">
        <v>22173.736133652</v>
      </c>
      <c r="BN41" t="n">
        <v>57897.2837663999</v>
      </c>
      <c r="BO41" t="n">
        <v>240777.534239252</v>
      </c>
      <c r="BP41" t="n">
        <v>277511.564476177</v>
      </c>
      <c r="BQ41" t="n">
        <v>1258900.15350632</v>
      </c>
      <c r="BR41" t="n">
        <v>821494.075798863</v>
      </c>
      <c r="BS41" t="n">
        <v>854171.453958644</v>
      </c>
      <c r="BT41" t="n">
        <v>151.746939934088</v>
      </c>
      <c r="BU41" t="n">
        <v>1.53245187132347</v>
      </c>
      <c r="BV41" t="n">
        <v>1.28451637037573</v>
      </c>
      <c r="BW41" t="n">
        <v>101.689404763801</v>
      </c>
      <c r="BX41" t="n">
        <v>96468.3930021167</v>
      </c>
      <c r="BY41" t="n">
        <v>1.88268588872895</v>
      </c>
      <c r="BZ41" t="n">
        <v>181619.682213443</v>
      </c>
      <c r="CA41" t="n">
        <v>10890.5544629015</v>
      </c>
      <c r="CB41" t="n">
        <v>16484.9699858475</v>
      </c>
      <c r="CC41" t="n">
        <v>17450.4396241071</v>
      </c>
      <c r="CD41" t="n">
        <v>965.469638259608</v>
      </c>
      <c r="CE41" t="n">
        <v>0.0553263696373388</v>
      </c>
      <c r="CF41" t="n">
        <v>12284620.9987674</v>
      </c>
      <c r="CG41" t="n">
        <v>591858.415585478</v>
      </c>
      <c r="CH41" t="n">
        <v>787532.717894219</v>
      </c>
      <c r="CI41" t="n">
        <v>456044.447770768</v>
      </c>
      <c r="CJ41" t="n">
        <v>34285.4770901314</v>
      </c>
      <c r="CK41" t="n">
        <v>1248083.91791786</v>
      </c>
      <c r="CL41" t="n">
        <v>0.10555067682565</v>
      </c>
      <c r="CM41" t="n">
        <v>9.47412210015299</v>
      </c>
      <c r="CN41" t="n">
        <v>1332718.78983881</v>
      </c>
      <c r="CO41" t="n">
        <v>3597199.71246745</v>
      </c>
      <c r="CP41" t="n">
        <v>3593014.87564804</v>
      </c>
      <c r="CQ41" t="n">
        <v>4929918.50230626</v>
      </c>
      <c r="CR41" t="n">
        <v>10610409.8722715</v>
      </c>
      <c r="CS41" t="n">
        <v>-0.0066094830843382</v>
      </c>
      <c r="CT41" t="n">
        <v>-0.00325678112629135</v>
      </c>
      <c r="CU41" t="n">
        <v>0.0592912905682951</v>
      </c>
      <c r="CV41" t="n">
        <v>2.04604957283957</v>
      </c>
      <c r="CW41" t="n">
        <v>0.0592912905682951</v>
      </c>
      <c r="CX41" t="n">
        <v>0.039440022763365</v>
      </c>
      <c r="CY41" t="n">
        <v>0.0194400227633649</v>
      </c>
      <c r="CZ41" t="n">
        <v>-0.0226968038896562</v>
      </c>
      <c r="DA41" t="n">
        <v>0.436772359416766</v>
      </c>
      <c r="DB41" t="n">
        <v>7.08126701891859</v>
      </c>
      <c r="DC41" t="n">
        <v>0.0517097246869201</v>
      </c>
      <c r="DD41" t="n">
        <v>0.0351449421920079</v>
      </c>
      <c r="DE41" t="n">
        <v>0.00675295265627919</v>
      </c>
      <c r="DF41" t="n">
        <v>0.150354477318961</v>
      </c>
      <c r="DG41" t="n">
        <v>232781.715548892</v>
      </c>
      <c r="DH41" t="n">
        <v>152.24123999005</v>
      </c>
      <c r="DI41" t="n">
        <v>5.06775400510617</v>
      </c>
      <c r="DJ41" t="n">
        <v>4.35105036792352</v>
      </c>
      <c r="DK41" t="n">
        <v>0.0484267358713257</v>
      </c>
      <c r="DL41" t="n">
        <v>0.669440030437354</v>
      </c>
      <c r="DM41" t="n">
        <v>1.57352278031884</v>
      </c>
      <c r="DN41" t="n">
        <v>0.0399169327369503</v>
      </c>
      <c r="DO41" t="n">
        <v>0.0374213819593254</v>
      </c>
      <c r="DP41" t="n">
        <v>31251</v>
      </c>
      <c r="DQ41" t="n">
        <v>26226.8730612075</v>
      </c>
      <c r="DR41" t="n">
        <v>185932.746869388</v>
      </c>
      <c r="DS41" t="n">
        <v>32827.7278735084</v>
      </c>
      <c r="DT41" t="n">
        <v>14021.2408059962</v>
      </c>
      <c r="DU41" t="n">
        <v>0</v>
      </c>
      <c r="DV41" t="n">
        <v>58.75</v>
      </c>
      <c r="DW41" t="n">
        <v>208288.96</v>
      </c>
      <c r="DX41" t="n">
        <v>2.51025900654382</v>
      </c>
      <c r="DY41" t="n">
        <v>73.306</v>
      </c>
      <c r="DZ41" t="n">
        <v>1.02062376390299</v>
      </c>
      <c r="EA41" t="n">
        <v>1.20449936397015</v>
      </c>
      <c r="EB41" t="n">
        <v>194128178.545387</v>
      </c>
      <c r="EC41" t="n">
        <v>3.16578023222883</v>
      </c>
      <c r="ED41" t="n">
        <v>0.0435</v>
      </c>
      <c r="EE41" t="n">
        <v>0.0304926484848485</v>
      </c>
      <c r="EF41" t="n">
        <v>0.03050813492075</v>
      </c>
      <c r="EG41" t="n">
        <v>0.0441803333333333</v>
      </c>
      <c r="EH41" t="n">
        <v>821248.533214928</v>
      </c>
      <c r="EI41" t="n">
        <v>453927.069959595</v>
      </c>
      <c r="EJ41" t="n">
        <v>1529.09882323008</v>
      </c>
      <c r="EK41" t="n">
        <v>1.35403053679433</v>
      </c>
      <c r="EL41" t="n">
        <v>4.05897165212583</v>
      </c>
    </row>
    <row r="42">
      <c r="A42" s="2" t="n">
        <v>49644</v>
      </c>
      <c r="B42" t="n">
        <v>455771.87818481</v>
      </c>
      <c r="C42" t="n">
        <v>41644.8419514268</v>
      </c>
      <c r="D42" t="n">
        <v>29022.8474115464</v>
      </c>
      <c r="E42" t="n">
        <v>258630.021795005</v>
      </c>
      <c r="F42" t="n">
        <v>72086.0563636096</v>
      </c>
      <c r="G42" t="n">
        <v>17022.8669628485</v>
      </c>
      <c r="H42" t="n">
        <v>83915.150143341</v>
      </c>
      <c r="I42" t="n">
        <v>97347.5744832727</v>
      </c>
      <c r="J42" t="n">
        <v>101548.8503192</v>
      </c>
      <c r="K42" t="n">
        <v>391.663421005132</v>
      </c>
      <c r="L42" t="n">
        <v>5618.67332450747</v>
      </c>
      <c r="M42" t="n">
        <v>0.665356329439756</v>
      </c>
      <c r="N42" t="n">
        <v>39360.4019992674</v>
      </c>
      <c r="O42" t="n">
        <v>219.969664715775</v>
      </c>
      <c r="P42" t="n">
        <v>2.5737995606884</v>
      </c>
      <c r="Q42" t="n">
        <v>1.87014752190072</v>
      </c>
      <c r="R42" t="n">
        <v>1.27102932245136</v>
      </c>
      <c r="S42" t="n">
        <v>0.10050931762219</v>
      </c>
      <c r="T42" t="n">
        <v>6052.96620104124</v>
      </c>
      <c r="U42" t="n">
        <v>0.353002347944092</v>
      </c>
      <c r="V42" t="n">
        <v>0.474420472862234</v>
      </c>
      <c r="W42" t="n">
        <v>35510636.445662</v>
      </c>
      <c r="X42" t="n">
        <v>109185.307979811</v>
      </c>
      <c r="Y42" t="n">
        <v>4441782.38563028</v>
      </c>
      <c r="Z42" t="n">
        <v>1566.10578403202</v>
      </c>
      <c r="AA42" t="n">
        <v>1.3320699825362</v>
      </c>
      <c r="AB42" t="n">
        <v>1.27926984023462</v>
      </c>
      <c r="AC42" t="n">
        <v>1.572366708029</v>
      </c>
      <c r="AD42" t="n">
        <v>1.78676141398423</v>
      </c>
      <c r="AE42" t="n">
        <v>153.074196309022</v>
      </c>
      <c r="AF42" t="n">
        <v>118723.177965846</v>
      </c>
      <c r="AG42" t="n">
        <v>1944.65441279556</v>
      </c>
      <c r="AH42" t="n">
        <v>178.918337501727</v>
      </c>
      <c r="AI42" t="n">
        <v>84471.0517843438</v>
      </c>
      <c r="AJ42" t="n">
        <v>126618.742508134</v>
      </c>
      <c r="AK42" t="n">
        <v>647.542680656254</v>
      </c>
      <c r="AL42" t="n">
        <v>34395.5685720989</v>
      </c>
      <c r="AM42" t="n">
        <v>17895.1270159265</v>
      </c>
      <c r="AN42" t="n">
        <v>1.09999226830061</v>
      </c>
      <c r="AO42" t="n">
        <v>1.24441912037411</v>
      </c>
      <c r="AP42" t="n">
        <v>1.42367335927741</v>
      </c>
      <c r="AQ42" t="n">
        <v>1.54723830382799</v>
      </c>
      <c r="AR42" t="n">
        <v>38294.4924336018</v>
      </c>
      <c r="AS42" t="n">
        <v>221179.431208337</v>
      </c>
      <c r="AT42" t="n">
        <v>0.0341836430158901</v>
      </c>
      <c r="AU42" t="n">
        <v>0.037016566980771</v>
      </c>
      <c r="AV42" t="n">
        <v>0.279249606328714</v>
      </c>
      <c r="AW42" t="n">
        <v>882.962041089049</v>
      </c>
      <c r="AX42" t="n">
        <v>12596.2379826901</v>
      </c>
      <c r="AY42" t="n">
        <v>20838.6576395835</v>
      </c>
      <c r="AZ42" t="n">
        <v>187838.127408312</v>
      </c>
      <c r="BA42" t="n">
        <v>705187.709919109</v>
      </c>
      <c r="BB42" t="n">
        <v>293182.38245019</v>
      </c>
      <c r="BC42" t="n">
        <v>326142.820007744</v>
      </c>
      <c r="BD42" t="n">
        <v>124489.332934982</v>
      </c>
      <c r="BE42" t="n">
        <v>22.8327469784525</v>
      </c>
      <c r="BF42" t="n">
        <v>74409.396690281</v>
      </c>
      <c r="BG42" t="n">
        <v>32420.1917861745</v>
      </c>
      <c r="BH42" t="n">
        <v>38660.4638446494</v>
      </c>
      <c r="BI42" t="n">
        <v>108061.267848495</v>
      </c>
      <c r="BJ42" t="n">
        <v>61273.9617349998</v>
      </c>
      <c r="BK42" t="n">
        <v>111702.950205935</v>
      </c>
      <c r="BL42" t="n">
        <v>38971.3639444046</v>
      </c>
      <c r="BM42" t="n">
        <v>22269.0382201422</v>
      </c>
      <c r="BN42" t="n">
        <v>58618.9865233551</v>
      </c>
      <c r="BO42" t="n">
        <v>243151.898893837</v>
      </c>
      <c r="BP42" t="n">
        <v>281125.542588908</v>
      </c>
      <c r="BQ42" t="n">
        <v>1275221.73057883</v>
      </c>
      <c r="BR42" t="n">
        <v>824218.466765003</v>
      </c>
      <c r="BS42" t="n">
        <v>857989.739573044</v>
      </c>
      <c r="BT42" t="n">
        <v>153.118820811983</v>
      </c>
      <c r="BU42" t="n">
        <v>1.547188956263</v>
      </c>
      <c r="BV42" t="n">
        <v>1.29447573955679</v>
      </c>
      <c r="BW42" t="n">
        <v>101.844679480739</v>
      </c>
      <c r="BX42" t="n">
        <v>96973.3835026729</v>
      </c>
      <c r="BY42" t="n">
        <v>1.91300606357757</v>
      </c>
      <c r="BZ42" t="n">
        <v>185510.670646247</v>
      </c>
      <c r="CA42" t="n">
        <v>10911.9746568542</v>
      </c>
      <c r="CB42" t="n">
        <v>16530.6479813617</v>
      </c>
      <c r="CC42" t="n">
        <v>17499.831985569</v>
      </c>
      <c r="CD42" t="n">
        <v>969.184004207298</v>
      </c>
      <c r="CE42" t="n">
        <v>0.055382465089571</v>
      </c>
      <c r="CF42" t="n">
        <v>12319409.9321901</v>
      </c>
      <c r="CG42" t="n">
        <v>598855.386744183</v>
      </c>
      <c r="CH42" t="n">
        <v>794500.753129806</v>
      </c>
      <c r="CI42" t="n">
        <v>462239.604425248</v>
      </c>
      <c r="CJ42" t="n">
        <v>34588.8326295327</v>
      </c>
      <c r="CK42" t="n">
        <v>1264265.26304083</v>
      </c>
      <c r="CL42" t="n">
        <v>0.106979398058569</v>
      </c>
      <c r="CM42" t="n">
        <v>9.3475941924119</v>
      </c>
      <c r="CN42" t="n">
        <v>1339894.1029943</v>
      </c>
      <c r="CO42" t="n">
        <v>3623673.16516614</v>
      </c>
      <c r="CP42" t="n">
        <v>3605667.75747337</v>
      </c>
      <c r="CQ42" t="n">
        <v>4963567.26816044</v>
      </c>
      <c r="CR42" t="n">
        <v>10656711.519951</v>
      </c>
      <c r="CS42" t="n">
        <v>-0.00651693113007596</v>
      </c>
      <c r="CT42" t="n">
        <v>-0.00368400716519508</v>
      </c>
      <c r="CU42" t="n">
        <v>0.0598087434762242</v>
      </c>
      <c r="CV42" t="n">
        <v>2.06663052424927</v>
      </c>
      <c r="CW42" t="n">
        <v>0.0598087434762242</v>
      </c>
      <c r="CX42" t="n">
        <v>0.039440022763365</v>
      </c>
      <c r="CY42" t="n">
        <v>0.019440022763365</v>
      </c>
      <c r="CZ42" t="n">
        <v>-0.0231240299285601</v>
      </c>
      <c r="DA42" t="n">
        <v>0.433091815238344</v>
      </c>
      <c r="DB42" t="n">
        <v>7.1196443657611</v>
      </c>
      <c r="DC42" t="n">
        <v>0.0519131342658901</v>
      </c>
      <c r="DD42" t="n">
        <v>0.0352776243172804</v>
      </c>
      <c r="DE42" t="n">
        <v>0.00672984725744486</v>
      </c>
      <c r="DF42" t="n">
        <v>0.151431580361131</v>
      </c>
      <c r="DG42" t="n">
        <v>233440.932272392</v>
      </c>
      <c r="DH42" t="n">
        <v>153.531870058904</v>
      </c>
      <c r="DI42" t="n">
        <v>5.07636911518135</v>
      </c>
      <c r="DJ42" t="n">
        <v>4.35672816801025</v>
      </c>
      <c r="DK42" t="n">
        <v>0.0484267358713257</v>
      </c>
      <c r="DL42" t="n">
        <v>0.669440030437354</v>
      </c>
      <c r="DM42" t="n">
        <v>1.58934321574868</v>
      </c>
      <c r="DN42" t="n">
        <v>0.0399169327369503</v>
      </c>
      <c r="DO42" t="n">
        <v>0.0374213819593254</v>
      </c>
      <c r="DP42" t="n">
        <v>31339.5</v>
      </c>
      <c r="DQ42" t="n">
        <v>26301.4436193975</v>
      </c>
      <c r="DR42" t="n">
        <v>186459.291559092</v>
      </c>
      <c r="DS42" t="n">
        <v>32920.6930239614</v>
      </c>
      <c r="DT42" t="n">
        <v>14060.9476893385</v>
      </c>
      <c r="DU42" t="n">
        <v>0</v>
      </c>
      <c r="DV42" t="n">
        <v>58.75</v>
      </c>
      <c r="DW42" t="n">
        <v>208288.96</v>
      </c>
      <c r="DX42" t="n">
        <v>2.52271725022432</v>
      </c>
      <c r="DY42" t="n">
        <v>73.306</v>
      </c>
      <c r="DZ42" t="n">
        <v>1.02062376390299</v>
      </c>
      <c r="EA42" t="n">
        <v>1.20449936397015</v>
      </c>
      <c r="EB42" t="n">
        <v>195465119.652647</v>
      </c>
      <c r="EC42" t="n">
        <v>3.16578023222883</v>
      </c>
      <c r="ED42" t="n">
        <v>0.0435</v>
      </c>
      <c r="EE42" t="n">
        <v>0.0304926484848485</v>
      </c>
      <c r="EF42" t="n">
        <v>0.03050813492075</v>
      </c>
      <c r="EG42" t="n">
        <v>0.0441803333333333</v>
      </c>
      <c r="EH42" t="n">
        <v>823967.74368452</v>
      </c>
      <c r="EI42" t="n">
        <v>456482.699984899</v>
      </c>
      <c r="EJ42" t="n">
        <v>1551.85760181803</v>
      </c>
      <c r="EK42" t="n">
        <v>1.33201590965304</v>
      </c>
      <c r="EL42" t="n">
        <v>4.07005741459661</v>
      </c>
    </row>
    <row r="43">
      <c r="A43" s="2" t="n">
        <v>49735</v>
      </c>
      <c r="B43" t="n">
        <v>458182.393794065</v>
      </c>
      <c r="C43" t="n">
        <v>41841.2713522708</v>
      </c>
      <c r="D43" t="n">
        <v>29198.9783363306</v>
      </c>
      <c r="E43" t="n">
        <v>259512.838751523</v>
      </c>
      <c r="F43" t="n">
        <v>73130.0579996883</v>
      </c>
      <c r="G43" t="n">
        <v>17221.4216397906</v>
      </c>
      <c r="H43" t="n">
        <v>85057.6835361463</v>
      </c>
      <c r="I43" t="n">
        <v>97390.2117874128</v>
      </c>
      <c r="J43" t="n">
        <v>101794.85485506</v>
      </c>
      <c r="K43" t="n">
        <v>391.281339712012</v>
      </c>
      <c r="L43" t="n">
        <v>5643.00489234826</v>
      </c>
      <c r="M43" t="n">
        <v>0.665346031744335</v>
      </c>
      <c r="N43" t="n">
        <v>39716.0245306316</v>
      </c>
      <c r="O43" t="n">
        <v>222.186232501744</v>
      </c>
      <c r="P43" t="n">
        <v>2.6195783415711</v>
      </c>
      <c r="Q43" t="n">
        <v>1.88737494959821</v>
      </c>
      <c r="R43" t="n">
        <v>1.27884123101673</v>
      </c>
      <c r="S43" t="n">
        <v>0.101122737417397</v>
      </c>
      <c r="T43" t="n">
        <v>6002.75575314601</v>
      </c>
      <c r="U43" t="n">
        <v>0.351875633347406</v>
      </c>
      <c r="V43" t="n">
        <v>0.470649384257593</v>
      </c>
      <c r="W43" t="n">
        <v>36095205.2347657</v>
      </c>
      <c r="X43" t="n">
        <v>110930.952255027</v>
      </c>
      <c r="Y43" t="n">
        <v>4446161.74827283</v>
      </c>
      <c r="Z43" t="n">
        <v>1590.51900313652</v>
      </c>
      <c r="AA43" t="n">
        <v>1.34051398141594</v>
      </c>
      <c r="AB43" t="n">
        <v>1.28652118785931</v>
      </c>
      <c r="AC43" t="n">
        <v>1.58679023299823</v>
      </c>
      <c r="AD43" t="n">
        <v>1.80860189344053</v>
      </c>
      <c r="AE43" t="n">
        <v>154.410027387302</v>
      </c>
      <c r="AF43" t="n">
        <v>120093.947332858</v>
      </c>
      <c r="AG43" t="n">
        <v>1976.99530664122</v>
      </c>
      <c r="AH43" t="n">
        <v>181.799392674</v>
      </c>
      <c r="AI43" t="n">
        <v>84813.5093264384</v>
      </c>
      <c r="AJ43" t="n">
        <v>127599.181181872</v>
      </c>
      <c r="AK43" t="n">
        <v>650.623976331749</v>
      </c>
      <c r="AL43" t="n">
        <v>34806.3690443155</v>
      </c>
      <c r="AM43" t="n">
        <v>17844.0161564943</v>
      </c>
      <c r="AN43" t="n">
        <v>1.10785238494493</v>
      </c>
      <c r="AO43" t="n">
        <v>1.25327551856709</v>
      </c>
      <c r="AP43" t="n">
        <v>1.43438177385754</v>
      </c>
      <c r="AQ43" t="n">
        <v>1.56152196794384</v>
      </c>
      <c r="AR43" t="n">
        <v>38437.1660929054</v>
      </c>
      <c r="AS43" t="n">
        <v>222700.395233656</v>
      </c>
      <c r="AT43" t="n">
        <v>0.0343618385966022</v>
      </c>
      <c r="AU43" t="n">
        <v>0.0367325145346337</v>
      </c>
      <c r="AV43" t="n">
        <v>0.279884225142761</v>
      </c>
      <c r="AW43" t="n">
        <v>882.816956517723</v>
      </c>
      <c r="AX43" t="n">
        <v>12655.6516186625</v>
      </c>
      <c r="AY43" t="n">
        <v>20907.6708057047</v>
      </c>
      <c r="AZ43" t="n">
        <v>188244.707910165</v>
      </c>
      <c r="BA43" t="n">
        <v>715461.875385171</v>
      </c>
      <c r="BB43" t="n">
        <v>296707.298668595</v>
      </c>
      <c r="BC43" t="n">
        <v>330309.479552799</v>
      </c>
      <c r="BD43" t="n">
        <v>124401.592503777</v>
      </c>
      <c r="BE43" t="n">
        <v>22.8236030695624</v>
      </c>
      <c r="BF43" t="n">
        <v>75674.2025916761</v>
      </c>
      <c r="BG43" t="n">
        <v>33152.4708787176</v>
      </c>
      <c r="BH43" t="n">
        <v>39141.6387029121</v>
      </c>
      <c r="BI43" t="n">
        <v>109114.375757209</v>
      </c>
      <c r="BJ43" t="n">
        <v>61791.9002068601</v>
      </c>
      <c r="BK43" t="n">
        <v>112773.672726302</v>
      </c>
      <c r="BL43" t="n">
        <v>39460.6141331329</v>
      </c>
      <c r="BM43" t="n">
        <v>22363.46860185</v>
      </c>
      <c r="BN43" t="n">
        <v>59350.8386909579</v>
      </c>
      <c r="BO43" t="n">
        <v>245538.154152242</v>
      </c>
      <c r="BP43" t="n">
        <v>284798.447588521</v>
      </c>
      <c r="BQ43" t="n">
        <v>1291783.46875486</v>
      </c>
      <c r="BR43" t="n">
        <v>826948.101658237</v>
      </c>
      <c r="BS43" t="n">
        <v>861833.759763501</v>
      </c>
      <c r="BT43" t="n">
        <v>154.507260933485</v>
      </c>
      <c r="BU43" t="n">
        <v>1.56210945261425</v>
      </c>
      <c r="BV43" t="n">
        <v>1.30435621207168</v>
      </c>
      <c r="BW43" t="n">
        <v>101.995164093565</v>
      </c>
      <c r="BX43" t="n">
        <v>97486.2625674069</v>
      </c>
      <c r="BY43" t="n">
        <v>1.94381048581299</v>
      </c>
      <c r="BZ43" t="n">
        <v>189494.819401244</v>
      </c>
      <c r="CA43" t="n">
        <v>10933.399198356</v>
      </c>
      <c r="CB43" t="n">
        <v>16576.4040907042</v>
      </c>
      <c r="CC43" t="n">
        <v>17549.1774877193</v>
      </c>
      <c r="CD43" t="n">
        <v>972.773397015044</v>
      </c>
      <c r="CE43" t="n">
        <v>0.0554312721345353</v>
      </c>
      <c r="CF43" t="n">
        <v>12354198.8656127</v>
      </c>
      <c r="CG43" t="n">
        <v>605938.646924407</v>
      </c>
      <c r="CH43" t="n">
        <v>802101.128208601</v>
      </c>
      <c r="CI43" t="n">
        <v>468541.687488916</v>
      </c>
      <c r="CJ43" t="n">
        <v>34919.717276887</v>
      </c>
      <c r="CK43" t="n">
        <v>1280684.70584788</v>
      </c>
      <c r="CL43" t="n">
        <v>0.108387547834303</v>
      </c>
      <c r="CM43" t="n">
        <v>9.22615208094521</v>
      </c>
      <c r="CN43" t="n">
        <v>1347133.30254536</v>
      </c>
      <c r="CO43" t="n">
        <v>3650073.6495176</v>
      </c>
      <c r="CP43" t="n">
        <v>3618416.89986471</v>
      </c>
      <c r="CQ43" t="n">
        <v>4997206.95206296</v>
      </c>
      <c r="CR43" t="n">
        <v>10703100.3462449</v>
      </c>
      <c r="CS43" t="n">
        <v>-0.00642837329361259</v>
      </c>
      <c r="CT43" t="n">
        <v>-0.00405769735558107</v>
      </c>
      <c r="CU43" t="n">
        <v>0.0603325255271819</v>
      </c>
      <c r="CV43" t="n">
        <v>2.08745533503156</v>
      </c>
      <c r="CW43" t="n">
        <v>0.0603325255271819</v>
      </c>
      <c r="CX43" t="n">
        <v>0.039440022763365</v>
      </c>
      <c r="CY43" t="n">
        <v>0.0194400227633649</v>
      </c>
      <c r="CZ43" t="n">
        <v>-0.023497720118946</v>
      </c>
      <c r="DA43" t="n">
        <v>0.429531413603038</v>
      </c>
      <c r="DB43" t="n">
        <v>7.15849485914498</v>
      </c>
      <c r="DC43" t="n">
        <v>0.0520913298466022</v>
      </c>
      <c r="DD43" t="n">
        <v>0.0353940220955273</v>
      </c>
      <c r="DE43" t="n">
        <v>0.00670911293791739</v>
      </c>
      <c r="DF43" t="n">
        <v>0.152489216619305</v>
      </c>
      <c r="DG43" t="n">
        <v>234100.148995891</v>
      </c>
      <c r="DH43" t="n">
        <v>154.835063728635</v>
      </c>
      <c r="DI43" t="n">
        <v>5.08499470254059</v>
      </c>
      <c r="DJ43" t="n">
        <v>4.36241644538104</v>
      </c>
      <c r="DK43" t="n">
        <v>0.0484267358713257</v>
      </c>
      <c r="DL43" t="n">
        <v>0.669440030437354</v>
      </c>
      <c r="DM43" t="n">
        <v>1.60532271222316</v>
      </c>
      <c r="DN43" t="n">
        <v>0.0399169327369503</v>
      </c>
      <c r="DO43" t="n">
        <v>0.0374213819593254</v>
      </c>
      <c r="DP43" t="n">
        <v>31428</v>
      </c>
      <c r="DQ43" t="n">
        <v>26376.01586307</v>
      </c>
      <c r="DR43" t="n">
        <v>186985.836248796</v>
      </c>
      <c r="DS43" t="n">
        <v>33013.6581744143</v>
      </c>
      <c r="DT43" t="n">
        <v>14100.6545726808</v>
      </c>
      <c r="DU43" t="n">
        <v>0</v>
      </c>
      <c r="DV43" t="n">
        <v>58.75</v>
      </c>
      <c r="DW43" t="n">
        <v>208288.96</v>
      </c>
      <c r="DX43" t="n">
        <v>2.53523732331572</v>
      </c>
      <c r="DY43" t="n">
        <v>73.306</v>
      </c>
      <c r="DZ43" t="n">
        <v>1.02062376390299</v>
      </c>
      <c r="EA43" t="n">
        <v>1.20449936397015</v>
      </c>
      <c r="EB43" t="n">
        <v>196409858.955687</v>
      </c>
      <c r="EC43" t="n">
        <v>3.16578023222883</v>
      </c>
      <c r="ED43" t="n">
        <v>0.0435</v>
      </c>
      <c r="EE43" t="n">
        <v>0.0304926484848485</v>
      </c>
      <c r="EF43" t="n">
        <v>0.03050813492075</v>
      </c>
      <c r="EG43" t="n">
        <v>0.0441803333333333</v>
      </c>
      <c r="EH43" t="n">
        <v>826694.649226105</v>
      </c>
      <c r="EI43" t="n">
        <v>458993.337479627</v>
      </c>
      <c r="EJ43" t="n">
        <v>1575.26667700072</v>
      </c>
      <c r="EK43" t="n">
        <v>1.30840516593214</v>
      </c>
      <c r="EL43" t="n">
        <v>4.07902118902148</v>
      </c>
    </row>
    <row r="44">
      <c r="A44" s="2" t="n">
        <v>49827</v>
      </c>
      <c r="B44" t="n">
        <v>460112.011705037</v>
      </c>
      <c r="C44" t="n">
        <v>42036.4696194232</v>
      </c>
      <c r="D44" t="n">
        <v>29369.8622069524</v>
      </c>
      <c r="E44" t="n">
        <v>260394.734750221</v>
      </c>
      <c r="F44" t="n">
        <v>74001.1240714907</v>
      </c>
      <c r="G44" t="n">
        <v>17415.7255412847</v>
      </c>
      <c r="H44" t="n">
        <v>86137.6466054823</v>
      </c>
      <c r="I44" t="n">
        <v>97811.8921597116</v>
      </c>
      <c r="J44" t="n">
        <v>101522.992712266</v>
      </c>
      <c r="K44" t="n">
        <v>390.827475785549</v>
      </c>
      <c r="L44" t="n">
        <v>5666.41111783914</v>
      </c>
      <c r="M44" t="n">
        <v>0.665327017754076</v>
      </c>
      <c r="N44" t="n">
        <v>40081.6510225739</v>
      </c>
      <c r="O44" t="n">
        <v>224.419645633369</v>
      </c>
      <c r="P44" t="n">
        <v>2.66674607655568</v>
      </c>
      <c r="Q44" t="n">
        <v>1.90441206281069</v>
      </c>
      <c r="R44" t="n">
        <v>1.28655481789801</v>
      </c>
      <c r="S44" t="n">
        <v>0.101404084438838</v>
      </c>
      <c r="T44" t="n">
        <v>5943.13052107687</v>
      </c>
      <c r="U44" t="n">
        <v>0.350855646650341</v>
      </c>
      <c r="V44" t="n">
        <v>0.46701884707525</v>
      </c>
      <c r="W44" t="n">
        <v>36684358.5895665</v>
      </c>
      <c r="X44" t="n">
        <v>112685.886239291</v>
      </c>
      <c r="Y44" t="n">
        <v>4447936.76393601</v>
      </c>
      <c r="Z44" t="n">
        <v>1615.24141170874</v>
      </c>
      <c r="AA44" t="n">
        <v>1.34907180486524</v>
      </c>
      <c r="AB44" t="n">
        <v>1.29381132595728</v>
      </c>
      <c r="AC44" t="n">
        <v>1.60159372895363</v>
      </c>
      <c r="AD44" t="n">
        <v>1.83094101624534</v>
      </c>
      <c r="AE44" t="n">
        <v>155.765442827555</v>
      </c>
      <c r="AF44" t="n">
        <v>121379.284627717</v>
      </c>
      <c r="AG44" t="n">
        <v>2009.45939963458</v>
      </c>
      <c r="AH44" t="n">
        <v>184.725051136484</v>
      </c>
      <c r="AI44" t="n">
        <v>85113.2893667623</v>
      </c>
      <c r="AJ44" t="n">
        <v>128418.031163987</v>
      </c>
      <c r="AK44" t="n">
        <v>653.166596594057</v>
      </c>
      <c r="AL44" t="n">
        <v>35198.3904874616</v>
      </c>
      <c r="AM44" t="n">
        <v>17772.427986475</v>
      </c>
      <c r="AN44" t="n">
        <v>1.11555230043031</v>
      </c>
      <c r="AO44" t="n">
        <v>1.26273669777544</v>
      </c>
      <c r="AP44" t="n">
        <v>1.44514358322126</v>
      </c>
      <c r="AQ44" t="n">
        <v>1.57591075567614</v>
      </c>
      <c r="AR44" t="n">
        <v>38518.8341714831</v>
      </c>
      <c r="AS44" t="n">
        <v>224050.96023316</v>
      </c>
      <c r="AT44" t="n">
        <v>0.0340270407292287</v>
      </c>
      <c r="AU44" t="n">
        <v>0.0364474203087966</v>
      </c>
      <c r="AV44" t="n">
        <v>0.284227330400153</v>
      </c>
      <c r="AW44" t="n">
        <v>881.895998697844</v>
      </c>
      <c r="AX44" t="n">
        <v>12714.6928759142</v>
      </c>
      <c r="AY44" t="n">
        <v>20951.7788683638</v>
      </c>
      <c r="AZ44" t="n">
        <v>188027.033738587</v>
      </c>
      <c r="BA44" t="n">
        <v>725095.470312986</v>
      </c>
      <c r="BB44" t="n">
        <v>300318.653412265</v>
      </c>
      <c r="BC44" t="n">
        <v>334132.171333436</v>
      </c>
      <c r="BD44" t="n">
        <v>125127.058265387</v>
      </c>
      <c r="BE44" t="n">
        <v>22.8992078134185</v>
      </c>
      <c r="BF44" t="n">
        <v>76966.2964043531</v>
      </c>
      <c r="BG44" t="n">
        <v>33906.8573414546</v>
      </c>
      <c r="BH44" t="n">
        <v>39622.0530161766</v>
      </c>
      <c r="BI44" t="n">
        <v>110120.536714069</v>
      </c>
      <c r="BJ44" t="n">
        <v>62312.6257355801</v>
      </c>
      <c r="BK44" t="n">
        <v>113254.208066737</v>
      </c>
      <c r="BL44" t="n">
        <v>39900.8204142541</v>
      </c>
      <c r="BM44" t="n">
        <v>22441.8970270932</v>
      </c>
      <c r="BN44" t="n">
        <v>59999.0326192222</v>
      </c>
      <c r="BO44" t="n">
        <v>247185.518127307</v>
      </c>
      <c r="BP44" t="n">
        <v>288253.842342648</v>
      </c>
      <c r="BQ44" t="n">
        <v>1307274.16872154</v>
      </c>
      <c r="BR44" t="n">
        <v>828692.680348822</v>
      </c>
      <c r="BS44" t="n">
        <v>865146.576287026</v>
      </c>
      <c r="BT44" t="n">
        <v>155.915531482209</v>
      </c>
      <c r="BU44" t="n">
        <v>1.5775138072232</v>
      </c>
      <c r="BV44" t="n">
        <v>1.31462754696735</v>
      </c>
      <c r="BW44" t="n">
        <v>102.182008001432</v>
      </c>
      <c r="BX44" t="n">
        <v>97896.8222939953</v>
      </c>
      <c r="BY44" t="n">
        <v>1.97509180921917</v>
      </c>
      <c r="BZ44" t="n">
        <v>193355.211861455</v>
      </c>
      <c r="CA44" t="n">
        <v>10950.4659895176</v>
      </c>
      <c r="CB44" t="n">
        <v>16616.8771073567</v>
      </c>
      <c r="CC44" t="n">
        <v>17598.2920242975</v>
      </c>
      <c r="CD44" t="n">
        <v>981.414916940736</v>
      </c>
      <c r="CE44" t="n">
        <v>0.0557676133854563</v>
      </c>
      <c r="CF44" t="n">
        <v>12388987.7990353</v>
      </c>
      <c r="CG44" t="n">
        <v>613010.012117622</v>
      </c>
      <c r="CH44" t="n">
        <v>810029.856389977</v>
      </c>
      <c r="CI44" t="n">
        <v>473973.022088968</v>
      </c>
      <c r="CJ44" t="n">
        <v>35264.8968767179</v>
      </c>
      <c r="CK44" t="n">
        <v>1296042.31260633</v>
      </c>
      <c r="CL44" t="n">
        <v>0.109902785119332</v>
      </c>
      <c r="CM44" t="n">
        <v>9.09895048532393</v>
      </c>
      <c r="CN44" t="n">
        <v>1354430.9400084</v>
      </c>
      <c r="CO44" t="n">
        <v>3676393.5148706</v>
      </c>
      <c r="CP44" t="n">
        <v>3631260.3004606</v>
      </c>
      <c r="CQ44" t="n">
        <v>5030824.45487901</v>
      </c>
      <c r="CR44" t="n">
        <v>10749561.2496568</v>
      </c>
      <c r="CS44" t="n">
        <v>-0.00680681151144637</v>
      </c>
      <c r="CT44" t="n">
        <v>-0.0043864319318784</v>
      </c>
      <c r="CU44" t="n">
        <v>0.0605702321981633</v>
      </c>
      <c r="CV44" t="n">
        <v>2.10843840902515</v>
      </c>
      <c r="CW44" t="n">
        <v>0.0605702321981633</v>
      </c>
      <c r="CX44" t="n">
        <v>0.039440022763365</v>
      </c>
      <c r="CY44" t="n">
        <v>0.019440022763365</v>
      </c>
      <c r="CZ44" t="n">
        <v>-0.0238264546952434</v>
      </c>
      <c r="DA44" t="n">
        <v>0.426118018362847</v>
      </c>
      <c r="DB44" t="n">
        <v>7.19741539182154</v>
      </c>
      <c r="DC44" t="n">
        <v>0.0517565319792287</v>
      </c>
      <c r="DD44" t="n">
        <v>0.0351637387599185</v>
      </c>
      <c r="DE44" t="n">
        <v>0.0066883129828052</v>
      </c>
      <c r="DF44" t="n">
        <v>0.153531276080574</v>
      </c>
      <c r="DG44" t="n">
        <v>234759.36571939</v>
      </c>
      <c r="DH44" t="n">
        <v>156.312238576982</v>
      </c>
      <c r="DI44" t="n">
        <v>5.09466310334611</v>
      </c>
      <c r="DJ44" t="n">
        <v>4.3691475361981</v>
      </c>
      <c r="DK44" t="n">
        <v>0.0484267358713257</v>
      </c>
      <c r="DL44" t="n">
        <v>0.669440030437354</v>
      </c>
      <c r="DM44" t="n">
        <v>1.621462868966</v>
      </c>
      <c r="DN44" t="n">
        <v>0.0399169327369503</v>
      </c>
      <c r="DO44" t="n">
        <v>0.0374213819593254</v>
      </c>
      <c r="DP44" t="n">
        <v>31516.5</v>
      </c>
      <c r="DQ44" t="n">
        <v>26450.589792225</v>
      </c>
      <c r="DR44" t="n">
        <v>187512.3809385</v>
      </c>
      <c r="DS44" t="n">
        <v>33106.6233248673</v>
      </c>
      <c r="DT44" t="n">
        <v>14140.3614560231</v>
      </c>
      <c r="DU44" t="n">
        <v>0</v>
      </c>
      <c r="DV44" t="n">
        <v>58.75</v>
      </c>
      <c r="DW44" t="n">
        <v>208288.96</v>
      </c>
      <c r="DX44" t="n">
        <v>2.54781953267317</v>
      </c>
      <c r="DY44" t="n">
        <v>73.306</v>
      </c>
      <c r="DZ44" t="n">
        <v>1.02062376390299</v>
      </c>
      <c r="EA44" t="n">
        <v>1.20449936397015</v>
      </c>
      <c r="EB44" t="n">
        <v>197359164.456278</v>
      </c>
      <c r="EC44" t="n">
        <v>3.16578023222883</v>
      </c>
      <c r="ED44" t="n">
        <v>0.0435</v>
      </c>
      <c r="EE44" t="n">
        <v>0.0304926484848485</v>
      </c>
      <c r="EF44" t="n">
        <v>0.03050813492075</v>
      </c>
      <c r="EG44" t="n">
        <v>0.0441803333333333</v>
      </c>
      <c r="EH44" t="n">
        <v>829230.208409188</v>
      </c>
      <c r="EI44" t="n">
        <v>461369.320937673</v>
      </c>
      <c r="EJ44" t="n">
        <v>1599.28008315746</v>
      </c>
      <c r="EK44" t="n">
        <v>1.20049355755913</v>
      </c>
      <c r="EL44" t="n">
        <v>4.0833852240675</v>
      </c>
    </row>
    <row r="45">
      <c r="A45" s="2" t="n">
        <v>49919</v>
      </c>
      <c r="B45" t="n">
        <v>462135.122624696</v>
      </c>
      <c r="C45" t="n">
        <v>42226.2625025448</v>
      </c>
      <c r="D45" t="n">
        <v>29534.1976202796</v>
      </c>
      <c r="E45" t="n">
        <v>261204.262431077</v>
      </c>
      <c r="F45" t="n">
        <v>75067.889199187</v>
      </c>
      <c r="G45" t="n">
        <v>17609.8181047231</v>
      </c>
      <c r="H45" t="n">
        <v>87286.5867777725</v>
      </c>
      <c r="I45" t="n">
        <v>103124.966472525</v>
      </c>
      <c r="J45" t="n">
        <v>101910.112610103</v>
      </c>
      <c r="K45" t="n">
        <v>390.404930383388</v>
      </c>
      <c r="L45" t="n">
        <v>5690.03307407518</v>
      </c>
      <c r="M45" t="n">
        <v>0.665264358126137</v>
      </c>
      <c r="N45" t="n">
        <v>40435.3896746406</v>
      </c>
      <c r="O45" t="n">
        <v>226.680508107175</v>
      </c>
      <c r="P45" t="n">
        <v>2.71405065383535</v>
      </c>
      <c r="Q45" t="n">
        <v>1.92121317877144</v>
      </c>
      <c r="R45" t="n">
        <v>1.29419053016917</v>
      </c>
      <c r="S45" t="n">
        <v>0.10163577356857</v>
      </c>
      <c r="T45" t="n">
        <v>5879.20345497674</v>
      </c>
      <c r="U45" t="n">
        <v>0.349911126398362</v>
      </c>
      <c r="V45" t="n">
        <v>0.463548001101287</v>
      </c>
      <c r="W45" t="n">
        <v>37285598.2512479</v>
      </c>
      <c r="X45" t="n">
        <v>114455.696118082</v>
      </c>
      <c r="Y45" t="n">
        <v>4450313.17318138</v>
      </c>
      <c r="Z45" t="n">
        <v>1640.94961927584</v>
      </c>
      <c r="AA45" t="n">
        <v>1.35761059967052</v>
      </c>
      <c r="AB45" t="n">
        <v>1.30119326523521</v>
      </c>
      <c r="AC45" t="n">
        <v>1.61623062324256</v>
      </c>
      <c r="AD45" t="n">
        <v>1.85378610796788</v>
      </c>
      <c r="AE45" t="n">
        <v>157.134208342242</v>
      </c>
      <c r="AF45" t="n">
        <v>122647.833355104</v>
      </c>
      <c r="AG45" t="n">
        <v>2042.53788005145</v>
      </c>
      <c r="AH45" t="n">
        <v>187.705117341449</v>
      </c>
      <c r="AI45" t="n">
        <v>85382.7992222399</v>
      </c>
      <c r="AJ45" t="n">
        <v>129591.098650621</v>
      </c>
      <c r="AK45" t="n">
        <v>655.642611663136</v>
      </c>
      <c r="AL45" t="n">
        <v>35600.5404379341</v>
      </c>
      <c r="AM45" t="n">
        <v>17718.0299543115</v>
      </c>
      <c r="AN45" t="n">
        <v>1.12302540581096</v>
      </c>
      <c r="AO45" t="n">
        <v>1.27134192870059</v>
      </c>
      <c r="AP45" t="n">
        <v>1.45602070326346</v>
      </c>
      <c r="AQ45" t="n">
        <v>1.5904747516654</v>
      </c>
      <c r="AR45" t="n">
        <v>38651.8499304027</v>
      </c>
      <c r="AS45" t="n">
        <v>225329.288560287</v>
      </c>
      <c r="AT45" t="n">
        <v>0.0338152336973944</v>
      </c>
      <c r="AU45" t="n">
        <v>0.0361688263194418</v>
      </c>
      <c r="AV45" t="n">
        <v>0.286952435891403</v>
      </c>
      <c r="AW45" t="n">
        <v>809.527680856292</v>
      </c>
      <c r="AX45" t="n">
        <v>12772.0991766995</v>
      </c>
      <c r="AY45" t="n">
        <v>21016.065792577</v>
      </c>
      <c r="AZ45" t="n">
        <v>188557.058287394</v>
      </c>
      <c r="BA45" t="n">
        <v>735014.246733984</v>
      </c>
      <c r="BB45" t="n">
        <v>303914.269961934</v>
      </c>
      <c r="BC45" t="n">
        <v>338212.667874721</v>
      </c>
      <c r="BD45" t="n">
        <v>130476.658916163</v>
      </c>
      <c r="BE45" t="n">
        <v>23.4567188750527</v>
      </c>
      <c r="BF45" t="n">
        <v>78278.4588186226</v>
      </c>
      <c r="BG45" t="n">
        <v>34664.1241213712</v>
      </c>
      <c r="BH45" t="n">
        <v>40095.9397420555</v>
      </c>
      <c r="BI45" t="n">
        <v>111099.522215593</v>
      </c>
      <c r="BJ45" t="n">
        <v>62746.6760696608</v>
      </c>
      <c r="BK45" t="n">
        <v>114447.645570201</v>
      </c>
      <c r="BL45" t="n">
        <v>40376.3425666267</v>
      </c>
      <c r="BM45" t="n">
        <v>22525.6743748891</v>
      </c>
      <c r="BN45" t="n">
        <v>60735.2783977695</v>
      </c>
      <c r="BO45" t="n">
        <v>249674.500909486</v>
      </c>
      <c r="BP45" t="n">
        <v>291619.031424479</v>
      </c>
      <c r="BQ45" t="n">
        <v>1323868.70714823</v>
      </c>
      <c r="BR45" t="n">
        <v>831235.381014186</v>
      </c>
      <c r="BS45" t="n">
        <v>868437.579641716</v>
      </c>
      <c r="BT45" t="n">
        <v>157.336818237577</v>
      </c>
      <c r="BU45" t="n">
        <v>1.59265198835721</v>
      </c>
      <c r="BV45" t="n">
        <v>1.32413235111538</v>
      </c>
      <c r="BW45" t="n">
        <v>102.313555867411</v>
      </c>
      <c r="BX45" t="n">
        <v>98327.2742820863</v>
      </c>
      <c r="BY45" t="n">
        <v>2.0069548636135</v>
      </c>
      <c r="BZ45" t="n">
        <v>197338.401346292</v>
      </c>
      <c r="CA45" t="n">
        <v>10968.1748258813</v>
      </c>
      <c r="CB45" t="n">
        <v>16658.2078999565</v>
      </c>
      <c r="CC45" t="n">
        <v>17646.0469215478</v>
      </c>
      <c r="CD45" t="n">
        <v>987.839021591346</v>
      </c>
      <c r="CE45" t="n">
        <v>0.0559807445390241</v>
      </c>
      <c r="CF45" t="n">
        <v>12423776.732458</v>
      </c>
      <c r="CG45" t="n">
        <v>619958.284722956</v>
      </c>
      <c r="CH45" t="n">
        <v>823757.74970235</v>
      </c>
      <c r="CI45" t="n">
        <v>480392.153986908</v>
      </c>
      <c r="CJ45" t="n">
        <v>35862.5448994129</v>
      </c>
      <c r="CK45" t="n">
        <v>1312494.27385038</v>
      </c>
      <c r="CL45" t="n">
        <v>0.111518952641133</v>
      </c>
      <c r="CM45" t="n">
        <v>8.96708565061576</v>
      </c>
      <c r="CN45" t="n">
        <v>1361780.81826098</v>
      </c>
      <c r="CO45" t="n">
        <v>3702591.37566964</v>
      </c>
      <c r="CP45" t="n">
        <v>3644195.9727453</v>
      </c>
      <c r="CQ45" t="n">
        <v>5064372.19393063</v>
      </c>
      <c r="CR45" t="n">
        <v>10796044.6609931</v>
      </c>
      <c r="CS45" t="n">
        <v>-0.0070585553819783</v>
      </c>
      <c r="CT45" t="n">
        <v>-0.00470496275993084</v>
      </c>
      <c r="CU45" t="n">
        <v>0.060761984489197</v>
      </c>
      <c r="CV45" t="n">
        <v>2.12967937152575</v>
      </c>
      <c r="CW45" t="n">
        <v>0.0607619844891967</v>
      </c>
      <c r="CX45" t="n">
        <v>0.039440022763365</v>
      </c>
      <c r="CY45" t="n">
        <v>0.019440022763365</v>
      </c>
      <c r="CZ45" t="n">
        <v>-0.0241449855232958</v>
      </c>
      <c r="DA45" t="n">
        <v>0.422829710853858</v>
      </c>
      <c r="DB45" t="n">
        <v>7.23904156108558</v>
      </c>
      <c r="DC45" t="n">
        <v>0.0515447249473944</v>
      </c>
      <c r="DD45" t="n">
        <v>0.035017391128319</v>
      </c>
      <c r="DE45" t="n">
        <v>0.00666799734702413</v>
      </c>
      <c r="DF45" t="n">
        <v>0.154669467784624</v>
      </c>
      <c r="DG45" t="n">
        <v>235418.58244289</v>
      </c>
      <c r="DH45" t="n">
        <v>157.600417692776</v>
      </c>
      <c r="DI45" t="n">
        <v>5.1030437048916</v>
      </c>
      <c r="DJ45" t="n">
        <v>4.37459082775514</v>
      </c>
      <c r="DK45" t="n">
        <v>0.0484267358713257</v>
      </c>
      <c r="DL45" t="n">
        <v>0.669440030437354</v>
      </c>
      <c r="DM45" t="n">
        <v>1.6377653012798</v>
      </c>
      <c r="DN45" t="n">
        <v>0.0399169327369503</v>
      </c>
      <c r="DO45" t="n">
        <v>0.0374213819593254</v>
      </c>
      <c r="DP45" t="n">
        <v>31605</v>
      </c>
      <c r="DQ45" t="n">
        <v>26524.86444825</v>
      </c>
      <c r="DR45" t="n">
        <v>188038.925628204</v>
      </c>
      <c r="DS45" t="n">
        <v>33199.5884753203</v>
      </c>
      <c r="DT45" t="n">
        <v>14180.0683393654</v>
      </c>
      <c r="DU45" t="n">
        <v>0</v>
      </c>
      <c r="DV45" t="n">
        <v>58.75</v>
      </c>
      <c r="DW45" t="n">
        <v>208288.96</v>
      </c>
      <c r="DX45" t="n">
        <v>2.5604641866747</v>
      </c>
      <c r="DY45" t="n">
        <v>73.306</v>
      </c>
      <c r="DZ45" t="n">
        <v>1.02062376390299</v>
      </c>
      <c r="EA45" t="n">
        <v>1.20449936397015</v>
      </c>
      <c r="EB45" t="n">
        <v>198313058.224171</v>
      </c>
      <c r="EC45" t="n">
        <v>3.16578023222883</v>
      </c>
      <c r="ED45" t="n">
        <v>0.0435</v>
      </c>
      <c r="EE45" t="n">
        <v>0.0304926484848485</v>
      </c>
      <c r="EF45" t="n">
        <v>0.03050813492075</v>
      </c>
      <c r="EG45" t="n">
        <v>0.0441803333333333</v>
      </c>
      <c r="EH45" t="n">
        <v>831755.184546889</v>
      </c>
      <c r="EI45" t="n">
        <v>463646.429100356</v>
      </c>
      <c r="EJ45" t="n">
        <v>1623.9901743342</v>
      </c>
      <c r="EK45" t="n">
        <v>1.18580346496722</v>
      </c>
      <c r="EL45" t="n">
        <v>4.08737890793727</v>
      </c>
    </row>
    <row r="46">
      <c r="A46" s="2" t="n">
        <v>50010</v>
      </c>
      <c r="B46" t="n">
        <v>464246.863894274</v>
      </c>
      <c r="C46" t="n">
        <v>42412.3421229126</v>
      </c>
      <c r="D46" t="n">
        <v>29693.2089307881</v>
      </c>
      <c r="E46" t="n">
        <v>262040.479650557</v>
      </c>
      <c r="F46" t="n">
        <v>76078.6858810603</v>
      </c>
      <c r="G46" t="n">
        <v>17797.4059679628</v>
      </c>
      <c r="H46" t="n">
        <v>88426.7949443768</v>
      </c>
      <c r="I46" t="n">
        <v>102746.259930227</v>
      </c>
      <c r="J46" t="n">
        <v>101849.285801073</v>
      </c>
      <c r="K46" t="n">
        <v>389.96740179901</v>
      </c>
      <c r="L46" t="n">
        <v>5713.50711546416</v>
      </c>
      <c r="M46" t="n">
        <v>0.66520377417675</v>
      </c>
      <c r="N46" t="n">
        <v>40797.5470071353</v>
      </c>
      <c r="O46" t="n">
        <v>228.960312390774</v>
      </c>
      <c r="P46" t="n">
        <v>2.76272584447797</v>
      </c>
      <c r="Q46" t="n">
        <v>1.93779240929086</v>
      </c>
      <c r="R46" t="n">
        <v>1.3017436908572</v>
      </c>
      <c r="S46" t="n">
        <v>0.101793185044606</v>
      </c>
      <c r="T46" t="n">
        <v>5818.49497231161</v>
      </c>
      <c r="U46" t="n">
        <v>0.34905711061274</v>
      </c>
      <c r="V46" t="n">
        <v>0.460195369460125</v>
      </c>
      <c r="W46" t="n">
        <v>37898882.6702716</v>
      </c>
      <c r="X46" t="n">
        <v>116241.524162034</v>
      </c>
      <c r="Y46" t="n">
        <v>4452120.85600991</v>
      </c>
      <c r="Z46" t="n">
        <v>1666.95387119973</v>
      </c>
      <c r="AA46" t="n">
        <v>1.36631410835336</v>
      </c>
      <c r="AB46" t="n">
        <v>1.30853365980568</v>
      </c>
      <c r="AC46" t="n">
        <v>1.63118800031924</v>
      </c>
      <c r="AD46" t="n">
        <v>1.87708068968402</v>
      </c>
      <c r="AE46" t="n">
        <v>158.509532750229</v>
      </c>
      <c r="AF46" t="n">
        <v>123899.786589603</v>
      </c>
      <c r="AG46" t="n">
        <v>2075.66356909838</v>
      </c>
      <c r="AH46" t="n">
        <v>190.725901030743</v>
      </c>
      <c r="AI46" t="n">
        <v>85649.5881095506</v>
      </c>
      <c r="AJ46" t="n">
        <v>130756.379079392</v>
      </c>
      <c r="AK46" t="n">
        <v>658.300331049126</v>
      </c>
      <c r="AL46" t="n">
        <v>36012.7010993059</v>
      </c>
      <c r="AM46" t="n">
        <v>17655.6616401748</v>
      </c>
      <c r="AN46" t="n">
        <v>1.13036735366394</v>
      </c>
      <c r="AO46" t="n">
        <v>1.28026158230398</v>
      </c>
      <c r="AP46" t="n">
        <v>1.46697434163241</v>
      </c>
      <c r="AQ46" t="n">
        <v>1.60515627616347</v>
      </c>
      <c r="AR46" t="n">
        <v>38762.2976904086</v>
      </c>
      <c r="AS46" t="n">
        <v>226690.202499314</v>
      </c>
      <c r="AT46" t="n">
        <v>0.0334403727977319</v>
      </c>
      <c r="AU46" t="n">
        <v>0.0358863860679304</v>
      </c>
      <c r="AV46" t="n">
        <v>0.290451613506221</v>
      </c>
      <c r="AW46" t="n">
        <v>836.217219480255</v>
      </c>
      <c r="AX46" t="n">
        <v>12828.3823337977</v>
      </c>
      <c r="AY46" t="n">
        <v>21070.3334896908</v>
      </c>
      <c r="AZ46" t="n">
        <v>188598.578621348</v>
      </c>
      <c r="BA46" t="n">
        <v>745188.769578288</v>
      </c>
      <c r="BB46" t="n">
        <v>307585.732457126</v>
      </c>
      <c r="BC46" t="n">
        <v>342215.374482308</v>
      </c>
      <c r="BD46" t="n">
        <v>130288.099459039</v>
      </c>
      <c r="BE46" t="n">
        <v>23.4370680655839</v>
      </c>
      <c r="BF46" t="n">
        <v>79611.3884031915</v>
      </c>
      <c r="BG46" t="n">
        <v>35441.3034164275</v>
      </c>
      <c r="BH46" t="n">
        <v>40570.2502844196</v>
      </c>
      <c r="BI46" t="n">
        <v>112075.367941795</v>
      </c>
      <c r="BJ46" t="n">
        <v>63309.3213536194</v>
      </c>
      <c r="BK46" t="n">
        <v>115127.107663522</v>
      </c>
      <c r="BL46" t="n">
        <v>40829.9322975499</v>
      </c>
      <c r="BM46" t="n">
        <v>22603.865308074</v>
      </c>
      <c r="BN46" t="n">
        <v>61441.9369523194</v>
      </c>
      <c r="BO46" t="n">
        <v>251592.402221465</v>
      </c>
      <c r="BP46" t="n">
        <v>295092.540882623</v>
      </c>
      <c r="BQ46" t="n">
        <v>1340281.99477371</v>
      </c>
      <c r="BR46" t="n">
        <v>833381.797542954</v>
      </c>
      <c r="BS46" t="n">
        <v>871903.39121881</v>
      </c>
      <c r="BT46" t="n">
        <v>158.772690016676</v>
      </c>
      <c r="BU46" t="n">
        <v>1.60824483242988</v>
      </c>
      <c r="BV46" t="n">
        <v>1.33401006550845</v>
      </c>
      <c r="BW46" t="n">
        <v>102.478704131841</v>
      </c>
      <c r="BX46" t="n">
        <v>98776.5839165655</v>
      </c>
      <c r="BY46" t="n">
        <v>2.03925327189891</v>
      </c>
      <c r="BZ46" t="n">
        <v>201430.471938853</v>
      </c>
      <c r="CA46" t="n">
        <v>10984.9408870627</v>
      </c>
      <c r="CB46" t="n">
        <v>16698.4480025269</v>
      </c>
      <c r="CC46" t="n">
        <v>17693.8477220161</v>
      </c>
      <c r="CD46" t="n">
        <v>995.399719489265</v>
      </c>
      <c r="CE46" t="n">
        <v>0.0562568166774583</v>
      </c>
      <c r="CF46" t="n">
        <v>12458565.6658806</v>
      </c>
      <c r="CG46" t="n">
        <v>627021.9110879</v>
      </c>
      <c r="CH46" t="n">
        <v>831203.173932641</v>
      </c>
      <c r="CI46" t="n">
        <v>486556.505495422</v>
      </c>
      <c r="CJ46" t="n">
        <v>36186.6837143139</v>
      </c>
      <c r="CK46" t="n">
        <v>1328766.54156634</v>
      </c>
      <c r="CL46" t="n">
        <v>0.113139279862193</v>
      </c>
      <c r="CM46" t="n">
        <v>8.83866329375643</v>
      </c>
      <c r="CN46" t="n">
        <v>1369175.53952871</v>
      </c>
      <c r="CO46" t="n">
        <v>3728638.91689342</v>
      </c>
      <c r="CP46" t="n">
        <v>3657217.77187257</v>
      </c>
      <c r="CQ46" t="n">
        <v>5097814.45642213</v>
      </c>
      <c r="CR46" t="n">
        <v>10842508.7226119</v>
      </c>
      <c r="CS46" t="n">
        <v>-0.00743184331723425</v>
      </c>
      <c r="CT46" t="n">
        <v>-0.0049858300470358</v>
      </c>
      <c r="CU46" t="n">
        <v>0.0609209689296396</v>
      </c>
      <c r="CV46" t="n">
        <v>2.15109829366617</v>
      </c>
      <c r="CW46" t="n">
        <v>0.0609209689296393</v>
      </c>
      <c r="CX46" t="n">
        <v>0.039440022763365</v>
      </c>
      <c r="CY46" t="n">
        <v>0.019440022763365</v>
      </c>
      <c r="CZ46" t="n">
        <v>-0.0244258528104008</v>
      </c>
      <c r="DA46" t="n">
        <v>0.419663280335486</v>
      </c>
      <c r="DB46" t="n">
        <v>7.28053632436821</v>
      </c>
      <c r="DC46" t="n">
        <v>0.0511698640477319</v>
      </c>
      <c r="DD46" t="n">
        <v>0.034761630876977</v>
      </c>
      <c r="DE46" t="n">
        <v>0.00664741139896628</v>
      </c>
      <c r="DF46" t="n">
        <v>0.155781185527571</v>
      </c>
      <c r="DG46" t="n">
        <v>236077.799166389</v>
      </c>
      <c r="DH46" t="n">
        <v>158.985538525128</v>
      </c>
      <c r="DI46" t="n">
        <v>5.11196743253655</v>
      </c>
      <c r="DJ46" t="n">
        <v>4.38057724541163</v>
      </c>
      <c r="DK46" t="n">
        <v>0.0484267358713257</v>
      </c>
      <c r="DL46" t="n">
        <v>0.669440030437354</v>
      </c>
      <c r="DM46" t="n">
        <v>1.65423164070761</v>
      </c>
      <c r="DN46" t="n">
        <v>0.0399169327369503</v>
      </c>
      <c r="DO46" t="n">
        <v>0.0374213819593254</v>
      </c>
      <c r="DP46" t="n">
        <v>31693.5</v>
      </c>
      <c r="DQ46" t="n">
        <v>26599.139104275</v>
      </c>
      <c r="DR46" t="n">
        <v>188565.470317908</v>
      </c>
      <c r="DS46" t="n">
        <v>33292.5536257732</v>
      </c>
      <c r="DT46" t="n">
        <v>14219.7752227078</v>
      </c>
      <c r="DU46" t="n">
        <v>0</v>
      </c>
      <c r="DV46" t="n">
        <v>58.75</v>
      </c>
      <c r="DW46" t="n">
        <v>208288.96</v>
      </c>
      <c r="DX46" t="n">
        <v>2.5731715952288</v>
      </c>
      <c r="DY46" t="n">
        <v>73.306</v>
      </c>
      <c r="DZ46" t="n">
        <v>1.02062376390299</v>
      </c>
      <c r="EA46" t="n">
        <v>1.20449936397015</v>
      </c>
      <c r="EB46" t="n">
        <v>199271562.435784</v>
      </c>
      <c r="EC46" t="n">
        <v>3.16578023222883</v>
      </c>
      <c r="ED46" t="n">
        <v>0.0435</v>
      </c>
      <c r="EE46" t="n">
        <v>0.0304926484848485</v>
      </c>
      <c r="EF46" t="n">
        <v>0.03050813492075</v>
      </c>
      <c r="EG46" t="n">
        <v>0.0441803333333333</v>
      </c>
      <c r="EH46" t="n">
        <v>834192.619083081</v>
      </c>
      <c r="EI46" t="n">
        <v>465856.58981468</v>
      </c>
      <c r="EJ46" t="n">
        <v>1649.33891035763</v>
      </c>
      <c r="EK46" t="n">
        <v>1.11175994562653</v>
      </c>
      <c r="EL46" t="n">
        <v>4.08722161149662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0" baseColWidth="10"/>
  <cols>
    <col min="1" max="1" width="13.7109375" hidden="0" customWidth="1"/>
    <col min="2" max="2" width="15.7109375" hidden="0" customWidth="1"/>
    <col min="3" max="3" width="15.7109375" hidden="0" customWidth="1"/>
    <col min="4" max="4" width="15.7109375" hidden="0" customWidth="1"/>
  </cols>
  <sheetData>
    <row r="1">
      <c r="A1" s="1" t="s">
        <v>165</v>
      </c>
      <c r="B1" t="s">
        <v>166</v>
      </c>
      <c r="C1" t="s">
        <v>167</v>
      </c>
      <c r="D1" t="s">
        <v>168</v>
      </c>
    </row>
    <row r="2">
      <c r="A2" t="s">
        <v>180</v>
      </c>
      <c r="B2" t="s">
        <v>181</v>
      </c>
      <c r="C2" t="n">
        <v>-0.0142754186232666</v>
      </c>
      <c r="D2" t="n">
        <v>0.01063109527901</v>
      </c>
    </row>
    <row r="3">
      <c r="A3" t="s">
        <v>180</v>
      </c>
      <c r="B3" t="s">
        <v>182</v>
      </c>
      <c r="C3" t="n">
        <v>-0.039484440208754</v>
      </c>
      <c r="D3" t="n">
        <v>0.0128960760600346</v>
      </c>
    </row>
    <row r="4">
      <c r="A4" t="s">
        <v>180</v>
      </c>
      <c r="B4" t="s">
        <v>183</v>
      </c>
      <c r="C4" t="n">
        <v>0.922042710343424</v>
      </c>
      <c r="D4" t="n">
        <v>0.054951829242283</v>
      </c>
    </row>
    <row r="5">
      <c r="A5" t="s">
        <v>180</v>
      </c>
      <c r="B5" t="s">
        <v>184</v>
      </c>
      <c r="C5" t="n">
        <v>0.0847438390974918</v>
      </c>
      <c r="D5" t="n">
        <v>0.0253632920518657</v>
      </c>
    </row>
    <row r="6">
      <c r="A6" t="s">
        <v>180</v>
      </c>
      <c r="B6" t="s">
        <v>185</v>
      </c>
      <c r="C6" t="n">
        <v>0.0168244447505566</v>
      </c>
      <c r="D6" t="n">
        <v>0.0305695418653519</v>
      </c>
    </row>
    <row r="7">
      <c r="A7" t="s">
        <v>180</v>
      </c>
      <c r="B7" t="s">
        <v>186</v>
      </c>
      <c r="C7" t="n">
        <v>0.032681215968154</v>
      </c>
      <c r="D7" t="n">
        <v>0.0308809020522887</v>
      </c>
    </row>
    <row r="8">
      <c r="A8" t="s">
        <v>180</v>
      </c>
      <c r="B8" t="s">
        <v>187</v>
      </c>
      <c r="C8" t="n">
        <v>0.0747789168418865</v>
      </c>
      <c r="D8" t="n">
        <v>0.0295069197369925</v>
      </c>
    </row>
    <row r="9">
      <c r="A9" t="s">
        <v>180</v>
      </c>
      <c r="B9" t="s">
        <v>188</v>
      </c>
      <c r="C9" t="n">
        <v>-0.276596296438016</v>
      </c>
      <c r="D9" t="n">
        <v>0.0390357743859359</v>
      </c>
    </row>
    <row r="10">
      <c r="A10" t="s">
        <v>180</v>
      </c>
      <c r="B10" t="s">
        <v>189</v>
      </c>
      <c r="C10" t="n">
        <v>1.1500680674148</v>
      </c>
      <c r="D10" t="n">
        <v>0.0403903733355222</v>
      </c>
    </row>
    <row r="11">
      <c r="A11" t="s">
        <v>190</v>
      </c>
      <c r="B11" t="s">
        <v>181</v>
      </c>
      <c r="C11" t="n">
        <v>-0.18617840278647</v>
      </c>
      <c r="D11" t="n">
        <v>0.0788039474447393</v>
      </c>
    </row>
    <row r="12">
      <c r="A12" t="s">
        <v>190</v>
      </c>
      <c r="B12" t="s">
        <v>182</v>
      </c>
      <c r="C12" t="n">
        <v>-0.0820807196371484</v>
      </c>
      <c r="D12" t="n">
        <v>0.0342544753799159</v>
      </c>
    </row>
    <row r="13">
      <c r="A13" t="s">
        <v>190</v>
      </c>
      <c r="B13" t="s">
        <v>191</v>
      </c>
      <c r="C13" t="n">
        <v>-0.535621612825828</v>
      </c>
      <c r="D13" t="n">
        <v>0.511013640561565</v>
      </c>
    </row>
    <row r="14">
      <c r="A14" t="s">
        <v>190</v>
      </c>
      <c r="B14" t="s">
        <v>192</v>
      </c>
      <c r="C14" t="n">
        <v>-0.394227332732632</v>
      </c>
      <c r="D14" t="n">
        <v>3.3104082508537</v>
      </c>
    </row>
    <row r="15">
      <c r="A15" t="s">
        <v>190</v>
      </c>
      <c r="B15" t="s">
        <v>193</v>
      </c>
      <c r="C15" t="n">
        <v>0.113564978319572</v>
      </c>
      <c r="D15" t="n">
        <v>0.135173998857935</v>
      </c>
    </row>
    <row r="16">
      <c r="A16" t="s">
        <v>190</v>
      </c>
      <c r="B16" t="s">
        <v>185</v>
      </c>
      <c r="C16" t="n">
        <v>0.2045796695979</v>
      </c>
      <c r="D16" t="n">
        <v>0.133764819869886</v>
      </c>
    </row>
    <row r="17">
      <c r="A17" t="s">
        <v>190</v>
      </c>
      <c r="B17" t="s">
        <v>186</v>
      </c>
      <c r="C17" t="n">
        <v>0.129143915619649</v>
      </c>
      <c r="D17" t="n">
        <v>0.135040451190869</v>
      </c>
    </row>
    <row r="18">
      <c r="A18" t="s">
        <v>190</v>
      </c>
      <c r="B18" t="s">
        <v>187</v>
      </c>
      <c r="C18" t="n">
        <v>0.075090715262567</v>
      </c>
      <c r="D18" t="n">
        <v>0.13515010125202</v>
      </c>
    </row>
    <row r="19">
      <c r="A19" t="s">
        <v>190</v>
      </c>
      <c r="B19" t="s">
        <v>188</v>
      </c>
      <c r="C19" t="n">
        <v>-0.0690870709257</v>
      </c>
      <c r="D19" t="n">
        <v>0.0267885784898261</v>
      </c>
    </row>
    <row r="20">
      <c r="A20" t="s">
        <v>190</v>
      </c>
      <c r="B20" t="s">
        <v>194</v>
      </c>
      <c r="C20" t="n">
        <v>0.0421407145102417</v>
      </c>
      <c r="D20" t="n">
        <v>0.0265339012040864</v>
      </c>
    </row>
    <row r="21">
      <c r="A21" t="s">
        <v>190</v>
      </c>
      <c r="B21" t="s">
        <v>195</v>
      </c>
      <c r="C21" t="n">
        <v>0.0574613011471678</v>
      </c>
      <c r="D21" t="n">
        <v>0.0264652096931575</v>
      </c>
    </row>
    <row r="22">
      <c r="A22" t="s">
        <v>196</v>
      </c>
      <c r="B22" t="s">
        <v>181</v>
      </c>
      <c r="C22" t="n">
        <v>-0.0405005073481063</v>
      </c>
      <c r="D22" t="n">
        <v>0.0590823559032179</v>
      </c>
    </row>
    <row r="23">
      <c r="A23" t="s">
        <v>196</v>
      </c>
      <c r="B23" t="s">
        <v>182</v>
      </c>
      <c r="C23" t="n">
        <v>-0.0169613530815812</v>
      </c>
      <c r="D23" t="n">
        <v>0.0185207602768938</v>
      </c>
    </row>
    <row r="24">
      <c r="A24" t="s">
        <v>196</v>
      </c>
      <c r="B24" t="s">
        <v>183</v>
      </c>
      <c r="C24" t="n">
        <v>2.27137456270222</v>
      </c>
      <c r="D24" t="n">
        <v>2.50618215909109</v>
      </c>
    </row>
    <row r="25">
      <c r="A25" t="s">
        <v>196</v>
      </c>
      <c r="B25" t="s">
        <v>191</v>
      </c>
      <c r="C25" t="n">
        <v>0.235746747368015</v>
      </c>
      <c r="D25" t="n">
        <v>0.0936287973713619</v>
      </c>
    </row>
    <row r="26">
      <c r="A26" t="s">
        <v>196</v>
      </c>
      <c r="B26" t="s">
        <v>192</v>
      </c>
      <c r="C26" t="n">
        <v>-0.0598511120271365</v>
      </c>
      <c r="D26" t="n">
        <v>0.101382521038005</v>
      </c>
    </row>
    <row r="27">
      <c r="A27" t="s">
        <v>196</v>
      </c>
      <c r="B27" t="s">
        <v>184</v>
      </c>
      <c r="C27" t="n">
        <v>0.221063298618002</v>
      </c>
      <c r="D27" t="n">
        <v>0.0940148844554006</v>
      </c>
    </row>
    <row r="28">
      <c r="A28" t="s">
        <v>196</v>
      </c>
      <c r="B28" t="s">
        <v>193</v>
      </c>
      <c r="C28" t="n">
        <v>-0.2188321009582</v>
      </c>
      <c r="D28" t="n">
        <v>0.0578731909664079</v>
      </c>
    </row>
    <row r="29">
      <c r="A29" t="s">
        <v>197</v>
      </c>
      <c r="B29" t="s">
        <v>181</v>
      </c>
      <c r="C29" t="n">
        <v>-0.0761590874203008</v>
      </c>
      <c r="D29" t="n">
        <v>0.0276702145095257</v>
      </c>
    </row>
    <row r="30">
      <c r="A30" t="s">
        <v>197</v>
      </c>
      <c r="B30" t="s">
        <v>182</v>
      </c>
      <c r="C30" t="n">
        <v>-0.0593539035034039</v>
      </c>
      <c r="D30" t="n">
        <v>0.021073199109421</v>
      </c>
    </row>
    <row r="31">
      <c r="A31" t="s">
        <v>197</v>
      </c>
      <c r="B31" t="s">
        <v>183</v>
      </c>
      <c r="C31" t="n">
        <v>-0.0183590031801166</v>
      </c>
      <c r="D31" t="n">
        <v>0.00962094586621125</v>
      </c>
    </row>
    <row r="32">
      <c r="A32" t="s">
        <v>197</v>
      </c>
      <c r="B32" t="s">
        <v>191</v>
      </c>
      <c r="C32" t="n">
        <v>0.00017541590862681</v>
      </c>
      <c r="D32" t="n">
        <v>0.0000822983431950642</v>
      </c>
    </row>
    <row r="33">
      <c r="A33" t="s">
        <v>197</v>
      </c>
      <c r="B33" t="s">
        <v>192</v>
      </c>
      <c r="C33" t="n">
        <v>-0.000000435963841384253</v>
      </c>
      <c r="D33" t="n">
        <v>0.000000217619868754902</v>
      </c>
    </row>
    <row r="34">
      <c r="A34" t="s">
        <v>197</v>
      </c>
      <c r="B34" t="s">
        <v>184</v>
      </c>
      <c r="C34" t="n">
        <v>0.230704782569121</v>
      </c>
      <c r="D34" t="n">
        <v>0.081036838840359</v>
      </c>
    </row>
    <row r="35">
      <c r="A35" t="s">
        <v>197</v>
      </c>
      <c r="B35" t="s">
        <v>193</v>
      </c>
      <c r="C35" t="n">
        <v>0.212068272159272</v>
      </c>
      <c r="D35" t="n">
        <v>0.0772293307368338</v>
      </c>
    </row>
    <row r="36">
      <c r="A36" t="s">
        <v>197</v>
      </c>
      <c r="B36" t="s">
        <v>185</v>
      </c>
      <c r="C36" t="n">
        <v>0.17194251249914</v>
      </c>
      <c r="D36" t="n">
        <v>0.103840519909918</v>
      </c>
    </row>
    <row r="37">
      <c r="A37" t="s">
        <v>198</v>
      </c>
      <c r="B37" t="s">
        <v>181</v>
      </c>
      <c r="C37" t="n">
        <v>-0.450544957288925</v>
      </c>
      <c r="D37" t="n">
        <v>0.151485676859203</v>
      </c>
    </row>
    <row r="38">
      <c r="A38" t="s">
        <v>198</v>
      </c>
      <c r="B38" t="s">
        <v>182</v>
      </c>
      <c r="C38" t="n">
        <v>-0.116721363083899</v>
      </c>
      <c r="D38" t="n">
        <v>0.0315159390291798</v>
      </c>
    </row>
    <row r="39">
      <c r="A39" t="s">
        <v>198</v>
      </c>
      <c r="B39" t="s">
        <v>192</v>
      </c>
      <c r="C39" t="n">
        <v>0.432896374960644</v>
      </c>
      <c r="D39" t="n">
        <v>0.175113223948407</v>
      </c>
    </row>
    <row r="40">
      <c r="A40" t="s">
        <v>198</v>
      </c>
      <c r="B40" t="s">
        <v>184</v>
      </c>
      <c r="C40" t="n">
        <v>1.22329634158635</v>
      </c>
      <c r="D40" t="n">
        <v>0.188829409787646</v>
      </c>
    </row>
    <row r="41">
      <c r="A41" t="s">
        <v>198</v>
      </c>
      <c r="B41" t="s">
        <v>193</v>
      </c>
      <c r="C41" t="n">
        <v>0.22410299007813</v>
      </c>
      <c r="D41" t="n">
        <v>0.060304537524777</v>
      </c>
    </row>
    <row r="42">
      <c r="A42" t="s">
        <v>199</v>
      </c>
      <c r="B42" t="s">
        <v>181</v>
      </c>
      <c r="C42" t="n">
        <v>-0.725457709954208</v>
      </c>
      <c r="D42" t="n">
        <v>0.131862139601646</v>
      </c>
    </row>
    <row r="43">
      <c r="A43" t="s">
        <v>199</v>
      </c>
      <c r="B43" t="s">
        <v>182</v>
      </c>
      <c r="C43" t="n">
        <v>-0.212470962043872</v>
      </c>
      <c r="D43" t="n">
        <v>0.0376890378863733</v>
      </c>
    </row>
    <row r="44">
      <c r="A44" t="s">
        <v>199</v>
      </c>
      <c r="B44" t="s">
        <v>191</v>
      </c>
      <c r="C44" t="n">
        <v>-1.25299795156</v>
      </c>
      <c r="D44" t="n">
        <v>0.35696569491532</v>
      </c>
    </row>
    <row r="45">
      <c r="A45" t="s">
        <v>199</v>
      </c>
      <c r="B45" t="s">
        <v>192</v>
      </c>
      <c r="C45" t="n">
        <v>-0.177298951289061</v>
      </c>
      <c r="D45" t="n">
        <v>0.0933850235840642</v>
      </c>
    </row>
    <row r="46">
      <c r="A46" t="s">
        <v>200</v>
      </c>
      <c r="B46" t="s">
        <v>181</v>
      </c>
      <c r="C46" t="n">
        <v>-0.0132687799260737</v>
      </c>
      <c r="D46" t="n">
        <v>0.0280811759715951</v>
      </c>
    </row>
    <row r="47">
      <c r="A47" t="s">
        <v>200</v>
      </c>
      <c r="B47" t="s">
        <v>182</v>
      </c>
      <c r="C47" t="n">
        <v>-0.00549065921144436</v>
      </c>
      <c r="D47" t="n">
        <v>0.0111386758537316</v>
      </c>
    </row>
    <row r="48">
      <c r="A48" t="s">
        <v>200</v>
      </c>
      <c r="B48" t="s">
        <v>183</v>
      </c>
      <c r="C48" t="n">
        <v>-0.137221545757317</v>
      </c>
      <c r="D48" t="n">
        <v>0.330782947024932</v>
      </c>
    </row>
    <row r="49">
      <c r="A49" t="s">
        <v>200</v>
      </c>
      <c r="B49" t="s">
        <v>191</v>
      </c>
      <c r="C49" t="n">
        <v>0.918478898359989</v>
      </c>
      <c r="D49" t="n">
        <v>0.154628285215842</v>
      </c>
    </row>
    <row r="50">
      <c r="A50" t="s">
        <v>201</v>
      </c>
      <c r="B50" t="s">
        <v>181</v>
      </c>
      <c r="C50" t="n">
        <v>-0.673201524850045</v>
      </c>
      <c r="D50" t="n">
        <v>0.124330976392036</v>
      </c>
    </row>
    <row r="51">
      <c r="A51" t="s">
        <v>201</v>
      </c>
      <c r="B51" t="s">
        <v>182</v>
      </c>
      <c r="C51" t="n">
        <v>-0.273637305952164</v>
      </c>
      <c r="D51" t="n">
        <v>0.0481477842198157</v>
      </c>
    </row>
    <row r="52">
      <c r="A52" t="s">
        <v>201</v>
      </c>
      <c r="B52" t="s">
        <v>183</v>
      </c>
      <c r="C52" t="n">
        <v>0.908151808608013</v>
      </c>
      <c r="D52" t="n">
        <v>0.0448804771474797</v>
      </c>
    </row>
    <row r="53">
      <c r="A53" t="s">
        <v>201</v>
      </c>
      <c r="B53" t="s">
        <v>191</v>
      </c>
      <c r="C53" t="n">
        <v>-1.2107236925053</v>
      </c>
      <c r="D53" t="n">
        <v>0.897583129885112</v>
      </c>
    </row>
    <row r="54">
      <c r="A54" t="s">
        <v>201</v>
      </c>
      <c r="B54" t="s">
        <v>192</v>
      </c>
      <c r="C54" t="n">
        <v>1.16292924218161</v>
      </c>
      <c r="D54" t="n">
        <v>0.850361299137084</v>
      </c>
    </row>
    <row r="55">
      <c r="A55" t="s">
        <v>201</v>
      </c>
      <c r="B55" t="s">
        <v>184</v>
      </c>
      <c r="C55" t="n">
        <v>0.0459852335828759</v>
      </c>
      <c r="D55" t="n">
        <v>0.0115075707829769</v>
      </c>
    </row>
    <row r="56">
      <c r="A56" t="s">
        <v>201</v>
      </c>
      <c r="B56" t="s">
        <v>193</v>
      </c>
      <c r="C56" t="n">
        <v>0.729670310716223</v>
      </c>
      <c r="D56" t="n">
        <v>0.139315386036798</v>
      </c>
    </row>
    <row r="57">
      <c r="A57" t="s">
        <v>202</v>
      </c>
      <c r="B57" t="s">
        <v>181</v>
      </c>
      <c r="C57" t="n">
        <v>-0.133870117905275</v>
      </c>
      <c r="D57" t="n">
        <v>0.0512398938399322</v>
      </c>
    </row>
    <row r="58">
      <c r="A58" t="s">
        <v>202</v>
      </c>
      <c r="B58" t="s">
        <v>182</v>
      </c>
      <c r="C58" t="n">
        <v>-0.0488331177027351</v>
      </c>
      <c r="D58" t="n">
        <v>0.018738907805354</v>
      </c>
    </row>
    <row r="59">
      <c r="A59" t="s">
        <v>202</v>
      </c>
      <c r="B59" t="s">
        <v>183</v>
      </c>
      <c r="C59" t="n">
        <v>-0.259276292493106</v>
      </c>
      <c r="D59" t="n">
        <v>0.0743147856550425</v>
      </c>
    </row>
    <row r="60">
      <c r="A60" t="s">
        <v>202</v>
      </c>
      <c r="B60" t="s">
        <v>191</v>
      </c>
      <c r="C60" t="n">
        <v>2.55096988569397</v>
      </c>
      <c r="D60" t="n">
        <v>1.02238515897754</v>
      </c>
    </row>
    <row r="61">
      <c r="A61" t="s">
        <v>202</v>
      </c>
      <c r="B61" t="s">
        <v>192</v>
      </c>
      <c r="C61" t="n">
        <v>-2.33390135329864</v>
      </c>
      <c r="D61" t="n">
        <v>1.35660818345183</v>
      </c>
    </row>
    <row r="62">
      <c r="A62" t="s">
        <v>202</v>
      </c>
      <c r="B62" t="s">
        <v>184</v>
      </c>
      <c r="C62" t="n">
        <v>1.37202987522697</v>
      </c>
      <c r="D62" t="n">
        <v>1.03077808511014</v>
      </c>
    </row>
    <row r="63">
      <c r="A63" t="s">
        <v>202</v>
      </c>
      <c r="B63" t="s">
        <v>193</v>
      </c>
      <c r="C63" t="n">
        <v>1.05742098120973</v>
      </c>
      <c r="D63" t="n">
        <v>0.82293550457553</v>
      </c>
    </row>
    <row r="64">
      <c r="A64" t="s">
        <v>202</v>
      </c>
      <c r="B64" t="s">
        <v>185</v>
      </c>
      <c r="C64" t="n">
        <v>-1.92677712107871</v>
      </c>
      <c r="D64" t="n">
        <v>1.09213846603046</v>
      </c>
    </row>
    <row r="65">
      <c r="A65" t="s">
        <v>202</v>
      </c>
      <c r="B65" t="s">
        <v>186</v>
      </c>
      <c r="C65" t="n">
        <v>0.750379771306626</v>
      </c>
      <c r="D65" t="n">
        <v>0.794817427217113</v>
      </c>
    </row>
    <row r="66">
      <c r="A66" t="s">
        <v>202</v>
      </c>
      <c r="B66" t="s">
        <v>187</v>
      </c>
      <c r="C66" t="n">
        <v>0.0366983079057804</v>
      </c>
      <c r="D66" t="n">
        <v>0.0330391640611657</v>
      </c>
    </row>
    <row r="67">
      <c r="A67" t="s">
        <v>202</v>
      </c>
      <c r="B67" t="s">
        <v>188</v>
      </c>
      <c r="C67" t="n">
        <v>-0.00234390598261908</v>
      </c>
      <c r="D67" t="n">
        <v>0.0351181931693946</v>
      </c>
    </row>
    <row r="68">
      <c r="A68" t="s">
        <v>202</v>
      </c>
      <c r="B68" t="s">
        <v>189</v>
      </c>
      <c r="C68" t="n">
        <v>-0.00536673614443638</v>
      </c>
      <c r="D68" t="n">
        <v>0.0328270239027445</v>
      </c>
    </row>
    <row r="69">
      <c r="A69" t="s">
        <v>203</v>
      </c>
      <c r="B69" t="s">
        <v>204</v>
      </c>
      <c r="C69" t="n">
        <v>0.641053034743442</v>
      </c>
      <c r="D69" t="n">
        <v>0.0622790508701318</v>
      </c>
    </row>
    <row r="70">
      <c r="A70" t="s">
        <v>203</v>
      </c>
      <c r="B70" t="s">
        <v>181</v>
      </c>
      <c r="C70" t="n">
        <v>453.277867253804</v>
      </c>
      <c r="D70" t="n">
        <v>0.731117960168439</v>
      </c>
    </row>
    <row r="71">
      <c r="A71" t="s">
        <v>203</v>
      </c>
      <c r="B71" t="s">
        <v>182</v>
      </c>
      <c r="C71" t="n">
        <v>-19.3563180453808</v>
      </c>
      <c r="D71" t="n">
        <v>3.69336745903838</v>
      </c>
    </row>
    <row r="72">
      <c r="A72" t="s">
        <v>203</v>
      </c>
      <c r="B72" t="s">
        <v>183</v>
      </c>
      <c r="C72" t="n">
        <v>-1.00407565646189</v>
      </c>
      <c r="D72" t="n">
        <v>0.076367672862373</v>
      </c>
    </row>
    <row r="73">
      <c r="A73" t="s">
        <v>203</v>
      </c>
      <c r="B73" t="s">
        <v>191</v>
      </c>
      <c r="C73" t="n">
        <v>-0.369797382434082</v>
      </c>
      <c r="D73" t="n">
        <v>0.0138455287045949</v>
      </c>
    </row>
    <row r="74">
      <c r="A74" t="s">
        <v>205</v>
      </c>
      <c r="B74" t="s">
        <v>181</v>
      </c>
      <c r="C74" t="n">
        <v>-2.02438788741031</v>
      </c>
      <c r="D74" t="n">
        <v>0.227203196409851</v>
      </c>
    </row>
    <row r="75">
      <c r="A75" t="s">
        <v>205</v>
      </c>
      <c r="B75" t="s">
        <v>182</v>
      </c>
      <c r="C75" t="n">
        <v>0.442772545999326</v>
      </c>
      <c r="D75" t="n">
        <v>0.0642351965437136</v>
      </c>
    </row>
    <row r="76">
      <c r="A76" t="s">
        <v>205</v>
      </c>
      <c r="B76" t="s">
        <v>183</v>
      </c>
      <c r="C76" t="n">
        <v>0.00202496070330637</v>
      </c>
      <c r="D76" t="n">
        <v>0.000213121845564247</v>
      </c>
    </row>
    <row r="77">
      <c r="A77" t="s">
        <v>205</v>
      </c>
      <c r="B77" t="s">
        <v>191</v>
      </c>
      <c r="C77" t="n">
        <v>0.506283869585298</v>
      </c>
      <c r="D77" t="n">
        <v>0.0403690084381323</v>
      </c>
    </row>
    <row r="78">
      <c r="A78" t="s">
        <v>206</v>
      </c>
      <c r="B78" t="s">
        <v>181</v>
      </c>
      <c r="C78" t="n">
        <v>0.000444104621203884</v>
      </c>
      <c r="D78" t="n">
        <v>0.000140442149410568</v>
      </c>
    </row>
    <row r="79">
      <c r="A79" t="s">
        <v>206</v>
      </c>
      <c r="B79" t="s">
        <v>182</v>
      </c>
      <c r="C79" t="n">
        <v>-0.365605685477734</v>
      </c>
      <c r="D79" t="n">
        <v>0.0561767601548866</v>
      </c>
    </row>
    <row r="80">
      <c r="A80" t="s">
        <v>206</v>
      </c>
      <c r="B80" t="s">
        <v>183</v>
      </c>
      <c r="C80" t="n">
        <v>-0.129518957648623</v>
      </c>
      <c r="D80" t="n">
        <v>0.0269129712373171</v>
      </c>
    </row>
    <row r="81">
      <c r="A81" t="s">
        <v>206</v>
      </c>
      <c r="B81" t="s">
        <v>191</v>
      </c>
      <c r="C81" t="n">
        <v>0.102014940784252</v>
      </c>
      <c r="D81" t="n">
        <v>0.0548200013346388</v>
      </c>
    </row>
    <row r="82">
      <c r="A82" t="s">
        <v>206</v>
      </c>
      <c r="B82" t="s">
        <v>192</v>
      </c>
      <c r="C82" t="n">
        <v>-0.0344867643500924</v>
      </c>
      <c r="D82" t="n">
        <v>0.0610649698612674</v>
      </c>
    </row>
    <row r="83">
      <c r="A83" t="s">
        <v>206</v>
      </c>
      <c r="B83" t="s">
        <v>184</v>
      </c>
      <c r="C83" t="n">
        <v>-0.0000869322832176897</v>
      </c>
      <c r="D83" t="n">
        <v>0.0000404497311348805</v>
      </c>
    </row>
    <row r="84">
      <c r="A84" t="s">
        <v>206</v>
      </c>
      <c r="B84" t="s">
        <v>193</v>
      </c>
      <c r="C84" t="n">
        <v>-0.0249082975019895</v>
      </c>
      <c r="D84" t="n">
        <v>0.00211324825664205</v>
      </c>
    </row>
    <row r="85">
      <c r="A85" t="s">
        <v>206</v>
      </c>
      <c r="B85" t="s">
        <v>185</v>
      </c>
      <c r="C85" t="n">
        <v>0.00955085838943157</v>
      </c>
      <c r="D85" t="n">
        <v>0.00248827904113381</v>
      </c>
    </row>
    <row r="86">
      <c r="A86" t="s">
        <v>206</v>
      </c>
      <c r="B86" t="s">
        <v>186</v>
      </c>
      <c r="C86" t="n">
        <v>0.00947720704489292</v>
      </c>
      <c r="D86" t="n">
        <v>0.0019114555620389</v>
      </c>
    </row>
    <row r="87">
      <c r="A87" t="s">
        <v>207</v>
      </c>
      <c r="B87" t="s">
        <v>181</v>
      </c>
      <c r="C87" t="n">
        <v>0.00196043473178792</v>
      </c>
      <c r="D87" t="n">
        <v>0.000669972224534491</v>
      </c>
    </row>
    <row r="88">
      <c r="A88" t="s">
        <v>207</v>
      </c>
      <c r="B88" t="s">
        <v>182</v>
      </c>
      <c r="C88" t="n">
        <v>0.202511136172678</v>
      </c>
      <c r="D88" t="n">
        <v>0.186158087409965</v>
      </c>
    </row>
    <row r="89">
      <c r="A89" t="s">
        <v>207</v>
      </c>
      <c r="B89" t="s">
        <v>183</v>
      </c>
      <c r="C89" t="n">
        <v>-0.00989179297622337</v>
      </c>
      <c r="D89" t="n">
        <v>0.00728305131287968</v>
      </c>
    </row>
    <row r="90">
      <c r="A90" t="s">
        <v>207</v>
      </c>
      <c r="B90" t="s">
        <v>191</v>
      </c>
      <c r="C90" t="n">
        <v>0.692043999416236</v>
      </c>
      <c r="D90" t="n">
        <v>0.239484847133652</v>
      </c>
    </row>
    <row r="91">
      <c r="A91" t="s">
        <v>207</v>
      </c>
      <c r="B91" t="s">
        <v>192</v>
      </c>
      <c r="C91" t="n">
        <v>-0.942188470428818</v>
      </c>
      <c r="D91" t="n">
        <v>0.257795682660905</v>
      </c>
    </row>
    <row r="92">
      <c r="A92" t="s">
        <v>208</v>
      </c>
      <c r="B92" t="s">
        <v>181</v>
      </c>
      <c r="C92" t="n">
        <v>0.0202105749991181</v>
      </c>
      <c r="D92" t="n">
        <v>0.00505294304259998</v>
      </c>
    </row>
    <row r="93">
      <c r="A93" t="s">
        <v>208</v>
      </c>
      <c r="B93" t="s">
        <v>182</v>
      </c>
      <c r="C93" t="n">
        <v>-0.120182233548271</v>
      </c>
      <c r="D93" t="n">
        <v>0.0302628248759836</v>
      </c>
    </row>
    <row r="94">
      <c r="A94" t="s">
        <v>208</v>
      </c>
      <c r="B94" t="s">
        <v>183</v>
      </c>
      <c r="C94" t="n">
        <v>0.000764179741096649</v>
      </c>
      <c r="D94" t="n">
        <v>0.000052397885520928</v>
      </c>
    </row>
    <row r="95">
      <c r="A95" t="s">
        <v>208</v>
      </c>
      <c r="B95" t="s">
        <v>191</v>
      </c>
      <c r="C95" t="n">
        <v>1.04696555547217</v>
      </c>
      <c r="D95" t="n">
        <v>0.045460277553079</v>
      </c>
    </row>
    <row r="96">
      <c r="A96" t="s">
        <v>208</v>
      </c>
      <c r="B96" t="s">
        <v>184</v>
      </c>
      <c r="C96" t="n">
        <v>-0.0261281010457332</v>
      </c>
      <c r="D96" t="n">
        <v>0.00412784943808627</v>
      </c>
    </row>
    <row r="97">
      <c r="A97" t="s">
        <v>208</v>
      </c>
      <c r="B97" t="s">
        <v>193</v>
      </c>
      <c r="C97" t="n">
        <v>0.0262338857961692</v>
      </c>
      <c r="D97" t="n">
        <v>0.0040828557918836</v>
      </c>
    </row>
    <row r="98">
      <c r="A98" t="s">
        <v>208</v>
      </c>
      <c r="B98" t="s">
        <v>185</v>
      </c>
      <c r="C98" t="n">
        <v>-0.0170365779852079</v>
      </c>
      <c r="D98" t="n">
        <v>0.00405111275056882</v>
      </c>
    </row>
    <row r="99">
      <c r="A99" t="s">
        <v>209</v>
      </c>
      <c r="B99" t="s">
        <v>181</v>
      </c>
      <c r="C99" t="n">
        <v>-1.52333410482978</v>
      </c>
      <c r="D99" t="n">
        <v>0.0286786560924015</v>
      </c>
    </row>
    <row r="100">
      <c r="A100" t="s">
        <v>209</v>
      </c>
      <c r="B100" t="s">
        <v>183</v>
      </c>
      <c r="C100" t="n">
        <v>0.00803271792083457</v>
      </c>
      <c r="D100" t="n">
        <v>0.000203282280680485</v>
      </c>
    </row>
    <row r="101">
      <c r="A101" t="s">
        <v>210</v>
      </c>
      <c r="B101" t="s">
        <v>181</v>
      </c>
      <c r="C101" t="n">
        <v>-0.012094291217706</v>
      </c>
      <c r="D101" t="n">
        <v>0.00588648533484338</v>
      </c>
    </row>
    <row r="102">
      <c r="A102" t="s">
        <v>210</v>
      </c>
      <c r="B102" t="s">
        <v>182</v>
      </c>
      <c r="C102" t="n">
        <v>-0.0563742710209106</v>
      </c>
      <c r="D102" t="n">
        <v>0.0181178096125173</v>
      </c>
    </row>
    <row r="103">
      <c r="A103" t="s">
        <v>210</v>
      </c>
      <c r="B103" t="s">
        <v>183</v>
      </c>
      <c r="C103" t="n">
        <v>0.307117439130905</v>
      </c>
      <c r="D103" t="n">
        <v>0.0381753541055575</v>
      </c>
    </row>
    <row r="104">
      <c r="A104" t="s">
        <v>210</v>
      </c>
      <c r="B104" t="s">
        <v>191</v>
      </c>
      <c r="C104" t="n">
        <v>0.192390240792389</v>
      </c>
      <c r="D104" t="n">
        <v>0.0390507915407699</v>
      </c>
    </row>
    <row r="105">
      <c r="A105" t="s">
        <v>210</v>
      </c>
      <c r="B105" t="s">
        <v>192</v>
      </c>
      <c r="C105" t="n">
        <v>-0.173355203316951</v>
      </c>
      <c r="D105" t="n">
        <v>0.0299528046892634</v>
      </c>
    </row>
    <row r="106">
      <c r="A106" t="s">
        <v>210</v>
      </c>
      <c r="B106" t="s">
        <v>184</v>
      </c>
      <c r="C106" t="n">
        <v>-0.0657789425315314</v>
      </c>
      <c r="D106" t="n">
        <v>0.0152073969403611</v>
      </c>
    </row>
    <row r="107">
      <c r="A107" t="s">
        <v>211</v>
      </c>
      <c r="B107" t="s">
        <v>181</v>
      </c>
      <c r="C107" t="n">
        <v>-0.0536944226709071</v>
      </c>
      <c r="D107" t="n">
        <v>0.0215974160556978</v>
      </c>
    </row>
    <row r="108">
      <c r="A108" t="s">
        <v>211</v>
      </c>
      <c r="B108" t="s">
        <v>182</v>
      </c>
      <c r="C108" t="n">
        <v>-0.0365177452364614</v>
      </c>
      <c r="D108" t="n">
        <v>0.0234882426136263</v>
      </c>
    </row>
    <row r="109">
      <c r="A109" t="s">
        <v>211</v>
      </c>
      <c r="B109" t="s">
        <v>183</v>
      </c>
      <c r="C109" t="n">
        <v>0.704605746523325</v>
      </c>
      <c r="D109" t="n">
        <v>0.173564863536997</v>
      </c>
    </row>
    <row r="110">
      <c r="A110" t="s">
        <v>211</v>
      </c>
      <c r="B110" t="s">
        <v>191</v>
      </c>
      <c r="C110" t="n">
        <v>-0.00429951216681102</v>
      </c>
      <c r="D110" t="n">
        <v>0.0013661533954804</v>
      </c>
    </row>
    <row r="111">
      <c r="A111" t="s">
        <v>211</v>
      </c>
      <c r="B111" t="s">
        <v>192</v>
      </c>
      <c r="C111" t="n">
        <v>0.549529763001572</v>
      </c>
      <c r="D111" t="n">
        <v>0.0370585312025495</v>
      </c>
    </row>
    <row r="112">
      <c r="A112" t="s">
        <v>211</v>
      </c>
      <c r="B112" t="s">
        <v>184</v>
      </c>
      <c r="C112" t="n">
        <v>0.0295118280108596</v>
      </c>
      <c r="D112" t="n">
        <v>0.00972414438287095</v>
      </c>
    </row>
    <row r="113">
      <c r="A113" t="s">
        <v>212</v>
      </c>
      <c r="B113" t="s">
        <v>181</v>
      </c>
      <c r="C113" t="n">
        <v>-0.0826017548557111</v>
      </c>
      <c r="D113" t="n">
        <v>0.0236316134060107</v>
      </c>
    </row>
    <row r="114">
      <c r="A114" t="s">
        <v>212</v>
      </c>
      <c r="B114" t="s">
        <v>182</v>
      </c>
      <c r="C114" t="n">
        <v>0.0188394806346236</v>
      </c>
      <c r="D114" t="n">
        <v>0.00183187725866273</v>
      </c>
    </row>
    <row r="115">
      <c r="A115" t="s">
        <v>212</v>
      </c>
      <c r="B115" t="s">
        <v>183</v>
      </c>
      <c r="C115" t="n">
        <v>0.000472913247603882</v>
      </c>
      <c r="D115" t="n">
        <v>0.0000610884135991526</v>
      </c>
    </row>
    <row r="116">
      <c r="A116" t="s">
        <v>212</v>
      </c>
      <c r="B116" t="s">
        <v>191</v>
      </c>
      <c r="C116" t="n">
        <v>0.642200377623816</v>
      </c>
      <c r="D116" t="n">
        <v>0.0317140958736595</v>
      </c>
    </row>
    <row r="117">
      <c r="A117" t="s">
        <v>212</v>
      </c>
      <c r="B117" t="s">
        <v>192</v>
      </c>
      <c r="C117" t="n">
        <v>0.227705574523181</v>
      </c>
      <c r="D117" t="n">
        <v>0.032579805019168</v>
      </c>
    </row>
    <row r="118">
      <c r="A118" t="s">
        <v>213</v>
      </c>
      <c r="B118" t="s">
        <v>181</v>
      </c>
      <c r="C118" t="n">
        <v>0.0383730692653588</v>
      </c>
      <c r="D118" t="n">
        <v>0.0158433169743017</v>
      </c>
    </row>
    <row r="119">
      <c r="A119" t="s">
        <v>213</v>
      </c>
      <c r="B119" t="s">
        <v>182</v>
      </c>
      <c r="C119" t="n">
        <v>0.955736643472143</v>
      </c>
      <c r="D119" t="n">
        <v>0.789721397859604</v>
      </c>
    </row>
    <row r="120">
      <c r="A120" t="s">
        <v>213</v>
      </c>
      <c r="B120" t="s">
        <v>183</v>
      </c>
      <c r="C120" t="n">
        <v>-5.03503526705015</v>
      </c>
      <c r="D120" t="n">
        <v>1.84723356267292</v>
      </c>
    </row>
    <row r="121">
      <c r="A121" t="s">
        <v>213</v>
      </c>
      <c r="B121" t="s">
        <v>191</v>
      </c>
      <c r="C121" t="n">
        <v>3.45356769068546</v>
      </c>
      <c r="D121" t="n">
        <v>2.2757822632892</v>
      </c>
    </row>
    <row r="122">
      <c r="A122" t="s">
        <v>213</v>
      </c>
      <c r="B122" t="s">
        <v>192</v>
      </c>
      <c r="C122" t="n">
        <v>0.27815336451659</v>
      </c>
      <c r="D122" t="n">
        <v>0.0878130324796099</v>
      </c>
    </row>
    <row r="123">
      <c r="A123" t="s">
        <v>213</v>
      </c>
      <c r="B123" t="s">
        <v>184</v>
      </c>
      <c r="C123" t="n">
        <v>-0.163622940573518</v>
      </c>
      <c r="D123" t="n">
        <v>0.0858476806899393</v>
      </c>
    </row>
    <row r="124">
      <c r="A124" t="s">
        <v>214</v>
      </c>
      <c r="B124" t="s">
        <v>181</v>
      </c>
      <c r="C124" t="n">
        <v>-0.463987443403181</v>
      </c>
      <c r="D124" t="n">
        <v>0.150238536070924</v>
      </c>
    </row>
    <row r="125">
      <c r="A125" t="s">
        <v>214</v>
      </c>
      <c r="B125" t="s">
        <v>182</v>
      </c>
      <c r="C125" t="n">
        <v>-0.141390447108075</v>
      </c>
      <c r="D125" t="n">
        <v>0.0428747878309717</v>
      </c>
    </row>
    <row r="126">
      <c r="A126" t="s">
        <v>214</v>
      </c>
      <c r="B126" t="s">
        <v>183</v>
      </c>
      <c r="C126" t="n">
        <v>-0.490435905473076</v>
      </c>
      <c r="D126" t="n">
        <v>0.080853482632566</v>
      </c>
    </row>
    <row r="127">
      <c r="A127" t="s">
        <v>214</v>
      </c>
      <c r="B127" t="s">
        <v>191</v>
      </c>
      <c r="C127" t="n">
        <v>-5.42410909639427</v>
      </c>
      <c r="D127" t="n">
        <v>2.8196503935329</v>
      </c>
    </row>
    <row r="128">
      <c r="A128" t="s">
        <v>214</v>
      </c>
      <c r="B128" t="s">
        <v>192</v>
      </c>
      <c r="C128" t="n">
        <v>-0.0736035206947489</v>
      </c>
      <c r="D128" t="n">
        <v>0.0799710161613405</v>
      </c>
    </row>
    <row r="129">
      <c r="A129" t="s">
        <v>214</v>
      </c>
      <c r="B129" t="s">
        <v>184</v>
      </c>
      <c r="C129" t="n">
        <v>0.13453697247769</v>
      </c>
      <c r="D129" t="n">
        <v>0.0958667581332848</v>
      </c>
    </row>
    <row r="130">
      <c r="A130" t="s">
        <v>214</v>
      </c>
      <c r="B130" t="s">
        <v>193</v>
      </c>
      <c r="C130" t="n">
        <v>-0.476228913562507</v>
      </c>
      <c r="D130" t="n">
        <v>0.814461965016277</v>
      </c>
    </row>
    <row r="131">
      <c r="A131" t="s">
        <v>215</v>
      </c>
      <c r="B131" t="s">
        <v>181</v>
      </c>
      <c r="C131" t="n">
        <v>-0.00342869661877347</v>
      </c>
      <c r="D131" t="n">
        <v>0.00183705202755303</v>
      </c>
    </row>
    <row r="132">
      <c r="A132" t="s">
        <v>215</v>
      </c>
      <c r="B132" t="s">
        <v>182</v>
      </c>
      <c r="C132" t="n">
        <v>1.01279766478653</v>
      </c>
      <c r="D132" t="n">
        <v>0.0434613947918442</v>
      </c>
    </row>
    <row r="133">
      <c r="A133" t="s">
        <v>215</v>
      </c>
      <c r="B133" t="s">
        <v>183</v>
      </c>
      <c r="C133" t="n">
        <v>0.282793824836907</v>
      </c>
      <c r="D133" t="n">
        <v>0.16088021722926</v>
      </c>
    </row>
    <row r="134">
      <c r="A134" t="s">
        <v>216</v>
      </c>
      <c r="B134" t="s">
        <v>181</v>
      </c>
      <c r="C134" t="n">
        <v>0.00971365919983663</v>
      </c>
      <c r="D134" t="n">
        <v>0.00125170175119005</v>
      </c>
    </row>
    <row r="135">
      <c r="A135" t="s">
        <v>216</v>
      </c>
      <c r="B135" t="s">
        <v>182</v>
      </c>
      <c r="C135" t="n">
        <v>0.471847643220545</v>
      </c>
      <c r="D135" t="n">
        <v>0.0497274083404665</v>
      </c>
    </row>
    <row r="136">
      <c r="A136" t="s">
        <v>216</v>
      </c>
      <c r="B136" t="s">
        <v>183</v>
      </c>
      <c r="C136" t="n">
        <v>0.153072782457707</v>
      </c>
      <c r="D136" t="n">
        <v>0.0144810957248371</v>
      </c>
    </row>
    <row r="137">
      <c r="A137" t="s">
        <v>216</v>
      </c>
      <c r="B137" t="s">
        <v>191</v>
      </c>
      <c r="C137" t="n">
        <v>-0.0425358433754848</v>
      </c>
      <c r="D137" t="n">
        <v>0.0183601729223143</v>
      </c>
    </row>
    <row r="138">
      <c r="A138" t="s">
        <v>217</v>
      </c>
      <c r="B138" t="s">
        <v>181</v>
      </c>
      <c r="C138" t="n">
        <v>-0.12249627739958</v>
      </c>
      <c r="D138" t="n">
        <v>0.03356240795676</v>
      </c>
    </row>
    <row r="139">
      <c r="A139" t="s">
        <v>217</v>
      </c>
      <c r="B139" t="s">
        <v>182</v>
      </c>
      <c r="C139" t="n">
        <v>-0.0601465038881438</v>
      </c>
      <c r="D139" t="n">
        <v>0.0147625443397219</v>
      </c>
    </row>
    <row r="140">
      <c r="A140" t="s">
        <v>217</v>
      </c>
      <c r="B140" t="s">
        <v>183</v>
      </c>
      <c r="C140" t="n">
        <v>0.00126417990268984</v>
      </c>
      <c r="D140" t="n">
        <v>0.00044153906860224</v>
      </c>
    </row>
    <row r="141">
      <c r="A141" t="s">
        <v>217</v>
      </c>
      <c r="B141" t="s">
        <v>191</v>
      </c>
      <c r="C141" t="n">
        <v>0.501544899905767</v>
      </c>
      <c r="D141" t="n">
        <v>0.166889528857602</v>
      </c>
    </row>
    <row r="142">
      <c r="A142" t="s">
        <v>218</v>
      </c>
      <c r="B142" t="s">
        <v>181</v>
      </c>
      <c r="C142" t="n">
        <v>0.272819908588303</v>
      </c>
      <c r="D142" t="n">
        <v>0.0471149813992523</v>
      </c>
    </row>
    <row r="143">
      <c r="A143" t="s">
        <v>218</v>
      </c>
      <c r="B143" t="s">
        <v>182</v>
      </c>
      <c r="C143" t="n">
        <v>10.1853777931674</v>
      </c>
      <c r="D143" t="n">
        <v>1.00434066700381</v>
      </c>
    </row>
    <row r="144">
      <c r="A144" t="s">
        <v>218</v>
      </c>
      <c r="B144" t="s">
        <v>191</v>
      </c>
      <c r="C144" t="n">
        <v>-0.00271996181262577</v>
      </c>
      <c r="D144" t="n">
        <v>0.000167165453823194</v>
      </c>
    </row>
    <row r="145">
      <c r="A145" t="s">
        <v>218</v>
      </c>
      <c r="B145" t="s">
        <v>192</v>
      </c>
      <c r="C145" t="n">
        <v>1.03184064268043</v>
      </c>
      <c r="D145" t="n">
        <v>0.477803442799482</v>
      </c>
    </row>
    <row r="146">
      <c r="A146" t="s">
        <v>218</v>
      </c>
      <c r="B146" t="s">
        <v>184</v>
      </c>
      <c r="C146" t="n">
        <v>-0.815791029672783</v>
      </c>
      <c r="D146" t="n">
        <v>0.301430392183484</v>
      </c>
    </row>
    <row r="147">
      <c r="A147" t="s">
        <v>218</v>
      </c>
      <c r="B147" t="s">
        <v>193</v>
      </c>
      <c r="C147" t="n">
        <v>0.0424913378289221</v>
      </c>
      <c r="D147" t="n">
        <v>0.28569118189642</v>
      </c>
    </row>
    <row r="148">
      <c r="A148" t="s">
        <v>218</v>
      </c>
      <c r="B148" t="s">
        <v>185</v>
      </c>
      <c r="C148" t="n">
        <v>-0.0664649006625445</v>
      </c>
      <c r="D148" t="n">
        <v>0.012671707303273</v>
      </c>
    </row>
    <row r="149">
      <c r="A149" t="s">
        <v>218</v>
      </c>
      <c r="B149" t="s">
        <v>186</v>
      </c>
      <c r="C149" t="n">
        <v>0.0528688909739866</v>
      </c>
      <c r="D149" t="n">
        <v>0.0105073019669181</v>
      </c>
    </row>
    <row r="150">
      <c r="A150" t="s">
        <v>219</v>
      </c>
      <c r="B150" t="s">
        <v>181</v>
      </c>
      <c r="C150" t="n">
        <v>0.192780584859325</v>
      </c>
      <c r="D150" t="n">
        <v>0.394282270959034</v>
      </c>
    </row>
    <row r="151">
      <c r="A151" t="s">
        <v>219</v>
      </c>
      <c r="B151" t="s">
        <v>182</v>
      </c>
      <c r="C151" t="n">
        <v>-0.291552868830653</v>
      </c>
      <c r="D151" t="n">
        <v>0.0815879172833352</v>
      </c>
    </row>
    <row r="152">
      <c r="A152" t="s">
        <v>219</v>
      </c>
      <c r="B152" t="s">
        <v>183</v>
      </c>
      <c r="C152" t="n">
        <v>0.00512114798809499</v>
      </c>
      <c r="D152" t="n">
        <v>0.000460107176834578</v>
      </c>
    </row>
    <row r="153">
      <c r="A153" t="s">
        <v>219</v>
      </c>
      <c r="B153" t="s">
        <v>191</v>
      </c>
      <c r="C153" t="n">
        <v>0.0252833295244187</v>
      </c>
      <c r="D153" t="n">
        <v>0.994666719047955</v>
      </c>
    </row>
    <row r="154">
      <c r="A154" t="s">
        <v>219</v>
      </c>
      <c r="B154" t="s">
        <v>192</v>
      </c>
      <c r="C154" t="n">
        <v>1.04261801676389</v>
      </c>
      <c r="D154" t="n">
        <v>0.466254366456216</v>
      </c>
    </row>
    <row r="155">
      <c r="A155" t="s">
        <v>219</v>
      </c>
      <c r="B155" t="s">
        <v>184</v>
      </c>
      <c r="C155" t="n">
        <v>-1.29514977687512</v>
      </c>
      <c r="D155" t="n">
        <v>0.664849820213215</v>
      </c>
    </row>
    <row r="156">
      <c r="A156" t="s">
        <v>219</v>
      </c>
      <c r="B156" t="s">
        <v>193</v>
      </c>
      <c r="C156" t="n">
        <v>0.255395042002234</v>
      </c>
      <c r="D156" t="n">
        <v>0.110896638159083</v>
      </c>
    </row>
    <row r="157">
      <c r="A157" t="s">
        <v>219</v>
      </c>
      <c r="B157" t="s">
        <v>185</v>
      </c>
      <c r="C157" t="n">
        <v>0.329508615369721</v>
      </c>
      <c r="D157" t="n">
        <v>0.114598583748244</v>
      </c>
    </row>
    <row r="158">
      <c r="A158" t="s">
        <v>220</v>
      </c>
      <c r="B158" t="s">
        <v>181</v>
      </c>
      <c r="C158" t="n">
        <v>-0.0385171700413463</v>
      </c>
      <c r="D158" t="n">
        <v>0.113321026981943</v>
      </c>
    </row>
    <row r="159">
      <c r="A159" t="s">
        <v>220</v>
      </c>
      <c r="B159" t="s">
        <v>182</v>
      </c>
      <c r="C159" t="n">
        <v>-0.0210532326458058</v>
      </c>
      <c r="D159" t="n">
        <v>0.0277289401273915</v>
      </c>
    </row>
    <row r="160">
      <c r="A160" t="s">
        <v>220</v>
      </c>
      <c r="B160" t="s">
        <v>183</v>
      </c>
      <c r="C160" t="n">
        <v>0.430322513496464</v>
      </c>
      <c r="D160" t="n">
        <v>0.602260786458561</v>
      </c>
    </row>
    <row r="161">
      <c r="A161" t="s">
        <v>220</v>
      </c>
      <c r="B161" t="s">
        <v>191</v>
      </c>
      <c r="C161" t="n">
        <v>0.092853614332348</v>
      </c>
      <c r="D161" t="n">
        <v>0.0206810501193269</v>
      </c>
    </row>
    <row r="162">
      <c r="A162" t="s">
        <v>220</v>
      </c>
      <c r="B162" t="s">
        <v>184</v>
      </c>
      <c r="C162" t="n">
        <v>0.0495102017005498</v>
      </c>
      <c r="D162" t="n">
        <v>0.0200663860995832</v>
      </c>
    </row>
    <row r="163">
      <c r="A163" t="s">
        <v>220</v>
      </c>
      <c r="B163" t="s">
        <v>193</v>
      </c>
      <c r="C163" t="n">
        <v>0.0497650045560046</v>
      </c>
      <c r="D163" t="n">
        <v>0.0344328590422222</v>
      </c>
    </row>
    <row r="164">
      <c r="A164" t="s">
        <v>220</v>
      </c>
      <c r="B164" t="s">
        <v>186</v>
      </c>
      <c r="C164" t="n">
        <v>0.0521457006078893</v>
      </c>
      <c r="D164" t="n">
        <v>0.0331607829967198</v>
      </c>
    </row>
    <row r="165">
      <c r="A165" t="s">
        <v>220</v>
      </c>
      <c r="B165" t="s">
        <v>187</v>
      </c>
      <c r="C165" t="n">
        <v>0.0270015310735225</v>
      </c>
      <c r="D165" t="n">
        <v>0.0320467333606608</v>
      </c>
    </row>
    <row r="166">
      <c r="A166" t="s">
        <v>220</v>
      </c>
      <c r="B166" t="s">
        <v>188</v>
      </c>
      <c r="C166" t="n">
        <v>0.0139876989884439</v>
      </c>
      <c r="D166" t="n">
        <v>0.00276712804048159</v>
      </c>
    </row>
    <row r="167">
      <c r="A167" t="s">
        <v>220</v>
      </c>
      <c r="B167" t="s">
        <v>189</v>
      </c>
      <c r="C167" t="n">
        <v>0.00436474456476269</v>
      </c>
      <c r="D167" t="n">
        <v>0.00264241313933911</v>
      </c>
    </row>
    <row r="168">
      <c r="A168" t="s">
        <v>221</v>
      </c>
      <c r="B168" t="s">
        <v>181</v>
      </c>
      <c r="C168" t="n">
        <v>-0.013762818679934</v>
      </c>
      <c r="D168" t="n">
        <v>0.0134908864957009</v>
      </c>
    </row>
    <row r="169">
      <c r="A169" t="s">
        <v>221</v>
      </c>
      <c r="B169" t="s">
        <v>182</v>
      </c>
      <c r="C169" t="n">
        <v>-0.0303825215417657</v>
      </c>
      <c r="D169" t="n">
        <v>0.00960250966442834</v>
      </c>
    </row>
    <row r="170">
      <c r="A170" t="s">
        <v>221</v>
      </c>
      <c r="B170" t="s">
        <v>183</v>
      </c>
      <c r="C170" t="n">
        <v>0.119198401062192</v>
      </c>
      <c r="D170" t="n">
        <v>0.101204056186915</v>
      </c>
    </row>
    <row r="171">
      <c r="A171" t="s">
        <v>221</v>
      </c>
      <c r="B171" t="s">
        <v>184</v>
      </c>
      <c r="C171" t="n">
        <v>0.145784199400455</v>
      </c>
      <c r="D171" t="n">
        <v>0.0167198439550555</v>
      </c>
    </row>
    <row r="172">
      <c r="A172" t="s">
        <v>221</v>
      </c>
      <c r="B172" t="s">
        <v>193</v>
      </c>
      <c r="C172" t="n">
        <v>0.0395477413647599</v>
      </c>
      <c r="D172" t="n">
        <v>0.0257239781542817</v>
      </c>
    </row>
    <row r="173">
      <c r="A173" t="s">
        <v>221</v>
      </c>
      <c r="B173" t="s">
        <v>185</v>
      </c>
      <c r="C173" t="n">
        <v>0.0680798770577836</v>
      </c>
      <c r="D173" t="n">
        <v>0.0172454282104457</v>
      </c>
    </row>
    <row r="174">
      <c r="A174" t="s">
        <v>221</v>
      </c>
      <c r="B174" t="s">
        <v>186</v>
      </c>
      <c r="C174" t="n">
        <v>0.0702706848321504</v>
      </c>
      <c r="D174" t="n">
        <v>0.0168978142913241</v>
      </c>
    </row>
    <row r="175">
      <c r="A175" t="s">
        <v>221</v>
      </c>
      <c r="B175" t="s">
        <v>187</v>
      </c>
      <c r="C175" t="n">
        <v>0.00315433970003882</v>
      </c>
      <c r="D175" t="n">
        <v>0.00240691164985941</v>
      </c>
    </row>
    <row r="176">
      <c r="A176" t="s">
        <v>221</v>
      </c>
      <c r="B176" t="s">
        <v>188</v>
      </c>
      <c r="C176" t="n">
        <v>0.00437979664280839</v>
      </c>
      <c r="D176" t="n">
        <v>0.00231322023172522</v>
      </c>
    </row>
    <row r="177">
      <c r="A177" t="s">
        <v>222</v>
      </c>
      <c r="B177" t="s">
        <v>181</v>
      </c>
      <c r="C177" t="n">
        <v>-0.396148446555412</v>
      </c>
      <c r="D177" t="n">
        <v>0.125761907096548</v>
      </c>
    </row>
    <row r="178">
      <c r="A178" t="s">
        <v>222</v>
      </c>
      <c r="B178" t="s">
        <v>182</v>
      </c>
      <c r="C178" t="n">
        <v>-0.0776852923265347</v>
      </c>
      <c r="D178" t="n">
        <v>0.0228432799514122</v>
      </c>
    </row>
    <row r="179">
      <c r="A179" t="s">
        <v>222</v>
      </c>
      <c r="B179" t="s">
        <v>183</v>
      </c>
      <c r="C179" t="n">
        <v>1.12661924858983</v>
      </c>
      <c r="D179" t="n">
        <v>0.0391092411966216</v>
      </c>
    </row>
    <row r="180">
      <c r="A180" t="s">
        <v>222</v>
      </c>
      <c r="B180" t="s">
        <v>191</v>
      </c>
      <c r="C180" t="n">
        <v>0.159638759828844</v>
      </c>
      <c r="D180" t="n">
        <v>0.0469652753633737</v>
      </c>
    </row>
    <row r="181">
      <c r="A181" t="s">
        <v>222</v>
      </c>
      <c r="B181" t="s">
        <v>192</v>
      </c>
      <c r="C181" t="n">
        <v>-0.314194744639333</v>
      </c>
      <c r="D181" t="n">
        <v>0.0716885175520357</v>
      </c>
    </row>
    <row r="182">
      <c r="A182" t="s">
        <v>223</v>
      </c>
      <c r="B182" t="s">
        <v>181</v>
      </c>
      <c r="C182" t="n">
        <v>-0.132833701834715</v>
      </c>
      <c r="D182" t="n">
        <v>0.0704908403045335</v>
      </c>
    </row>
    <row r="183">
      <c r="A183" t="s">
        <v>223</v>
      </c>
      <c r="B183" t="s">
        <v>182</v>
      </c>
      <c r="C183" t="n">
        <v>-0.033657078706488</v>
      </c>
      <c r="D183" t="n">
        <v>0.0147149459097593</v>
      </c>
    </row>
    <row r="184">
      <c r="A184" t="s">
        <v>223</v>
      </c>
      <c r="B184" t="s">
        <v>183</v>
      </c>
      <c r="C184" t="n">
        <v>0.675770564909726</v>
      </c>
      <c r="D184" t="n">
        <v>0.139719028813524</v>
      </c>
    </row>
    <row r="185">
      <c r="A185" t="s">
        <v>223</v>
      </c>
      <c r="B185" t="s">
        <v>191</v>
      </c>
      <c r="C185" t="n">
        <v>0.00443602900889811</v>
      </c>
      <c r="D185" t="n">
        <v>0.000801165627661365</v>
      </c>
    </row>
    <row r="186">
      <c r="A186" t="s">
        <v>223</v>
      </c>
      <c r="B186" t="s">
        <v>192</v>
      </c>
      <c r="C186" t="n">
        <v>0.0647350426133381</v>
      </c>
      <c r="D186" t="n">
        <v>0.00437712494239523</v>
      </c>
    </row>
    <row r="187">
      <c r="A187" t="s">
        <v>223</v>
      </c>
      <c r="B187" t="s">
        <v>184</v>
      </c>
      <c r="C187" t="n">
        <v>0.809568427946561</v>
      </c>
      <c r="D187" t="n">
        <v>0.0520642707940501</v>
      </c>
    </row>
    <row r="188">
      <c r="A188" t="s">
        <v>223</v>
      </c>
      <c r="B188" t="s">
        <v>193</v>
      </c>
      <c r="C188" t="n">
        <v>-0.0749210871284105</v>
      </c>
      <c r="D188" t="n">
        <v>0.00546422354614779</v>
      </c>
    </row>
    <row r="189">
      <c r="A189" t="s">
        <v>224</v>
      </c>
      <c r="B189" t="s">
        <v>181</v>
      </c>
      <c r="C189" t="n">
        <v>0.00630917005967377</v>
      </c>
      <c r="D189" t="n">
        <v>0.00261463939958888</v>
      </c>
    </row>
    <row r="190">
      <c r="A190" t="s">
        <v>224</v>
      </c>
      <c r="B190" t="s">
        <v>182</v>
      </c>
      <c r="C190" t="n">
        <v>-0.0369221532858876</v>
      </c>
      <c r="D190" t="n">
        <v>0.012962147680626</v>
      </c>
    </row>
    <row r="191">
      <c r="A191" t="s">
        <v>224</v>
      </c>
      <c r="B191" t="s">
        <v>191</v>
      </c>
      <c r="C191" t="n">
        <v>0.00294753208872388</v>
      </c>
      <c r="D191" t="n">
        <v>0.000424850805602725</v>
      </c>
    </row>
    <row r="192">
      <c r="A192" t="s">
        <v>224</v>
      </c>
      <c r="B192" t="s">
        <v>192</v>
      </c>
      <c r="C192" t="n">
        <v>0.0503005819171045</v>
      </c>
      <c r="D192" t="n">
        <v>0.0237652304407061</v>
      </c>
    </row>
    <row r="193">
      <c r="A193" t="s">
        <v>224</v>
      </c>
      <c r="B193" t="s">
        <v>184</v>
      </c>
      <c r="C193" t="n">
        <v>0.0377370729539087</v>
      </c>
      <c r="D193" t="n">
        <v>0.0245693266104171</v>
      </c>
    </row>
    <row r="194">
      <c r="A194" t="s">
        <v>225</v>
      </c>
      <c r="B194" t="s">
        <v>181</v>
      </c>
      <c r="C194" t="n">
        <v>0.00152903710037033</v>
      </c>
      <c r="D194" t="n">
        <v>0.00527480845927315</v>
      </c>
    </row>
    <row r="195">
      <c r="A195" t="s">
        <v>225</v>
      </c>
      <c r="B195" t="s">
        <v>182</v>
      </c>
      <c r="C195" t="n">
        <v>-0.0553332876237556</v>
      </c>
      <c r="D195" t="n">
        <v>0.0212620690293847</v>
      </c>
    </row>
    <row r="196">
      <c r="A196" t="s">
        <v>225</v>
      </c>
      <c r="B196" t="s">
        <v>191</v>
      </c>
      <c r="C196" t="n">
        <v>-0.134232740081939</v>
      </c>
      <c r="D196" t="n">
        <v>0.0664862940435821</v>
      </c>
    </row>
    <row r="197">
      <c r="A197" t="s">
        <v>225</v>
      </c>
      <c r="B197" t="s">
        <v>192</v>
      </c>
      <c r="C197" t="n">
        <v>-0.149687152868131</v>
      </c>
      <c r="D197" t="n">
        <v>0.0671382150415806</v>
      </c>
    </row>
    <row r="198">
      <c r="A198" t="s">
        <v>225</v>
      </c>
      <c r="B198" t="s">
        <v>184</v>
      </c>
      <c r="C198" t="n">
        <v>1.15084768739938</v>
      </c>
      <c r="D198" t="n">
        <v>0.287130421042586</v>
      </c>
    </row>
    <row r="199">
      <c r="A199" t="s">
        <v>225</v>
      </c>
      <c r="B199" t="s">
        <v>193</v>
      </c>
      <c r="C199" t="n">
        <v>-0.317497254532368</v>
      </c>
      <c r="D199" t="n">
        <v>0.0596151296873075</v>
      </c>
    </row>
    <row r="200">
      <c r="A200" t="s">
        <v>225</v>
      </c>
      <c r="B200" t="s">
        <v>185</v>
      </c>
      <c r="C200" t="n">
        <v>-0.250543817619208</v>
      </c>
      <c r="D200" t="n">
        <v>0.0422550732499023</v>
      </c>
    </row>
    <row r="201">
      <c r="A201" t="s">
        <v>226</v>
      </c>
      <c r="B201" t="s">
        <v>227</v>
      </c>
      <c r="C201" t="n">
        <v>0.127057325201708</v>
      </c>
      <c r="D201" t="n">
        <v>0.125247842972247</v>
      </c>
    </row>
    <row r="202">
      <c r="A202" t="s">
        <v>228</v>
      </c>
      <c r="B202" t="s">
        <v>181</v>
      </c>
      <c r="C202" t="n">
        <v>-0.0139467161134572</v>
      </c>
      <c r="D202" t="n">
        <v>0.0128594138618697</v>
      </c>
    </row>
    <row r="203">
      <c r="A203" t="s">
        <v>228</v>
      </c>
      <c r="B203" t="s">
        <v>182</v>
      </c>
      <c r="C203" t="n">
        <v>-0.00442970903690194</v>
      </c>
      <c r="D203" t="n">
        <v>0.00548431928365421</v>
      </c>
    </row>
    <row r="204">
      <c r="A204" t="s">
        <v>228</v>
      </c>
      <c r="B204" t="s">
        <v>191</v>
      </c>
      <c r="C204" t="n">
        <v>29.4303749992413</v>
      </c>
      <c r="D204" t="n">
        <v>22.9665751021869</v>
      </c>
    </row>
    <row r="205">
      <c r="A205" t="s">
        <v>228</v>
      </c>
      <c r="B205" t="s">
        <v>192</v>
      </c>
      <c r="C205" t="n">
        <v>0.0401932395085156</v>
      </c>
      <c r="D205" t="n">
        <v>0.0125672585392203</v>
      </c>
    </row>
    <row r="206">
      <c r="A206" t="s">
        <v>228</v>
      </c>
      <c r="B206" t="s">
        <v>184</v>
      </c>
      <c r="C206" t="n">
        <v>-0.0525271360762529</v>
      </c>
      <c r="D206" t="n">
        <v>0.0475192744501363</v>
      </c>
    </row>
    <row r="207">
      <c r="A207" t="s">
        <v>228</v>
      </c>
      <c r="B207" t="s">
        <v>193</v>
      </c>
      <c r="C207" t="n">
        <v>0.154233191279578</v>
      </c>
      <c r="D207" t="n">
        <v>0.0466094477687899</v>
      </c>
    </row>
    <row r="208">
      <c r="A208" t="s">
        <v>228</v>
      </c>
      <c r="B208" t="s">
        <v>185</v>
      </c>
      <c r="C208" t="n">
        <v>0.676034577665969</v>
      </c>
      <c r="D208" t="n">
        <v>0.0790194073247282</v>
      </c>
    </row>
    <row r="209">
      <c r="A209" t="s">
        <v>229</v>
      </c>
      <c r="B209" t="s">
        <v>181</v>
      </c>
      <c r="C209" t="n">
        <v>-0.419700820179509</v>
      </c>
      <c r="D209" t="n">
        <v>0.222959876473013</v>
      </c>
    </row>
    <row r="210">
      <c r="A210" t="s">
        <v>229</v>
      </c>
      <c r="B210" t="s">
        <v>182</v>
      </c>
      <c r="C210" t="n">
        <v>-0.0506279036358868</v>
      </c>
      <c r="D210" t="n">
        <v>0.0269804360071625</v>
      </c>
    </row>
    <row r="211">
      <c r="A211" t="s">
        <v>229</v>
      </c>
      <c r="B211" t="s">
        <v>192</v>
      </c>
      <c r="C211" t="n">
        <v>0.877198452474456</v>
      </c>
      <c r="D211" t="n">
        <v>0.249828218336434</v>
      </c>
    </row>
    <row r="212">
      <c r="A212" t="s">
        <v>229</v>
      </c>
      <c r="B212" t="s">
        <v>184</v>
      </c>
      <c r="C212" t="n">
        <v>0.761284867689189</v>
      </c>
      <c r="D212" t="n">
        <v>0.260037626387587</v>
      </c>
    </row>
    <row r="213">
      <c r="A213" t="s">
        <v>229</v>
      </c>
      <c r="B213" t="s">
        <v>193</v>
      </c>
      <c r="C213" t="n">
        <v>0.466483278131633</v>
      </c>
      <c r="D213" t="n">
        <v>0.250848213565577</v>
      </c>
    </row>
    <row r="214">
      <c r="A214" t="s">
        <v>229</v>
      </c>
      <c r="B214" t="s">
        <v>185</v>
      </c>
      <c r="C214" t="n">
        <v>0.33853777414992</v>
      </c>
      <c r="D214" t="n">
        <v>0.254992376142709</v>
      </c>
    </row>
    <row r="215">
      <c r="A215" t="s">
        <v>229</v>
      </c>
      <c r="B215" t="s">
        <v>186</v>
      </c>
      <c r="C215" t="n">
        <v>-0.288612086118259</v>
      </c>
      <c r="D215" t="n">
        <v>0.0911918851797859</v>
      </c>
    </row>
    <row r="216">
      <c r="A216" t="s">
        <v>229</v>
      </c>
      <c r="B216" t="s">
        <v>187</v>
      </c>
      <c r="C216" t="n">
        <v>-0.176028008389923</v>
      </c>
      <c r="D216" t="n">
        <v>0.0345044371275593</v>
      </c>
    </row>
    <row r="217">
      <c r="A217" t="s">
        <v>229</v>
      </c>
      <c r="B217" t="s">
        <v>188</v>
      </c>
      <c r="C217" t="n">
        <v>-0.50689820176045</v>
      </c>
      <c r="D217" t="n">
        <v>0.48220800388094</v>
      </c>
    </row>
    <row r="218">
      <c r="A218" t="s">
        <v>230</v>
      </c>
      <c r="B218" t="s">
        <v>181</v>
      </c>
      <c r="C218" t="n">
        <v>0.117409867336902</v>
      </c>
      <c r="D218" t="n">
        <v>0.0297859713279876</v>
      </c>
    </row>
    <row r="219">
      <c r="A219" t="s">
        <v>230</v>
      </c>
      <c r="B219" t="s">
        <v>231</v>
      </c>
      <c r="C219" t="n">
        <v>-0.489152075010871</v>
      </c>
      <c r="D219" t="n">
        <v>0.138922251187899</v>
      </c>
    </row>
    <row r="220">
      <c r="A220" t="s">
        <v>230</v>
      </c>
      <c r="B220" t="s">
        <v>232</v>
      </c>
      <c r="C220" t="n">
        <v>-0.0277252005151064</v>
      </c>
      <c r="D220" t="n">
        <v>0.21138920219739</v>
      </c>
    </row>
    <row r="221">
      <c r="A221" t="s">
        <v>230</v>
      </c>
      <c r="B221" t="s">
        <v>233</v>
      </c>
      <c r="C221" t="n">
        <v>0.193827246327542</v>
      </c>
      <c r="D221" t="n">
        <v>0.339987481649685</v>
      </c>
    </row>
    <row r="222">
      <c r="A222" t="s">
        <v>230</v>
      </c>
      <c r="B222" t="s">
        <v>234</v>
      </c>
      <c r="C222" t="n">
        <v>-0.450042666268074</v>
      </c>
      <c r="D222" t="n">
        <v>0.339640547702663</v>
      </c>
    </row>
    <row r="223">
      <c r="A223" t="s">
        <v>230</v>
      </c>
      <c r="B223" t="s">
        <v>235</v>
      </c>
      <c r="C223" t="n">
        <v>0.241181274151784</v>
      </c>
      <c r="D223" t="n">
        <v>0.211531544300953</v>
      </c>
    </row>
    <row r="224">
      <c r="A224" t="s">
        <v>230</v>
      </c>
      <c r="B224" t="s">
        <v>236</v>
      </c>
      <c r="C224" t="n">
        <v>0.710666390029421</v>
      </c>
      <c r="D224" t="n">
        <v>0.0676758294805386</v>
      </c>
    </row>
    <row r="225">
      <c r="A225" t="s">
        <v>237</v>
      </c>
      <c r="B225" t="s">
        <v>181</v>
      </c>
      <c r="C225" t="n">
        <v>-1.09346912111766</v>
      </c>
      <c r="D225" t="n">
        <v>0.293525431351426</v>
      </c>
    </row>
    <row r="226">
      <c r="A226" t="s">
        <v>237</v>
      </c>
      <c r="B226" t="s">
        <v>182</v>
      </c>
      <c r="C226" t="n">
        <v>-0.312527322966272</v>
      </c>
      <c r="D226" t="n">
        <v>0.077424337812655</v>
      </c>
    </row>
    <row r="227">
      <c r="A227" t="s">
        <v>237</v>
      </c>
      <c r="B227" t="s">
        <v>183</v>
      </c>
      <c r="C227" t="n">
        <v>0.524226558083094</v>
      </c>
      <c r="D227" t="n">
        <v>0.194969629260484</v>
      </c>
    </row>
    <row r="228">
      <c r="A228" t="s">
        <v>237</v>
      </c>
      <c r="B228" t="s">
        <v>191</v>
      </c>
      <c r="C228" t="n">
        <v>-1.3775984006698</v>
      </c>
      <c r="D228" t="n">
        <v>0.436732750080539</v>
      </c>
    </row>
    <row r="229">
      <c r="A229" t="s">
        <v>237</v>
      </c>
      <c r="B229" t="s">
        <v>192</v>
      </c>
      <c r="C229" t="n">
        <v>-0.00915208251683542</v>
      </c>
      <c r="D229" t="n">
        <v>0.00147442268083951</v>
      </c>
    </row>
    <row r="230">
      <c r="A230" t="s">
        <v>237</v>
      </c>
      <c r="B230" t="s">
        <v>193</v>
      </c>
      <c r="C230" t="n">
        <v>0.067417035085994</v>
      </c>
      <c r="D230" t="n">
        <v>0.0974362717418333</v>
      </c>
    </row>
    <row r="231">
      <c r="A231" t="s">
        <v>237</v>
      </c>
      <c r="B231" t="s">
        <v>185</v>
      </c>
      <c r="C231" t="n">
        <v>-0.762939791881913</v>
      </c>
      <c r="D231" t="n">
        <v>0.288783345172818</v>
      </c>
    </row>
    <row r="232">
      <c r="A232" t="s">
        <v>237</v>
      </c>
      <c r="B232" t="s">
        <v>186</v>
      </c>
      <c r="C232" t="n">
        <v>0.221509605555066</v>
      </c>
      <c r="D232" t="n">
        <v>0.33967853757669</v>
      </c>
    </row>
    <row r="233">
      <c r="A233" t="s">
        <v>237</v>
      </c>
      <c r="B233" t="s">
        <v>187</v>
      </c>
      <c r="C233" t="n">
        <v>0.154975646834407</v>
      </c>
      <c r="D233" t="n">
        <v>0.350505977796002</v>
      </c>
    </row>
    <row r="234">
      <c r="A234" t="s">
        <v>237</v>
      </c>
      <c r="B234" t="s">
        <v>188</v>
      </c>
      <c r="C234" t="n">
        <v>0.0633960644483437</v>
      </c>
      <c r="D234" t="n">
        <v>0.368881205091889</v>
      </c>
    </row>
    <row r="235">
      <c r="A235" t="s">
        <v>237</v>
      </c>
      <c r="B235" t="s">
        <v>189</v>
      </c>
      <c r="C235" t="n">
        <v>0.490462007993258</v>
      </c>
      <c r="D235" t="n">
        <v>0.354848278194656</v>
      </c>
    </row>
    <row r="236">
      <c r="A236" t="s">
        <v>237</v>
      </c>
      <c r="B236" t="s">
        <v>194</v>
      </c>
      <c r="C236" t="n">
        <v>0.575240271173106</v>
      </c>
      <c r="D236" t="n">
        <v>0.352448082203046</v>
      </c>
    </row>
    <row r="237">
      <c r="A237" t="s">
        <v>238</v>
      </c>
      <c r="B237" t="s">
        <v>181</v>
      </c>
      <c r="C237" t="n">
        <v>-0.170876728023149</v>
      </c>
      <c r="D237" t="n">
        <v>0.120226872098535</v>
      </c>
    </row>
    <row r="238">
      <c r="A238" t="s">
        <v>238</v>
      </c>
      <c r="B238" t="s">
        <v>182</v>
      </c>
      <c r="C238" t="n">
        <v>-0.0755708647956413</v>
      </c>
      <c r="D238" t="n">
        <v>0.0454497632215965</v>
      </c>
    </row>
    <row r="239">
      <c r="A239" t="s">
        <v>238</v>
      </c>
      <c r="B239" t="s">
        <v>183</v>
      </c>
      <c r="C239" t="n">
        <v>0.0477617495366563</v>
      </c>
      <c r="D239" t="n">
        <v>0.0216494214058893</v>
      </c>
    </row>
    <row r="240">
      <c r="A240" t="s">
        <v>238</v>
      </c>
      <c r="B240" t="s">
        <v>191</v>
      </c>
      <c r="C240" t="n">
        <v>-0.00257479417687779</v>
      </c>
      <c r="D240" t="n">
        <v>0.00129567035970719</v>
      </c>
    </row>
    <row r="241">
      <c r="A241" t="s">
        <v>238</v>
      </c>
      <c r="B241" t="s">
        <v>192</v>
      </c>
      <c r="C241" t="n">
        <v>0.72095582876821</v>
      </c>
      <c r="D241" t="n">
        <v>0.0811713941426452</v>
      </c>
    </row>
    <row r="242">
      <c r="A242" t="s">
        <v>238</v>
      </c>
      <c r="B242" t="s">
        <v>184</v>
      </c>
      <c r="C242" t="n">
        <v>-0.0834746106908187</v>
      </c>
      <c r="D242" t="n">
        <v>0.0789200154859938</v>
      </c>
    </row>
    <row r="243">
      <c r="A243" t="s">
        <v>238</v>
      </c>
      <c r="B243" t="s">
        <v>193</v>
      </c>
      <c r="C243" t="n">
        <v>-0.12282884114374</v>
      </c>
      <c r="D243" t="n">
        <v>0.0796382874219298</v>
      </c>
    </row>
    <row r="244">
      <c r="A244" t="s">
        <v>238</v>
      </c>
      <c r="B244" t="s">
        <v>185</v>
      </c>
      <c r="C244" t="n">
        <v>-0.181651641952986</v>
      </c>
      <c r="D244" t="n">
        <v>0.0782069054040431</v>
      </c>
    </row>
    <row r="245">
      <c r="A245" t="s">
        <v>238</v>
      </c>
      <c r="B245" t="s">
        <v>186</v>
      </c>
      <c r="C245" t="n">
        <v>-0.171140927329529</v>
      </c>
      <c r="D245" t="n">
        <v>0.0767073340560159</v>
      </c>
    </row>
    <row r="246">
      <c r="A246" t="s">
        <v>239</v>
      </c>
      <c r="B246" t="s">
        <v>181</v>
      </c>
      <c r="C246" t="n">
        <v>-0.140763101014305</v>
      </c>
      <c r="D246" t="n">
        <v>0.0624010122217255</v>
      </c>
    </row>
    <row r="247">
      <c r="A247" t="s">
        <v>239</v>
      </c>
      <c r="B247" t="s">
        <v>182</v>
      </c>
      <c r="C247" t="n">
        <v>-0.0474921271558658</v>
      </c>
      <c r="D247" t="n">
        <v>0.0171810841898531</v>
      </c>
    </row>
    <row r="248">
      <c r="A248" t="s">
        <v>239</v>
      </c>
      <c r="B248" t="s">
        <v>183</v>
      </c>
      <c r="C248" t="n">
        <v>-0.153293748796145</v>
      </c>
      <c r="D248" t="n">
        <v>0.80603374998901</v>
      </c>
    </row>
    <row r="249">
      <c r="A249" t="s">
        <v>239</v>
      </c>
      <c r="B249" t="s">
        <v>191</v>
      </c>
      <c r="C249" t="n">
        <v>0.714582980094044</v>
      </c>
      <c r="D249" t="n">
        <v>0.464146679918111</v>
      </c>
    </row>
    <row r="250">
      <c r="A250" t="s">
        <v>239</v>
      </c>
      <c r="B250" t="s">
        <v>192</v>
      </c>
      <c r="C250" t="n">
        <v>-0.00646058972558634</v>
      </c>
      <c r="D250" t="n">
        <v>0.00357037050366151</v>
      </c>
    </row>
    <row r="251">
      <c r="A251" t="s">
        <v>239</v>
      </c>
      <c r="B251" t="s">
        <v>184</v>
      </c>
      <c r="C251" t="n">
        <v>-0.137580314652621</v>
      </c>
      <c r="D251" t="n">
        <v>0.0754356809372643</v>
      </c>
    </row>
    <row r="252">
      <c r="A252" t="s">
        <v>239</v>
      </c>
      <c r="B252" t="s">
        <v>193</v>
      </c>
      <c r="C252" t="n">
        <v>0.947731198911194</v>
      </c>
      <c r="D252" t="n">
        <v>0.281787314643434</v>
      </c>
    </row>
    <row r="253">
      <c r="A253" t="s">
        <v>240</v>
      </c>
      <c r="B253" t="s">
        <v>181</v>
      </c>
      <c r="C253" t="n">
        <v>-0.0544409521749936</v>
      </c>
      <c r="D253" t="n">
        <v>0.0206808223600685</v>
      </c>
    </row>
    <row r="254">
      <c r="A254" t="s">
        <v>240</v>
      </c>
      <c r="B254" t="s">
        <v>182</v>
      </c>
      <c r="C254" t="n">
        <v>-0.0786331977014844</v>
      </c>
      <c r="D254" t="n">
        <v>0.0261953336102509</v>
      </c>
    </row>
    <row r="255">
      <c r="A255" t="s">
        <v>240</v>
      </c>
      <c r="B255" t="s">
        <v>183</v>
      </c>
      <c r="C255" t="n">
        <v>0.412289921914963</v>
      </c>
      <c r="D255" t="n">
        <v>0.0624645114779038</v>
      </c>
    </row>
    <row r="256">
      <c r="A256" t="s">
        <v>240</v>
      </c>
      <c r="B256" t="s">
        <v>191</v>
      </c>
      <c r="C256" t="n">
        <v>-1.1047048399867</v>
      </c>
      <c r="D256" t="n">
        <v>0.131858501535839</v>
      </c>
    </row>
    <row r="257">
      <c r="A257" t="s">
        <v>241</v>
      </c>
      <c r="B257" t="s">
        <v>181</v>
      </c>
      <c r="C257" t="n">
        <v>-0.326663116933836</v>
      </c>
      <c r="D257" t="n">
        <v>0.107267156673681</v>
      </c>
    </row>
    <row r="258">
      <c r="A258" t="s">
        <v>241</v>
      </c>
      <c r="B258" t="s">
        <v>182</v>
      </c>
      <c r="C258" t="n">
        <v>-0.145134891623487</v>
      </c>
      <c r="D258" t="n">
        <v>0.0421260098334369</v>
      </c>
    </row>
    <row r="259">
      <c r="A259" t="s">
        <v>241</v>
      </c>
      <c r="B259" t="s">
        <v>183</v>
      </c>
      <c r="C259" t="n">
        <v>0.476209759477317</v>
      </c>
      <c r="D259" t="n">
        <v>0.143772646744558</v>
      </c>
    </row>
    <row r="260">
      <c r="A260" t="s">
        <v>241</v>
      </c>
      <c r="B260" t="s">
        <v>191</v>
      </c>
      <c r="C260" t="n">
        <v>0.00109084171202984</v>
      </c>
      <c r="D260" t="n">
        <v>0.000454528787480206</v>
      </c>
    </row>
    <row r="261">
      <c r="A261" t="s">
        <v>241</v>
      </c>
      <c r="B261" t="s">
        <v>192</v>
      </c>
      <c r="C261" t="n">
        <v>0.503032373923423</v>
      </c>
      <c r="D261" t="n">
        <v>0.130157913940454</v>
      </c>
    </row>
    <row r="262">
      <c r="A262" t="s">
        <v>241</v>
      </c>
      <c r="B262" t="s">
        <v>184</v>
      </c>
      <c r="C262" t="n">
        <v>0.733801294600122</v>
      </c>
      <c r="D262" t="n">
        <v>0.075467374700172</v>
      </c>
    </row>
    <row r="263">
      <c r="A263" t="s">
        <v>242</v>
      </c>
      <c r="B263" t="s">
        <v>181</v>
      </c>
      <c r="C263" t="n">
        <v>-0.222429841532435</v>
      </c>
      <c r="D263" t="n">
        <v>0.062436252148694</v>
      </c>
    </row>
    <row r="264">
      <c r="A264" t="s">
        <v>242</v>
      </c>
      <c r="B264" t="s">
        <v>182</v>
      </c>
      <c r="C264" t="n">
        <v>-0.0664230384846361</v>
      </c>
      <c r="D264" t="n">
        <v>0.018339879362545</v>
      </c>
    </row>
    <row r="265">
      <c r="A265" t="s">
        <v>242</v>
      </c>
      <c r="B265" t="s">
        <v>183</v>
      </c>
      <c r="C265" t="n">
        <v>0.744993236893048</v>
      </c>
      <c r="D265" t="n">
        <v>0.024725934841153</v>
      </c>
    </row>
    <row r="266">
      <c r="A266" t="s">
        <v>242</v>
      </c>
      <c r="B266" t="s">
        <v>191</v>
      </c>
      <c r="C266" t="n">
        <v>-0.00867550971951202</v>
      </c>
      <c r="D266" t="n">
        <v>0.00509029336195908</v>
      </c>
    </row>
    <row r="267">
      <c r="A267" t="s">
        <v>242</v>
      </c>
      <c r="B267" t="s">
        <v>192</v>
      </c>
      <c r="C267" t="n">
        <v>0.046161211827329</v>
      </c>
      <c r="D267" t="n">
        <v>0.0237495881394001</v>
      </c>
    </row>
    <row r="268">
      <c r="A268" t="s">
        <v>242</v>
      </c>
      <c r="B268" t="s">
        <v>184</v>
      </c>
      <c r="C268" t="n">
        <v>0.0264026312051708</v>
      </c>
      <c r="D268" t="n">
        <v>0.0124028633346974</v>
      </c>
    </row>
    <row r="269">
      <c r="A269" t="s">
        <v>242</v>
      </c>
      <c r="B269" t="s">
        <v>186</v>
      </c>
      <c r="C269" t="n">
        <v>0.0206835938688956</v>
      </c>
      <c r="D269" t="n">
        <v>0.00355051823997442</v>
      </c>
    </row>
    <row r="270">
      <c r="A270" t="s">
        <v>242</v>
      </c>
      <c r="B270" t="s">
        <v>187</v>
      </c>
      <c r="C270" t="n">
        <v>-0.0114387602804176</v>
      </c>
      <c r="D270" t="n">
        <v>0.00801361995033746</v>
      </c>
    </row>
    <row r="271">
      <c r="A271" t="s">
        <v>243</v>
      </c>
      <c r="B271" t="s">
        <v>181</v>
      </c>
      <c r="C271" t="n">
        <v>0.800039725866337</v>
      </c>
      <c r="D271" t="n">
        <v>0.0048155153153414</v>
      </c>
    </row>
    <row r="272">
      <c r="A272" t="s">
        <v>244</v>
      </c>
      <c r="B272" t="s">
        <v>181</v>
      </c>
      <c r="C272" t="n">
        <v>-0.885777868854203</v>
      </c>
      <c r="D272" t="n">
        <v>0.350538719801897</v>
      </c>
    </row>
    <row r="273">
      <c r="A273" t="s">
        <v>244</v>
      </c>
      <c r="B273" t="s">
        <v>182</v>
      </c>
      <c r="C273" t="n">
        <v>-0.0871206710746647</v>
      </c>
      <c r="D273" t="n">
        <v>0.0363775266689701</v>
      </c>
    </row>
    <row r="274">
      <c r="A274" t="s">
        <v>244</v>
      </c>
      <c r="B274" t="s">
        <v>183</v>
      </c>
      <c r="C274" t="n">
        <v>-0.00767807441707942</v>
      </c>
      <c r="D274" t="n">
        <v>0.0127222426537585</v>
      </c>
    </row>
    <row r="275">
      <c r="A275" t="s">
        <v>244</v>
      </c>
      <c r="B275" t="s">
        <v>191</v>
      </c>
      <c r="C275" t="n">
        <v>0.640586482786634</v>
      </c>
      <c r="D275" t="n">
        <v>0.16435083675379</v>
      </c>
    </row>
    <row r="276">
      <c r="A276" t="s">
        <v>244</v>
      </c>
      <c r="B276" t="s">
        <v>192</v>
      </c>
      <c r="C276" t="n">
        <v>-0.00265517890473069</v>
      </c>
      <c r="D276" t="n">
        <v>0.00279666995098122</v>
      </c>
    </row>
    <row r="277">
      <c r="A277" t="s">
        <v>244</v>
      </c>
      <c r="B277" t="s">
        <v>184</v>
      </c>
      <c r="C277" t="n">
        <v>1.38749252856311</v>
      </c>
      <c r="D277" t="n">
        <v>0.445232362647087</v>
      </c>
    </row>
    <row r="278">
      <c r="A278" t="s">
        <v>244</v>
      </c>
      <c r="B278" t="s">
        <v>193</v>
      </c>
      <c r="C278" t="n">
        <v>0.258934645608867</v>
      </c>
      <c r="D278" t="n">
        <v>0.0300349320855349</v>
      </c>
    </row>
    <row r="279">
      <c r="A279" t="s">
        <v>244</v>
      </c>
      <c r="B279" t="s">
        <v>185</v>
      </c>
      <c r="C279" t="n">
        <v>-0.120920326000098</v>
      </c>
      <c r="D279" t="n">
        <v>0.02469600952438</v>
      </c>
    </row>
    <row r="280">
      <c r="A280" t="s">
        <v>244</v>
      </c>
      <c r="B280" t="s">
        <v>186</v>
      </c>
      <c r="C280" t="n">
        <v>-0.156150052557339</v>
      </c>
      <c r="D280" t="n">
        <v>0.0426655551153641</v>
      </c>
    </row>
    <row r="281">
      <c r="A281" t="s">
        <v>244</v>
      </c>
      <c r="B281" t="s">
        <v>187</v>
      </c>
      <c r="C281" t="n">
        <v>-0.119785064236841</v>
      </c>
      <c r="D281" t="n">
        <v>0.0270332641828213</v>
      </c>
    </row>
    <row r="282">
      <c r="A282" t="s">
        <v>245</v>
      </c>
      <c r="B282" t="s">
        <v>181</v>
      </c>
      <c r="C282" t="n">
        <v>-0.0418097149733937</v>
      </c>
      <c r="D282" t="n">
        <v>0.0137805624158975</v>
      </c>
    </row>
    <row r="283">
      <c r="A283" t="s">
        <v>245</v>
      </c>
      <c r="B283" t="s">
        <v>182</v>
      </c>
      <c r="C283" t="n">
        <v>-0.0885210103328543</v>
      </c>
      <c r="D283" t="n">
        <v>0.0229884608978412</v>
      </c>
    </row>
    <row r="284">
      <c r="A284" t="s">
        <v>245</v>
      </c>
      <c r="B284" t="s">
        <v>183</v>
      </c>
      <c r="C284" t="n">
        <v>-1.0958513146467</v>
      </c>
      <c r="D284" t="n">
        <v>0.0624709940441146</v>
      </c>
    </row>
    <row r="285">
      <c r="A285" t="s">
        <v>245</v>
      </c>
      <c r="B285" t="s">
        <v>191</v>
      </c>
      <c r="C285" t="n">
        <v>1.36001433294212</v>
      </c>
      <c r="D285" t="n">
        <v>0.144014432828633</v>
      </c>
    </row>
    <row r="286">
      <c r="A286" t="s">
        <v>245</v>
      </c>
      <c r="B286" t="s">
        <v>192</v>
      </c>
      <c r="C286" t="n">
        <v>0.580694011901158</v>
      </c>
      <c r="D286" t="n">
        <v>0.142275142637712</v>
      </c>
    </row>
    <row r="287">
      <c r="A287" t="s">
        <v>245</v>
      </c>
      <c r="B287" t="s">
        <v>184</v>
      </c>
      <c r="C287" t="n">
        <v>-21.4875516107823</v>
      </c>
      <c r="D287" t="n">
        <v>4.81563776151436</v>
      </c>
    </row>
    <row r="288">
      <c r="A288" t="s">
        <v>246</v>
      </c>
      <c r="B288" t="s">
        <v>181</v>
      </c>
      <c r="C288" t="n">
        <v>0.3</v>
      </c>
      <c r="D288"/>
    </row>
    <row r="289">
      <c r="A289" t="s">
        <v>246</v>
      </c>
      <c r="B289" t="s">
        <v>182</v>
      </c>
      <c r="C289" t="n">
        <v>-2</v>
      </c>
      <c r="D289"/>
    </row>
    <row r="290">
      <c r="A290" t="s">
        <v>246</v>
      </c>
      <c r="B290" t="s">
        <v>183</v>
      </c>
      <c r="C290" t="n">
        <v>1</v>
      </c>
      <c r="D290"/>
    </row>
    <row r="291">
      <c r="A291" t="s">
        <v>246</v>
      </c>
      <c r="B291" t="s">
        <v>191</v>
      </c>
      <c r="C291" t="n">
        <v>-1</v>
      </c>
      <c r="D291"/>
    </row>
    <row r="292">
      <c r="A292" t="s">
        <v>246</v>
      </c>
      <c r="B292" t="s">
        <v>247</v>
      </c>
      <c r="C292" t="n">
        <v>-4.19882042861591</v>
      </c>
      <c r="D292" t="n">
        <v>0.176876920520489</v>
      </c>
    </row>
    <row r="293">
      <c r="A293" t="s">
        <v>246</v>
      </c>
      <c r="B293" t="s">
        <v>248</v>
      </c>
      <c r="C293" t="n">
        <v>-4.85242395451925</v>
      </c>
      <c r="D293" t="n">
        <v>0.0822222035299333</v>
      </c>
    </row>
    <row r="294">
      <c r="A294" t="s">
        <v>249</v>
      </c>
      <c r="B294" t="s">
        <v>181</v>
      </c>
      <c r="C294" t="n">
        <v>-0.000194016391020685</v>
      </c>
      <c r="D294" t="n">
        <v>0.000414787585170908</v>
      </c>
    </row>
    <row r="295">
      <c r="A295" t="s">
        <v>249</v>
      </c>
      <c r="B295" t="s">
        <v>250</v>
      </c>
      <c r="C295" t="n">
        <v>0.00718466096095776</v>
      </c>
      <c r="D295" t="n">
        <v>0.0164245681523676</v>
      </c>
    </row>
    <row r="296">
      <c r="A296" t="s">
        <v>249</v>
      </c>
      <c r="B296" t="s">
        <v>251</v>
      </c>
      <c r="C296" t="n">
        <v>0.0607463716997146</v>
      </c>
      <c r="D296" t="n">
        <v>0.0265976375413725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GridLines="0" topLeftCell="A3" workbookViewId="0">
      <selection activeCell="B30" sqref="B30"/>
    </sheetView>
  </sheetViews>
  <sheetFormatPr defaultRowHeight="15.0" baseColWidth="10"/>
  <cols>
    <col min="1" max="1" width="28.7109375" hidden="0" customWidth="1"/>
    <col min="2" max="2" width="18.7109375" hidden="0" customWidth="1"/>
  </cols>
  <sheetData>
    <row r="1" ht="26.25" customHeight="1">
      <c r="A1" s="3" t="s">
        <v>169</v>
      </c>
    </row>
    <row r="4">
      <c r="A4" s="4" t="s">
        <v>170</v>
      </c>
      <c r="B4" s="4" t="s">
        <v>171</v>
      </c>
    </row>
    <row r="5">
      <c r="A5" t="s">
        <v>172</v>
      </c>
      <c r="B5" s="2" t="n">
        <v>45992</v>
      </c>
    </row>
    <row r="6">
      <c r="A6" t="s">
        <v>173</v>
      </c>
      <c r="B6" s="2" t="n">
        <v>50010</v>
      </c>
    </row>
    <row r="7">
      <c r="A7" t="s">
        <v>174</v>
      </c>
      <c r="B7" s="5" t="n">
        <v>0.047638941993144</v>
      </c>
    </row>
    <row r="8">
      <c r="A8" t="s">
        <v>175</v>
      </c>
      <c r="B8" s="5" t="n">
        <v>0.0313989538539444</v>
      </c>
    </row>
    <row r="9">
      <c r="A9" t="s">
        <v>176</v>
      </c>
      <c r="B9" s="5" t="n">
        <v>0.0562568166774583</v>
      </c>
    </row>
    <row r="10">
      <c r="A10" t="s">
        <v>177</v>
      </c>
      <c r="B10" s="5" t="n">
        <v>0.0334403727977319</v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Quekett, Reid</cp:lastModifiedBy>
  <dcterms:created xsi:type="dcterms:W3CDTF">2026-08-18T03:17:00Z</dcterms:created>
  <dcterms:modified xsi:type="dcterms:W3CDTF">2026-08-18T03:26:10Z</dcterms:modified>
</cp:coreProperties>
</file>