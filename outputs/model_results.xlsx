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720" yWindow="1725" windowWidth="23760" windowHeight="14235" firstSheet="0" activeTab="0"/>
  </bookViews>
  <sheets>
    <sheet name="Comparison" sheetId="1" state="visible" r:id="rId1"/>
    <sheet name="Forecast" sheetId="2" state="visible" r:id="rId2"/>
    <sheet name="Coefficients" sheetId="3" state="visible" r:id="rId3"/>
    <sheet name="Dashboard" sheetId="4" state="visible" r:id="rId4"/>
  </sheets>
  <calcPr calcId="191029"/>
</workbook>
</file>

<file path=xl/sharedStrings.xml><?xml version="1.0" encoding="utf-8"?>
<sst xmlns="http://schemas.openxmlformats.org/spreadsheetml/2006/main" count="252" uniqueCount="252">
  <si>
    <t>date</t>
  </si>
  <si>
    <t>Ygdp</t>
  </si>
  <si>
    <t>Cpr</t>
  </si>
  <si>
    <t>Pcpi</t>
  </si>
  <si>
    <t>Lemp</t>
  </si>
  <si>
    <t>Lhrs</t>
  </si>
  <si>
    <t>Lur</t>
  </si>
  <si>
    <t>Lpar</t>
  </si>
  <si>
    <t>R90d</t>
  </si>
  <si>
    <t>R10y</t>
  </si>
  <si>
    <t>period</t>
  </si>
  <si>
    <t>GDP_annual_growth</t>
  </si>
  <si>
    <t>Consumption_annual_growth</t>
  </si>
  <si>
    <t>CPI_inflation</t>
  </si>
  <si>
    <t>Unemployment_rate</t>
  </si>
  <si>
    <t>Participation_rate</t>
  </si>
  <si>
    <t>Cash_rate</t>
  </si>
  <si>
    <t>Ten_year_rate</t>
  </si>
  <si>
    <t>Employment_index</t>
  </si>
  <si>
    <t>Hours_index</t>
  </si>
  <si>
    <t>GDP_annual_growth_actual</t>
  </si>
  <si>
    <t>GDP_annual_growth_forecast</t>
  </si>
  <si>
    <t>Consumption_annual_growth_actual</t>
  </si>
  <si>
    <t>Consumption_annual_growth_forecast</t>
  </si>
  <si>
    <t>Employment_index_actual</t>
  </si>
  <si>
    <t>Employment_index_forecast</t>
  </si>
  <si>
    <t>Hours_index_actual</t>
  </si>
  <si>
    <t>Hours_index_forecast</t>
  </si>
  <si>
    <t>Unemployment_rate_actual</t>
  </si>
  <si>
    <t>Unemployment_rate_forecast</t>
  </si>
  <si>
    <t>Cash_rate_actual</t>
  </si>
  <si>
    <t>Cash_rate_forecast</t>
  </si>
  <si>
    <t>Ten_year_rate_actual</t>
  </si>
  <si>
    <t>Ten_year_rate_forecast</t>
  </si>
  <si>
    <t>CPI_inflation_actual</t>
  </si>
  <si>
    <t>CPI_inflation_forecast</t>
  </si>
  <si>
    <t>Idwell</t>
  </si>
  <si>
    <t>Imin</t>
  </si>
  <si>
    <t>IvtNonfarm</t>
  </si>
  <si>
    <t>Tcit</t>
  </si>
  <si>
    <t>Tprl</t>
  </si>
  <si>
    <t>Toth</t>
  </si>
  <si>
    <t>Ytsf</t>
  </si>
  <si>
    <t>Xmin</t>
  </si>
  <si>
    <t>LavhMkt</t>
  </si>
  <si>
    <t>LempNonmkt</t>
  </si>
  <si>
    <t>Lwge</t>
  </si>
  <si>
    <t>Piret</t>
  </si>
  <si>
    <t>Pxagr</t>
  </si>
  <si>
    <t>Pmgs</t>
  </si>
  <si>
    <t>Rmort</t>
  </si>
  <si>
    <t>Peq</t>
  </si>
  <si>
    <t>Rtwi</t>
  </si>
  <si>
    <t>Rusd</t>
  </si>
  <si>
    <t>Whh</t>
  </si>
  <si>
    <t>Ygdw</t>
  </si>
  <si>
    <t>PhouseSa</t>
  </si>
  <si>
    <t>Pimin</t>
  </si>
  <si>
    <t>Pinonmin</t>
  </si>
  <si>
    <t>Pgov</t>
  </si>
  <si>
    <t>Pidwell</t>
  </si>
  <si>
    <t>Pxsvc</t>
  </si>
  <si>
    <t>Tpit</t>
  </si>
  <si>
    <t>GovDebt</t>
  </si>
  <si>
    <t>PcpiRent</t>
  </si>
  <si>
    <t>Inonmin</t>
  </si>
  <si>
    <t>Ynli</t>
  </si>
  <si>
    <t>EqEarn</t>
  </si>
  <si>
    <t>Tgst</t>
  </si>
  <si>
    <t>Xoth</t>
  </si>
  <si>
    <t>Pxmin</t>
  </si>
  <si>
    <t>Pxoth</t>
  </si>
  <si>
    <t>PconsExrent</t>
  </si>
  <si>
    <t>Ppcd</t>
  </si>
  <si>
    <t>Xsvc</t>
  </si>
  <si>
    <t>Mtot</t>
  </si>
  <si>
    <t>GapAvh</t>
  </si>
  <si>
    <t>Ivt</t>
  </si>
  <si>
    <t>Iotc</t>
  </si>
  <si>
    <t>Xagr</t>
  </si>
  <si>
    <t>Xtot</t>
  </si>
  <si>
    <t>CprNom</t>
  </si>
  <si>
    <t>CgovNom</t>
  </si>
  <si>
    <t>IdwellNom</t>
  </si>
  <si>
    <t>IotcNom</t>
  </si>
  <si>
    <t>IminNom</t>
  </si>
  <si>
    <t>InonminNom</t>
  </si>
  <si>
    <t>YgovIvtNom</t>
  </si>
  <si>
    <t>XminNom</t>
  </si>
  <si>
    <t>XagrNom</t>
  </si>
  <si>
    <t>XothNom</t>
  </si>
  <si>
    <t>XsvcNom</t>
  </si>
  <si>
    <t>XtotNom</t>
  </si>
  <si>
    <t>MtotNom</t>
  </si>
  <si>
    <t>YgdpNom</t>
  </si>
  <si>
    <t>Ygne</t>
  </si>
  <si>
    <t>Pgne</t>
  </si>
  <si>
    <t>Pgdp</t>
  </si>
  <si>
    <t>Pxtot</t>
  </si>
  <si>
    <t>Ptot</t>
  </si>
  <si>
    <t>CconsRent</t>
  </si>
  <si>
    <t>PconsRent</t>
  </si>
  <si>
    <t>CconsRentNom</t>
  </si>
  <si>
    <t>LempMkt</t>
  </si>
  <si>
    <t>Lsup</t>
  </si>
  <si>
    <t>Lune</t>
  </si>
  <si>
    <t>Lhh</t>
  </si>
  <si>
    <t>Ywss</t>
  </si>
  <si>
    <t>Yhdi</t>
  </si>
  <si>
    <t>Ygoa</t>
  </si>
  <si>
    <t>SavHh</t>
  </si>
  <si>
    <t>Wfor</t>
  </si>
  <si>
    <t>EqYield</t>
  </si>
  <si>
    <t>PeRatio</t>
  </si>
  <si>
    <t>KMin</t>
  </si>
  <si>
    <t>KNbiz</t>
  </si>
  <si>
    <t>KDwell</t>
  </si>
  <si>
    <t>KBiz</t>
  </si>
  <si>
    <t>KTotal</t>
  </si>
  <si>
    <t>R90dReal</t>
  </si>
  <si>
    <t>R10yReal</t>
  </si>
  <si>
    <t>RmortReal</t>
  </si>
  <si>
    <t>PcpiExGst</t>
  </si>
  <si>
    <t>RmortRealExgst</t>
  </si>
  <si>
    <t>Fr10y</t>
  </si>
  <si>
    <t>Fr10yReal</t>
  </si>
  <si>
    <t>Rdif10y</t>
  </si>
  <si>
    <t>RtwiNom</t>
  </si>
  <si>
    <t>PhouseReal</t>
  </si>
  <si>
    <t>Rbiz</t>
  </si>
  <si>
    <t>RbizReal</t>
  </si>
  <si>
    <t>KdepAllow</t>
  </si>
  <si>
    <t>CostCap</t>
  </si>
  <si>
    <t>GovDem</t>
  </si>
  <si>
    <t>Pulc</t>
  </si>
  <si>
    <t>UlcDom</t>
  </si>
  <si>
    <t>UlcExp</t>
  </si>
  <si>
    <t>YgdpHpf</t>
  </si>
  <si>
    <t>CprHpf</t>
  </si>
  <si>
    <t>PhouseHpf</t>
  </si>
  <si>
    <t>RmortRealHpf</t>
  </si>
  <si>
    <t>LparHpf</t>
  </si>
  <si>
    <t>PpcdHpf</t>
  </si>
  <si>
    <t>LurHpf</t>
  </si>
  <si>
    <t>InflExp</t>
  </si>
  <si>
    <t>Lpop</t>
  </si>
  <si>
    <t>Lpop15Plus</t>
  </si>
  <si>
    <t>Ustar</t>
  </si>
  <si>
    <t>Cgov</t>
  </si>
  <si>
    <t>Igov</t>
  </si>
  <si>
    <t>Ipubent</t>
  </si>
  <si>
    <t>GovDef</t>
  </si>
  <si>
    <t>IvtFar</t>
  </si>
  <si>
    <t>Lnom</t>
  </si>
  <si>
    <t>IntStu</t>
  </si>
  <si>
    <t>Fpcpi</t>
  </si>
  <si>
    <t>Fpoil</t>
  </si>
  <si>
    <t>Fpcom</t>
  </si>
  <si>
    <t>Fpagr</t>
  </si>
  <si>
    <t>FcGdp</t>
  </si>
  <si>
    <t>FcPpp</t>
  </si>
  <si>
    <t>Fr10yUs</t>
  </si>
  <si>
    <t>Fr10yJp</t>
  </si>
  <si>
    <t>Fr10yDe</t>
  </si>
  <si>
    <t>Fr10yUk</t>
  </si>
  <si>
    <t>equation</t>
  </si>
  <si>
    <t>term</t>
  </si>
  <si>
    <t>estimate</t>
  </si>
  <si>
    <t>std_error</t>
  </si>
  <si>
    <t>Macro scenario model</t>
  </si>
  <si>
    <t>Metric</t>
  </si>
  <si>
    <t>Value</t>
  </si>
  <si>
    <t>Forecast origin</t>
  </si>
  <si>
    <t>Forecast horizon</t>
  </si>
  <si>
    <t>2025Q1 unemployment</t>
  </si>
  <si>
    <t>2025Q1 90-day rate</t>
  </si>
  <si>
    <t>Terminal unemployment</t>
  </si>
  <si>
    <t>Terminal 90-day rate</t>
  </si>
  <si>
    <t xml:space="preserve">Actual</t>
  </si>
  <si>
    <t xml:space="preserve">Forecast</t>
  </si>
  <si>
    <t xml:space="preserve">Cpr</t>
  </si>
  <si>
    <t xml:space="preserve">c1</t>
  </si>
  <si>
    <t xml:space="preserve">c2</t>
  </si>
  <si>
    <t xml:space="preserve">c3</t>
  </si>
  <si>
    <t xml:space="preserve">c6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</si>
  <si>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</si>
  <si>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</si>
  <si>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</si>
  <si>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</si>
  <si>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</si>
  <si>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Idwell</t>
  </si>
  <si>
    <t xml:space="preserve">c4</t>
  </si>
  <si>
    <t xml:space="preserve">c5</t>
  </si>
  <si>
    <t xml:space="preserve">c7</t>
  </si>
  <si>
    <t xml:space="preserve">c13</t>
  </si>
  <si>
    <t xml:space="preserve">c14</t>
  </si>
  <si>
    <t xml:space="preserve">Imin</t>
  </si>
  <si>
    <t xml:space="preserve">IvtNonfarm</t>
  </si>
  <si>
    <t xml:space="preserve">Tcit</t>
  </si>
  <si>
    <t xml:space="preserve">Tprl</t>
  </si>
  <si>
    <t xml:space="preserve">Toth</t>
  </si>
  <si>
    <t xml:space="preserve">Ytsf</t>
  </si>
  <si>
    <t xml:space="preserve">Xmin</t>
  </si>
  <si>
    <t xml:space="preserve">Lavh</t>
  </si>
  <si>
    <t xml:space="preserve">rho</t>
  </si>
  <si>
    <t xml:space="preserve">LempNonmkt</t>
  </si>
  <si>
    <t xml:space="preserve">Lpar</t>
  </si>
  <si>
    <t xml:space="preserve">Lwge</t>
  </si>
  <si>
    <t xml:space="preserve">Pcpi</t>
  </si>
  <si>
    <t xml:space="preserve">Piret</t>
  </si>
  <si>
    <t xml:space="preserve">Pxagr</t>
  </si>
  <si>
    <t xml:space="preserve">Pmgs</t>
  </si>
  <si>
    <t xml:space="preserve">Rmort</t>
  </si>
  <si>
    <t xml:space="preserve">Peq</t>
  </si>
  <si>
    <t xml:space="preserve">Rtwi</t>
  </si>
  <si>
    <t xml:space="preserve">Rusd</t>
  </si>
  <si>
    <t xml:space="preserve">Whh</t>
  </si>
  <si>
    <t xml:space="preserve">Ygdw</t>
  </si>
  <si>
    <t xml:space="preserve">Lhrs</t>
  </si>
  <si>
    <t xml:space="preserve">Phouse</t>
  </si>
  <si>
    <t xml:space="preserve">Pimin</t>
  </si>
  <si>
    <t xml:space="preserve">Pinonmin</t>
  </si>
  <si>
    <t xml:space="preserve">Pgov</t>
  </si>
  <si>
    <t xml:space="preserve">Pidwell</t>
  </si>
  <si>
    <t xml:space="preserve">Pxsvc</t>
  </si>
  <si>
    <t xml:space="preserve">Tpit</t>
  </si>
  <si>
    <t xml:space="preserve">GovDebt</t>
  </si>
  <si>
    <t xml:space="preserve">x</t>
  </si>
  <si>
    <t xml:space="preserve">PcpiRent</t>
  </si>
  <si>
    <t xml:space="preserve">Inonmin</t>
  </si>
  <si>
    <t xml:space="preserve">Ynli</t>
  </si>
  <si>
    <t xml:space="preserve">rm</t>
  </si>
  <si>
    <t xml:space="preserve">pe</t>
  </si>
  <si>
    <t xml:space="preserve">pe1</t>
  </si>
  <si>
    <t xml:space="preserve">pe2</t>
  </si>
  <si>
    <t xml:space="preserve">pe3</t>
  </si>
  <si>
    <t xml:space="preserve">l_r</t>
  </si>
  <si>
    <t xml:space="preserve">EqEarn</t>
  </si>
  <si>
    <t xml:space="preserve">Tgst</t>
  </si>
  <si>
    <t xml:space="preserve">Xoth</t>
  </si>
  <si>
    <t xml:space="preserve">Pxmin</t>
  </si>
  <si>
    <t xml:space="preserve">Pxoth</t>
  </si>
  <si>
    <t xml:space="preserve">PconsExrent</t>
  </si>
  <si>
    <t xml:space="preserve">Ppcd</t>
  </si>
  <si>
    <t xml:space="preserve">Xsvc</t>
  </si>
  <si>
    <t xml:space="preserve">Mtot</t>
  </si>
  <si>
    <t xml:space="preserve">Rcash</t>
  </si>
  <si>
    <t xml:space="preserve">log_sig_state</t>
  </si>
  <si>
    <t xml:space="preserve">log_sig_obs</t>
  </si>
  <si>
    <t xml:space="preserve">R10y</t>
  </si>
  <si>
    <t xml:space="preserve">d_rat</t>
  </si>
  <si>
    <t xml:space="preserve">d_r90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</si>
</sst>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20"/>
      <color rgb="FF0D1C24"/>
      <name val="Calibri"/>
      <family val="2"/>
      <scheme val="minor"/>
      <b/>
    </font>
    <font>
      <sz val="11"/>
      <color rgb="FFFFFFFF"/>
      <name val="Calibri"/>
      <family val="2"/>
      <scheme val="minor"/>
      <b/>
    </font>
  </fonts>
  <fills count="3">
    <fill>
      <patternFill patternType="none"/>
    </fill>
    <fill>
      <patternFill patternType="gray125"/>
    </fill>
    <fill>
      <patternFill patternType="solid">
        <fgColor rgb="FF0D1C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6">
    <xf numFmtId="0" fontId="0" fillId="0" borderId="0" xfId="0"/>
    <xf numFmtId="17" fontId="1" fillId="0" borderId="0" xfId="0" applyFont="1" applyNumberFormat="1"/>
    <xf numFmtId="14" fontId="1" fillId="0" borderId="0" xfId="0" applyFont="1" applyNumberFormat="1"/>
    <xf numFmtId="0" fontId="2" fillId="0" borderId="0" xfId="0" applyFont="1"/>
    <xf numFmtId="0" fontId="3" fillId="2" borderId="1" xfId="0" applyFont="1" applyFill="1" applyBorder="1"/>
    <xf numFmtId="10" fontId="1" fillId="0" borderId="0" xfId="0" applyFont="1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growth in activity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GDP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Comparison!$U$2:$U$201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9-4ED4-BDB8-874CF0EC1F1C}"/>
            </c:ext>
          </c:extLst>
        </c:ser>
        <c:ser>
          <c:idx val="1"/>
          <c:order val="1"/>
          <c:tx>
            <c:v>GDP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Comparison!$V$2:$V$201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9-4ED4-BDB8-874CF0EC1F1C}"/>
            </c:ext>
          </c:extLst>
        </c:ser>
        <c:ser>
          <c:idx val="2"/>
          <c:order val="2"/>
          <c:tx>
            <c:v>Consumption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Comparison!$W$2:$W$201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9-4ED4-BDB8-874CF0EC1F1C}"/>
            </c:ext>
          </c:extLst>
        </c:ser>
        <c:ser>
          <c:idx val="3"/>
          <c:order val="3"/>
          <c:tx>
            <c:v>Consumption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Comparison!$X$2:$X$201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9-4ED4-BDB8-874CF0EC1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Labour market volumes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56730952109249"/>
          <c:y val="0.17369477422133378"/>
          <c:w val="0.86386264216972874"/>
          <c:h val="0.60540763673890607"/>
        </c:manualLayout>
      </c:layout>
      <c:lineChart>
        <c:grouping val="standard"/>
        <c:varyColors val="0"/>
        <c:ser>
          <c:idx val="0"/>
          <c:order val="0"/>
          <c:tx>
            <c:v>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Comparison!$Y$2:$Y$201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3-4701-991B-173EB1CC12E7}"/>
            </c:ext>
          </c:extLst>
        </c:ser>
        <c:ser>
          <c:idx val="1"/>
          <c:order val="1"/>
          <c:tx>
            <c:v>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Comparison!$Z$2:$Z$201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701-991B-173EB1CC12E7}"/>
            </c:ext>
          </c:extLst>
        </c:ser>
        <c:ser>
          <c:idx val="2"/>
          <c:order val="2"/>
          <c:tx>
            <c:v>Market hours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Comparison!$AA$2:$AA$201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83-4701-991B-173EB1CC12E7}"/>
            </c:ext>
          </c:extLst>
        </c:ser>
        <c:ser>
          <c:idx val="3"/>
          <c:order val="3"/>
          <c:tx>
            <c:v>Market hours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Comparison!$AB$2:$AB$201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3-4701-991B-173EB1CC1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title>
          <c:tx>
            <c:rich>
              <a:bodyPr rot="0" vert="horz" anchor="t" anchorCtr="1"/>
              <a:lstStyle/>
              <a:p>
                <a:pPr>
                  <a:defRPr/>
                </a:pPr>
                <a:r>
                  <a:rPr lang="en-US"/>
                  <a:t>2024Q4 = 100</a:t>
                </a:r>
              </a:p>
            </c:rich>
          </c:tx>
          <c:layout>
            <c:manualLayout>
              <c:xMode val="edge"/>
              <c:yMode val="edge"/>
              <c:x val="3.6231884057971016E-2"/>
              <c:y val="5.757506317902213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Unemployment and interest rates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Comparison!$AC$2:$AC$201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4-4AB2-893E-821CEF93DF40}"/>
            </c:ext>
          </c:extLst>
        </c:ser>
        <c:ser>
          <c:idx val="1"/>
          <c:order val="1"/>
          <c:tx>
            <c:v>Unemployment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Comparison!$AD$2:$AD$201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4-4AB2-893E-821CEF93DF40}"/>
            </c:ext>
          </c:extLst>
        </c:ser>
        <c:ser>
          <c:idx val="2"/>
          <c:order val="2"/>
          <c:tx>
            <c:v>90-day rate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Comparison!$AE$2:$AE$201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84-4AB2-893E-821CEF93DF40}"/>
            </c:ext>
          </c:extLst>
        </c:ser>
        <c:ser>
          <c:idx val="3"/>
          <c:order val="3"/>
          <c:tx>
            <c:v>90-day rate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Comparison!$AF$2:$AF$201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84-4AB2-893E-821CEF93DF40}"/>
            </c:ext>
          </c:extLst>
        </c:ser>
        <c:ser>
          <c:idx val="4"/>
          <c:order val="4"/>
          <c:tx>
            <c:v>10-year rate - Actual</c:v>
          </c:tx>
          <c:spPr>
            <a:ln w="25400">
              <a:solidFill>
                <a:srgbClr val="ED8B0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Comparison!$AG$2:$AG$201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84-4AB2-893E-821CEF93DF40}"/>
            </c:ext>
          </c:extLst>
        </c:ser>
        <c:ser>
          <c:idx val="5"/>
          <c:order val="5"/>
          <c:tx>
            <c:v>10-year rate - Forecast</c:v>
          </c:tx>
          <c:spPr>
            <a:ln w="25400">
              <a:solidFill>
                <a:srgbClr val="ED8B0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Comparison!$AH$2:$AH$201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84-4AB2-893E-821CEF93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Consumer price inflation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Annual CPI inflation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Comparison!$AI$2:$AI$201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C-46AB-8E10-1B2A3540EA4A}"/>
            </c:ext>
          </c:extLst>
        </c:ser>
        <c:ser>
          <c:idx val="1"/>
          <c:order val="1"/>
          <c:tx>
            <c:v>Annual CPI inflation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Comparison!$AJ$2:$AJ$201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C-46AB-8E10-1B2A3540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3</xdr:row>
      <xdr:rowOff>0</xdr:rowOff>
    </xdr:from>
    <xdr:to>
      <xdr:col>11</xdr:col>
      <xdr:colOff>381000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381000</xdr:colOff>
      <xdr:row>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11</xdr:col>
      <xdr:colOff>381000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381000</xdr:colOff>
      <xdr:row>37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risonTable" displayName="ComparisonTable" ref="A1:AJ201" totalsRowShown="0">
  <autoFilter ref="A1:AJ201" xr:uid="{00000000-0009-0000-0100-000001000000}"/>
  <tableColumns count="36">
    <tableColumn id="1" xr3:uid="{00000000-0010-0000-0000-000001000000}" name="date" dataDxfId="0"/>
    <tableColumn id="2" xr3:uid="{00000000-0010-0000-0000-000002000000}" name="Ygdp"/>
    <tableColumn id="3" xr3:uid="{00000000-0010-0000-0000-000003000000}" name="Cpr"/>
    <tableColumn id="4" xr3:uid="{00000000-0010-0000-0000-000004000000}" name="Pcpi"/>
    <tableColumn id="5" xr3:uid="{00000000-0010-0000-0000-000005000000}" name="Lemp"/>
    <tableColumn id="6" xr3:uid="{00000000-0010-0000-0000-000006000000}" name="Lhrs"/>
    <tableColumn id="7" xr3:uid="{00000000-0010-0000-0000-000007000000}" name="Lur"/>
    <tableColumn id="8" xr3:uid="{00000000-0010-0000-0000-000008000000}" name="Lpar"/>
    <tableColumn id="9" xr3:uid="{00000000-0010-0000-0000-000009000000}" name="R90d"/>
    <tableColumn id="10" xr3:uid="{00000000-0010-0000-0000-00000A000000}" name="R10y"/>
    <tableColumn id="11" xr3:uid="{00000000-0010-0000-0000-00000B000000}" name="period"/>
    <tableColumn id="12" xr3:uid="{00000000-0010-0000-0000-00000C000000}" name="GDP_annual_growth"/>
    <tableColumn id="13" xr3:uid="{00000000-0010-0000-0000-00000D000000}" name="Consumption_annual_growth"/>
    <tableColumn id="14" xr3:uid="{00000000-0010-0000-0000-00000E000000}" name="CPI_inflation"/>
    <tableColumn id="15" xr3:uid="{00000000-0010-0000-0000-00000F000000}" name="Unemployment_rate"/>
    <tableColumn id="16" xr3:uid="{00000000-0010-0000-0000-000010000000}" name="Participation_rate"/>
    <tableColumn id="17" xr3:uid="{00000000-0010-0000-0000-000011000000}" name="Cash_rate"/>
    <tableColumn id="18" xr3:uid="{00000000-0010-0000-0000-000012000000}" name="Ten_year_rate"/>
    <tableColumn id="19" xr3:uid="{00000000-0010-0000-0000-000013000000}" name="Employment_index"/>
    <tableColumn id="20" xr3:uid="{00000000-0010-0000-0000-000014000000}" name="Hours_index"/>
    <tableColumn id="21" xr3:uid="{00000000-0010-0000-0000-000015000000}" name="GDP_annual_growth_actual"/>
    <tableColumn id="22" xr3:uid="{00000000-0010-0000-0000-000016000000}" name="GDP_annual_growth_forecast"/>
    <tableColumn id="23" xr3:uid="{00000000-0010-0000-0000-000017000000}" name="Consumption_annual_growth_actual"/>
    <tableColumn id="24" xr3:uid="{00000000-0010-0000-0000-000018000000}" name="Consumption_annual_growth_forecast"/>
    <tableColumn id="25" xr3:uid="{00000000-0010-0000-0000-000019000000}" name="Employment_index_actual"/>
    <tableColumn id="26" xr3:uid="{00000000-0010-0000-0000-00001A000000}" name="Employment_index_forecast"/>
    <tableColumn id="27" xr3:uid="{00000000-0010-0000-0000-00001B000000}" name="Hours_index_actual"/>
    <tableColumn id="28" xr3:uid="{00000000-0010-0000-0000-00001C000000}" name="Hours_index_forecast"/>
    <tableColumn id="29" xr3:uid="{00000000-0010-0000-0000-00001D000000}" name="Unemployment_rate_actual"/>
    <tableColumn id="30" xr3:uid="{00000000-0010-0000-0000-00001E000000}" name="Unemployment_rate_forecast"/>
    <tableColumn id="31" xr3:uid="{00000000-0010-0000-0000-00001F000000}" name="Cash_rate_actual"/>
    <tableColumn id="32" xr3:uid="{00000000-0010-0000-0000-000020000000}" name="Cash_rate_forecast"/>
    <tableColumn id="33" xr3:uid="{00000000-0010-0000-0000-000021000000}" name="Ten_year_rate_actual"/>
    <tableColumn id="34" xr3:uid="{00000000-0010-0000-0000-000022000000}" name="Ten_year_rate_forecast"/>
    <tableColumn id="35" xr3:uid="{00000000-0010-0000-0000-000023000000}" name="CPI_inflation_actual"/>
    <tableColumn id="36" xr3:uid="{00000000-0010-0000-0000-000024000000}" name="CPI_inflation_foreca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orecastTable" displayName="ForecastTable" ref="A1:EI51" totalsRowShown="0">
  <autoFilter ref="A1:EI51" xr:uid="{00000000-0009-0000-0100-000002000000}"/>
  <tableColumns count="139">
    <tableColumn id="1" xr3:uid="{00000000-0010-0000-0100-000001000000}" name="date"/>
    <tableColumn id="2" xr3:uid="{00000000-0010-0000-0100-000002000000}" name="Cpr"/>
    <tableColumn id="3" xr3:uid="{00000000-0010-0000-0100-000003000000}" name="Idwell"/>
    <tableColumn id="4" xr3:uid="{00000000-0010-0000-0100-000004000000}" name="Imin"/>
    <tableColumn id="5" xr3:uid="{00000000-0010-0000-0100-000005000000}" name="IvtNonfarm"/>
    <tableColumn id="6" xr3:uid="{00000000-0010-0000-0100-000006000000}" name="Tcit"/>
    <tableColumn id="7" xr3:uid="{00000000-0010-0000-0100-000007000000}" name="Tprl"/>
    <tableColumn id="8" xr3:uid="{00000000-0010-0000-0100-000008000000}" name="Toth"/>
    <tableColumn id="9" xr3:uid="{00000000-0010-0000-0100-000009000000}" name="Ytsf"/>
    <tableColumn id="10" xr3:uid="{00000000-0010-0000-0100-00000A000000}" name="Xmin"/>
    <tableColumn id="11" xr3:uid="{00000000-0010-0000-0100-00000B000000}" name="LavhMkt"/>
    <tableColumn id="12" xr3:uid="{00000000-0010-0000-0100-00000C000000}" name="LempNonmkt"/>
    <tableColumn id="13" xr3:uid="{00000000-0010-0000-0100-00000D000000}" name="Lpar"/>
    <tableColumn id="14" xr3:uid="{00000000-0010-0000-0100-00000E000000}" name="Lwge"/>
    <tableColumn id="15" xr3:uid="{00000000-0010-0000-0100-00000F000000}" name="Pcpi"/>
    <tableColumn id="16" xr3:uid="{00000000-0010-0000-0100-000010000000}" name="Piret"/>
    <tableColumn id="17" xr3:uid="{00000000-0010-0000-0100-000011000000}" name="Pxagr"/>
    <tableColumn id="18" xr3:uid="{00000000-0010-0000-0100-000012000000}" name="Pmgs"/>
    <tableColumn id="19" xr3:uid="{00000000-0010-0000-0100-000013000000}" name="Rmort"/>
    <tableColumn id="20" xr3:uid="{00000000-0010-0000-0100-000014000000}" name="Peq"/>
    <tableColumn id="21" xr3:uid="{00000000-0010-0000-0100-000015000000}" name="Rtwi"/>
    <tableColumn id="22" xr3:uid="{00000000-0010-0000-0100-000016000000}" name="Rusd"/>
    <tableColumn id="23" xr3:uid="{00000000-0010-0000-0100-000017000000}" name="Whh"/>
    <tableColumn id="24" xr3:uid="{00000000-0010-0000-0100-000018000000}" name="Ygdw"/>
    <tableColumn id="25" xr3:uid="{00000000-0010-0000-0100-000019000000}" name="Lhrs"/>
    <tableColumn id="26" xr3:uid="{00000000-0010-0000-0100-00001A000000}" name="PhouseSa"/>
    <tableColumn id="27" xr3:uid="{00000000-0010-0000-0100-00001B000000}" name="Pimin"/>
    <tableColumn id="28" xr3:uid="{00000000-0010-0000-0100-00001C000000}" name="Pinonmin"/>
    <tableColumn id="29" xr3:uid="{00000000-0010-0000-0100-00001D000000}" name="Pgov"/>
    <tableColumn id="30" xr3:uid="{00000000-0010-0000-0100-00001E000000}" name="Pidwell"/>
    <tableColumn id="31" xr3:uid="{00000000-0010-0000-0100-00001F000000}" name="Pxsvc"/>
    <tableColumn id="32" xr3:uid="{00000000-0010-0000-0100-000020000000}" name="Tpit"/>
    <tableColumn id="33" xr3:uid="{00000000-0010-0000-0100-000021000000}" name="GovDebt"/>
    <tableColumn id="34" xr3:uid="{00000000-0010-0000-0100-000022000000}" name="PcpiRent"/>
    <tableColumn id="35" xr3:uid="{00000000-0010-0000-0100-000023000000}" name="Inonmin"/>
    <tableColumn id="36" xr3:uid="{00000000-0010-0000-0100-000024000000}" name="Ynli"/>
    <tableColumn id="37" xr3:uid="{00000000-0010-0000-0100-000025000000}" name="EqEarn"/>
    <tableColumn id="38" xr3:uid="{00000000-0010-0000-0100-000026000000}" name="Tgst"/>
    <tableColumn id="39" xr3:uid="{00000000-0010-0000-0100-000027000000}" name="Xoth"/>
    <tableColumn id="40" xr3:uid="{00000000-0010-0000-0100-000028000000}" name="Pxmin"/>
    <tableColumn id="41" xr3:uid="{00000000-0010-0000-0100-000029000000}" name="Pxoth"/>
    <tableColumn id="42" xr3:uid="{00000000-0010-0000-0100-00002A000000}" name="PconsExrent"/>
    <tableColumn id="43" xr3:uid="{00000000-0010-0000-0100-00002B000000}" name="Ppcd"/>
    <tableColumn id="44" xr3:uid="{00000000-0010-0000-0100-00002C000000}" name="Xsvc"/>
    <tableColumn id="45" xr3:uid="{00000000-0010-0000-0100-00002D000000}" name="Mtot"/>
    <tableColumn id="46" xr3:uid="{00000000-0010-0000-0100-00002E000000}" name="R90d"/>
    <tableColumn id="47" xr3:uid="{00000000-0010-0000-0100-00002F000000}" name="R10y"/>
    <tableColumn id="48" xr3:uid="{00000000-0010-0000-0100-000030000000}" name="GapAvh"/>
    <tableColumn id="49" xr3:uid="{00000000-0010-0000-0100-000031000000}" name="Ivt"/>
    <tableColumn id="50" xr3:uid="{00000000-0010-0000-0100-000032000000}" name="Iotc"/>
    <tableColumn id="51" xr3:uid="{00000000-0010-0000-0100-000033000000}" name="Xagr"/>
    <tableColumn id="52" xr3:uid="{00000000-0010-0000-0100-000034000000}" name="Xtot"/>
    <tableColumn id="53" xr3:uid="{00000000-0010-0000-0100-000035000000}" name="CprNom"/>
    <tableColumn id="54" xr3:uid="{00000000-0010-0000-0100-000036000000}" name="CgovNom"/>
    <tableColumn id="55" xr3:uid="{00000000-0010-0000-0100-000037000000}" name="IdwellNom"/>
    <tableColumn id="56" xr3:uid="{00000000-0010-0000-0100-000038000000}" name="IotcNom"/>
    <tableColumn id="57" xr3:uid="{00000000-0010-0000-0100-000039000000}" name="IminNom"/>
    <tableColumn id="58" xr3:uid="{00000000-0010-0000-0100-00003A000000}" name="InonminNom"/>
    <tableColumn id="59" xr3:uid="{00000000-0010-0000-0100-00003B000000}" name="YgovIvtNom"/>
    <tableColumn id="60" xr3:uid="{00000000-0010-0000-0100-00003C000000}" name="XminNom"/>
    <tableColumn id="61" xr3:uid="{00000000-0010-0000-0100-00003D000000}" name="XagrNom"/>
    <tableColumn id="62" xr3:uid="{00000000-0010-0000-0100-00003E000000}" name="XothNom"/>
    <tableColumn id="63" xr3:uid="{00000000-0010-0000-0100-00003F000000}" name="XsvcNom"/>
    <tableColumn id="64" xr3:uid="{00000000-0010-0000-0100-000040000000}" name="XtotNom"/>
    <tableColumn id="65" xr3:uid="{00000000-0010-0000-0100-000041000000}" name="MtotNom"/>
    <tableColumn id="66" xr3:uid="{00000000-0010-0000-0100-000042000000}" name="YgdpNom"/>
    <tableColumn id="67" xr3:uid="{00000000-0010-0000-0100-000043000000}" name="Ygdp"/>
    <tableColumn id="68" xr3:uid="{00000000-0010-0000-0100-000044000000}" name="Ygne"/>
    <tableColumn id="69" xr3:uid="{00000000-0010-0000-0100-000045000000}" name="Pgne"/>
    <tableColumn id="70" xr3:uid="{00000000-0010-0000-0100-000046000000}" name="Pgdp"/>
    <tableColumn id="71" xr3:uid="{00000000-0010-0000-0100-000047000000}" name="Pxtot"/>
    <tableColumn id="72" xr3:uid="{00000000-0010-0000-0100-000048000000}" name="Ptot"/>
    <tableColumn id="73" xr3:uid="{00000000-0010-0000-0100-000049000000}" name="CconsRent"/>
    <tableColumn id="74" xr3:uid="{00000000-0010-0000-0100-00004A000000}" name="PconsRent"/>
    <tableColumn id="75" xr3:uid="{00000000-0010-0000-0100-00004B000000}" name="CconsRentNom"/>
    <tableColumn id="76" xr3:uid="{00000000-0010-0000-0100-00004C000000}" name="LempMkt"/>
    <tableColumn id="77" xr3:uid="{00000000-0010-0000-0100-00004D000000}" name="Lemp"/>
    <tableColumn id="78" xr3:uid="{00000000-0010-0000-0100-00004E000000}" name="Lsup"/>
    <tableColumn id="79" xr3:uid="{00000000-0010-0000-0100-00004F000000}" name="Lune"/>
    <tableColumn id="80" xr3:uid="{00000000-0010-0000-0100-000050000000}" name="Lur"/>
    <tableColumn id="81" xr3:uid="{00000000-0010-0000-0100-000051000000}" name="Lhh"/>
    <tableColumn id="82" xr3:uid="{00000000-0010-0000-0100-000052000000}" name="Ywss"/>
    <tableColumn id="83" xr3:uid="{00000000-0010-0000-0100-000053000000}" name="Yhdi"/>
    <tableColumn id="84" xr3:uid="{00000000-0010-0000-0100-000054000000}" name="Ygoa"/>
    <tableColumn id="85" xr3:uid="{00000000-0010-0000-0100-000055000000}" name="SavHh"/>
    <tableColumn id="86" xr3:uid="{00000000-0010-0000-0100-000056000000}" name="Wfor"/>
    <tableColumn id="87" xr3:uid="{00000000-0010-0000-0100-000057000000}" name="EqYield"/>
    <tableColumn id="88" xr3:uid="{00000000-0010-0000-0100-000058000000}" name="PeRatio"/>
    <tableColumn id="89" xr3:uid="{00000000-0010-0000-0100-000059000000}" name="KMin"/>
    <tableColumn id="90" xr3:uid="{00000000-0010-0000-0100-00005A000000}" name="KNbiz"/>
    <tableColumn id="91" xr3:uid="{00000000-0010-0000-0100-00005B000000}" name="KDwell"/>
    <tableColumn id="92" xr3:uid="{00000000-0010-0000-0100-00005C000000}" name="KBiz"/>
    <tableColumn id="93" xr3:uid="{00000000-0010-0000-0100-00005D000000}" name="KTotal"/>
    <tableColumn id="94" xr3:uid="{00000000-0010-0000-0100-00005E000000}" name="R90dReal"/>
    <tableColumn id="95" xr3:uid="{00000000-0010-0000-0100-00005F000000}" name="R10yReal"/>
    <tableColumn id="96" xr3:uid="{00000000-0010-0000-0100-000060000000}" name="RmortReal"/>
    <tableColumn id="97" xr3:uid="{00000000-0010-0000-0100-000061000000}" name="PcpiExGst"/>
    <tableColumn id="98" xr3:uid="{00000000-0010-0000-0100-000062000000}" name="RmortRealExgst"/>
    <tableColumn id="99" xr3:uid="{00000000-0010-0000-0100-000063000000}" name="Fr10y"/>
    <tableColumn id="100" xr3:uid="{00000000-0010-0000-0100-000064000000}" name="Fr10yReal"/>
    <tableColumn id="101" xr3:uid="{00000000-0010-0000-0100-000065000000}" name="Rdif10y"/>
    <tableColumn id="102" xr3:uid="{00000000-0010-0000-0100-000066000000}" name="RtwiNom"/>
    <tableColumn id="103" xr3:uid="{00000000-0010-0000-0100-000067000000}" name="PhouseReal"/>
    <tableColumn id="104" xr3:uid="{00000000-0010-0000-0100-000068000000}" name="Rbiz"/>
    <tableColumn id="105" xr3:uid="{00000000-0010-0000-0100-000069000000}" name="RbizReal"/>
    <tableColumn id="106" xr3:uid="{00000000-0010-0000-0100-00006A000000}" name="KdepAllow"/>
    <tableColumn id="107" xr3:uid="{00000000-0010-0000-0100-00006B000000}" name="CostCap"/>
    <tableColumn id="108" xr3:uid="{00000000-0010-0000-0100-00006C000000}" name="GovDem"/>
    <tableColumn id="109" xr3:uid="{00000000-0010-0000-0100-00006D000000}" name="Pulc"/>
    <tableColumn id="110" xr3:uid="{00000000-0010-0000-0100-00006E000000}" name="UlcDom"/>
    <tableColumn id="111" xr3:uid="{00000000-0010-0000-0100-00006F000000}" name="UlcExp"/>
    <tableColumn id="112" xr3:uid="{00000000-0010-0000-0100-000070000000}" name="YgdpHpf"/>
    <tableColumn id="113" xr3:uid="{00000000-0010-0000-0100-000071000000}" name="CprHpf"/>
    <tableColumn id="114" xr3:uid="{00000000-0010-0000-0100-000072000000}" name="PhouseHpf"/>
    <tableColumn id="115" xr3:uid="{00000000-0010-0000-0100-000073000000}" name="RmortRealHpf"/>
    <tableColumn id="116" xr3:uid="{00000000-0010-0000-0100-000074000000}" name="LparHpf"/>
    <tableColumn id="117" xr3:uid="{00000000-0010-0000-0100-000075000000}" name="PpcdHpf"/>
    <tableColumn id="118" xr3:uid="{00000000-0010-0000-0100-000076000000}" name="LurHpf"/>
    <tableColumn id="119" xr3:uid="{00000000-0010-0000-0100-000077000000}" name="InflExp"/>
    <tableColumn id="120" xr3:uid="{00000000-0010-0000-0100-000078000000}" name="Lpop"/>
    <tableColumn id="121" xr3:uid="{00000000-0010-0000-0100-000079000000}" name="Lpop15Plus"/>
    <tableColumn id="122" xr3:uid="{00000000-0010-0000-0100-00007A000000}" name="Ustar"/>
    <tableColumn id="123" xr3:uid="{00000000-0010-0000-0100-00007B000000}" name="Cgov"/>
    <tableColumn id="124" xr3:uid="{00000000-0010-0000-0100-00007C000000}" name="Igov"/>
    <tableColumn id="125" xr3:uid="{00000000-0010-0000-0100-00007D000000}" name="Ipubent"/>
    <tableColumn id="126" xr3:uid="{00000000-0010-0000-0100-00007E000000}" name="GovDef"/>
    <tableColumn id="127" xr3:uid="{00000000-0010-0000-0100-00007F000000}" name="IvtFar"/>
    <tableColumn id="128" xr3:uid="{00000000-0010-0000-0100-000080000000}" name="Lnom"/>
    <tableColumn id="129" xr3:uid="{00000000-0010-0000-0100-000081000000}" name="IntStu"/>
    <tableColumn id="130" xr3:uid="{00000000-0010-0000-0100-000082000000}" name="Fpcpi"/>
    <tableColumn id="131" xr3:uid="{00000000-0010-0000-0100-000083000000}" name="Fpoil"/>
    <tableColumn id="132" xr3:uid="{00000000-0010-0000-0100-000084000000}" name="Fpcom"/>
    <tableColumn id="133" xr3:uid="{00000000-0010-0000-0100-000085000000}" name="Fpagr"/>
    <tableColumn id="134" xr3:uid="{00000000-0010-0000-0100-000086000000}" name="FcGdp"/>
    <tableColumn id="135" xr3:uid="{00000000-0010-0000-0100-000087000000}" name="FcPpp"/>
    <tableColumn id="136" xr3:uid="{00000000-0010-0000-0100-000088000000}" name="Fr10yUs"/>
    <tableColumn id="137" xr3:uid="{00000000-0010-0000-0100-000089000000}" name="Fr10yJp"/>
    <tableColumn id="138" xr3:uid="{00000000-0010-0000-0100-00008A000000}" name="Fr10yDe"/>
    <tableColumn id="139" xr3:uid="{00000000-0010-0000-0100-00008B000000}" name="Fr10yU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oefficientsTable" displayName="CoefficientsTable" ref="A1:D301" totalsRowShown="0">
  <autoFilter ref="A1:D301" xr:uid="{00000000-0009-0000-0100-000003000000}"/>
  <tableColumns count="4">
    <tableColumn id="1" xr3:uid="{00000000-0010-0000-0200-000001000000}" name="equation"/>
    <tableColumn id="2" xr3:uid="{00000000-0010-0000-0200-000002000000}" name="term"/>
    <tableColumn id="3" xr3:uid="{00000000-0010-0000-0200-000003000000}" name="estimate"/>
    <tableColumn id="4" xr3:uid="{00000000-0010-0000-0200-000004000000}" name="st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.0" baseColWidth="10"/>
  <cols>
    <col min="1" max="1" width="13.7109375" hidden="0" customWidth="1"/>
    <col min="2" max="2" width="15.7109375" hidden="0" customWidth="1"/>
    <col min="3" max="3" width="15.7109375" hidden="0" customWidth="1"/>
    <col min="4" max="4" width="15.7109375" hidden="0" customWidth="1"/>
    <col min="5" max="5" width="15.7109375" hidden="0" customWidth="1"/>
    <col min="6" max="6" width="15.7109375" hidden="0" customWidth="1"/>
    <col min="7" max="7" width="15.7109375" hidden="0" customWidth="1"/>
    <col min="8" max="8" width="15.7109375" hidden="0" customWidth="1"/>
    <col min="9" max="9" width="15.7109375" hidden="0" customWidth="1"/>
    <col min="10" max="10" width="15.7109375" hidden="0" customWidth="1"/>
    <col min="11" max="11" width="15.7109375" hidden="0" customWidth="1"/>
    <col min="12" max="12" width="15.7109375" hidden="0" customWidth="1"/>
    <col min="13" max="13" width="15.7109375" hidden="0" customWidth="1"/>
    <col min="14" max="14" width="15.7109375" hidden="0" customWidth="1"/>
    <col min="15" max="15" width="15.7109375" hidden="0" customWidth="1"/>
    <col min="16" max="16" width="15.7109375" hidden="0" customWidth="1"/>
    <col min="17" max="17" width="15.7109375" hidden="0" customWidth="1"/>
    <col min="18" max="18" width="15.7109375" hidden="0" customWidth="1"/>
    <col min="19" max="19" width="15.7109375" hidden="0" customWidth="1"/>
    <col min="20" max="20" width="15.7109375" hidden="0" customWidth="1"/>
    <col min="21" max="21" width="15.7109375" hidden="0" customWidth="1"/>
    <col min="22" max="22" width="15.7109375" hidden="0" customWidth="1"/>
    <col min="23" max="23" width="15.7109375" hidden="0" customWidth="1"/>
    <col min="24" max="24" width="15.7109375" hidden="0" customWidth="1"/>
    <col min="25" max="25" width="15.7109375" hidden="0" customWidth="1"/>
    <col min="26" max="26" width="15.7109375" hidden="0" customWidth="1"/>
    <col min="27" max="27" width="15.7109375" hidden="0" customWidth="1"/>
    <col min="28" max="28" width="15.7109375" hidden="0" customWidth="1"/>
    <col min="29" max="29" width="15.7109375" hidden="0" customWidth="1"/>
    <col min="30" max="30" width="15.7109375" hidden="0" customWidth="1"/>
    <col min="31" max="31" width="15.7109375" hidden="0" customWidth="1"/>
    <col min="32" max="32" width="15.7109375" hidden="0" customWidth="1"/>
    <col min="33" max="33" width="15.7109375" hidden="0" customWidth="1"/>
    <col min="34" max="34" width="15.7109375" hidden="0" customWidth="1"/>
    <col min="35" max="35" width="15.7109375" hidden="0" customWidth="1"/>
    <col min="36" max="36" width="15.7109375" hidden="0" customWidth="1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2" t="n">
        <v>42064</v>
      </c>
      <c r="B2" t="n">
        <v>546635</v>
      </c>
      <c r="C2" t="n">
        <v>286815</v>
      </c>
      <c r="D2" t="n">
        <v>106.8</v>
      </c>
      <c r="E2" t="n">
        <v>11658.623867</v>
      </c>
      <c r="F2" t="n">
        <v>3785969.03093948</v>
      </c>
      <c r="G2" t="n">
        <v>0.0620243173677172</v>
      </c>
      <c r="H2" t="n">
        <v>0.648434</v>
      </c>
      <c r="I2" t="n">
        <v>0.024533</v>
      </c>
      <c r="J2" t="n">
        <v>0.02529</v>
      </c>
      <c r="K2" t="s">
        <v>178</v>
      </c>
      <c r="L2" t="e">
        <f t="shared" ref="L2:L33" si="0">IF(ROW()&lt;=5,NA(),IFERROR(100*(B2/INDEX(B:B,ROW()-4)-1),NA()))</f>
        <v>#N/A</v>
      </c>
      <c r="M2" t="e">
        <f t="shared" ref="M2:M33" si="1">IF(ROW()&lt;=5,NA(),IFERROR(100*(C2/INDEX(C:C,ROW()-4)-1),NA()))</f>
        <v>#N/A</v>
      </c>
      <c r="N2" t="e">
        <f t="shared" ref="N2:N33" si="2">IF(ROW()&lt;=5,NA(),IFERROR(100*(D2/INDEX(D:D,ROW()-4)-1),NA()))</f>
        <v>#N/A</v>
      </c>
      <c r="O2" t="n">
        <f t="shared" ref="O2:O33" si="3">100*G2</f>
        <v>0</v>
      </c>
      <c r="P2" t="n">
        <f t="shared" ref="P2:P33" si="4">100*H2</f>
        <v>0</v>
      </c>
      <c r="Q2" t="n">
        <f t="shared" ref="Q2:Q33" si="5">100*I2</f>
        <v>0</v>
      </c>
      <c r="R2" t="n">
        <f t="shared" ref="R2:R33" si="6">100*J2</f>
        <v>0</v>
      </c>
      <c r="S2" t="e">
        <f t="shared" ref="S2:S33" si="7">IFERROR(100*E2/INDEX(E:E,MATCH(DATE(2024,12,1),A:A,0)),NA())</f>
        <v>#N/A</v>
      </c>
      <c r="T2" t="e">
        <f t="shared" ref="T2:T33" si="8">IFERROR(100*F2/INDEX(F:F,MATCH(DATE(2024,12,1),A:A,0)),NA())</f>
        <v>#N/A</v>
      </c>
      <c r="U2" t="e">
        <f t="shared" ref="U2:U33" si="9">IF($K2="Actual",L2,NA())</f>
        <v>#N/A</v>
      </c>
      <c r="V2" t="e">
        <f t="shared" ref="V2:V33" si="10">IF($A2&gt;=DATE(2024,12,1),L2,NA())</f>
        <v>#N/A</v>
      </c>
      <c r="W2" t="e">
        <f t="shared" ref="W2:W33" si="11">IF($K2="Actual",M2,NA())</f>
        <v>#N/A</v>
      </c>
      <c r="X2" t="e">
        <f t="shared" ref="X2:X33" si="12">IF($A2&gt;=DATE(2024,12,1),M2,NA())</f>
        <v>#N/A</v>
      </c>
      <c r="Y2" t="e">
        <f t="shared" ref="Y2:Y33" si="13">IF($K2="Actual",S2,NA())</f>
        <v>#N/A</v>
      </c>
      <c r="Z2" t="e">
        <f t="shared" ref="Z2:Z33" si="14">IF($A2&gt;=DATE(2024,12,1),S2,NA())</f>
        <v>#N/A</v>
      </c>
      <c r="AA2" t="e">
        <f t="shared" ref="AA2:AA33" si="15">IF($K2="Actual",T2,NA())</f>
        <v>#N/A</v>
      </c>
      <c r="AB2" t="e">
        <f t="shared" ref="AB2:AB33" si="16">IF($A2&gt;=DATE(2024,12,1),T2,NA())</f>
        <v>#N/A</v>
      </c>
      <c r="AC2" t="e">
        <f t="shared" ref="AC2:AC33" si="17">IF($K2="Actual",O2,NA())</f>
        <v>#N/A</v>
      </c>
      <c r="AD2" t="e">
        <f t="shared" ref="AD2:AD33" si="18">IF($A2&gt;=DATE(2024,12,1),O2,NA())</f>
        <v>#N/A</v>
      </c>
      <c r="AE2" t="e">
        <f t="shared" ref="AE2:AE33" si="19">IF($K2="Actual",Q2,NA())</f>
        <v>#N/A</v>
      </c>
      <c r="AF2" t="e">
        <f t="shared" ref="AF2:AF33" si="20">IF($A2&gt;=DATE(2024,12,1),Q2,NA())</f>
        <v>#N/A</v>
      </c>
      <c r="AG2" t="e">
        <f t="shared" ref="AG2:AG33" si="21">IF($K2="Actual",R2,NA())</f>
        <v>#N/A</v>
      </c>
      <c r="AH2" t="e">
        <f t="shared" ref="AH2:AH33" si="22">IF($A2&gt;=DATE(2024,12,1),R2,NA())</f>
        <v>#N/A</v>
      </c>
      <c r="AI2" t="e">
        <f t="shared" ref="AI2:AI33" si="23">IF($K2="Actual",N2,NA())</f>
        <v>#N/A</v>
      </c>
      <c r="AJ2" t="e">
        <f t="shared" ref="AJ2:AJ33" si="24">IF($A2&gt;=DATE(2024,12,1),N2,NA())</f>
        <v>#N/A</v>
      </c>
    </row>
    <row r="3">
      <c r="A3" s="2" t="n">
        <v>42156</v>
      </c>
      <c r="B3" t="n">
        <v>547281</v>
      </c>
      <c r="C3" t="n">
        <v>288596</v>
      </c>
      <c r="D3" t="n">
        <v>107.7</v>
      </c>
      <c r="E3" t="n">
        <v>11717.694807</v>
      </c>
      <c r="F3" t="n">
        <v>3780694.28668864</v>
      </c>
      <c r="G3" t="n">
        <v>0.0601679800547526</v>
      </c>
      <c r="H3" t="n">
        <v>0.648126</v>
      </c>
      <c r="I3" t="n">
        <v>0.021833</v>
      </c>
      <c r="J3" t="n">
        <v>0.02759</v>
      </c>
      <c r="K3" t="s">
        <v>178</v>
      </c>
      <c r="L3" t="e">
        <f t="shared" si="0"/>
        <v>#N/A</v>
      </c>
      <c r="M3" t="e">
        <f t="shared" si="1"/>
        <v>#N/A</v>
      </c>
      <c r="N3" t="e">
        <f t="shared" si="2"/>
        <v>#N/A</v>
      </c>
      <c r="O3" t="n">
        <f t="shared" si="3"/>
        <v>0</v>
      </c>
      <c r="P3" t="n">
        <f t="shared" si="4"/>
        <v>0</v>
      </c>
      <c r="Q3" t="n">
        <f t="shared" si="5"/>
        <v>0</v>
      </c>
      <c r="R3" t="n">
        <f t="shared" si="6"/>
        <v>0</v>
      </c>
      <c r="S3" t="e">
        <f t="shared" si="7"/>
        <v>#N/A</v>
      </c>
      <c r="T3" t="e">
        <f t="shared" si="8"/>
        <v>#N/A</v>
      </c>
      <c r="U3" t="e">
        <f t="shared" si="9"/>
        <v>#N/A</v>
      </c>
      <c r="V3" t="e">
        <f t="shared" si="10"/>
        <v>#N/A</v>
      </c>
      <c r="W3" t="e">
        <f t="shared" si="11"/>
        <v>#N/A</v>
      </c>
      <c r="X3" t="e">
        <f t="shared" si="12"/>
        <v>#N/A</v>
      </c>
      <c r="Y3" t="e">
        <f t="shared" si="13"/>
        <v>#N/A</v>
      </c>
      <c r="Z3" t="e">
        <f t="shared" si="14"/>
        <v>#N/A</v>
      </c>
      <c r="AA3" t="e">
        <f t="shared" si="15"/>
        <v>#N/A</v>
      </c>
      <c r="AB3" t="e">
        <f t="shared" si="16"/>
        <v>#N/A</v>
      </c>
      <c r="AC3" t="e">
        <f t="shared" si="17"/>
        <v>#N/A</v>
      </c>
      <c r="AD3" t="e">
        <f t="shared" si="18"/>
        <v>#N/A</v>
      </c>
      <c r="AE3" t="e">
        <f t="shared" si="19"/>
        <v>#N/A</v>
      </c>
      <c r="AF3" t="e">
        <f t="shared" si="20"/>
        <v>#N/A</v>
      </c>
      <c r="AG3" t="e">
        <f t="shared" si="21"/>
        <v>#N/A</v>
      </c>
      <c r="AH3" t="e">
        <f t="shared" si="22"/>
        <v>#N/A</v>
      </c>
      <c r="AI3" t="e">
        <f t="shared" si="23"/>
        <v>#N/A</v>
      </c>
      <c r="AJ3" t="e">
        <f t="shared" si="24"/>
        <v>#N/A</v>
      </c>
    </row>
    <row r="4">
      <c r="A4" s="2" t="n">
        <v>42248</v>
      </c>
      <c r="B4" t="n">
        <v>552613</v>
      </c>
      <c r="C4" t="n">
        <v>291248</v>
      </c>
      <c r="D4" t="n">
        <v>107.8</v>
      </c>
      <c r="E4" t="n">
        <v>11769.74154</v>
      </c>
      <c r="F4" t="n">
        <v>3812822.61758583</v>
      </c>
      <c r="G4" t="n">
        <v>0.0617866365869272</v>
      </c>
      <c r="H4" t="n">
        <v>0.649889</v>
      </c>
      <c r="I4" t="n">
        <v>0.0215</v>
      </c>
      <c r="J4" t="n">
        <v>0.0279466666666667</v>
      </c>
      <c r="K4" t="s">
        <v>178</v>
      </c>
      <c r="L4" t="e">
        <f t="shared" si="0"/>
        <v>#N/A</v>
      </c>
      <c r="M4" t="e">
        <f t="shared" si="1"/>
        <v>#N/A</v>
      </c>
      <c r="N4" t="e">
        <f t="shared" si="2"/>
        <v>#N/A</v>
      </c>
      <c r="O4" t="n">
        <f t="shared" si="3"/>
        <v>0</v>
      </c>
      <c r="P4" t="n">
        <f t="shared" si="4"/>
        <v>0</v>
      </c>
      <c r="Q4" t="n">
        <f t="shared" si="5"/>
        <v>0</v>
      </c>
      <c r="R4" t="n">
        <f t="shared" si="6"/>
        <v>0</v>
      </c>
      <c r="S4" t="e">
        <f t="shared" si="7"/>
        <v>#N/A</v>
      </c>
      <c r="T4" t="e">
        <f t="shared" si="8"/>
        <v>#N/A</v>
      </c>
      <c r="U4" t="e">
        <f t="shared" si="9"/>
        <v>#N/A</v>
      </c>
      <c r="V4" t="e">
        <f t="shared" si="10"/>
        <v>#N/A</v>
      </c>
      <c r="W4" t="e">
        <f t="shared" si="11"/>
        <v>#N/A</v>
      </c>
      <c r="X4" t="e">
        <f t="shared" si="12"/>
        <v>#N/A</v>
      </c>
      <c r="Y4" t="e">
        <f t="shared" si="13"/>
        <v>#N/A</v>
      </c>
      <c r="Z4" t="e">
        <f t="shared" si="14"/>
        <v>#N/A</v>
      </c>
      <c r="AA4" t="e">
        <f t="shared" si="15"/>
        <v>#N/A</v>
      </c>
      <c r="AB4" t="e">
        <f t="shared" si="16"/>
        <v>#N/A</v>
      </c>
      <c r="AC4" t="e">
        <f t="shared" si="17"/>
        <v>#N/A</v>
      </c>
      <c r="AD4" t="e">
        <f t="shared" si="18"/>
        <v>#N/A</v>
      </c>
      <c r="AE4" t="e">
        <f t="shared" si="19"/>
        <v>#N/A</v>
      </c>
      <c r="AF4" t="e">
        <f t="shared" si="20"/>
        <v>#N/A</v>
      </c>
      <c r="AG4" t="e">
        <f t="shared" si="21"/>
        <v>#N/A</v>
      </c>
      <c r="AH4" t="e">
        <f t="shared" si="22"/>
        <v>#N/A</v>
      </c>
      <c r="AI4" t="e">
        <f t="shared" si="23"/>
        <v>#N/A</v>
      </c>
      <c r="AJ4" t="e">
        <f t="shared" si="24"/>
        <v>#N/A</v>
      </c>
    </row>
    <row r="5">
      <c r="A5" s="2" t="n">
        <v>42339</v>
      </c>
      <c r="B5" t="n">
        <v>556043</v>
      </c>
      <c r="C5" t="n">
        <v>292696</v>
      </c>
      <c r="D5" t="n">
        <v>108.3</v>
      </c>
      <c r="E5" t="n">
        <v>11887.446556</v>
      </c>
      <c r="F5" t="n">
        <v>3823914.13136967</v>
      </c>
      <c r="G5" t="n">
        <v>0.0583482820901764</v>
      </c>
      <c r="H5" t="n">
        <v>0.651735</v>
      </c>
      <c r="I5" t="n">
        <v>0.022367</v>
      </c>
      <c r="J5" t="n">
        <v>0.0279933333333333</v>
      </c>
      <c r="K5" t="s">
        <v>178</v>
      </c>
      <c r="L5" t="e">
        <f t="shared" si="0"/>
        <v>#N/A</v>
      </c>
      <c r="M5" t="e">
        <f t="shared" si="1"/>
        <v>#N/A</v>
      </c>
      <c r="N5" t="e">
        <f t="shared" si="2"/>
        <v>#N/A</v>
      </c>
      <c r="O5" t="n">
        <f t="shared" si="3"/>
        <v>0</v>
      </c>
      <c r="P5" t="n">
        <f t="shared" si="4"/>
        <v>0</v>
      </c>
      <c r="Q5" t="n">
        <f t="shared" si="5"/>
        <v>0</v>
      </c>
      <c r="R5" t="n">
        <f t="shared" si="6"/>
        <v>0</v>
      </c>
      <c r="S5" t="e">
        <f t="shared" si="7"/>
        <v>#N/A</v>
      </c>
      <c r="T5" t="e">
        <f t="shared" si="8"/>
        <v>#N/A</v>
      </c>
      <c r="U5" t="e">
        <f t="shared" si="9"/>
        <v>#N/A</v>
      </c>
      <c r="V5" t="e">
        <f t="shared" si="10"/>
        <v>#N/A</v>
      </c>
      <c r="W5" t="e">
        <f t="shared" si="11"/>
        <v>#N/A</v>
      </c>
      <c r="X5" t="e">
        <f t="shared" si="12"/>
        <v>#N/A</v>
      </c>
      <c r="Y5" t="e">
        <f t="shared" si="13"/>
        <v>#N/A</v>
      </c>
      <c r="Z5" t="e">
        <f t="shared" si="14"/>
        <v>#N/A</v>
      </c>
      <c r="AA5" t="e">
        <f t="shared" si="15"/>
        <v>#N/A</v>
      </c>
      <c r="AB5" t="e">
        <f t="shared" si="16"/>
        <v>#N/A</v>
      </c>
      <c r="AC5" t="e">
        <f t="shared" si="17"/>
        <v>#N/A</v>
      </c>
      <c r="AD5" t="e">
        <f t="shared" si="18"/>
        <v>#N/A</v>
      </c>
      <c r="AE5" t="e">
        <f t="shared" si="19"/>
        <v>#N/A</v>
      </c>
      <c r="AF5" t="e">
        <f t="shared" si="20"/>
        <v>#N/A</v>
      </c>
      <c r="AG5" t="e">
        <f t="shared" si="21"/>
        <v>#N/A</v>
      </c>
      <c r="AH5" t="e">
        <f t="shared" si="22"/>
        <v>#N/A</v>
      </c>
      <c r="AI5" t="e">
        <f t="shared" si="23"/>
        <v>#N/A</v>
      </c>
      <c r="AJ5" t="e">
        <f t="shared" si="24"/>
        <v>#N/A</v>
      </c>
    </row>
    <row r="6">
      <c r="A6" s="2" t="n">
        <v>42430</v>
      </c>
      <c r="B6" t="n">
        <v>561139</v>
      </c>
      <c r="C6" t="n">
        <v>295146</v>
      </c>
      <c r="D6" t="n">
        <v>108.2</v>
      </c>
      <c r="E6" t="n">
        <v>11926.963195</v>
      </c>
      <c r="F6" t="n">
        <v>3835902.03791273</v>
      </c>
      <c r="G6" t="n">
        <v>0.0579634872433593</v>
      </c>
      <c r="H6" t="n">
        <v>0.650715</v>
      </c>
      <c r="I6" t="n">
        <v>0.022967</v>
      </c>
      <c r="J6" t="n">
        <v>0.02578</v>
      </c>
      <c r="K6" t="s">
        <v>178</v>
      </c>
      <c r="L6" t="e">
        <f t="shared" si="0"/>
        <v>#N/A</v>
      </c>
      <c r="M6" t="e">
        <f t="shared" si="1"/>
        <v>#N/A</v>
      </c>
      <c r="N6" t="e">
        <f t="shared" si="2"/>
        <v>#N/A</v>
      </c>
      <c r="O6" t="n">
        <f t="shared" si="3"/>
        <v>0</v>
      </c>
      <c r="P6" t="n">
        <f t="shared" si="4"/>
        <v>0</v>
      </c>
      <c r="Q6" t="n">
        <f t="shared" si="5"/>
        <v>0</v>
      </c>
      <c r="R6" t="n">
        <f t="shared" si="6"/>
        <v>0</v>
      </c>
      <c r="S6" t="e">
        <f t="shared" si="7"/>
        <v>#N/A</v>
      </c>
      <c r="T6" t="e">
        <f t="shared" si="8"/>
        <v>#N/A</v>
      </c>
      <c r="U6" t="e">
        <f t="shared" si="9"/>
        <v>#N/A</v>
      </c>
      <c r="V6" t="e">
        <f t="shared" si="10"/>
        <v>#N/A</v>
      </c>
      <c r="W6" t="e">
        <f t="shared" si="11"/>
        <v>#N/A</v>
      </c>
      <c r="X6" t="e">
        <f t="shared" si="12"/>
        <v>#N/A</v>
      </c>
      <c r="Y6" t="e">
        <f t="shared" si="13"/>
        <v>#N/A</v>
      </c>
      <c r="Z6" t="e">
        <f t="shared" si="14"/>
        <v>#N/A</v>
      </c>
      <c r="AA6" t="e">
        <f t="shared" si="15"/>
        <v>#N/A</v>
      </c>
      <c r="AB6" t="e">
        <f t="shared" si="16"/>
        <v>#N/A</v>
      </c>
      <c r="AC6" t="e">
        <f t="shared" si="17"/>
        <v>#N/A</v>
      </c>
      <c r="AD6" t="e">
        <f t="shared" si="18"/>
        <v>#N/A</v>
      </c>
      <c r="AE6" t="e">
        <f t="shared" si="19"/>
        <v>#N/A</v>
      </c>
      <c r="AF6" t="e">
        <f t="shared" si="20"/>
        <v>#N/A</v>
      </c>
      <c r="AG6" t="e">
        <f t="shared" si="21"/>
        <v>#N/A</v>
      </c>
      <c r="AH6" t="e">
        <f t="shared" si="22"/>
        <v>#N/A</v>
      </c>
      <c r="AI6" t="e">
        <f t="shared" si="23"/>
        <v>#N/A</v>
      </c>
      <c r="AJ6" t="e">
        <f t="shared" si="24"/>
        <v>#N/A</v>
      </c>
    </row>
    <row r="7">
      <c r="A7" s="2" t="n">
        <v>42522</v>
      </c>
      <c r="B7" t="n">
        <v>564835</v>
      </c>
      <c r="C7" t="n">
        <v>296578</v>
      </c>
      <c r="D7" t="n">
        <v>108.8</v>
      </c>
      <c r="E7" t="n">
        <v>11950.907038</v>
      </c>
      <c r="F7" t="n">
        <v>3811952.083356</v>
      </c>
      <c r="G7" t="n">
        <v>0.0568709502282777</v>
      </c>
      <c r="H7" t="n">
        <v>0.648702</v>
      </c>
      <c r="I7" t="n">
        <v>0.020833</v>
      </c>
      <c r="J7" t="n">
        <v>0.0231966666666667</v>
      </c>
      <c r="K7" t="s">
        <v>178</v>
      </c>
      <c r="L7" t="e">
        <f t="shared" si="0"/>
        <v>#N/A</v>
      </c>
      <c r="M7" t="e">
        <f t="shared" si="1"/>
        <v>#N/A</v>
      </c>
      <c r="N7" t="e">
        <f t="shared" si="2"/>
        <v>#N/A</v>
      </c>
      <c r="O7" t="n">
        <f t="shared" si="3"/>
        <v>0</v>
      </c>
      <c r="P7" t="n">
        <f t="shared" si="4"/>
        <v>0</v>
      </c>
      <c r="Q7" t="n">
        <f t="shared" si="5"/>
        <v>0</v>
      </c>
      <c r="R7" t="n">
        <f t="shared" si="6"/>
        <v>0</v>
      </c>
      <c r="S7" t="e">
        <f t="shared" si="7"/>
        <v>#N/A</v>
      </c>
      <c r="T7" t="e">
        <f t="shared" si="8"/>
        <v>#N/A</v>
      </c>
      <c r="U7" t="e">
        <f t="shared" si="9"/>
        <v>#N/A</v>
      </c>
      <c r="V7" t="e">
        <f t="shared" si="10"/>
        <v>#N/A</v>
      </c>
      <c r="W7" t="e">
        <f t="shared" si="11"/>
        <v>#N/A</v>
      </c>
      <c r="X7" t="e">
        <f t="shared" si="12"/>
        <v>#N/A</v>
      </c>
      <c r="Y7" t="e">
        <f t="shared" si="13"/>
        <v>#N/A</v>
      </c>
      <c r="Z7" t="e">
        <f t="shared" si="14"/>
        <v>#N/A</v>
      </c>
      <c r="AA7" t="e">
        <f t="shared" si="15"/>
        <v>#N/A</v>
      </c>
      <c r="AB7" t="e">
        <f t="shared" si="16"/>
        <v>#N/A</v>
      </c>
      <c r="AC7" t="e">
        <f t="shared" si="17"/>
        <v>#N/A</v>
      </c>
      <c r="AD7" t="e">
        <f t="shared" si="18"/>
        <v>#N/A</v>
      </c>
      <c r="AE7" t="e">
        <f t="shared" si="19"/>
        <v>#N/A</v>
      </c>
      <c r="AF7" t="e">
        <f t="shared" si="20"/>
        <v>#N/A</v>
      </c>
      <c r="AG7" t="e">
        <f t="shared" si="21"/>
        <v>#N/A</v>
      </c>
      <c r="AH7" t="e">
        <f t="shared" si="22"/>
        <v>#N/A</v>
      </c>
      <c r="AI7" t="e">
        <f t="shared" si="23"/>
        <v>#N/A</v>
      </c>
      <c r="AJ7" t="e">
        <f t="shared" si="24"/>
        <v>#N/A</v>
      </c>
    </row>
    <row r="8">
      <c r="A8" s="2" t="n">
        <v>42614</v>
      </c>
      <c r="B8" t="n">
        <v>564782</v>
      </c>
      <c r="C8" t="n">
        <v>298417</v>
      </c>
      <c r="D8" t="n">
        <v>109.3</v>
      </c>
      <c r="E8" t="n">
        <v>11964.826742</v>
      </c>
      <c r="F8" t="n">
        <v>3804612.82840373</v>
      </c>
      <c r="G8" t="n">
        <v>0.0565779985288589</v>
      </c>
      <c r="H8" t="n">
        <v>0.646575</v>
      </c>
      <c r="I8" t="n">
        <v>0.018067</v>
      </c>
      <c r="J8" t="n">
        <v>0.01944</v>
      </c>
      <c r="K8" t="s">
        <v>178</v>
      </c>
      <c r="L8" t="e">
        <f t="shared" si="0"/>
        <v>#N/A</v>
      </c>
      <c r="M8" t="e">
        <f t="shared" si="1"/>
        <v>#N/A</v>
      </c>
      <c r="N8" t="e">
        <f t="shared" si="2"/>
        <v>#N/A</v>
      </c>
      <c r="O8" t="n">
        <f t="shared" si="3"/>
        <v>0</v>
      </c>
      <c r="P8" t="n">
        <f t="shared" si="4"/>
        <v>0</v>
      </c>
      <c r="Q8" t="n">
        <f t="shared" si="5"/>
        <v>0</v>
      </c>
      <c r="R8" t="n">
        <f t="shared" si="6"/>
        <v>0</v>
      </c>
      <c r="S8" t="e">
        <f t="shared" si="7"/>
        <v>#N/A</v>
      </c>
      <c r="T8" t="e">
        <f t="shared" si="8"/>
        <v>#N/A</v>
      </c>
      <c r="U8" t="e">
        <f t="shared" si="9"/>
        <v>#N/A</v>
      </c>
      <c r="V8" t="e">
        <f t="shared" si="10"/>
        <v>#N/A</v>
      </c>
      <c r="W8" t="e">
        <f t="shared" si="11"/>
        <v>#N/A</v>
      </c>
      <c r="X8" t="e">
        <f t="shared" si="12"/>
        <v>#N/A</v>
      </c>
      <c r="Y8" t="e">
        <f t="shared" si="13"/>
        <v>#N/A</v>
      </c>
      <c r="Z8" t="e">
        <f t="shared" si="14"/>
        <v>#N/A</v>
      </c>
      <c r="AA8" t="e">
        <f t="shared" si="15"/>
        <v>#N/A</v>
      </c>
      <c r="AB8" t="e">
        <f t="shared" si="16"/>
        <v>#N/A</v>
      </c>
      <c r="AC8" t="e">
        <f t="shared" si="17"/>
        <v>#N/A</v>
      </c>
      <c r="AD8" t="e">
        <f t="shared" si="18"/>
        <v>#N/A</v>
      </c>
      <c r="AE8" t="e">
        <f t="shared" si="19"/>
        <v>#N/A</v>
      </c>
      <c r="AF8" t="e">
        <f t="shared" si="20"/>
        <v>#N/A</v>
      </c>
      <c r="AG8" t="e">
        <f t="shared" si="21"/>
        <v>#N/A</v>
      </c>
      <c r="AH8" t="e">
        <f t="shared" si="22"/>
        <v>#N/A</v>
      </c>
      <c r="AI8" t="e">
        <f t="shared" si="23"/>
        <v>#N/A</v>
      </c>
      <c r="AJ8" t="e">
        <f t="shared" si="24"/>
        <v>#N/A</v>
      </c>
    </row>
    <row r="9">
      <c r="A9" s="2" t="n">
        <v>42705</v>
      </c>
      <c r="B9" t="n">
        <v>571367</v>
      </c>
      <c r="C9" t="n">
        <v>300485</v>
      </c>
      <c r="D9" t="n">
        <v>109.8</v>
      </c>
      <c r="E9" t="n">
        <v>11988.801731</v>
      </c>
      <c r="F9" t="n">
        <v>3821223.09008564</v>
      </c>
      <c r="G9" t="n">
        <v>0.057342796322902</v>
      </c>
      <c r="H9" t="n">
        <v>0.645826</v>
      </c>
      <c r="I9" t="n">
        <v>0.0176</v>
      </c>
      <c r="J9" t="n">
        <v>0.0252166666666667</v>
      </c>
      <c r="K9" t="s">
        <v>178</v>
      </c>
      <c r="L9" t="e">
        <f t="shared" si="0"/>
        <v>#N/A</v>
      </c>
      <c r="M9" t="e">
        <f t="shared" si="1"/>
        <v>#N/A</v>
      </c>
      <c r="N9" t="e">
        <f t="shared" si="2"/>
        <v>#N/A</v>
      </c>
      <c r="O9" t="n">
        <f t="shared" si="3"/>
        <v>0</v>
      </c>
      <c r="P9" t="n">
        <f t="shared" si="4"/>
        <v>0</v>
      </c>
      <c r="Q9" t="n">
        <f t="shared" si="5"/>
        <v>0</v>
      </c>
      <c r="R9" t="n">
        <f t="shared" si="6"/>
        <v>0</v>
      </c>
      <c r="S9" t="e">
        <f t="shared" si="7"/>
        <v>#N/A</v>
      </c>
      <c r="T9" t="e">
        <f t="shared" si="8"/>
        <v>#N/A</v>
      </c>
      <c r="U9" t="e">
        <f t="shared" si="9"/>
        <v>#N/A</v>
      </c>
      <c r="V9" t="e">
        <f t="shared" si="10"/>
        <v>#N/A</v>
      </c>
      <c r="W9" t="e">
        <f t="shared" si="11"/>
        <v>#N/A</v>
      </c>
      <c r="X9" t="e">
        <f t="shared" si="12"/>
        <v>#N/A</v>
      </c>
      <c r="Y9" t="e">
        <f t="shared" si="13"/>
        <v>#N/A</v>
      </c>
      <c r="Z9" t="e">
        <f t="shared" si="14"/>
        <v>#N/A</v>
      </c>
      <c r="AA9" t="e">
        <f t="shared" si="15"/>
        <v>#N/A</v>
      </c>
      <c r="AB9" t="e">
        <f t="shared" si="16"/>
        <v>#N/A</v>
      </c>
      <c r="AC9" t="e">
        <f t="shared" si="17"/>
        <v>#N/A</v>
      </c>
      <c r="AD9" t="e">
        <f t="shared" si="18"/>
        <v>#N/A</v>
      </c>
      <c r="AE9" t="e">
        <f t="shared" si="19"/>
        <v>#N/A</v>
      </c>
      <c r="AF9" t="e">
        <f t="shared" si="20"/>
        <v>#N/A</v>
      </c>
      <c r="AG9" t="e">
        <f t="shared" si="21"/>
        <v>#N/A</v>
      </c>
      <c r="AH9" t="e">
        <f t="shared" si="22"/>
        <v>#N/A</v>
      </c>
      <c r="AI9" t="e">
        <f t="shared" si="23"/>
        <v>#N/A</v>
      </c>
      <c r="AJ9" t="e">
        <f t="shared" si="24"/>
        <v>#N/A</v>
      </c>
    </row>
    <row r="10">
      <c r="A10" s="2" t="n">
        <v>42795</v>
      </c>
      <c r="B10" t="n">
        <v>573149</v>
      </c>
      <c r="C10" t="n">
        <v>302058</v>
      </c>
      <c r="D10" t="n">
        <v>110.5</v>
      </c>
      <c r="E10" t="n">
        <v>12043.410558</v>
      </c>
      <c r="F10" t="n">
        <v>3868609.59164237</v>
      </c>
      <c r="G10" t="n">
        <v>0.0580743791081485</v>
      </c>
      <c r="H10" t="n">
        <v>0.646085</v>
      </c>
      <c r="I10" t="n">
        <v>0.017833</v>
      </c>
      <c r="J10" t="n">
        <v>0.02751</v>
      </c>
      <c r="K10" t="s">
        <v>178</v>
      </c>
      <c r="L10" t="e">
        <f t="shared" si="0"/>
        <v>#N/A</v>
      </c>
      <c r="M10" t="e">
        <f t="shared" si="1"/>
        <v>#N/A</v>
      </c>
      <c r="N10" t="e">
        <f t="shared" si="2"/>
        <v>#N/A</v>
      </c>
      <c r="O10" t="n">
        <f t="shared" si="3"/>
        <v>0</v>
      </c>
      <c r="P10" t="n">
        <f t="shared" si="4"/>
        <v>0</v>
      </c>
      <c r="Q10" t="n">
        <f t="shared" si="5"/>
        <v>0</v>
      </c>
      <c r="R10" t="n">
        <f t="shared" si="6"/>
        <v>0</v>
      </c>
      <c r="S10" t="e">
        <f t="shared" si="7"/>
        <v>#N/A</v>
      </c>
      <c r="T10" t="e">
        <f t="shared" si="8"/>
        <v>#N/A</v>
      </c>
      <c r="U10" t="e">
        <f t="shared" si="9"/>
        <v>#N/A</v>
      </c>
      <c r="V10" t="e">
        <f t="shared" si="10"/>
        <v>#N/A</v>
      </c>
      <c r="W10" t="e">
        <f t="shared" si="11"/>
        <v>#N/A</v>
      </c>
      <c r="X10" t="e">
        <f t="shared" si="12"/>
        <v>#N/A</v>
      </c>
      <c r="Y10" t="e">
        <f t="shared" si="13"/>
        <v>#N/A</v>
      </c>
      <c r="Z10" t="e">
        <f t="shared" si="14"/>
        <v>#N/A</v>
      </c>
      <c r="AA10" t="e">
        <f t="shared" si="15"/>
        <v>#N/A</v>
      </c>
      <c r="AB10" t="e">
        <f t="shared" si="16"/>
        <v>#N/A</v>
      </c>
      <c r="AC10" t="e">
        <f t="shared" si="17"/>
        <v>#N/A</v>
      </c>
      <c r="AD10" t="e">
        <f t="shared" si="18"/>
        <v>#N/A</v>
      </c>
      <c r="AE10" t="e">
        <f t="shared" si="19"/>
        <v>#N/A</v>
      </c>
      <c r="AF10" t="e">
        <f t="shared" si="20"/>
        <v>#N/A</v>
      </c>
      <c r="AG10" t="e">
        <f t="shared" si="21"/>
        <v>#N/A</v>
      </c>
      <c r="AH10" t="e">
        <f t="shared" si="22"/>
        <v>#N/A</v>
      </c>
      <c r="AI10" t="e">
        <f t="shared" si="23"/>
        <v>#N/A</v>
      </c>
      <c r="AJ10" t="e">
        <f t="shared" si="24"/>
        <v>#N/A</v>
      </c>
    </row>
    <row r="11">
      <c r="A11" s="2" t="n">
        <v>42887</v>
      </c>
      <c r="B11" t="n">
        <v>576579</v>
      </c>
      <c r="C11" t="n">
        <v>303774</v>
      </c>
      <c r="D11" t="n">
        <v>110.9</v>
      </c>
      <c r="E11" t="n">
        <v>12164.858767</v>
      </c>
      <c r="F11" t="n">
        <v>3906451.73308978</v>
      </c>
      <c r="G11" t="n">
        <v>0.0559253059887055</v>
      </c>
      <c r="H11" t="n">
        <v>0.648426</v>
      </c>
      <c r="I11" t="n">
        <v>0.0174</v>
      </c>
      <c r="J11" t="n">
        <v>0.0250866666666667</v>
      </c>
      <c r="K11" t="s">
        <v>178</v>
      </c>
      <c r="L11" t="e">
        <f t="shared" si="0"/>
        <v>#N/A</v>
      </c>
      <c r="M11" t="e">
        <f t="shared" si="1"/>
        <v>#N/A</v>
      </c>
      <c r="N11" t="e">
        <f t="shared" si="2"/>
        <v>#N/A</v>
      </c>
      <c r="O11" t="n">
        <f t="shared" si="3"/>
        <v>0</v>
      </c>
      <c r="P11" t="n">
        <f t="shared" si="4"/>
        <v>0</v>
      </c>
      <c r="Q11" t="n">
        <f t="shared" si="5"/>
        <v>0</v>
      </c>
      <c r="R11" t="n">
        <f t="shared" si="6"/>
        <v>0</v>
      </c>
      <c r="S11" t="e">
        <f t="shared" si="7"/>
        <v>#N/A</v>
      </c>
      <c r="T11" t="e">
        <f t="shared" si="8"/>
        <v>#N/A</v>
      </c>
      <c r="U11" t="e">
        <f t="shared" si="9"/>
        <v>#N/A</v>
      </c>
      <c r="V11" t="e">
        <f t="shared" si="10"/>
        <v>#N/A</v>
      </c>
      <c r="W11" t="e">
        <f t="shared" si="11"/>
        <v>#N/A</v>
      </c>
      <c r="X11" t="e">
        <f t="shared" si="12"/>
        <v>#N/A</v>
      </c>
      <c r="Y11" t="e">
        <f t="shared" si="13"/>
        <v>#N/A</v>
      </c>
      <c r="Z11" t="e">
        <f t="shared" si="14"/>
        <v>#N/A</v>
      </c>
      <c r="AA11" t="e">
        <f t="shared" si="15"/>
        <v>#N/A</v>
      </c>
      <c r="AB11" t="e">
        <f t="shared" si="16"/>
        <v>#N/A</v>
      </c>
      <c r="AC11" t="e">
        <f t="shared" si="17"/>
        <v>#N/A</v>
      </c>
      <c r="AD11" t="e">
        <f t="shared" si="18"/>
        <v>#N/A</v>
      </c>
      <c r="AE11" t="e">
        <f t="shared" si="19"/>
        <v>#N/A</v>
      </c>
      <c r="AF11" t="e">
        <f t="shared" si="20"/>
        <v>#N/A</v>
      </c>
      <c r="AG11" t="e">
        <f t="shared" si="21"/>
        <v>#N/A</v>
      </c>
      <c r="AH11" t="e">
        <f t="shared" si="22"/>
        <v>#N/A</v>
      </c>
      <c r="AI11" t="e">
        <f t="shared" si="23"/>
        <v>#N/A</v>
      </c>
      <c r="AJ11" t="e">
        <f t="shared" si="24"/>
        <v>#N/A</v>
      </c>
    </row>
    <row r="12">
      <c r="A12" s="2" t="n">
        <v>42979</v>
      </c>
      <c r="B12" t="n">
        <v>582043</v>
      </c>
      <c r="C12" t="n">
        <v>305893</v>
      </c>
      <c r="D12" t="n">
        <v>111.3</v>
      </c>
      <c r="E12" t="n">
        <v>12278.939818</v>
      </c>
      <c r="F12" t="n">
        <v>3928808.04478305</v>
      </c>
      <c r="G12" t="n">
        <v>0.05532785461866</v>
      </c>
      <c r="H12" t="n">
        <v>0.651535</v>
      </c>
      <c r="I12" t="n">
        <v>0.017067</v>
      </c>
      <c r="J12" t="n">
        <v>0.0266666666666667</v>
      </c>
      <c r="K12" t="s">
        <v>178</v>
      </c>
      <c r="L12" t="e">
        <f t="shared" si="0"/>
        <v>#N/A</v>
      </c>
      <c r="M12" t="e">
        <f t="shared" si="1"/>
        <v>#N/A</v>
      </c>
      <c r="N12" t="e">
        <f t="shared" si="2"/>
        <v>#N/A</v>
      </c>
      <c r="O12" t="n">
        <f t="shared" si="3"/>
        <v>0</v>
      </c>
      <c r="P12" t="n">
        <f t="shared" si="4"/>
        <v>0</v>
      </c>
      <c r="Q12" t="n">
        <f t="shared" si="5"/>
        <v>0</v>
      </c>
      <c r="R12" t="n">
        <f t="shared" si="6"/>
        <v>0</v>
      </c>
      <c r="S12" t="e">
        <f t="shared" si="7"/>
        <v>#N/A</v>
      </c>
      <c r="T12" t="e">
        <f t="shared" si="8"/>
        <v>#N/A</v>
      </c>
      <c r="U12" t="e">
        <f t="shared" si="9"/>
        <v>#N/A</v>
      </c>
      <c r="V12" t="e">
        <f t="shared" si="10"/>
        <v>#N/A</v>
      </c>
      <c r="W12" t="e">
        <f t="shared" si="11"/>
        <v>#N/A</v>
      </c>
      <c r="X12" t="e">
        <f t="shared" si="12"/>
        <v>#N/A</v>
      </c>
      <c r="Y12" t="e">
        <f t="shared" si="13"/>
        <v>#N/A</v>
      </c>
      <c r="Z12" t="e">
        <f t="shared" si="14"/>
        <v>#N/A</v>
      </c>
      <c r="AA12" t="e">
        <f t="shared" si="15"/>
        <v>#N/A</v>
      </c>
      <c r="AB12" t="e">
        <f t="shared" si="16"/>
        <v>#N/A</v>
      </c>
      <c r="AC12" t="e">
        <f t="shared" si="17"/>
        <v>#N/A</v>
      </c>
      <c r="AD12" t="e">
        <f t="shared" si="18"/>
        <v>#N/A</v>
      </c>
      <c r="AE12" t="e">
        <f t="shared" si="19"/>
        <v>#N/A</v>
      </c>
      <c r="AF12" t="e">
        <f t="shared" si="20"/>
        <v>#N/A</v>
      </c>
      <c r="AG12" t="e">
        <f t="shared" si="21"/>
        <v>#N/A</v>
      </c>
      <c r="AH12" t="e">
        <f t="shared" si="22"/>
        <v>#N/A</v>
      </c>
      <c r="AI12" t="e">
        <f t="shared" si="23"/>
        <v>#N/A</v>
      </c>
      <c r="AJ12" t="e">
        <f t="shared" si="24"/>
        <v>#N/A</v>
      </c>
    </row>
    <row r="13">
      <c r="A13" s="2" t="n">
        <v>43070</v>
      </c>
      <c r="B13" t="n">
        <v>584367</v>
      </c>
      <c r="C13" t="n">
        <v>308870</v>
      </c>
      <c r="D13" t="n">
        <v>112.1</v>
      </c>
      <c r="E13" t="n">
        <v>12364.052443</v>
      </c>
      <c r="F13" t="n">
        <v>3963387.89007283</v>
      </c>
      <c r="G13" t="n">
        <v>0.054926167739918</v>
      </c>
      <c r="H13" t="n">
        <v>0.65356</v>
      </c>
      <c r="I13" t="n">
        <v>0.0173</v>
      </c>
      <c r="J13" t="n">
        <v>0.0263866666666667</v>
      </c>
      <c r="K13" t="s">
        <v>178</v>
      </c>
      <c r="L13" t="e">
        <f t="shared" si="0"/>
        <v>#N/A</v>
      </c>
      <c r="M13" t="e">
        <f t="shared" si="1"/>
        <v>#N/A</v>
      </c>
      <c r="N13" t="e">
        <f t="shared" si="2"/>
        <v>#N/A</v>
      </c>
      <c r="O13" t="n">
        <f t="shared" si="3"/>
        <v>0</v>
      </c>
      <c r="P13" t="n">
        <f t="shared" si="4"/>
        <v>0</v>
      </c>
      <c r="Q13" t="n">
        <f t="shared" si="5"/>
        <v>0</v>
      </c>
      <c r="R13" t="n">
        <f t="shared" si="6"/>
        <v>0</v>
      </c>
      <c r="S13" t="e">
        <f t="shared" si="7"/>
        <v>#N/A</v>
      </c>
      <c r="T13" t="e">
        <f t="shared" si="8"/>
        <v>#N/A</v>
      </c>
      <c r="U13" t="e">
        <f t="shared" si="9"/>
        <v>#N/A</v>
      </c>
      <c r="V13" t="e">
        <f t="shared" si="10"/>
        <v>#N/A</v>
      </c>
      <c r="W13" t="e">
        <f t="shared" si="11"/>
        <v>#N/A</v>
      </c>
      <c r="X13" t="e">
        <f t="shared" si="12"/>
        <v>#N/A</v>
      </c>
      <c r="Y13" t="e">
        <f t="shared" si="13"/>
        <v>#N/A</v>
      </c>
      <c r="Z13" t="e">
        <f t="shared" si="14"/>
        <v>#N/A</v>
      </c>
      <c r="AA13" t="e">
        <f t="shared" si="15"/>
        <v>#N/A</v>
      </c>
      <c r="AB13" t="e">
        <f t="shared" si="16"/>
        <v>#N/A</v>
      </c>
      <c r="AC13" t="e">
        <f t="shared" si="17"/>
        <v>#N/A</v>
      </c>
      <c r="AD13" t="e">
        <f t="shared" si="18"/>
        <v>#N/A</v>
      </c>
      <c r="AE13" t="e">
        <f t="shared" si="19"/>
        <v>#N/A</v>
      </c>
      <c r="AF13" t="e">
        <f t="shared" si="20"/>
        <v>#N/A</v>
      </c>
      <c r="AG13" t="e">
        <f t="shared" si="21"/>
        <v>#N/A</v>
      </c>
      <c r="AH13" t="e">
        <f t="shared" si="22"/>
        <v>#N/A</v>
      </c>
      <c r="AI13" t="e">
        <f t="shared" si="23"/>
        <v>#N/A</v>
      </c>
      <c r="AJ13" t="e">
        <f t="shared" si="24"/>
        <v>#N/A</v>
      </c>
    </row>
    <row r="14">
      <c r="A14" s="2" t="n">
        <v>43160</v>
      </c>
      <c r="B14" t="n">
        <v>590393</v>
      </c>
      <c r="C14" t="n">
        <v>310941</v>
      </c>
      <c r="D14" t="n">
        <v>112.7</v>
      </c>
      <c r="E14" t="n">
        <v>12433.919949</v>
      </c>
      <c r="F14" t="n">
        <v>3940737.69103142</v>
      </c>
      <c r="G14" t="n">
        <v>0.0554492248274031</v>
      </c>
      <c r="H14" t="n">
        <v>0.654609</v>
      </c>
      <c r="I14" t="n">
        <v>0.0183</v>
      </c>
      <c r="J14" t="n">
        <v>0.0276833333333333</v>
      </c>
      <c r="K14" t="s">
        <v>178</v>
      </c>
      <c r="L14" t="e">
        <f t="shared" si="0"/>
        <v>#N/A</v>
      </c>
      <c r="M14" t="e">
        <f t="shared" si="1"/>
        <v>#N/A</v>
      </c>
      <c r="N14" t="e">
        <f t="shared" si="2"/>
        <v>#N/A</v>
      </c>
      <c r="O14" t="n">
        <f t="shared" si="3"/>
        <v>0</v>
      </c>
      <c r="P14" t="n">
        <f t="shared" si="4"/>
        <v>0</v>
      </c>
      <c r="Q14" t="n">
        <f t="shared" si="5"/>
        <v>0</v>
      </c>
      <c r="R14" t="n">
        <f t="shared" si="6"/>
        <v>0</v>
      </c>
      <c r="S14" t="e">
        <f t="shared" si="7"/>
        <v>#N/A</v>
      </c>
      <c r="T14" t="e">
        <f t="shared" si="8"/>
        <v>#N/A</v>
      </c>
      <c r="U14" t="e">
        <f t="shared" si="9"/>
        <v>#N/A</v>
      </c>
      <c r="V14" t="e">
        <f t="shared" si="10"/>
        <v>#N/A</v>
      </c>
      <c r="W14" t="e">
        <f t="shared" si="11"/>
        <v>#N/A</v>
      </c>
      <c r="X14" t="e">
        <f t="shared" si="12"/>
        <v>#N/A</v>
      </c>
      <c r="Y14" t="e">
        <f t="shared" si="13"/>
        <v>#N/A</v>
      </c>
      <c r="Z14" t="e">
        <f t="shared" si="14"/>
        <v>#N/A</v>
      </c>
      <c r="AA14" t="e">
        <f t="shared" si="15"/>
        <v>#N/A</v>
      </c>
      <c r="AB14" t="e">
        <f t="shared" si="16"/>
        <v>#N/A</v>
      </c>
      <c r="AC14" t="e">
        <f t="shared" si="17"/>
        <v>#N/A</v>
      </c>
      <c r="AD14" t="e">
        <f t="shared" si="18"/>
        <v>#N/A</v>
      </c>
      <c r="AE14" t="e">
        <f t="shared" si="19"/>
        <v>#N/A</v>
      </c>
      <c r="AF14" t="e">
        <f t="shared" si="20"/>
        <v>#N/A</v>
      </c>
      <c r="AG14" t="e">
        <f t="shared" si="21"/>
        <v>#N/A</v>
      </c>
      <c r="AH14" t="e">
        <f t="shared" si="22"/>
        <v>#N/A</v>
      </c>
      <c r="AI14" t="e">
        <f t="shared" si="23"/>
        <v>#N/A</v>
      </c>
      <c r="AJ14" t="e">
        <f t="shared" si="24"/>
        <v>#N/A</v>
      </c>
    </row>
    <row r="15">
      <c r="A15" s="2" t="n">
        <v>43252</v>
      </c>
      <c r="B15" t="n">
        <v>594775</v>
      </c>
      <c r="C15" t="n">
        <v>313022</v>
      </c>
      <c r="D15" t="n">
        <v>113.2</v>
      </c>
      <c r="E15" t="n">
        <v>12478.009327</v>
      </c>
      <c r="F15" t="n">
        <v>3962108.26932037</v>
      </c>
      <c r="G15" t="n">
        <v>0.0543996186481243</v>
      </c>
      <c r="H15" t="n">
        <v>0.653505</v>
      </c>
      <c r="I15" t="n">
        <v>0.0203</v>
      </c>
      <c r="J15" t="n">
        <v>0.0274033333333333</v>
      </c>
      <c r="K15" t="s">
        <v>178</v>
      </c>
      <c r="L15" t="e">
        <f t="shared" si="0"/>
        <v>#N/A</v>
      </c>
      <c r="M15" t="e">
        <f t="shared" si="1"/>
        <v>#N/A</v>
      </c>
      <c r="N15" t="e">
        <f t="shared" si="2"/>
        <v>#N/A</v>
      </c>
      <c r="O15" t="n">
        <f t="shared" si="3"/>
        <v>0</v>
      </c>
      <c r="P15" t="n">
        <f t="shared" si="4"/>
        <v>0</v>
      </c>
      <c r="Q15" t="n">
        <f t="shared" si="5"/>
        <v>0</v>
      </c>
      <c r="R15" t="n">
        <f t="shared" si="6"/>
        <v>0</v>
      </c>
      <c r="S15" t="e">
        <f t="shared" si="7"/>
        <v>#N/A</v>
      </c>
      <c r="T15" t="e">
        <f t="shared" si="8"/>
        <v>#N/A</v>
      </c>
      <c r="U15" t="e">
        <f t="shared" si="9"/>
        <v>#N/A</v>
      </c>
      <c r="V15" t="e">
        <f t="shared" si="10"/>
        <v>#N/A</v>
      </c>
      <c r="W15" t="e">
        <f t="shared" si="11"/>
        <v>#N/A</v>
      </c>
      <c r="X15" t="e">
        <f t="shared" si="12"/>
        <v>#N/A</v>
      </c>
      <c r="Y15" t="e">
        <f t="shared" si="13"/>
        <v>#N/A</v>
      </c>
      <c r="Z15" t="e">
        <f t="shared" si="14"/>
        <v>#N/A</v>
      </c>
      <c r="AA15" t="e">
        <f t="shared" si="15"/>
        <v>#N/A</v>
      </c>
      <c r="AB15" t="e">
        <f t="shared" si="16"/>
        <v>#N/A</v>
      </c>
      <c r="AC15" t="e">
        <f t="shared" si="17"/>
        <v>#N/A</v>
      </c>
      <c r="AD15" t="e">
        <f t="shared" si="18"/>
        <v>#N/A</v>
      </c>
      <c r="AE15" t="e">
        <f t="shared" si="19"/>
        <v>#N/A</v>
      </c>
      <c r="AF15" t="e">
        <f t="shared" si="20"/>
        <v>#N/A</v>
      </c>
      <c r="AG15" t="e">
        <f t="shared" si="21"/>
        <v>#N/A</v>
      </c>
      <c r="AH15" t="e">
        <f t="shared" si="22"/>
        <v>#N/A</v>
      </c>
      <c r="AI15" t="e">
        <f t="shared" si="23"/>
        <v>#N/A</v>
      </c>
      <c r="AJ15" t="e">
        <f t="shared" si="24"/>
        <v>#N/A</v>
      </c>
    </row>
    <row r="16">
      <c r="A16" s="2" t="n">
        <v>43344</v>
      </c>
      <c r="B16" t="n">
        <v>597020</v>
      </c>
      <c r="C16" t="n">
        <v>313517</v>
      </c>
      <c r="D16" t="n">
        <v>113.5</v>
      </c>
      <c r="E16" t="n">
        <v>12570.276526</v>
      </c>
      <c r="F16" t="n">
        <v>3993100.25909113</v>
      </c>
      <c r="G16" t="n">
        <v>0.0518595543565067</v>
      </c>
      <c r="H16" t="n">
        <v>0.65384</v>
      </c>
      <c r="I16" t="n">
        <v>0.0197</v>
      </c>
      <c r="J16" t="n">
        <v>0.0261933333333333</v>
      </c>
      <c r="K16" t="s">
        <v>178</v>
      </c>
      <c r="L16" t="e">
        <f t="shared" si="0"/>
        <v>#N/A</v>
      </c>
      <c r="M16" t="e">
        <f t="shared" si="1"/>
        <v>#N/A</v>
      </c>
      <c r="N16" t="e">
        <f t="shared" si="2"/>
        <v>#N/A</v>
      </c>
      <c r="O16" t="n">
        <f t="shared" si="3"/>
        <v>0</v>
      </c>
      <c r="P16" t="n">
        <f t="shared" si="4"/>
        <v>0</v>
      </c>
      <c r="Q16" t="n">
        <f t="shared" si="5"/>
        <v>0</v>
      </c>
      <c r="R16" t="n">
        <f t="shared" si="6"/>
        <v>0</v>
      </c>
      <c r="S16" t="e">
        <f t="shared" si="7"/>
        <v>#N/A</v>
      </c>
      <c r="T16" t="e">
        <f t="shared" si="8"/>
        <v>#N/A</v>
      </c>
      <c r="U16" t="e">
        <f t="shared" si="9"/>
        <v>#N/A</v>
      </c>
      <c r="V16" t="e">
        <f t="shared" si="10"/>
        <v>#N/A</v>
      </c>
      <c r="W16" t="e">
        <f t="shared" si="11"/>
        <v>#N/A</v>
      </c>
      <c r="X16" t="e">
        <f t="shared" si="12"/>
        <v>#N/A</v>
      </c>
      <c r="Y16" t="e">
        <f t="shared" si="13"/>
        <v>#N/A</v>
      </c>
      <c r="Z16" t="e">
        <f t="shared" si="14"/>
        <v>#N/A</v>
      </c>
      <c r="AA16" t="e">
        <f t="shared" si="15"/>
        <v>#N/A</v>
      </c>
      <c r="AB16" t="e">
        <f t="shared" si="16"/>
        <v>#N/A</v>
      </c>
      <c r="AC16" t="e">
        <f t="shared" si="17"/>
        <v>#N/A</v>
      </c>
      <c r="AD16" t="e">
        <f t="shared" si="18"/>
        <v>#N/A</v>
      </c>
      <c r="AE16" t="e">
        <f t="shared" si="19"/>
        <v>#N/A</v>
      </c>
      <c r="AF16" t="e">
        <f t="shared" si="20"/>
        <v>#N/A</v>
      </c>
      <c r="AG16" t="e">
        <f t="shared" si="21"/>
        <v>#N/A</v>
      </c>
      <c r="AH16" t="e">
        <f t="shared" si="22"/>
        <v>#N/A</v>
      </c>
      <c r="AI16" t="e">
        <f t="shared" si="23"/>
        <v>#N/A</v>
      </c>
      <c r="AJ16" t="e">
        <f t="shared" si="24"/>
        <v>#N/A</v>
      </c>
    </row>
    <row r="17">
      <c r="A17" s="2" t="n">
        <v>43435</v>
      </c>
      <c r="B17" t="n">
        <v>598542</v>
      </c>
      <c r="C17" t="n">
        <v>314333</v>
      </c>
      <c r="D17" t="n">
        <v>114</v>
      </c>
      <c r="E17" t="n">
        <v>12646.703814</v>
      </c>
      <c r="F17" t="n">
        <v>3984524.6349049</v>
      </c>
      <c r="G17" t="n">
        <v>0.0504399106899071</v>
      </c>
      <c r="H17" t="n">
        <v>0.654362</v>
      </c>
      <c r="I17" t="n">
        <v>0.019633</v>
      </c>
      <c r="J17" t="n">
        <v>0.0259866666666667</v>
      </c>
      <c r="K17" t="s">
        <v>178</v>
      </c>
      <c r="L17" t="e">
        <f t="shared" si="0"/>
        <v>#N/A</v>
      </c>
      <c r="M17" t="e">
        <f t="shared" si="1"/>
        <v>#N/A</v>
      </c>
      <c r="N17" t="e">
        <f t="shared" si="2"/>
        <v>#N/A</v>
      </c>
      <c r="O17" t="n">
        <f t="shared" si="3"/>
        <v>0</v>
      </c>
      <c r="P17" t="n">
        <f t="shared" si="4"/>
        <v>0</v>
      </c>
      <c r="Q17" t="n">
        <f t="shared" si="5"/>
        <v>0</v>
      </c>
      <c r="R17" t="n">
        <f t="shared" si="6"/>
        <v>0</v>
      </c>
      <c r="S17" t="e">
        <f t="shared" si="7"/>
        <v>#N/A</v>
      </c>
      <c r="T17" t="e">
        <f t="shared" si="8"/>
        <v>#N/A</v>
      </c>
      <c r="U17" t="e">
        <f t="shared" si="9"/>
        <v>#N/A</v>
      </c>
      <c r="V17" t="e">
        <f t="shared" si="10"/>
        <v>#N/A</v>
      </c>
      <c r="W17" t="e">
        <f t="shared" si="11"/>
        <v>#N/A</v>
      </c>
      <c r="X17" t="e">
        <f t="shared" si="12"/>
        <v>#N/A</v>
      </c>
      <c r="Y17" t="e">
        <f t="shared" si="13"/>
        <v>#N/A</v>
      </c>
      <c r="Z17" t="e">
        <f t="shared" si="14"/>
        <v>#N/A</v>
      </c>
      <c r="AA17" t="e">
        <f t="shared" si="15"/>
        <v>#N/A</v>
      </c>
      <c r="AB17" t="e">
        <f t="shared" si="16"/>
        <v>#N/A</v>
      </c>
      <c r="AC17" t="e">
        <f t="shared" si="17"/>
        <v>#N/A</v>
      </c>
      <c r="AD17" t="e">
        <f t="shared" si="18"/>
        <v>#N/A</v>
      </c>
      <c r="AE17" t="e">
        <f t="shared" si="19"/>
        <v>#N/A</v>
      </c>
      <c r="AF17" t="e">
        <f t="shared" si="20"/>
        <v>#N/A</v>
      </c>
      <c r="AG17" t="e">
        <f t="shared" si="21"/>
        <v>#N/A</v>
      </c>
      <c r="AH17" t="e">
        <f t="shared" si="22"/>
        <v>#N/A</v>
      </c>
      <c r="AI17" t="e">
        <f t="shared" si="23"/>
        <v>#N/A</v>
      </c>
      <c r="AJ17" t="e">
        <f t="shared" si="24"/>
        <v>#N/A</v>
      </c>
    </row>
    <row r="18">
      <c r="A18" s="2" t="n">
        <v>43525</v>
      </c>
      <c r="B18" t="n">
        <v>602883</v>
      </c>
      <c r="C18" t="n">
        <v>315449</v>
      </c>
      <c r="D18" t="n">
        <v>114.1</v>
      </c>
      <c r="E18" t="n">
        <v>12729.579042</v>
      </c>
      <c r="F18" t="n">
        <v>4051144.0522932</v>
      </c>
      <c r="G18" t="n">
        <v>0.0504307754410345</v>
      </c>
      <c r="H18" t="n">
        <v>0.655638</v>
      </c>
      <c r="I18" t="n">
        <v>0.019533</v>
      </c>
      <c r="J18" t="n">
        <v>0.02118</v>
      </c>
      <c r="K18" t="s">
        <v>178</v>
      </c>
      <c r="L18" t="e">
        <f t="shared" si="0"/>
        <v>#N/A</v>
      </c>
      <c r="M18" t="e">
        <f t="shared" si="1"/>
        <v>#N/A</v>
      </c>
      <c r="N18" t="e">
        <f t="shared" si="2"/>
        <v>#N/A</v>
      </c>
      <c r="O18" t="n">
        <f t="shared" si="3"/>
        <v>0</v>
      </c>
      <c r="P18" t="n">
        <f t="shared" si="4"/>
        <v>0</v>
      </c>
      <c r="Q18" t="n">
        <f t="shared" si="5"/>
        <v>0</v>
      </c>
      <c r="R18" t="n">
        <f t="shared" si="6"/>
        <v>0</v>
      </c>
      <c r="S18" t="e">
        <f t="shared" si="7"/>
        <v>#N/A</v>
      </c>
      <c r="T18" t="e">
        <f t="shared" si="8"/>
        <v>#N/A</v>
      </c>
      <c r="U18" t="e">
        <f t="shared" si="9"/>
        <v>#N/A</v>
      </c>
      <c r="V18" t="e">
        <f t="shared" si="10"/>
        <v>#N/A</v>
      </c>
      <c r="W18" t="e">
        <f t="shared" si="11"/>
        <v>#N/A</v>
      </c>
      <c r="X18" t="e">
        <f t="shared" si="12"/>
        <v>#N/A</v>
      </c>
      <c r="Y18" t="e">
        <f t="shared" si="13"/>
        <v>#N/A</v>
      </c>
      <c r="Z18" t="e">
        <f t="shared" si="14"/>
        <v>#N/A</v>
      </c>
      <c r="AA18" t="e">
        <f t="shared" si="15"/>
        <v>#N/A</v>
      </c>
      <c r="AB18" t="e">
        <f t="shared" si="16"/>
        <v>#N/A</v>
      </c>
      <c r="AC18" t="e">
        <f t="shared" si="17"/>
        <v>#N/A</v>
      </c>
      <c r="AD18" t="e">
        <f t="shared" si="18"/>
        <v>#N/A</v>
      </c>
      <c r="AE18" t="e">
        <f t="shared" si="19"/>
        <v>#N/A</v>
      </c>
      <c r="AF18" t="e">
        <f t="shared" si="20"/>
        <v>#N/A</v>
      </c>
      <c r="AG18" t="e">
        <f t="shared" si="21"/>
        <v>#N/A</v>
      </c>
      <c r="AH18" t="e">
        <f t="shared" si="22"/>
        <v>#N/A</v>
      </c>
      <c r="AI18" t="e">
        <f t="shared" si="23"/>
        <v>#N/A</v>
      </c>
      <c r="AJ18" t="e">
        <f t="shared" si="24"/>
        <v>#N/A</v>
      </c>
    </row>
    <row r="19">
      <c r="A19" s="2" t="n">
        <v>43617</v>
      </c>
      <c r="B19" t="n">
        <v>604726</v>
      </c>
      <c r="C19" t="n">
        <v>316413</v>
      </c>
      <c r="D19" t="n">
        <v>114.9</v>
      </c>
      <c r="E19" t="n">
        <v>12793.659652</v>
      </c>
      <c r="F19" t="n">
        <v>4000342.17902584</v>
      </c>
      <c r="G19" t="n">
        <v>0.0522382976142941</v>
      </c>
      <c r="H19" t="n">
        <v>0.657779</v>
      </c>
      <c r="I19" t="n">
        <v>0.015033</v>
      </c>
      <c r="J19" t="n">
        <v>0.0163533333333333</v>
      </c>
      <c r="K19" t="s">
        <v>178</v>
      </c>
      <c r="L19" t="e">
        <f t="shared" si="0"/>
        <v>#N/A</v>
      </c>
      <c r="M19" t="e">
        <f t="shared" si="1"/>
        <v>#N/A</v>
      </c>
      <c r="N19" t="e">
        <f t="shared" si="2"/>
        <v>#N/A</v>
      </c>
      <c r="O19" t="n">
        <f t="shared" si="3"/>
        <v>0</v>
      </c>
      <c r="P19" t="n">
        <f t="shared" si="4"/>
        <v>0</v>
      </c>
      <c r="Q19" t="n">
        <f t="shared" si="5"/>
        <v>0</v>
      </c>
      <c r="R19" t="n">
        <f t="shared" si="6"/>
        <v>0</v>
      </c>
      <c r="S19" t="e">
        <f t="shared" si="7"/>
        <v>#N/A</v>
      </c>
      <c r="T19" t="e">
        <f t="shared" si="8"/>
        <v>#N/A</v>
      </c>
      <c r="U19" t="e">
        <f t="shared" si="9"/>
        <v>#N/A</v>
      </c>
      <c r="V19" t="e">
        <f t="shared" si="10"/>
        <v>#N/A</v>
      </c>
      <c r="W19" t="e">
        <f t="shared" si="11"/>
        <v>#N/A</v>
      </c>
      <c r="X19" t="e">
        <f t="shared" si="12"/>
        <v>#N/A</v>
      </c>
      <c r="Y19" t="e">
        <f t="shared" si="13"/>
        <v>#N/A</v>
      </c>
      <c r="Z19" t="e">
        <f t="shared" si="14"/>
        <v>#N/A</v>
      </c>
      <c r="AA19" t="e">
        <f t="shared" si="15"/>
        <v>#N/A</v>
      </c>
      <c r="AB19" t="e">
        <f t="shared" si="16"/>
        <v>#N/A</v>
      </c>
      <c r="AC19" t="e">
        <f t="shared" si="17"/>
        <v>#N/A</v>
      </c>
      <c r="AD19" t="e">
        <f t="shared" si="18"/>
        <v>#N/A</v>
      </c>
      <c r="AE19" t="e">
        <f t="shared" si="19"/>
        <v>#N/A</v>
      </c>
      <c r="AF19" t="e">
        <f t="shared" si="20"/>
        <v>#N/A</v>
      </c>
      <c r="AG19" t="e">
        <f t="shared" si="21"/>
        <v>#N/A</v>
      </c>
      <c r="AH19" t="e">
        <f t="shared" si="22"/>
        <v>#N/A</v>
      </c>
      <c r="AI19" t="e">
        <f t="shared" si="23"/>
        <v>#N/A</v>
      </c>
      <c r="AJ19" t="e">
        <f t="shared" si="24"/>
        <v>#N/A</v>
      </c>
    </row>
    <row r="20">
      <c r="A20" s="2" t="n">
        <v>43709</v>
      </c>
      <c r="B20" t="n">
        <v>608257</v>
      </c>
      <c r="C20" t="n">
        <v>315922</v>
      </c>
      <c r="D20" t="n">
        <v>115.4</v>
      </c>
      <c r="E20" t="n">
        <v>12874.640957</v>
      </c>
      <c r="F20" t="n">
        <v>4035359.15837796</v>
      </c>
      <c r="G20" t="n">
        <v>0.0525426238659941</v>
      </c>
      <c r="H20" t="n">
        <v>0.659533</v>
      </c>
      <c r="I20" t="n">
        <v>0.010233</v>
      </c>
      <c r="J20" t="n">
        <v>0.0110466666666667</v>
      </c>
      <c r="K20" t="s">
        <v>178</v>
      </c>
      <c r="L20" t="e">
        <f t="shared" si="0"/>
        <v>#N/A</v>
      </c>
      <c r="M20" t="e">
        <f t="shared" si="1"/>
        <v>#N/A</v>
      </c>
      <c r="N20" t="e">
        <f t="shared" si="2"/>
        <v>#N/A</v>
      </c>
      <c r="O20" t="n">
        <f t="shared" si="3"/>
        <v>0</v>
      </c>
      <c r="P20" t="n">
        <f t="shared" si="4"/>
        <v>0</v>
      </c>
      <c r="Q20" t="n">
        <f t="shared" si="5"/>
        <v>0</v>
      </c>
      <c r="R20" t="n">
        <f t="shared" si="6"/>
        <v>0</v>
      </c>
      <c r="S20" t="e">
        <f t="shared" si="7"/>
        <v>#N/A</v>
      </c>
      <c r="T20" t="e">
        <f t="shared" si="8"/>
        <v>#N/A</v>
      </c>
      <c r="U20" t="e">
        <f t="shared" si="9"/>
        <v>#N/A</v>
      </c>
      <c r="V20" t="e">
        <f t="shared" si="10"/>
        <v>#N/A</v>
      </c>
      <c r="W20" t="e">
        <f t="shared" si="11"/>
        <v>#N/A</v>
      </c>
      <c r="X20" t="e">
        <f t="shared" si="12"/>
        <v>#N/A</v>
      </c>
      <c r="Y20" t="e">
        <f t="shared" si="13"/>
        <v>#N/A</v>
      </c>
      <c r="Z20" t="e">
        <f t="shared" si="14"/>
        <v>#N/A</v>
      </c>
      <c r="AA20" t="e">
        <f t="shared" si="15"/>
        <v>#N/A</v>
      </c>
      <c r="AB20" t="e">
        <f t="shared" si="16"/>
        <v>#N/A</v>
      </c>
      <c r="AC20" t="e">
        <f t="shared" si="17"/>
        <v>#N/A</v>
      </c>
      <c r="AD20" t="e">
        <f t="shared" si="18"/>
        <v>#N/A</v>
      </c>
      <c r="AE20" t="e">
        <f t="shared" si="19"/>
        <v>#N/A</v>
      </c>
      <c r="AF20" t="e">
        <f t="shared" si="20"/>
        <v>#N/A</v>
      </c>
      <c r="AG20" t="e">
        <f t="shared" si="21"/>
        <v>#N/A</v>
      </c>
      <c r="AH20" t="e">
        <f t="shared" si="22"/>
        <v>#N/A</v>
      </c>
      <c r="AI20" t="e">
        <f t="shared" si="23"/>
        <v>#N/A</v>
      </c>
      <c r="AJ20" t="e">
        <f t="shared" si="24"/>
        <v>#N/A</v>
      </c>
    </row>
    <row r="21">
      <c r="A21" s="2" t="n">
        <v>43800</v>
      </c>
      <c r="B21" t="n">
        <v>611850</v>
      </c>
      <c r="C21" t="n">
        <v>316940</v>
      </c>
      <c r="D21" t="n">
        <v>116.1</v>
      </c>
      <c r="E21" t="n">
        <v>12884.316473</v>
      </c>
      <c r="F21" t="n">
        <v>4035883.24807196</v>
      </c>
      <c r="G21" t="n">
        <v>0.0517266784772572</v>
      </c>
      <c r="H21" t="n">
        <v>0.656882</v>
      </c>
      <c r="I21" t="n">
        <v>0.008967</v>
      </c>
      <c r="J21" t="n">
        <v>0.0113033333333333</v>
      </c>
      <c r="K21" t="s">
        <v>178</v>
      </c>
      <c r="L21" t="e">
        <f t="shared" si="0"/>
        <v>#N/A</v>
      </c>
      <c r="M21" t="e">
        <f t="shared" si="1"/>
        <v>#N/A</v>
      </c>
      <c r="N21" t="e">
        <f t="shared" si="2"/>
        <v>#N/A</v>
      </c>
      <c r="O21" t="n">
        <f t="shared" si="3"/>
        <v>0</v>
      </c>
      <c r="P21" t="n">
        <f t="shared" si="4"/>
        <v>0</v>
      </c>
      <c r="Q21" t="n">
        <f t="shared" si="5"/>
        <v>0</v>
      </c>
      <c r="R21" t="n">
        <f t="shared" si="6"/>
        <v>0</v>
      </c>
      <c r="S21" t="e">
        <f t="shared" si="7"/>
        <v>#N/A</v>
      </c>
      <c r="T21" t="e">
        <f t="shared" si="8"/>
        <v>#N/A</v>
      </c>
      <c r="U21" t="e">
        <f t="shared" si="9"/>
        <v>#N/A</v>
      </c>
      <c r="V21" t="e">
        <f t="shared" si="10"/>
        <v>#N/A</v>
      </c>
      <c r="W21" t="e">
        <f t="shared" si="11"/>
        <v>#N/A</v>
      </c>
      <c r="X21" t="e">
        <f t="shared" si="12"/>
        <v>#N/A</v>
      </c>
      <c r="Y21" t="e">
        <f t="shared" si="13"/>
        <v>#N/A</v>
      </c>
      <c r="Z21" t="e">
        <f t="shared" si="14"/>
        <v>#N/A</v>
      </c>
      <c r="AA21" t="e">
        <f t="shared" si="15"/>
        <v>#N/A</v>
      </c>
      <c r="AB21" t="e">
        <f t="shared" si="16"/>
        <v>#N/A</v>
      </c>
      <c r="AC21" t="e">
        <f t="shared" si="17"/>
        <v>#N/A</v>
      </c>
      <c r="AD21" t="e">
        <f t="shared" si="18"/>
        <v>#N/A</v>
      </c>
      <c r="AE21" t="e">
        <f t="shared" si="19"/>
        <v>#N/A</v>
      </c>
      <c r="AF21" t="e">
        <f t="shared" si="20"/>
        <v>#N/A</v>
      </c>
      <c r="AG21" t="e">
        <f t="shared" si="21"/>
        <v>#N/A</v>
      </c>
      <c r="AH21" t="e">
        <f t="shared" si="22"/>
        <v>#N/A</v>
      </c>
      <c r="AI21" t="e">
        <f t="shared" si="23"/>
        <v>#N/A</v>
      </c>
      <c r="AJ21" t="e">
        <f t="shared" si="24"/>
        <v>#N/A</v>
      </c>
    </row>
    <row r="22">
      <c r="A22" s="2" t="n">
        <v>43891</v>
      </c>
      <c r="B22" t="n">
        <v>610510</v>
      </c>
      <c r="C22" t="n">
        <v>312729</v>
      </c>
      <c r="D22" t="n">
        <v>116.7</v>
      </c>
      <c r="E22" t="n">
        <v>12929.135971</v>
      </c>
      <c r="F22" t="n">
        <v>3973874.15565184</v>
      </c>
      <c r="G22" t="n">
        <v>0.0518602080022416</v>
      </c>
      <c r="H22" t="n">
        <v>0.656401</v>
      </c>
      <c r="I22" t="n">
        <v>0.0077</v>
      </c>
      <c r="J22" t="n">
        <v>0.01009</v>
      </c>
      <c r="K22" t="s">
        <v>178</v>
      </c>
      <c r="L22" t="e">
        <f t="shared" si="0"/>
        <v>#N/A</v>
      </c>
      <c r="M22" t="e">
        <f t="shared" si="1"/>
        <v>#N/A</v>
      </c>
      <c r="N22" t="e">
        <f t="shared" si="2"/>
        <v>#N/A</v>
      </c>
      <c r="O22" t="n">
        <f t="shared" si="3"/>
        <v>0</v>
      </c>
      <c r="P22" t="n">
        <f t="shared" si="4"/>
        <v>0</v>
      </c>
      <c r="Q22" t="n">
        <f t="shared" si="5"/>
        <v>0</v>
      </c>
      <c r="R22" t="n">
        <f t="shared" si="6"/>
        <v>0</v>
      </c>
      <c r="S22" t="e">
        <f t="shared" si="7"/>
        <v>#N/A</v>
      </c>
      <c r="T22" t="e">
        <f t="shared" si="8"/>
        <v>#N/A</v>
      </c>
      <c r="U22" t="e">
        <f t="shared" si="9"/>
        <v>#N/A</v>
      </c>
      <c r="V22" t="e">
        <f t="shared" si="10"/>
        <v>#N/A</v>
      </c>
      <c r="W22" t="e">
        <f t="shared" si="11"/>
        <v>#N/A</v>
      </c>
      <c r="X22" t="e">
        <f t="shared" si="12"/>
        <v>#N/A</v>
      </c>
      <c r="Y22" t="e">
        <f t="shared" si="13"/>
        <v>#N/A</v>
      </c>
      <c r="Z22" t="e">
        <f t="shared" si="14"/>
        <v>#N/A</v>
      </c>
      <c r="AA22" t="e">
        <f t="shared" si="15"/>
        <v>#N/A</v>
      </c>
      <c r="AB22" t="e">
        <f t="shared" si="16"/>
        <v>#N/A</v>
      </c>
      <c r="AC22" t="e">
        <f t="shared" si="17"/>
        <v>#N/A</v>
      </c>
      <c r="AD22" t="e">
        <f t="shared" si="18"/>
        <v>#N/A</v>
      </c>
      <c r="AE22" t="e">
        <f t="shared" si="19"/>
        <v>#N/A</v>
      </c>
      <c r="AF22" t="e">
        <f t="shared" si="20"/>
        <v>#N/A</v>
      </c>
      <c r="AG22" t="e">
        <f t="shared" si="21"/>
        <v>#N/A</v>
      </c>
      <c r="AH22" t="e">
        <f t="shared" si="22"/>
        <v>#N/A</v>
      </c>
      <c r="AI22" t="e">
        <f t="shared" si="23"/>
        <v>#N/A</v>
      </c>
      <c r="AJ22" t="e">
        <f t="shared" si="24"/>
        <v>#N/A</v>
      </c>
    </row>
    <row r="23">
      <c r="A23" s="2" t="n">
        <v>43983</v>
      </c>
      <c r="B23" t="n">
        <v>569344</v>
      </c>
      <c r="C23" t="n">
        <v>272877</v>
      </c>
      <c r="D23" t="n">
        <v>114.5</v>
      </c>
      <c r="E23" t="n">
        <v>12225.515873</v>
      </c>
      <c r="F23" t="n">
        <v>3562780.60234676</v>
      </c>
      <c r="G23" t="n">
        <v>0.0690281934928773</v>
      </c>
      <c r="H23" t="n">
        <v>0.630689</v>
      </c>
      <c r="I23" t="n">
        <v>0.001233</v>
      </c>
      <c r="J23" t="n">
        <v>0.00895</v>
      </c>
      <c r="K23" t="s">
        <v>178</v>
      </c>
      <c r="L23" t="e">
        <f t="shared" si="0"/>
        <v>#N/A</v>
      </c>
      <c r="M23" t="e">
        <f t="shared" si="1"/>
        <v>#N/A</v>
      </c>
      <c r="N23" t="e">
        <f t="shared" si="2"/>
        <v>#N/A</v>
      </c>
      <c r="O23" t="n">
        <f t="shared" si="3"/>
        <v>0</v>
      </c>
      <c r="P23" t="n">
        <f t="shared" si="4"/>
        <v>0</v>
      </c>
      <c r="Q23" t="n">
        <f t="shared" si="5"/>
        <v>0</v>
      </c>
      <c r="R23" t="n">
        <f t="shared" si="6"/>
        <v>0</v>
      </c>
      <c r="S23" t="e">
        <f t="shared" si="7"/>
        <v>#N/A</v>
      </c>
      <c r="T23" t="e">
        <f t="shared" si="8"/>
        <v>#N/A</v>
      </c>
      <c r="U23" t="e">
        <f t="shared" si="9"/>
        <v>#N/A</v>
      </c>
      <c r="V23" t="e">
        <f t="shared" si="10"/>
        <v>#N/A</v>
      </c>
      <c r="W23" t="e">
        <f t="shared" si="11"/>
        <v>#N/A</v>
      </c>
      <c r="X23" t="e">
        <f t="shared" si="12"/>
        <v>#N/A</v>
      </c>
      <c r="Y23" t="e">
        <f t="shared" si="13"/>
        <v>#N/A</v>
      </c>
      <c r="Z23" t="e">
        <f t="shared" si="14"/>
        <v>#N/A</v>
      </c>
      <c r="AA23" t="e">
        <f t="shared" si="15"/>
        <v>#N/A</v>
      </c>
      <c r="AB23" t="e">
        <f t="shared" si="16"/>
        <v>#N/A</v>
      </c>
      <c r="AC23" t="e">
        <f t="shared" si="17"/>
        <v>#N/A</v>
      </c>
      <c r="AD23" t="e">
        <f t="shared" si="18"/>
        <v>#N/A</v>
      </c>
      <c r="AE23" t="e">
        <f t="shared" si="19"/>
        <v>#N/A</v>
      </c>
      <c r="AF23" t="e">
        <f t="shared" si="20"/>
        <v>#N/A</v>
      </c>
      <c r="AG23" t="e">
        <f t="shared" si="21"/>
        <v>#N/A</v>
      </c>
      <c r="AH23" t="e">
        <f t="shared" si="22"/>
        <v>#N/A</v>
      </c>
      <c r="AI23" t="e">
        <f t="shared" si="23"/>
        <v>#N/A</v>
      </c>
      <c r="AJ23" t="e">
        <f t="shared" si="24"/>
        <v>#N/A</v>
      </c>
    </row>
    <row r="24">
      <c r="A24" s="2" t="n">
        <v>44075</v>
      </c>
      <c r="B24" t="n">
        <v>589128</v>
      </c>
      <c r="C24" t="n">
        <v>293617</v>
      </c>
      <c r="D24" t="n">
        <v>116.2</v>
      </c>
      <c r="E24" t="n">
        <v>12496.494381</v>
      </c>
      <c r="F24" t="n">
        <v>3756792.86297449</v>
      </c>
      <c r="G24" t="n">
        <v>0.0705323842145587</v>
      </c>
      <c r="H24" t="n">
        <v>0.645676</v>
      </c>
      <c r="I24" t="n">
        <v>0.000967</v>
      </c>
      <c r="J24" t="n">
        <v>0.00898666666666667</v>
      </c>
      <c r="K24" t="s">
        <v>178</v>
      </c>
      <c r="L24" t="e">
        <f t="shared" si="0"/>
        <v>#N/A</v>
      </c>
      <c r="M24" t="e">
        <f t="shared" si="1"/>
        <v>#N/A</v>
      </c>
      <c r="N24" t="e">
        <f t="shared" si="2"/>
        <v>#N/A</v>
      </c>
      <c r="O24" t="n">
        <f t="shared" si="3"/>
        <v>0</v>
      </c>
      <c r="P24" t="n">
        <f t="shared" si="4"/>
        <v>0</v>
      </c>
      <c r="Q24" t="n">
        <f t="shared" si="5"/>
        <v>0</v>
      </c>
      <c r="R24" t="n">
        <f t="shared" si="6"/>
        <v>0</v>
      </c>
      <c r="S24" t="e">
        <f t="shared" si="7"/>
        <v>#N/A</v>
      </c>
      <c r="T24" t="e">
        <f t="shared" si="8"/>
        <v>#N/A</v>
      </c>
      <c r="U24" t="e">
        <f t="shared" si="9"/>
        <v>#N/A</v>
      </c>
      <c r="V24" t="e">
        <f t="shared" si="10"/>
        <v>#N/A</v>
      </c>
      <c r="W24" t="e">
        <f t="shared" si="11"/>
        <v>#N/A</v>
      </c>
      <c r="X24" t="e">
        <f t="shared" si="12"/>
        <v>#N/A</v>
      </c>
      <c r="Y24" t="e">
        <f t="shared" si="13"/>
        <v>#N/A</v>
      </c>
      <c r="Z24" t="e">
        <f t="shared" si="14"/>
        <v>#N/A</v>
      </c>
      <c r="AA24" t="e">
        <f t="shared" si="15"/>
        <v>#N/A</v>
      </c>
      <c r="AB24" t="e">
        <f t="shared" si="16"/>
        <v>#N/A</v>
      </c>
      <c r="AC24" t="e">
        <f t="shared" si="17"/>
        <v>#N/A</v>
      </c>
      <c r="AD24" t="e">
        <f t="shared" si="18"/>
        <v>#N/A</v>
      </c>
      <c r="AE24" t="e">
        <f t="shared" si="19"/>
        <v>#N/A</v>
      </c>
      <c r="AF24" t="e">
        <f t="shared" si="20"/>
        <v>#N/A</v>
      </c>
      <c r="AG24" t="e">
        <f t="shared" si="21"/>
        <v>#N/A</v>
      </c>
      <c r="AH24" t="e">
        <f t="shared" si="22"/>
        <v>#N/A</v>
      </c>
      <c r="AI24" t="e">
        <f t="shared" si="23"/>
        <v>#N/A</v>
      </c>
      <c r="AJ24" t="e">
        <f t="shared" si="24"/>
        <v>#N/A</v>
      </c>
    </row>
    <row r="25">
      <c r="A25" s="2" t="n">
        <v>44166</v>
      </c>
      <c r="B25" t="n">
        <v>609184</v>
      </c>
      <c r="C25" t="n">
        <v>307188</v>
      </c>
      <c r="D25" t="n">
        <v>117.2</v>
      </c>
      <c r="E25" t="n">
        <v>12733.051407</v>
      </c>
      <c r="F25" t="n">
        <v>3861754.74334653</v>
      </c>
      <c r="G25" t="n">
        <v>0.0677508883121203</v>
      </c>
      <c r="H25" t="n">
        <v>0.655935</v>
      </c>
      <c r="I25" t="n">
        <v>0.000367</v>
      </c>
      <c r="J25" t="n">
        <v>0.00878</v>
      </c>
      <c r="K25" t="s">
        <v>178</v>
      </c>
      <c r="L25" t="e">
        <f t="shared" si="0"/>
        <v>#N/A</v>
      </c>
      <c r="M25" t="e">
        <f t="shared" si="1"/>
        <v>#N/A</v>
      </c>
      <c r="N25" t="e">
        <f t="shared" si="2"/>
        <v>#N/A</v>
      </c>
      <c r="O25" t="n">
        <f t="shared" si="3"/>
        <v>0</v>
      </c>
      <c r="P25" t="n">
        <f t="shared" si="4"/>
        <v>0</v>
      </c>
      <c r="Q25" t="n">
        <f t="shared" si="5"/>
        <v>0</v>
      </c>
      <c r="R25" t="n">
        <f t="shared" si="6"/>
        <v>0</v>
      </c>
      <c r="S25" t="e">
        <f t="shared" si="7"/>
        <v>#N/A</v>
      </c>
      <c r="T25" t="e">
        <f t="shared" si="8"/>
        <v>#N/A</v>
      </c>
      <c r="U25" t="e">
        <f t="shared" si="9"/>
        <v>#N/A</v>
      </c>
      <c r="V25" t="e">
        <f t="shared" si="10"/>
        <v>#N/A</v>
      </c>
      <c r="W25" t="e">
        <f t="shared" si="11"/>
        <v>#N/A</v>
      </c>
      <c r="X25" t="e">
        <f t="shared" si="12"/>
        <v>#N/A</v>
      </c>
      <c r="Y25" t="e">
        <f t="shared" si="13"/>
        <v>#N/A</v>
      </c>
      <c r="Z25" t="e">
        <f t="shared" si="14"/>
        <v>#N/A</v>
      </c>
      <c r="AA25" t="e">
        <f t="shared" si="15"/>
        <v>#N/A</v>
      </c>
      <c r="AB25" t="e">
        <f t="shared" si="16"/>
        <v>#N/A</v>
      </c>
      <c r="AC25" t="e">
        <f t="shared" si="17"/>
        <v>#N/A</v>
      </c>
      <c r="AD25" t="e">
        <f t="shared" si="18"/>
        <v>#N/A</v>
      </c>
      <c r="AE25" t="e">
        <f t="shared" si="19"/>
        <v>#N/A</v>
      </c>
      <c r="AF25" t="e">
        <f t="shared" si="20"/>
        <v>#N/A</v>
      </c>
      <c r="AG25" t="e">
        <f t="shared" si="21"/>
        <v>#N/A</v>
      </c>
      <c r="AH25" t="e">
        <f t="shared" si="22"/>
        <v>#N/A</v>
      </c>
      <c r="AI25" t="e">
        <f t="shared" si="23"/>
        <v>#N/A</v>
      </c>
      <c r="AJ25" t="e">
        <f t="shared" si="24"/>
        <v>#N/A</v>
      </c>
    </row>
    <row r="26">
      <c r="A26" s="2" t="n">
        <v>44256</v>
      </c>
      <c r="B26" t="n">
        <v>622355</v>
      </c>
      <c r="C26" t="n">
        <v>311619</v>
      </c>
      <c r="D26" t="n">
        <v>117.8</v>
      </c>
      <c r="E26" t="n">
        <v>12895.861091</v>
      </c>
      <c r="F26" t="n">
        <v>3921788.27411452</v>
      </c>
      <c r="G26" t="n">
        <v>0.0593127498965818</v>
      </c>
      <c r="H26" t="n">
        <v>0.657915</v>
      </c>
      <c r="I26" t="n">
        <v>0.000167</v>
      </c>
      <c r="J26" t="n">
        <v>0.0136466666666667</v>
      </c>
      <c r="K26" t="s">
        <v>178</v>
      </c>
      <c r="L26" t="e">
        <f t="shared" si="0"/>
        <v>#N/A</v>
      </c>
      <c r="M26" t="e">
        <f t="shared" si="1"/>
        <v>#N/A</v>
      </c>
      <c r="N26" t="e">
        <f t="shared" si="2"/>
        <v>#N/A</v>
      </c>
      <c r="O26" t="n">
        <f t="shared" si="3"/>
        <v>0</v>
      </c>
      <c r="P26" t="n">
        <f t="shared" si="4"/>
        <v>0</v>
      </c>
      <c r="Q26" t="n">
        <f t="shared" si="5"/>
        <v>0</v>
      </c>
      <c r="R26" t="n">
        <f t="shared" si="6"/>
        <v>0</v>
      </c>
      <c r="S26" t="e">
        <f t="shared" si="7"/>
        <v>#N/A</v>
      </c>
      <c r="T26" t="e">
        <f t="shared" si="8"/>
        <v>#N/A</v>
      </c>
      <c r="U26" t="e">
        <f t="shared" si="9"/>
        <v>#N/A</v>
      </c>
      <c r="V26" t="e">
        <f t="shared" si="10"/>
        <v>#N/A</v>
      </c>
      <c r="W26" t="e">
        <f t="shared" si="11"/>
        <v>#N/A</v>
      </c>
      <c r="X26" t="e">
        <f t="shared" si="12"/>
        <v>#N/A</v>
      </c>
      <c r="Y26" t="e">
        <f t="shared" si="13"/>
        <v>#N/A</v>
      </c>
      <c r="Z26" t="e">
        <f t="shared" si="14"/>
        <v>#N/A</v>
      </c>
      <c r="AA26" t="e">
        <f t="shared" si="15"/>
        <v>#N/A</v>
      </c>
      <c r="AB26" t="e">
        <f t="shared" si="16"/>
        <v>#N/A</v>
      </c>
      <c r="AC26" t="e">
        <f t="shared" si="17"/>
        <v>#N/A</v>
      </c>
      <c r="AD26" t="e">
        <f t="shared" si="18"/>
        <v>#N/A</v>
      </c>
      <c r="AE26" t="e">
        <f t="shared" si="19"/>
        <v>#N/A</v>
      </c>
      <c r="AF26" t="e">
        <f t="shared" si="20"/>
        <v>#N/A</v>
      </c>
      <c r="AG26" t="e">
        <f t="shared" si="21"/>
        <v>#N/A</v>
      </c>
      <c r="AH26" t="e">
        <f t="shared" si="22"/>
        <v>#N/A</v>
      </c>
      <c r="AI26" t="e">
        <f t="shared" si="23"/>
        <v>#N/A</v>
      </c>
      <c r="AJ26" t="e">
        <f t="shared" si="24"/>
        <v>#N/A</v>
      </c>
    </row>
    <row r="27">
      <c r="A27" s="2" t="n">
        <v>44348</v>
      </c>
      <c r="B27" t="n">
        <v>627461</v>
      </c>
      <c r="C27" t="n">
        <v>314822</v>
      </c>
      <c r="D27" t="n">
        <v>118.8</v>
      </c>
      <c r="E27" t="n">
        <v>13014.420581</v>
      </c>
      <c r="F27" t="n">
        <v>4004280.9019018</v>
      </c>
      <c r="G27" t="n">
        <v>0.0519670410869772</v>
      </c>
      <c r="H27" t="n">
        <v>0.657996</v>
      </c>
      <c r="I27" t="n">
        <v>0.000367</v>
      </c>
      <c r="J27" t="n">
        <v>0.0162233333333333</v>
      </c>
      <c r="K27" t="s">
        <v>178</v>
      </c>
      <c r="L27" t="e">
        <f t="shared" si="0"/>
        <v>#N/A</v>
      </c>
      <c r="M27" t="e">
        <f t="shared" si="1"/>
        <v>#N/A</v>
      </c>
      <c r="N27" t="e">
        <f t="shared" si="2"/>
        <v>#N/A</v>
      </c>
      <c r="O27" t="n">
        <f t="shared" si="3"/>
        <v>0</v>
      </c>
      <c r="P27" t="n">
        <f t="shared" si="4"/>
        <v>0</v>
      </c>
      <c r="Q27" t="n">
        <f t="shared" si="5"/>
        <v>0</v>
      </c>
      <c r="R27" t="n">
        <f t="shared" si="6"/>
        <v>0</v>
      </c>
      <c r="S27" t="e">
        <f t="shared" si="7"/>
        <v>#N/A</v>
      </c>
      <c r="T27" t="e">
        <f t="shared" si="8"/>
        <v>#N/A</v>
      </c>
      <c r="U27" t="e">
        <f t="shared" si="9"/>
        <v>#N/A</v>
      </c>
      <c r="V27" t="e">
        <f t="shared" si="10"/>
        <v>#N/A</v>
      </c>
      <c r="W27" t="e">
        <f t="shared" si="11"/>
        <v>#N/A</v>
      </c>
      <c r="X27" t="e">
        <f t="shared" si="12"/>
        <v>#N/A</v>
      </c>
      <c r="Y27" t="e">
        <f t="shared" si="13"/>
        <v>#N/A</v>
      </c>
      <c r="Z27" t="e">
        <f t="shared" si="14"/>
        <v>#N/A</v>
      </c>
      <c r="AA27" t="e">
        <f t="shared" si="15"/>
        <v>#N/A</v>
      </c>
      <c r="AB27" t="e">
        <f t="shared" si="16"/>
        <v>#N/A</v>
      </c>
      <c r="AC27" t="e">
        <f t="shared" si="17"/>
        <v>#N/A</v>
      </c>
      <c r="AD27" t="e">
        <f t="shared" si="18"/>
        <v>#N/A</v>
      </c>
      <c r="AE27" t="e">
        <f t="shared" si="19"/>
        <v>#N/A</v>
      </c>
      <c r="AF27" t="e">
        <f t="shared" si="20"/>
        <v>#N/A</v>
      </c>
      <c r="AG27" t="e">
        <f t="shared" si="21"/>
        <v>#N/A</v>
      </c>
      <c r="AH27" t="e">
        <f t="shared" si="22"/>
        <v>#N/A</v>
      </c>
      <c r="AI27" t="e">
        <f t="shared" si="23"/>
        <v>#N/A</v>
      </c>
      <c r="AJ27" t="e">
        <f t="shared" si="24"/>
        <v>#N/A</v>
      </c>
    </row>
    <row r="28">
      <c r="A28" s="2" t="n">
        <v>44440</v>
      </c>
      <c r="B28" t="n">
        <v>616714</v>
      </c>
      <c r="C28" t="n">
        <v>300006</v>
      </c>
      <c r="D28" t="n">
        <v>119.7</v>
      </c>
      <c r="E28" t="n">
        <v>12955.356707</v>
      </c>
      <c r="F28" t="n">
        <v>3834416.07588947</v>
      </c>
      <c r="G28" t="n">
        <v>0.0466852634326635</v>
      </c>
      <c r="H28" t="n">
        <v>0.650655</v>
      </c>
      <c r="I28" t="n">
        <v>0.000133</v>
      </c>
      <c r="J28" t="n">
        <v>0.0122366666666667</v>
      </c>
      <c r="K28" t="s">
        <v>178</v>
      </c>
      <c r="L28" t="e">
        <f t="shared" si="0"/>
        <v>#N/A</v>
      </c>
      <c r="M28" t="e">
        <f t="shared" si="1"/>
        <v>#N/A</v>
      </c>
      <c r="N28" t="e">
        <f t="shared" si="2"/>
        <v>#N/A</v>
      </c>
      <c r="O28" t="n">
        <f t="shared" si="3"/>
        <v>0</v>
      </c>
      <c r="P28" t="n">
        <f t="shared" si="4"/>
        <v>0</v>
      </c>
      <c r="Q28" t="n">
        <f t="shared" si="5"/>
        <v>0</v>
      </c>
      <c r="R28" t="n">
        <f t="shared" si="6"/>
        <v>0</v>
      </c>
      <c r="S28" t="e">
        <f t="shared" si="7"/>
        <v>#N/A</v>
      </c>
      <c r="T28" t="e">
        <f t="shared" si="8"/>
        <v>#N/A</v>
      </c>
      <c r="U28" t="e">
        <f t="shared" si="9"/>
        <v>#N/A</v>
      </c>
      <c r="V28" t="e">
        <f t="shared" si="10"/>
        <v>#N/A</v>
      </c>
      <c r="W28" t="e">
        <f t="shared" si="11"/>
        <v>#N/A</v>
      </c>
      <c r="X28" t="e">
        <f t="shared" si="12"/>
        <v>#N/A</v>
      </c>
      <c r="Y28" t="e">
        <f t="shared" si="13"/>
        <v>#N/A</v>
      </c>
      <c r="Z28" t="e">
        <f t="shared" si="14"/>
        <v>#N/A</v>
      </c>
      <c r="AA28" t="e">
        <f t="shared" si="15"/>
        <v>#N/A</v>
      </c>
      <c r="AB28" t="e">
        <f t="shared" si="16"/>
        <v>#N/A</v>
      </c>
      <c r="AC28" t="e">
        <f t="shared" si="17"/>
        <v>#N/A</v>
      </c>
      <c r="AD28" t="e">
        <f t="shared" si="18"/>
        <v>#N/A</v>
      </c>
      <c r="AE28" t="e">
        <f t="shared" si="19"/>
        <v>#N/A</v>
      </c>
      <c r="AF28" t="e">
        <f t="shared" si="20"/>
        <v>#N/A</v>
      </c>
      <c r="AG28" t="e">
        <f t="shared" si="21"/>
        <v>#N/A</v>
      </c>
      <c r="AH28" t="e">
        <f t="shared" si="22"/>
        <v>#N/A</v>
      </c>
      <c r="AI28" t="e">
        <f t="shared" si="23"/>
        <v>#N/A</v>
      </c>
      <c r="AJ28" t="e">
        <f t="shared" si="24"/>
        <v>#N/A</v>
      </c>
    </row>
    <row r="29">
      <c r="A29" s="2" t="n">
        <v>44531</v>
      </c>
      <c r="B29" t="n">
        <v>639091</v>
      </c>
      <c r="C29" t="n">
        <v>319366</v>
      </c>
      <c r="D29" t="n">
        <v>121.4</v>
      </c>
      <c r="E29" t="n">
        <v>13050.07785</v>
      </c>
      <c r="F29" t="n">
        <v>3930065.05834721</v>
      </c>
      <c r="G29" t="n">
        <v>0.0469089134968146</v>
      </c>
      <c r="H29" t="n">
        <v>0.653976</v>
      </c>
      <c r="I29" t="n">
        <v>0.000467</v>
      </c>
      <c r="J29" t="n">
        <v>0.0170833333333333</v>
      </c>
      <c r="K29" t="s">
        <v>178</v>
      </c>
      <c r="L29" t="e">
        <f t="shared" si="0"/>
        <v>#N/A</v>
      </c>
      <c r="M29" t="e">
        <f t="shared" si="1"/>
        <v>#N/A</v>
      </c>
      <c r="N29" t="e">
        <f t="shared" si="2"/>
        <v>#N/A</v>
      </c>
      <c r="O29" t="n">
        <f t="shared" si="3"/>
        <v>0</v>
      </c>
      <c r="P29" t="n">
        <f t="shared" si="4"/>
        <v>0</v>
      </c>
      <c r="Q29" t="n">
        <f t="shared" si="5"/>
        <v>0</v>
      </c>
      <c r="R29" t="n">
        <f t="shared" si="6"/>
        <v>0</v>
      </c>
      <c r="S29" t="e">
        <f t="shared" si="7"/>
        <v>#N/A</v>
      </c>
      <c r="T29" t="e">
        <f t="shared" si="8"/>
        <v>#N/A</v>
      </c>
      <c r="U29" t="e">
        <f t="shared" si="9"/>
        <v>#N/A</v>
      </c>
      <c r="V29" t="e">
        <f t="shared" si="10"/>
        <v>#N/A</v>
      </c>
      <c r="W29" t="e">
        <f t="shared" si="11"/>
        <v>#N/A</v>
      </c>
      <c r="X29" t="e">
        <f t="shared" si="12"/>
        <v>#N/A</v>
      </c>
      <c r="Y29" t="e">
        <f t="shared" si="13"/>
        <v>#N/A</v>
      </c>
      <c r="Z29" t="e">
        <f t="shared" si="14"/>
        <v>#N/A</v>
      </c>
      <c r="AA29" t="e">
        <f t="shared" si="15"/>
        <v>#N/A</v>
      </c>
      <c r="AB29" t="e">
        <f t="shared" si="16"/>
        <v>#N/A</v>
      </c>
      <c r="AC29" t="e">
        <f t="shared" si="17"/>
        <v>#N/A</v>
      </c>
      <c r="AD29" t="e">
        <f t="shared" si="18"/>
        <v>#N/A</v>
      </c>
      <c r="AE29" t="e">
        <f t="shared" si="19"/>
        <v>#N/A</v>
      </c>
      <c r="AF29" t="e">
        <f t="shared" si="20"/>
        <v>#N/A</v>
      </c>
      <c r="AG29" t="e">
        <f t="shared" si="21"/>
        <v>#N/A</v>
      </c>
      <c r="AH29" t="e">
        <f t="shared" si="22"/>
        <v>#N/A</v>
      </c>
      <c r="AI29" t="e">
        <f t="shared" si="23"/>
        <v>#N/A</v>
      </c>
      <c r="AJ29" t="e">
        <f t="shared" si="24"/>
        <v>#N/A</v>
      </c>
    </row>
    <row r="30">
      <c r="A30" s="2" t="n">
        <v>44621</v>
      </c>
      <c r="B30" t="n">
        <v>645027</v>
      </c>
      <c r="C30" t="n">
        <v>327173</v>
      </c>
      <c r="D30" t="n">
        <v>123.9</v>
      </c>
      <c r="E30" t="n">
        <v>13349.002641</v>
      </c>
      <c r="F30" t="n">
        <v>3979722.41699728</v>
      </c>
      <c r="G30" t="n">
        <v>0.0405919990569748</v>
      </c>
      <c r="H30" t="n">
        <v>0.661077</v>
      </c>
      <c r="I30" t="n">
        <v>0.001033</v>
      </c>
      <c r="J30" t="n">
        <v>0.0216633333333333</v>
      </c>
      <c r="K30" t="s">
        <v>178</v>
      </c>
      <c r="L30" t="e">
        <f t="shared" si="0"/>
        <v>#N/A</v>
      </c>
      <c r="M30" t="e">
        <f t="shared" si="1"/>
        <v>#N/A</v>
      </c>
      <c r="N30" t="e">
        <f t="shared" si="2"/>
        <v>#N/A</v>
      </c>
      <c r="O30" t="n">
        <f t="shared" si="3"/>
        <v>0</v>
      </c>
      <c r="P30" t="n">
        <f t="shared" si="4"/>
        <v>0</v>
      </c>
      <c r="Q30" t="n">
        <f t="shared" si="5"/>
        <v>0</v>
      </c>
      <c r="R30" t="n">
        <f t="shared" si="6"/>
        <v>0</v>
      </c>
      <c r="S30" t="e">
        <f t="shared" si="7"/>
        <v>#N/A</v>
      </c>
      <c r="T30" t="e">
        <f t="shared" si="8"/>
        <v>#N/A</v>
      </c>
      <c r="U30" t="e">
        <f t="shared" si="9"/>
        <v>#N/A</v>
      </c>
      <c r="V30" t="e">
        <f t="shared" si="10"/>
        <v>#N/A</v>
      </c>
      <c r="W30" t="e">
        <f t="shared" si="11"/>
        <v>#N/A</v>
      </c>
      <c r="X30" t="e">
        <f t="shared" si="12"/>
        <v>#N/A</v>
      </c>
      <c r="Y30" t="e">
        <f t="shared" si="13"/>
        <v>#N/A</v>
      </c>
      <c r="Z30" t="e">
        <f t="shared" si="14"/>
        <v>#N/A</v>
      </c>
      <c r="AA30" t="e">
        <f t="shared" si="15"/>
        <v>#N/A</v>
      </c>
      <c r="AB30" t="e">
        <f t="shared" si="16"/>
        <v>#N/A</v>
      </c>
      <c r="AC30" t="e">
        <f t="shared" si="17"/>
        <v>#N/A</v>
      </c>
      <c r="AD30" t="e">
        <f t="shared" si="18"/>
        <v>#N/A</v>
      </c>
      <c r="AE30" t="e">
        <f t="shared" si="19"/>
        <v>#N/A</v>
      </c>
      <c r="AF30" t="e">
        <f t="shared" si="20"/>
        <v>#N/A</v>
      </c>
      <c r="AG30" t="e">
        <f t="shared" si="21"/>
        <v>#N/A</v>
      </c>
      <c r="AH30" t="e">
        <f t="shared" si="22"/>
        <v>#N/A</v>
      </c>
      <c r="AI30" t="e">
        <f t="shared" si="23"/>
        <v>#N/A</v>
      </c>
      <c r="AJ30" t="e">
        <f t="shared" si="24"/>
        <v>#N/A</v>
      </c>
    </row>
    <row r="31">
      <c r="A31" s="2" t="n">
        <v>44713</v>
      </c>
      <c r="B31" t="n">
        <v>651417</v>
      </c>
      <c r="C31" t="n">
        <v>333484</v>
      </c>
      <c r="D31" t="n">
        <v>126.1</v>
      </c>
      <c r="E31" t="n">
        <v>13506.008714</v>
      </c>
      <c r="F31" t="n">
        <v>4117512.75338365</v>
      </c>
      <c r="G31" t="n">
        <v>0.0379588046758488</v>
      </c>
      <c r="H31" t="n">
        <v>0.663506</v>
      </c>
      <c r="I31" t="n">
        <v>0.010033</v>
      </c>
      <c r="J31" t="n">
        <v>0.0338533333333333</v>
      </c>
      <c r="K31" t="s">
        <v>178</v>
      </c>
      <c r="L31" t="e">
        <f t="shared" si="0"/>
        <v>#N/A</v>
      </c>
      <c r="M31" t="e">
        <f t="shared" si="1"/>
        <v>#N/A</v>
      </c>
      <c r="N31" t="e">
        <f t="shared" si="2"/>
        <v>#N/A</v>
      </c>
      <c r="O31" t="n">
        <f t="shared" si="3"/>
        <v>0</v>
      </c>
      <c r="P31" t="n">
        <f t="shared" si="4"/>
        <v>0</v>
      </c>
      <c r="Q31" t="n">
        <f t="shared" si="5"/>
        <v>0</v>
      </c>
      <c r="R31" t="n">
        <f t="shared" si="6"/>
        <v>0</v>
      </c>
      <c r="S31" t="e">
        <f t="shared" si="7"/>
        <v>#N/A</v>
      </c>
      <c r="T31" t="e">
        <f t="shared" si="8"/>
        <v>#N/A</v>
      </c>
      <c r="U31" t="e">
        <f t="shared" si="9"/>
        <v>#N/A</v>
      </c>
      <c r="V31" t="e">
        <f t="shared" si="10"/>
        <v>#N/A</v>
      </c>
      <c r="W31" t="e">
        <f t="shared" si="11"/>
        <v>#N/A</v>
      </c>
      <c r="X31" t="e">
        <f t="shared" si="12"/>
        <v>#N/A</v>
      </c>
      <c r="Y31" t="e">
        <f t="shared" si="13"/>
        <v>#N/A</v>
      </c>
      <c r="Z31" t="e">
        <f t="shared" si="14"/>
        <v>#N/A</v>
      </c>
      <c r="AA31" t="e">
        <f t="shared" si="15"/>
        <v>#N/A</v>
      </c>
      <c r="AB31" t="e">
        <f t="shared" si="16"/>
        <v>#N/A</v>
      </c>
      <c r="AC31" t="e">
        <f t="shared" si="17"/>
        <v>#N/A</v>
      </c>
      <c r="AD31" t="e">
        <f t="shared" si="18"/>
        <v>#N/A</v>
      </c>
      <c r="AE31" t="e">
        <f t="shared" si="19"/>
        <v>#N/A</v>
      </c>
      <c r="AF31" t="e">
        <f t="shared" si="20"/>
        <v>#N/A</v>
      </c>
      <c r="AG31" t="e">
        <f t="shared" si="21"/>
        <v>#N/A</v>
      </c>
      <c r="AH31" t="e">
        <f t="shared" si="22"/>
        <v>#N/A</v>
      </c>
      <c r="AI31" t="e">
        <f t="shared" si="23"/>
        <v>#N/A</v>
      </c>
      <c r="AJ31" t="e">
        <f t="shared" si="24"/>
        <v>#N/A</v>
      </c>
    </row>
    <row r="32">
      <c r="A32" s="2" t="n">
        <v>44805</v>
      </c>
      <c r="B32" t="n">
        <v>654547</v>
      </c>
      <c r="C32" t="n">
        <v>337055</v>
      </c>
      <c r="D32" t="n">
        <v>128.4</v>
      </c>
      <c r="E32" t="n">
        <v>13644.972892</v>
      </c>
      <c r="F32" t="n">
        <v>4193904.33854654</v>
      </c>
      <c r="G32" t="n">
        <v>0.0352684223454813</v>
      </c>
      <c r="H32" t="n">
        <v>0.664339</v>
      </c>
      <c r="I32" t="n">
        <v>0.0238</v>
      </c>
      <c r="J32" t="n">
        <v>0.0351233333333333</v>
      </c>
      <c r="K32" t="s">
        <v>178</v>
      </c>
      <c r="L32" t="e">
        <f t="shared" si="0"/>
        <v>#N/A</v>
      </c>
      <c r="M32" t="e">
        <f t="shared" si="1"/>
        <v>#N/A</v>
      </c>
      <c r="N32" t="e">
        <f t="shared" si="2"/>
        <v>#N/A</v>
      </c>
      <c r="O32" t="n">
        <f t="shared" si="3"/>
        <v>0</v>
      </c>
      <c r="P32" t="n">
        <f t="shared" si="4"/>
        <v>0</v>
      </c>
      <c r="Q32" t="n">
        <f t="shared" si="5"/>
        <v>0</v>
      </c>
      <c r="R32" t="n">
        <f t="shared" si="6"/>
        <v>0</v>
      </c>
      <c r="S32" t="e">
        <f t="shared" si="7"/>
        <v>#N/A</v>
      </c>
      <c r="T32" t="e">
        <f t="shared" si="8"/>
        <v>#N/A</v>
      </c>
      <c r="U32" t="e">
        <f t="shared" si="9"/>
        <v>#N/A</v>
      </c>
      <c r="V32" t="e">
        <f t="shared" si="10"/>
        <v>#N/A</v>
      </c>
      <c r="W32" t="e">
        <f t="shared" si="11"/>
        <v>#N/A</v>
      </c>
      <c r="X32" t="e">
        <f t="shared" si="12"/>
        <v>#N/A</v>
      </c>
      <c r="Y32" t="e">
        <f t="shared" si="13"/>
        <v>#N/A</v>
      </c>
      <c r="Z32" t="e">
        <f t="shared" si="14"/>
        <v>#N/A</v>
      </c>
      <c r="AA32" t="e">
        <f t="shared" si="15"/>
        <v>#N/A</v>
      </c>
      <c r="AB32" t="e">
        <f t="shared" si="16"/>
        <v>#N/A</v>
      </c>
      <c r="AC32" t="e">
        <f t="shared" si="17"/>
        <v>#N/A</v>
      </c>
      <c r="AD32" t="e">
        <f t="shared" si="18"/>
        <v>#N/A</v>
      </c>
      <c r="AE32" t="e">
        <f t="shared" si="19"/>
        <v>#N/A</v>
      </c>
      <c r="AF32" t="e">
        <f t="shared" si="20"/>
        <v>#N/A</v>
      </c>
      <c r="AG32" t="e">
        <f t="shared" si="21"/>
        <v>#N/A</v>
      </c>
      <c r="AH32" t="e">
        <f t="shared" si="22"/>
        <v>#N/A</v>
      </c>
      <c r="AI32" t="e">
        <f t="shared" si="23"/>
        <v>#N/A</v>
      </c>
      <c r="AJ32" t="e">
        <f t="shared" si="24"/>
        <v>#N/A</v>
      </c>
    </row>
    <row r="33">
      <c r="A33" s="2" t="n">
        <v>44896</v>
      </c>
      <c r="B33" t="n">
        <v>659948</v>
      </c>
      <c r="C33" t="n">
        <v>340288</v>
      </c>
      <c r="D33" t="n">
        <v>131</v>
      </c>
      <c r="E33" t="n">
        <v>13758.089693</v>
      </c>
      <c r="F33" t="n">
        <v>4276699.30271261</v>
      </c>
      <c r="G33" t="n">
        <v>0.0349457150685535</v>
      </c>
      <c r="H33" t="n">
        <v>0.665023</v>
      </c>
      <c r="I33" t="n">
        <v>0.0306</v>
      </c>
      <c r="J33" t="n">
        <v>0.03722</v>
      </c>
      <c r="K33" t="s">
        <v>178</v>
      </c>
      <c r="L33" t="e">
        <f t="shared" si="0"/>
        <v>#N/A</v>
      </c>
      <c r="M33" t="e">
        <f t="shared" si="1"/>
        <v>#N/A</v>
      </c>
      <c r="N33" t="e">
        <f t="shared" si="2"/>
        <v>#N/A</v>
      </c>
      <c r="O33" t="n">
        <f t="shared" si="3"/>
        <v>0</v>
      </c>
      <c r="P33" t="n">
        <f t="shared" si="4"/>
        <v>0</v>
      </c>
      <c r="Q33" t="n">
        <f t="shared" si="5"/>
        <v>0</v>
      </c>
      <c r="R33" t="n">
        <f t="shared" si="6"/>
        <v>0</v>
      </c>
      <c r="S33" t="e">
        <f t="shared" si="7"/>
        <v>#N/A</v>
      </c>
      <c r="T33" t="e">
        <f t="shared" si="8"/>
        <v>#N/A</v>
      </c>
      <c r="U33" t="e">
        <f t="shared" si="9"/>
        <v>#N/A</v>
      </c>
      <c r="V33" t="e">
        <f t="shared" si="10"/>
        <v>#N/A</v>
      </c>
      <c r="W33" t="e">
        <f t="shared" si="11"/>
        <v>#N/A</v>
      </c>
      <c r="X33" t="e">
        <f t="shared" si="12"/>
        <v>#N/A</v>
      </c>
      <c r="Y33" t="e">
        <f t="shared" si="13"/>
        <v>#N/A</v>
      </c>
      <c r="Z33" t="e">
        <f t="shared" si="14"/>
        <v>#N/A</v>
      </c>
      <c r="AA33" t="e">
        <f t="shared" si="15"/>
        <v>#N/A</v>
      </c>
      <c r="AB33" t="e">
        <f t="shared" si="16"/>
        <v>#N/A</v>
      </c>
      <c r="AC33" t="e">
        <f t="shared" si="17"/>
        <v>#N/A</v>
      </c>
      <c r="AD33" t="e">
        <f t="shared" si="18"/>
        <v>#N/A</v>
      </c>
      <c r="AE33" t="e">
        <f t="shared" si="19"/>
        <v>#N/A</v>
      </c>
      <c r="AF33" t="e">
        <f t="shared" si="20"/>
        <v>#N/A</v>
      </c>
      <c r="AG33" t="e">
        <f t="shared" si="21"/>
        <v>#N/A</v>
      </c>
      <c r="AH33" t="e">
        <f t="shared" si="22"/>
        <v>#N/A</v>
      </c>
      <c r="AI33" t="e">
        <f t="shared" si="23"/>
        <v>#N/A</v>
      </c>
      <c r="AJ33" t="e">
        <f t="shared" si="24"/>
        <v>#N/A</v>
      </c>
    </row>
    <row r="34">
      <c r="A34" s="2" t="n">
        <v>44986</v>
      </c>
      <c r="B34" t="n">
        <v>663102</v>
      </c>
      <c r="C34" t="n">
        <v>342730</v>
      </c>
      <c r="D34" t="n">
        <v>132.7</v>
      </c>
      <c r="E34" t="n">
        <v>13856.299855</v>
      </c>
      <c r="F34" t="n">
        <v>4278451.32937078</v>
      </c>
      <c r="G34" t="n">
        <v>0.0362092240928786</v>
      </c>
      <c r="H34" t="n">
        <v>0.665194</v>
      </c>
      <c r="I34" t="n">
        <v>0.034733</v>
      </c>
      <c r="J34" t="n">
        <v>0.0359133333333333</v>
      </c>
      <c r="K34" t="s">
        <v>178</v>
      </c>
      <c r="L34" t="e">
        <f t="shared" ref="L34:L65" si="25">IF(ROW()&lt;=5,NA(),IFERROR(100*(B34/INDEX(B:B,ROW()-4)-1),NA()))</f>
        <v>#N/A</v>
      </c>
      <c r="M34" t="e">
        <f t="shared" ref="M34:M65" si="26">IF(ROW()&lt;=5,NA(),IFERROR(100*(C34/INDEX(C:C,ROW()-4)-1),NA()))</f>
        <v>#N/A</v>
      </c>
      <c r="N34" t="e">
        <f t="shared" ref="N34:N65" si="27">IF(ROW()&lt;=5,NA(),IFERROR(100*(D34/INDEX(D:D,ROW()-4)-1),NA()))</f>
        <v>#N/A</v>
      </c>
      <c r="O34" t="n">
        <f t="shared" ref="O34:O65" si="28">100*G34</f>
        <v>0</v>
      </c>
      <c r="P34" t="n">
        <f t="shared" ref="P34:P65" si="29">100*H34</f>
        <v>0</v>
      </c>
      <c r="Q34" t="n">
        <f t="shared" ref="Q34:Q65" si="30">100*I34</f>
        <v>0</v>
      </c>
      <c r="R34" t="n">
        <f t="shared" ref="R34:R65" si="31">100*J34</f>
        <v>0</v>
      </c>
      <c r="S34" t="e">
        <f t="shared" ref="S34:S65" si="32">IFERROR(100*E34/INDEX(E:E,MATCH(DATE(2024,12,1),A:A,0)),NA())</f>
        <v>#N/A</v>
      </c>
      <c r="T34" t="e">
        <f t="shared" ref="T34:T65" si="33">IFERROR(100*F34/INDEX(F:F,MATCH(DATE(2024,12,1),A:A,0)),NA())</f>
        <v>#N/A</v>
      </c>
      <c r="U34" t="e">
        <f t="shared" ref="U34:U65" si="34">IF($K34="Actual",L34,NA())</f>
        <v>#N/A</v>
      </c>
      <c r="V34" t="e">
        <f t="shared" ref="V34:V65" si="35">IF($A34&gt;=DATE(2024,12,1),L34,NA())</f>
        <v>#N/A</v>
      </c>
      <c r="W34" t="e">
        <f t="shared" ref="W34:W65" si="36">IF($K34="Actual",M34,NA())</f>
        <v>#N/A</v>
      </c>
      <c r="X34" t="e">
        <f t="shared" ref="X34:X65" si="37">IF($A34&gt;=DATE(2024,12,1),M34,NA())</f>
        <v>#N/A</v>
      </c>
      <c r="Y34" t="e">
        <f t="shared" ref="Y34:Y65" si="38">IF($K34="Actual",S34,NA())</f>
        <v>#N/A</v>
      </c>
      <c r="Z34" t="e">
        <f t="shared" ref="Z34:Z65" si="39">IF($A34&gt;=DATE(2024,12,1),S34,NA())</f>
        <v>#N/A</v>
      </c>
      <c r="AA34" t="e">
        <f t="shared" ref="AA34:AA65" si="40">IF($K34="Actual",T34,NA())</f>
        <v>#N/A</v>
      </c>
      <c r="AB34" t="e">
        <f t="shared" ref="AB34:AB65" si="41">IF($A34&gt;=DATE(2024,12,1),T34,NA())</f>
        <v>#N/A</v>
      </c>
      <c r="AC34" t="e">
        <f t="shared" ref="AC34:AC65" si="42">IF($K34="Actual",O34,NA())</f>
        <v>#N/A</v>
      </c>
      <c r="AD34" t="e">
        <f t="shared" ref="AD34:AD65" si="43">IF($A34&gt;=DATE(2024,12,1),O34,NA())</f>
        <v>#N/A</v>
      </c>
      <c r="AE34" t="e">
        <f t="shared" ref="AE34:AE65" si="44">IF($K34="Actual",Q34,NA())</f>
        <v>#N/A</v>
      </c>
      <c r="AF34" t="e">
        <f t="shared" ref="AF34:AF65" si="45">IF($A34&gt;=DATE(2024,12,1),Q34,NA())</f>
        <v>#N/A</v>
      </c>
      <c r="AG34" t="e">
        <f t="shared" ref="AG34:AG65" si="46">IF($K34="Actual",R34,NA())</f>
        <v>#N/A</v>
      </c>
      <c r="AH34" t="e">
        <f t="shared" ref="AH34:AH65" si="47">IF($A34&gt;=DATE(2024,12,1),R34,NA())</f>
        <v>#N/A</v>
      </c>
      <c r="AI34" t="e">
        <f t="shared" ref="AI34:AI65" si="48">IF($K34="Actual",N34,NA())</f>
        <v>#N/A</v>
      </c>
      <c r="AJ34" t="e">
        <f t="shared" ref="AJ34:AJ65" si="49">IF($A34&gt;=DATE(2024,12,1),N34,NA())</f>
        <v>#N/A</v>
      </c>
    </row>
    <row r="35">
      <c r="A35" s="2" t="n">
        <v>45078</v>
      </c>
      <c r="B35" t="n">
        <v>666120</v>
      </c>
      <c r="C35" t="n">
        <v>344199</v>
      </c>
      <c r="D35" t="n">
        <v>133.8</v>
      </c>
      <c r="E35" t="n">
        <v>13991.100267</v>
      </c>
      <c r="F35" t="n">
        <v>4332739.12898743</v>
      </c>
      <c r="G35" t="n">
        <v>0.0359961860534151</v>
      </c>
      <c r="H35" t="n">
        <v>0.666657</v>
      </c>
      <c r="I35" t="n">
        <v>0.039367</v>
      </c>
      <c r="J35" t="n">
        <v>0.0358633333333333</v>
      </c>
      <c r="K35" t="s">
        <v>178</v>
      </c>
      <c r="L35" t="e">
        <f t="shared" si="25"/>
        <v>#N/A</v>
      </c>
      <c r="M35" t="e">
        <f t="shared" si="26"/>
        <v>#N/A</v>
      </c>
      <c r="N35" t="e">
        <f t="shared" si="27"/>
        <v>#N/A</v>
      </c>
      <c r="O35" t="n">
        <f t="shared" si="28"/>
        <v>0</v>
      </c>
      <c r="P35" t="n">
        <f t="shared" si="29"/>
        <v>0</v>
      </c>
      <c r="Q35" t="n">
        <f t="shared" si="30"/>
        <v>0</v>
      </c>
      <c r="R35" t="n">
        <f t="shared" si="31"/>
        <v>0</v>
      </c>
      <c r="S35" t="e">
        <f t="shared" si="32"/>
        <v>#N/A</v>
      </c>
      <c r="T35" t="e">
        <f t="shared" si="33"/>
        <v>#N/A</v>
      </c>
      <c r="U35" t="e">
        <f t="shared" si="34"/>
        <v>#N/A</v>
      </c>
      <c r="V35" t="e">
        <f t="shared" si="35"/>
        <v>#N/A</v>
      </c>
      <c r="W35" t="e">
        <f t="shared" si="36"/>
        <v>#N/A</v>
      </c>
      <c r="X35" t="e">
        <f t="shared" si="37"/>
        <v>#N/A</v>
      </c>
      <c r="Y35" t="e">
        <f t="shared" si="38"/>
        <v>#N/A</v>
      </c>
      <c r="Z35" t="e">
        <f t="shared" si="39"/>
        <v>#N/A</v>
      </c>
      <c r="AA35" t="e">
        <f t="shared" si="40"/>
        <v>#N/A</v>
      </c>
      <c r="AB35" t="e">
        <f t="shared" si="41"/>
        <v>#N/A</v>
      </c>
      <c r="AC35" t="e">
        <f t="shared" si="42"/>
        <v>#N/A</v>
      </c>
      <c r="AD35" t="e">
        <f t="shared" si="43"/>
        <v>#N/A</v>
      </c>
      <c r="AE35" t="e">
        <f t="shared" si="44"/>
        <v>#N/A</v>
      </c>
      <c r="AF35" t="e">
        <f t="shared" si="45"/>
        <v>#N/A</v>
      </c>
      <c r="AG35" t="e">
        <f t="shared" si="46"/>
        <v>#N/A</v>
      </c>
      <c r="AH35" t="e">
        <f t="shared" si="47"/>
        <v>#N/A</v>
      </c>
      <c r="AI35" t="e">
        <f t="shared" si="48"/>
        <v>#N/A</v>
      </c>
      <c r="AJ35" t="e">
        <f t="shared" si="49"/>
        <v>#N/A</v>
      </c>
    </row>
    <row r="36">
      <c r="A36" s="2" t="n">
        <v>45170</v>
      </c>
      <c r="B36" t="n">
        <v>668806</v>
      </c>
      <c r="C36" t="n">
        <v>343778</v>
      </c>
      <c r="D36" t="n">
        <v>135.2</v>
      </c>
      <c r="E36" t="n">
        <v>14075.518732</v>
      </c>
      <c r="F36" t="n">
        <v>4298576.62099267</v>
      </c>
      <c r="G36" t="n">
        <v>0.0365386456051881</v>
      </c>
      <c r="H36" t="n">
        <v>0.666233</v>
      </c>
      <c r="I36" t="n">
        <v>0.041933</v>
      </c>
      <c r="J36" t="n">
        <v>0.04125</v>
      </c>
      <c r="K36" t="s">
        <v>178</v>
      </c>
      <c r="L36" t="e">
        <f t="shared" si="25"/>
        <v>#N/A</v>
      </c>
      <c r="M36" t="e">
        <f t="shared" si="26"/>
        <v>#N/A</v>
      </c>
      <c r="N36" t="e">
        <f t="shared" si="27"/>
        <v>#N/A</v>
      </c>
      <c r="O36" t="n">
        <f t="shared" si="28"/>
        <v>0</v>
      </c>
      <c r="P36" t="n">
        <f t="shared" si="29"/>
        <v>0</v>
      </c>
      <c r="Q36" t="n">
        <f t="shared" si="30"/>
        <v>0</v>
      </c>
      <c r="R36" t="n">
        <f t="shared" si="31"/>
        <v>0</v>
      </c>
      <c r="S36" t="e">
        <f t="shared" si="32"/>
        <v>#N/A</v>
      </c>
      <c r="T36" t="e">
        <f t="shared" si="33"/>
        <v>#N/A</v>
      </c>
      <c r="U36" t="e">
        <f t="shared" si="34"/>
        <v>#N/A</v>
      </c>
      <c r="V36" t="e">
        <f t="shared" si="35"/>
        <v>#N/A</v>
      </c>
      <c r="W36" t="e">
        <f t="shared" si="36"/>
        <v>#N/A</v>
      </c>
      <c r="X36" t="e">
        <f t="shared" si="37"/>
        <v>#N/A</v>
      </c>
      <c r="Y36" t="e">
        <f t="shared" si="38"/>
        <v>#N/A</v>
      </c>
      <c r="Z36" t="e">
        <f t="shared" si="39"/>
        <v>#N/A</v>
      </c>
      <c r="AA36" t="e">
        <f t="shared" si="40"/>
        <v>#N/A</v>
      </c>
      <c r="AB36" t="e">
        <f t="shared" si="41"/>
        <v>#N/A</v>
      </c>
      <c r="AC36" t="e">
        <f t="shared" si="42"/>
        <v>#N/A</v>
      </c>
      <c r="AD36" t="e">
        <f t="shared" si="43"/>
        <v>#N/A</v>
      </c>
      <c r="AE36" t="e">
        <f t="shared" si="44"/>
        <v>#N/A</v>
      </c>
      <c r="AF36" t="e">
        <f t="shared" si="45"/>
        <v>#N/A</v>
      </c>
      <c r="AG36" t="e">
        <f t="shared" si="46"/>
        <v>#N/A</v>
      </c>
      <c r="AH36" t="e">
        <f t="shared" si="47"/>
        <v>#N/A</v>
      </c>
      <c r="AI36" t="e">
        <f t="shared" si="48"/>
        <v>#N/A</v>
      </c>
      <c r="AJ36" t="e">
        <f t="shared" si="49"/>
        <v>#N/A</v>
      </c>
    </row>
    <row r="37">
      <c r="A37" s="2" t="n">
        <v>45261</v>
      </c>
      <c r="B37" t="n">
        <v>668754</v>
      </c>
      <c r="C37" t="n">
        <v>343920</v>
      </c>
      <c r="D37" t="n">
        <v>136.3</v>
      </c>
      <c r="E37" t="n">
        <v>14166.989552</v>
      </c>
      <c r="F37" t="n">
        <v>4279725.11762097</v>
      </c>
      <c r="G37" t="n">
        <v>0.0390093830373431</v>
      </c>
      <c r="H37" t="n">
        <v>0.668105</v>
      </c>
      <c r="I37" t="n">
        <v>0.043133</v>
      </c>
      <c r="J37" t="n">
        <v>0.04466</v>
      </c>
      <c r="K37" t="s">
        <v>178</v>
      </c>
      <c r="L37" t="e">
        <f t="shared" si="25"/>
        <v>#N/A</v>
      </c>
      <c r="M37" t="e">
        <f t="shared" si="26"/>
        <v>#N/A</v>
      </c>
      <c r="N37" t="e">
        <f t="shared" si="27"/>
        <v>#N/A</v>
      </c>
      <c r="O37" t="n">
        <f t="shared" si="28"/>
        <v>0</v>
      </c>
      <c r="P37" t="n">
        <f t="shared" si="29"/>
        <v>0</v>
      </c>
      <c r="Q37" t="n">
        <f t="shared" si="30"/>
        <v>0</v>
      </c>
      <c r="R37" t="n">
        <f t="shared" si="31"/>
        <v>0</v>
      </c>
      <c r="S37" t="e">
        <f t="shared" si="32"/>
        <v>#N/A</v>
      </c>
      <c r="T37" t="e">
        <f t="shared" si="33"/>
        <v>#N/A</v>
      </c>
      <c r="U37" t="e">
        <f t="shared" si="34"/>
        <v>#N/A</v>
      </c>
      <c r="V37" t="e">
        <f t="shared" si="35"/>
        <v>#N/A</v>
      </c>
      <c r="W37" t="e">
        <f t="shared" si="36"/>
        <v>#N/A</v>
      </c>
      <c r="X37" t="e">
        <f t="shared" si="37"/>
        <v>#N/A</v>
      </c>
      <c r="Y37" t="e">
        <f t="shared" si="38"/>
        <v>#N/A</v>
      </c>
      <c r="Z37" t="e">
        <f t="shared" si="39"/>
        <v>#N/A</v>
      </c>
      <c r="AA37" t="e">
        <f t="shared" si="40"/>
        <v>#N/A</v>
      </c>
      <c r="AB37" t="e">
        <f t="shared" si="41"/>
        <v>#N/A</v>
      </c>
      <c r="AC37" t="e">
        <f t="shared" si="42"/>
        <v>#N/A</v>
      </c>
      <c r="AD37" t="e">
        <f t="shared" si="43"/>
        <v>#N/A</v>
      </c>
      <c r="AE37" t="e">
        <f t="shared" si="44"/>
        <v>#N/A</v>
      </c>
      <c r="AF37" t="e">
        <f t="shared" si="45"/>
        <v>#N/A</v>
      </c>
      <c r="AG37" t="e">
        <f t="shared" si="46"/>
        <v>#N/A</v>
      </c>
      <c r="AH37" t="e">
        <f t="shared" si="47"/>
        <v>#N/A</v>
      </c>
      <c r="AI37" t="e">
        <f t="shared" si="48"/>
        <v>#N/A</v>
      </c>
      <c r="AJ37" t="e">
        <f t="shared" si="49"/>
        <v>#N/A</v>
      </c>
    </row>
    <row r="38">
      <c r="A38" s="2" t="n">
        <v>45352</v>
      </c>
      <c r="B38" t="n">
        <v>670388</v>
      </c>
      <c r="C38" t="n">
        <v>345893</v>
      </c>
      <c r="D38" t="n">
        <v>137.5</v>
      </c>
      <c r="E38" t="n">
        <v>14208.53199</v>
      </c>
      <c r="F38" t="n">
        <v>4245746.09507492</v>
      </c>
      <c r="G38" t="n">
        <v>0.0390837834383326</v>
      </c>
      <c r="H38" t="n">
        <v>0.665831</v>
      </c>
      <c r="I38" t="n">
        <v>0.043467</v>
      </c>
      <c r="J38" t="n">
        <v>0.0411133333333333</v>
      </c>
      <c r="K38" t="s">
        <v>178</v>
      </c>
      <c r="L38" t="e">
        <f t="shared" si="25"/>
        <v>#N/A</v>
      </c>
      <c r="M38" t="e">
        <f t="shared" si="26"/>
        <v>#N/A</v>
      </c>
      <c r="N38" t="e">
        <f t="shared" si="27"/>
        <v>#N/A</v>
      </c>
      <c r="O38" t="n">
        <f t="shared" si="28"/>
        <v>0</v>
      </c>
      <c r="P38" t="n">
        <f t="shared" si="29"/>
        <v>0</v>
      </c>
      <c r="Q38" t="n">
        <f t="shared" si="30"/>
        <v>0</v>
      </c>
      <c r="R38" t="n">
        <f t="shared" si="31"/>
        <v>0</v>
      </c>
      <c r="S38" t="e">
        <f t="shared" si="32"/>
        <v>#N/A</v>
      </c>
      <c r="T38" t="e">
        <f t="shared" si="33"/>
        <v>#N/A</v>
      </c>
      <c r="U38" t="e">
        <f t="shared" si="34"/>
        <v>#N/A</v>
      </c>
      <c r="V38" t="e">
        <f t="shared" si="35"/>
        <v>#N/A</v>
      </c>
      <c r="W38" t="e">
        <f t="shared" si="36"/>
        <v>#N/A</v>
      </c>
      <c r="X38" t="e">
        <f t="shared" si="37"/>
        <v>#N/A</v>
      </c>
      <c r="Y38" t="e">
        <f t="shared" si="38"/>
        <v>#N/A</v>
      </c>
      <c r="Z38" t="e">
        <f t="shared" si="39"/>
        <v>#N/A</v>
      </c>
      <c r="AA38" t="e">
        <f t="shared" si="40"/>
        <v>#N/A</v>
      </c>
      <c r="AB38" t="e">
        <f t="shared" si="41"/>
        <v>#N/A</v>
      </c>
      <c r="AC38" t="e">
        <f t="shared" si="42"/>
        <v>#N/A</v>
      </c>
      <c r="AD38" t="e">
        <f t="shared" si="43"/>
        <v>#N/A</v>
      </c>
      <c r="AE38" t="e">
        <f t="shared" si="44"/>
        <v>#N/A</v>
      </c>
      <c r="AF38" t="e">
        <f t="shared" si="45"/>
        <v>#N/A</v>
      </c>
      <c r="AG38" t="e">
        <f t="shared" si="46"/>
        <v>#N/A</v>
      </c>
      <c r="AH38" t="e">
        <f t="shared" si="47"/>
        <v>#N/A</v>
      </c>
      <c r="AI38" t="e">
        <f t="shared" si="48"/>
        <v>#N/A</v>
      </c>
      <c r="AJ38" t="e">
        <f t="shared" si="49"/>
        <v>#N/A</v>
      </c>
    </row>
    <row r="39">
      <c r="A39" s="2" t="n">
        <v>45444</v>
      </c>
      <c r="B39" t="n">
        <v>672076</v>
      </c>
      <c r="C39" t="n">
        <v>344825</v>
      </c>
      <c r="D39" t="n">
        <v>138.9</v>
      </c>
      <c r="E39" t="n">
        <v>14294.694591</v>
      </c>
      <c r="F39" t="n">
        <v>4274602.44546671</v>
      </c>
      <c r="G39" t="n">
        <v>0.0403470551307376</v>
      </c>
      <c r="H39" t="n">
        <v>0.667638</v>
      </c>
      <c r="I39" t="n">
        <v>0.043733</v>
      </c>
      <c r="J39" t="n">
        <v>0.0427833333333333</v>
      </c>
      <c r="K39" t="s">
        <v>178</v>
      </c>
      <c r="L39" t="e">
        <f t="shared" si="25"/>
        <v>#N/A</v>
      </c>
      <c r="M39" t="e">
        <f t="shared" si="26"/>
        <v>#N/A</v>
      </c>
      <c r="N39" t="e">
        <f t="shared" si="27"/>
        <v>#N/A</v>
      </c>
      <c r="O39" t="n">
        <f t="shared" si="28"/>
        <v>0</v>
      </c>
      <c r="P39" t="n">
        <f t="shared" si="29"/>
        <v>0</v>
      </c>
      <c r="Q39" t="n">
        <f t="shared" si="30"/>
        <v>0</v>
      </c>
      <c r="R39" t="n">
        <f t="shared" si="31"/>
        <v>0</v>
      </c>
      <c r="S39" t="e">
        <f t="shared" si="32"/>
        <v>#N/A</v>
      </c>
      <c r="T39" t="e">
        <f t="shared" si="33"/>
        <v>#N/A</v>
      </c>
      <c r="U39" t="e">
        <f t="shared" si="34"/>
        <v>#N/A</v>
      </c>
      <c r="V39" t="e">
        <f t="shared" si="35"/>
        <v>#N/A</v>
      </c>
      <c r="W39" t="e">
        <f t="shared" si="36"/>
        <v>#N/A</v>
      </c>
      <c r="X39" t="e">
        <f t="shared" si="37"/>
        <v>#N/A</v>
      </c>
      <c r="Y39" t="e">
        <f t="shared" si="38"/>
        <v>#N/A</v>
      </c>
      <c r="Z39" t="e">
        <f t="shared" si="39"/>
        <v>#N/A</v>
      </c>
      <c r="AA39" t="e">
        <f t="shared" si="40"/>
        <v>#N/A</v>
      </c>
      <c r="AB39" t="e">
        <f t="shared" si="41"/>
        <v>#N/A</v>
      </c>
      <c r="AC39" t="e">
        <f t="shared" si="42"/>
        <v>#N/A</v>
      </c>
      <c r="AD39" t="e">
        <f t="shared" si="43"/>
        <v>#N/A</v>
      </c>
      <c r="AE39" t="e">
        <f t="shared" si="44"/>
        <v>#N/A</v>
      </c>
      <c r="AF39" t="e">
        <f t="shared" si="45"/>
        <v>#N/A</v>
      </c>
      <c r="AG39" t="e">
        <f t="shared" si="46"/>
        <v>#N/A</v>
      </c>
      <c r="AH39" t="e">
        <f t="shared" si="47"/>
        <v>#N/A</v>
      </c>
      <c r="AI39" t="e">
        <f t="shared" si="48"/>
        <v>#N/A</v>
      </c>
      <c r="AJ39" t="e">
        <f t="shared" si="49"/>
        <v>#N/A</v>
      </c>
    </row>
    <row r="40">
      <c r="A40" s="2" t="n">
        <v>45536</v>
      </c>
      <c r="B40" t="n">
        <v>674130</v>
      </c>
      <c r="C40" t="n">
        <v>345185</v>
      </c>
      <c r="D40" t="n">
        <v>139.1</v>
      </c>
      <c r="E40" t="n">
        <v>14411.248641</v>
      </c>
      <c r="F40" t="n">
        <v>4308933.38674943</v>
      </c>
      <c r="G40" t="n">
        <v>0.0411696778876828</v>
      </c>
      <c r="H40" t="n">
        <v>0.670805</v>
      </c>
      <c r="I40" t="n">
        <v>0.0442</v>
      </c>
      <c r="J40" t="n">
        <v>0.0407466666666667</v>
      </c>
      <c r="K40" t="s">
        <v>178</v>
      </c>
      <c r="L40" t="e">
        <f t="shared" si="25"/>
        <v>#N/A</v>
      </c>
      <c r="M40" t="e">
        <f t="shared" si="26"/>
        <v>#N/A</v>
      </c>
      <c r="N40" t="e">
        <f t="shared" si="27"/>
        <v>#N/A</v>
      </c>
      <c r="O40" t="n">
        <f t="shared" si="28"/>
        <v>0</v>
      </c>
      <c r="P40" t="n">
        <f t="shared" si="29"/>
        <v>0</v>
      </c>
      <c r="Q40" t="n">
        <f t="shared" si="30"/>
        <v>0</v>
      </c>
      <c r="R40" t="n">
        <f t="shared" si="31"/>
        <v>0</v>
      </c>
      <c r="S40" t="e">
        <f t="shared" si="32"/>
        <v>#N/A</v>
      </c>
      <c r="T40" t="e">
        <f t="shared" si="33"/>
        <v>#N/A</v>
      </c>
      <c r="U40" t="e">
        <f t="shared" si="34"/>
        <v>#N/A</v>
      </c>
      <c r="V40" t="e">
        <f t="shared" si="35"/>
        <v>#N/A</v>
      </c>
      <c r="W40" t="e">
        <f t="shared" si="36"/>
        <v>#N/A</v>
      </c>
      <c r="X40" t="e">
        <f t="shared" si="37"/>
        <v>#N/A</v>
      </c>
      <c r="Y40" t="e">
        <f t="shared" si="38"/>
        <v>#N/A</v>
      </c>
      <c r="Z40" t="e">
        <f t="shared" si="39"/>
        <v>#N/A</v>
      </c>
      <c r="AA40" t="e">
        <f t="shared" si="40"/>
        <v>#N/A</v>
      </c>
      <c r="AB40" t="e">
        <f t="shared" si="41"/>
        <v>#N/A</v>
      </c>
      <c r="AC40" t="e">
        <f t="shared" si="42"/>
        <v>#N/A</v>
      </c>
      <c r="AD40" t="e">
        <f t="shared" si="43"/>
        <v>#N/A</v>
      </c>
      <c r="AE40" t="e">
        <f t="shared" si="44"/>
        <v>#N/A</v>
      </c>
      <c r="AF40" t="e">
        <f t="shared" si="45"/>
        <v>#N/A</v>
      </c>
      <c r="AG40" t="e">
        <f t="shared" si="46"/>
        <v>#N/A</v>
      </c>
      <c r="AH40" t="e">
        <f t="shared" si="47"/>
        <v>#N/A</v>
      </c>
      <c r="AI40" t="e">
        <f t="shared" si="48"/>
        <v>#N/A</v>
      </c>
      <c r="AJ40" t="e">
        <f t="shared" si="49"/>
        <v>#N/A</v>
      </c>
    </row>
    <row r="41">
      <c r="A41" s="2" t="n">
        <v>45627</v>
      </c>
      <c r="B41" t="n">
        <v>677077</v>
      </c>
      <c r="C41" t="n">
        <v>347360</v>
      </c>
      <c r="D41" t="n">
        <v>139.6</v>
      </c>
      <c r="E41" t="n">
        <v>14473.697393</v>
      </c>
      <c r="F41" t="n">
        <v>4317010.24503452</v>
      </c>
      <c r="G41" t="n">
        <v>0.0401043172136999</v>
      </c>
      <c r="H41" t="n">
        <v>0.670117</v>
      </c>
      <c r="I41" t="n">
        <v>0.044233</v>
      </c>
      <c r="J41" t="n">
        <v>0.0437466666666667</v>
      </c>
      <c r="K41" t="s">
        <v>178</v>
      </c>
      <c r="L41" t="e">
        <f t="shared" si="25"/>
        <v>#N/A</v>
      </c>
      <c r="M41" t="e">
        <f t="shared" si="26"/>
        <v>#N/A</v>
      </c>
      <c r="N41" t="e">
        <f t="shared" si="27"/>
        <v>#N/A</v>
      </c>
      <c r="O41" t="n">
        <f t="shared" si="28"/>
        <v>0</v>
      </c>
      <c r="P41" t="n">
        <f t="shared" si="29"/>
        <v>0</v>
      </c>
      <c r="Q41" t="n">
        <f t="shared" si="30"/>
        <v>0</v>
      </c>
      <c r="R41" t="n">
        <f t="shared" si="31"/>
        <v>0</v>
      </c>
      <c r="S41" t="e">
        <f t="shared" si="32"/>
        <v>#N/A</v>
      </c>
      <c r="T41" t="e">
        <f t="shared" si="33"/>
        <v>#N/A</v>
      </c>
      <c r="U41" t="e">
        <f t="shared" si="34"/>
        <v>#N/A</v>
      </c>
      <c r="V41" t="e">
        <f t="shared" si="35"/>
        <v>#N/A</v>
      </c>
      <c r="W41" t="e">
        <f t="shared" si="36"/>
        <v>#N/A</v>
      </c>
      <c r="X41" t="e">
        <f t="shared" si="37"/>
        <v>#N/A</v>
      </c>
      <c r="Y41" t="e">
        <f t="shared" si="38"/>
        <v>#N/A</v>
      </c>
      <c r="Z41" t="e">
        <f t="shared" si="39"/>
        <v>#N/A</v>
      </c>
      <c r="AA41" t="e">
        <f t="shared" si="40"/>
        <v>#N/A</v>
      </c>
      <c r="AB41" t="e">
        <f t="shared" si="41"/>
        <v>#N/A</v>
      </c>
      <c r="AC41" t="e">
        <f t="shared" si="42"/>
        <v>#N/A</v>
      </c>
      <c r="AD41" t="e">
        <f t="shared" si="43"/>
        <v>#N/A</v>
      </c>
      <c r="AE41" t="e">
        <f t="shared" si="44"/>
        <v>#N/A</v>
      </c>
      <c r="AF41" t="e">
        <f t="shared" si="45"/>
        <v>#N/A</v>
      </c>
      <c r="AG41" t="e">
        <f t="shared" si="46"/>
        <v>#N/A</v>
      </c>
      <c r="AH41" t="e">
        <f t="shared" si="47"/>
        <v>#N/A</v>
      </c>
      <c r="AI41" t="e">
        <f t="shared" si="48"/>
        <v>#N/A</v>
      </c>
      <c r="AJ41" t="e">
        <f t="shared" si="49"/>
        <v>#N/A</v>
      </c>
    </row>
    <row r="42">
      <c r="A42" s="2" t="n">
        <v>45717</v>
      </c>
      <c r="B42" t="n">
        <v>681349.817406348</v>
      </c>
      <c r="C42" t="n">
        <v>350468.540788399</v>
      </c>
      <c r="D42" t="n">
        <v>140.092369592022</v>
      </c>
      <c r="E42" t="n">
        <v>14581.1914216278</v>
      </c>
      <c r="F42" t="n">
        <v>4330796.25448492</v>
      </c>
      <c r="G42" t="n">
        <v>0.0395113021727239</v>
      </c>
      <c r="H42" t="n">
        <v>0.669945984158873</v>
      </c>
      <c r="I42" t="n">
        <v>0.0436541782570385</v>
      </c>
      <c r="J42" t="n">
        <v>0.0435951464976011</v>
      </c>
      <c r="K42" t="s">
        <v>179</v>
      </c>
      <c r="L42" t="e">
        <f t="shared" si="25"/>
        <v>#N/A</v>
      </c>
      <c r="M42" t="e">
        <f t="shared" si="26"/>
        <v>#N/A</v>
      </c>
      <c r="N42" t="e">
        <f t="shared" si="27"/>
        <v>#N/A</v>
      </c>
      <c r="O42" t="n">
        <f t="shared" si="28"/>
        <v>0</v>
      </c>
      <c r="P42" t="n">
        <f t="shared" si="29"/>
        <v>0</v>
      </c>
      <c r="Q42" t="n">
        <f t="shared" si="30"/>
        <v>0</v>
      </c>
      <c r="R42" t="n">
        <f t="shared" si="31"/>
        <v>0</v>
      </c>
      <c r="S42" t="e">
        <f t="shared" si="32"/>
        <v>#N/A</v>
      </c>
      <c r="T42" t="e">
        <f t="shared" si="33"/>
        <v>#N/A</v>
      </c>
      <c r="U42" t="e">
        <f t="shared" si="34"/>
        <v>#N/A</v>
      </c>
      <c r="V42" t="e">
        <f t="shared" si="35"/>
        <v>#N/A</v>
      </c>
      <c r="W42" t="e">
        <f t="shared" si="36"/>
        <v>#N/A</v>
      </c>
      <c r="X42" t="e">
        <f t="shared" si="37"/>
        <v>#N/A</v>
      </c>
      <c r="Y42" t="e">
        <f t="shared" si="38"/>
        <v>#N/A</v>
      </c>
      <c r="Z42" t="e">
        <f t="shared" si="39"/>
        <v>#N/A</v>
      </c>
      <c r="AA42" t="e">
        <f t="shared" si="40"/>
        <v>#N/A</v>
      </c>
      <c r="AB42" t="e">
        <f t="shared" si="41"/>
        <v>#N/A</v>
      </c>
      <c r="AC42" t="e">
        <f t="shared" si="42"/>
        <v>#N/A</v>
      </c>
      <c r="AD42" t="e">
        <f t="shared" si="43"/>
        <v>#N/A</v>
      </c>
      <c r="AE42" t="e">
        <f t="shared" si="44"/>
        <v>#N/A</v>
      </c>
      <c r="AF42" t="e">
        <f t="shared" si="45"/>
        <v>#N/A</v>
      </c>
      <c r="AG42" t="e">
        <f t="shared" si="46"/>
        <v>#N/A</v>
      </c>
      <c r="AH42" t="e">
        <f t="shared" si="47"/>
        <v>#N/A</v>
      </c>
      <c r="AI42" t="e">
        <f t="shared" si="48"/>
        <v>#N/A</v>
      </c>
      <c r="AJ42" t="e">
        <f t="shared" si="49"/>
        <v>#N/A</v>
      </c>
    </row>
    <row r="43">
      <c r="A43" s="2" t="n">
        <v>45809</v>
      </c>
      <c r="B43" t="n">
        <v>685792.277712929</v>
      </c>
      <c r="C43" t="n">
        <v>352938.80097866</v>
      </c>
      <c r="D43" t="n">
        <v>140.679219657773</v>
      </c>
      <c r="E43" t="n">
        <v>14677.6677783645</v>
      </c>
      <c r="F43" t="n">
        <v>4335159.61856228</v>
      </c>
      <c r="G43" t="n">
        <v>0.0396323715556403</v>
      </c>
      <c r="H43" t="n">
        <v>0.669751017680153</v>
      </c>
      <c r="I43" t="n">
        <v>0.0382149918379011</v>
      </c>
      <c r="J43" t="n">
        <v>0.0431321381400727</v>
      </c>
      <c r="K43" t="s">
        <v>179</v>
      </c>
      <c r="L43" t="e">
        <f t="shared" si="25"/>
        <v>#N/A</v>
      </c>
      <c r="M43" t="e">
        <f t="shared" si="26"/>
        <v>#N/A</v>
      </c>
      <c r="N43" t="e">
        <f t="shared" si="27"/>
        <v>#N/A</v>
      </c>
      <c r="O43" t="n">
        <f t="shared" si="28"/>
        <v>0</v>
      </c>
      <c r="P43" t="n">
        <f t="shared" si="29"/>
        <v>0</v>
      </c>
      <c r="Q43" t="n">
        <f t="shared" si="30"/>
        <v>0</v>
      </c>
      <c r="R43" t="n">
        <f t="shared" si="31"/>
        <v>0</v>
      </c>
      <c r="S43" t="e">
        <f t="shared" si="32"/>
        <v>#N/A</v>
      </c>
      <c r="T43" t="e">
        <f t="shared" si="33"/>
        <v>#N/A</v>
      </c>
      <c r="U43" t="e">
        <f t="shared" si="34"/>
        <v>#N/A</v>
      </c>
      <c r="V43" t="e">
        <f t="shared" si="35"/>
        <v>#N/A</v>
      </c>
      <c r="W43" t="e">
        <f t="shared" si="36"/>
        <v>#N/A</v>
      </c>
      <c r="X43" t="e">
        <f t="shared" si="37"/>
        <v>#N/A</v>
      </c>
      <c r="Y43" t="e">
        <f t="shared" si="38"/>
        <v>#N/A</v>
      </c>
      <c r="Z43" t="e">
        <f t="shared" si="39"/>
        <v>#N/A</v>
      </c>
      <c r="AA43" t="e">
        <f t="shared" si="40"/>
        <v>#N/A</v>
      </c>
      <c r="AB43" t="e">
        <f t="shared" si="41"/>
        <v>#N/A</v>
      </c>
      <c r="AC43" t="e">
        <f t="shared" si="42"/>
        <v>#N/A</v>
      </c>
      <c r="AD43" t="e">
        <f t="shared" si="43"/>
        <v>#N/A</v>
      </c>
      <c r="AE43" t="e">
        <f t="shared" si="44"/>
        <v>#N/A</v>
      </c>
      <c r="AF43" t="e">
        <f t="shared" si="45"/>
        <v>#N/A</v>
      </c>
      <c r="AG43" t="e">
        <f t="shared" si="46"/>
        <v>#N/A</v>
      </c>
      <c r="AH43" t="e">
        <f t="shared" si="47"/>
        <v>#N/A</v>
      </c>
      <c r="AI43" t="e">
        <f t="shared" si="48"/>
        <v>#N/A</v>
      </c>
      <c r="AJ43" t="e">
        <f t="shared" si="49"/>
        <v>#N/A</v>
      </c>
    </row>
    <row r="44">
      <c r="A44" s="2" t="n">
        <v>45901</v>
      </c>
      <c r="B44" t="n">
        <v>688612.008883329</v>
      </c>
      <c r="C44" t="n">
        <v>355501.441218767</v>
      </c>
      <c r="D44" t="n">
        <v>141.377691369533</v>
      </c>
      <c r="E44" t="n">
        <v>14732.3279930533</v>
      </c>
      <c r="F44" t="n">
        <v>4331982.12761376</v>
      </c>
      <c r="G44" t="n">
        <v>0.0397607007889189</v>
      </c>
      <c r="H44" t="n">
        <v>0.669416864937389</v>
      </c>
      <c r="I44" t="n">
        <v>0.0359037159711615</v>
      </c>
      <c r="J44" t="n">
        <v>0.042563374979644</v>
      </c>
      <c r="K44" t="s">
        <v>179</v>
      </c>
      <c r="L44" t="e">
        <f t="shared" si="25"/>
        <v>#N/A</v>
      </c>
      <c r="M44" t="e">
        <f t="shared" si="26"/>
        <v>#N/A</v>
      </c>
      <c r="N44" t="e">
        <f t="shared" si="27"/>
        <v>#N/A</v>
      </c>
      <c r="O44" t="n">
        <f t="shared" si="28"/>
        <v>0</v>
      </c>
      <c r="P44" t="n">
        <f t="shared" si="29"/>
        <v>0</v>
      </c>
      <c r="Q44" t="n">
        <f t="shared" si="30"/>
        <v>0</v>
      </c>
      <c r="R44" t="n">
        <f t="shared" si="31"/>
        <v>0</v>
      </c>
      <c r="S44" t="e">
        <f t="shared" si="32"/>
        <v>#N/A</v>
      </c>
      <c r="T44" t="e">
        <f t="shared" si="33"/>
        <v>#N/A</v>
      </c>
      <c r="U44" t="e">
        <f t="shared" si="34"/>
        <v>#N/A</v>
      </c>
      <c r="V44" t="e">
        <f t="shared" si="35"/>
        <v>#N/A</v>
      </c>
      <c r="W44" t="e">
        <f t="shared" si="36"/>
        <v>#N/A</v>
      </c>
      <c r="X44" t="e">
        <f t="shared" si="37"/>
        <v>#N/A</v>
      </c>
      <c r="Y44" t="e">
        <f t="shared" si="38"/>
        <v>#N/A</v>
      </c>
      <c r="Z44" t="e">
        <f t="shared" si="39"/>
        <v>#N/A</v>
      </c>
      <c r="AA44" t="e">
        <f t="shared" si="40"/>
        <v>#N/A</v>
      </c>
      <c r="AB44" t="e">
        <f t="shared" si="41"/>
        <v>#N/A</v>
      </c>
      <c r="AC44" t="e">
        <f t="shared" si="42"/>
        <v>#N/A</v>
      </c>
      <c r="AD44" t="e">
        <f t="shared" si="43"/>
        <v>#N/A</v>
      </c>
      <c r="AE44" t="e">
        <f t="shared" si="44"/>
        <v>#N/A</v>
      </c>
      <c r="AF44" t="e">
        <f t="shared" si="45"/>
        <v>#N/A</v>
      </c>
      <c r="AG44" t="e">
        <f t="shared" si="46"/>
        <v>#N/A</v>
      </c>
      <c r="AH44" t="e">
        <f t="shared" si="47"/>
        <v>#N/A</v>
      </c>
      <c r="AI44" t="e">
        <f t="shared" si="48"/>
        <v>#N/A</v>
      </c>
      <c r="AJ44" t="e">
        <f t="shared" si="49"/>
        <v>#N/A</v>
      </c>
    </row>
    <row r="45">
      <c r="A45" s="2" t="n">
        <v>45992</v>
      </c>
      <c r="B45" t="n">
        <v>691947.412999917</v>
      </c>
      <c r="C45" t="n">
        <v>358023.74330172</v>
      </c>
      <c r="D45" t="n">
        <v>142.175794539455</v>
      </c>
      <c r="E45" t="n">
        <v>14778.8167632947</v>
      </c>
      <c r="F45" t="n">
        <v>4326208.13259025</v>
      </c>
      <c r="G45" t="n">
        <v>0.040491747530636</v>
      </c>
      <c r="H45" t="n">
        <v>0.669132869791734</v>
      </c>
      <c r="I45" t="n">
        <v>0.0339877339762975</v>
      </c>
      <c r="J45" t="n">
        <v>0.0419192880407713</v>
      </c>
      <c r="K45" t="s">
        <v>179</v>
      </c>
      <c r="L45" t="e">
        <f t="shared" si="25"/>
        <v>#N/A</v>
      </c>
      <c r="M45" t="e">
        <f t="shared" si="26"/>
        <v>#N/A</v>
      </c>
      <c r="N45" t="e">
        <f t="shared" si="27"/>
        <v>#N/A</v>
      </c>
      <c r="O45" t="n">
        <f t="shared" si="28"/>
        <v>0</v>
      </c>
      <c r="P45" t="n">
        <f t="shared" si="29"/>
        <v>0</v>
      </c>
      <c r="Q45" t="n">
        <f t="shared" si="30"/>
        <v>0</v>
      </c>
      <c r="R45" t="n">
        <f t="shared" si="31"/>
        <v>0</v>
      </c>
      <c r="S45" t="e">
        <f t="shared" si="32"/>
        <v>#N/A</v>
      </c>
      <c r="T45" t="e">
        <f t="shared" si="33"/>
        <v>#N/A</v>
      </c>
      <c r="U45" t="e">
        <f t="shared" si="34"/>
        <v>#N/A</v>
      </c>
      <c r="V45" t="e">
        <f t="shared" si="35"/>
        <v>#N/A</v>
      </c>
      <c r="W45" t="e">
        <f t="shared" si="36"/>
        <v>#N/A</v>
      </c>
      <c r="X45" t="e">
        <f t="shared" si="37"/>
        <v>#N/A</v>
      </c>
      <c r="Y45" t="e">
        <f t="shared" si="38"/>
        <v>#N/A</v>
      </c>
      <c r="Z45" t="e">
        <f t="shared" si="39"/>
        <v>#N/A</v>
      </c>
      <c r="AA45" t="e">
        <f t="shared" si="40"/>
        <v>#N/A</v>
      </c>
      <c r="AB45" t="e">
        <f t="shared" si="41"/>
        <v>#N/A</v>
      </c>
      <c r="AC45" t="e">
        <f t="shared" si="42"/>
        <v>#N/A</v>
      </c>
      <c r="AD45" t="e">
        <f t="shared" si="43"/>
        <v>#N/A</v>
      </c>
      <c r="AE45" t="e">
        <f t="shared" si="44"/>
        <v>#N/A</v>
      </c>
      <c r="AF45" t="e">
        <f t="shared" si="45"/>
        <v>#N/A</v>
      </c>
      <c r="AG45" t="e">
        <f t="shared" si="46"/>
        <v>#N/A</v>
      </c>
      <c r="AH45" t="e">
        <f t="shared" si="47"/>
        <v>#N/A</v>
      </c>
      <c r="AI45" t="e">
        <f t="shared" si="48"/>
        <v>#N/A</v>
      </c>
      <c r="AJ45" t="e">
        <f t="shared" si="49"/>
        <v>#N/A</v>
      </c>
    </row>
    <row r="46">
      <c r="A46" s="2" t="n">
        <v>46082</v>
      </c>
      <c r="B46" t="n">
        <v>695687.512633825</v>
      </c>
      <c r="C46" t="n">
        <v>360752.795270455</v>
      </c>
      <c r="D46" t="n">
        <v>143.097718629784</v>
      </c>
      <c r="E46" t="n">
        <v>14826.8827617194</v>
      </c>
      <c r="F46" t="n">
        <v>4323080.61881788</v>
      </c>
      <c r="G46" t="n">
        <v>0.0412255157062895</v>
      </c>
      <c r="H46" t="n">
        <v>0.668924635426881</v>
      </c>
      <c r="I46" t="n">
        <v>0.0335518686984596</v>
      </c>
      <c r="J46" t="n">
        <v>0.0412924192756962</v>
      </c>
      <c r="K46" t="s">
        <v>179</v>
      </c>
      <c r="L46" t="e">
        <f t="shared" si="25"/>
        <v>#N/A</v>
      </c>
      <c r="M46" t="e">
        <f t="shared" si="26"/>
        <v>#N/A</v>
      </c>
      <c r="N46" t="e">
        <f t="shared" si="27"/>
        <v>#N/A</v>
      </c>
      <c r="O46" t="n">
        <f t="shared" si="28"/>
        <v>0</v>
      </c>
      <c r="P46" t="n">
        <f t="shared" si="29"/>
        <v>0</v>
      </c>
      <c r="Q46" t="n">
        <f t="shared" si="30"/>
        <v>0</v>
      </c>
      <c r="R46" t="n">
        <f t="shared" si="31"/>
        <v>0</v>
      </c>
      <c r="S46" t="e">
        <f t="shared" si="32"/>
        <v>#N/A</v>
      </c>
      <c r="T46" t="e">
        <f t="shared" si="33"/>
        <v>#N/A</v>
      </c>
      <c r="U46" t="e">
        <f t="shared" si="34"/>
        <v>#N/A</v>
      </c>
      <c r="V46" t="e">
        <f t="shared" si="35"/>
        <v>#N/A</v>
      </c>
      <c r="W46" t="e">
        <f t="shared" si="36"/>
        <v>#N/A</v>
      </c>
      <c r="X46" t="e">
        <f t="shared" si="37"/>
        <v>#N/A</v>
      </c>
      <c r="Y46" t="e">
        <f t="shared" si="38"/>
        <v>#N/A</v>
      </c>
      <c r="Z46" t="e">
        <f t="shared" si="39"/>
        <v>#N/A</v>
      </c>
      <c r="AA46" t="e">
        <f t="shared" si="40"/>
        <v>#N/A</v>
      </c>
      <c r="AB46" t="e">
        <f t="shared" si="41"/>
        <v>#N/A</v>
      </c>
      <c r="AC46" t="e">
        <f t="shared" si="42"/>
        <v>#N/A</v>
      </c>
      <c r="AD46" t="e">
        <f t="shared" si="43"/>
        <v>#N/A</v>
      </c>
      <c r="AE46" t="e">
        <f t="shared" si="44"/>
        <v>#N/A</v>
      </c>
      <c r="AF46" t="e">
        <f t="shared" si="45"/>
        <v>#N/A</v>
      </c>
      <c r="AG46" t="e">
        <f t="shared" si="46"/>
        <v>#N/A</v>
      </c>
      <c r="AH46" t="e">
        <f t="shared" si="47"/>
        <v>#N/A</v>
      </c>
      <c r="AI46" t="e">
        <f t="shared" si="48"/>
        <v>#N/A</v>
      </c>
      <c r="AJ46" t="e">
        <f t="shared" si="49"/>
        <v>#N/A</v>
      </c>
    </row>
    <row r="47">
      <c r="A47" s="2" t="n">
        <v>46174</v>
      </c>
      <c r="B47" t="n">
        <v>699244.815170952</v>
      </c>
      <c r="C47" t="n">
        <v>363323.813853138</v>
      </c>
      <c r="D47" t="n">
        <v>144.117548434641</v>
      </c>
      <c r="E47" t="n">
        <v>14875.7878520062</v>
      </c>
      <c r="F47" t="n">
        <v>4321558.58232149</v>
      </c>
      <c r="G47" t="n">
        <v>0.0419812989177133</v>
      </c>
      <c r="H47" t="n">
        <v>0.668771672076916</v>
      </c>
      <c r="I47" t="n">
        <v>0.0341569836502677</v>
      </c>
      <c r="J47" t="n">
        <v>0.0407431692305247</v>
      </c>
      <c r="K47" t="s">
        <v>179</v>
      </c>
      <c r="L47" t="e">
        <f t="shared" si="25"/>
        <v>#N/A</v>
      </c>
      <c r="M47" t="e">
        <f t="shared" si="26"/>
        <v>#N/A</v>
      </c>
      <c r="N47" t="e">
        <f t="shared" si="27"/>
        <v>#N/A</v>
      </c>
      <c r="O47" t="n">
        <f t="shared" si="28"/>
        <v>0</v>
      </c>
      <c r="P47" t="n">
        <f t="shared" si="29"/>
        <v>0</v>
      </c>
      <c r="Q47" t="n">
        <f t="shared" si="30"/>
        <v>0</v>
      </c>
      <c r="R47" t="n">
        <f t="shared" si="31"/>
        <v>0</v>
      </c>
      <c r="S47" t="e">
        <f t="shared" si="32"/>
        <v>#N/A</v>
      </c>
      <c r="T47" t="e">
        <f t="shared" si="33"/>
        <v>#N/A</v>
      </c>
      <c r="U47" t="e">
        <f t="shared" si="34"/>
        <v>#N/A</v>
      </c>
      <c r="V47" t="e">
        <f t="shared" si="35"/>
        <v>#N/A</v>
      </c>
      <c r="W47" t="e">
        <f t="shared" si="36"/>
        <v>#N/A</v>
      </c>
      <c r="X47" t="e">
        <f t="shared" si="37"/>
        <v>#N/A</v>
      </c>
      <c r="Y47" t="e">
        <f t="shared" si="38"/>
        <v>#N/A</v>
      </c>
      <c r="Z47" t="e">
        <f t="shared" si="39"/>
        <v>#N/A</v>
      </c>
      <c r="AA47" t="e">
        <f t="shared" si="40"/>
        <v>#N/A</v>
      </c>
      <c r="AB47" t="e">
        <f t="shared" si="41"/>
        <v>#N/A</v>
      </c>
      <c r="AC47" t="e">
        <f t="shared" si="42"/>
        <v>#N/A</v>
      </c>
      <c r="AD47" t="e">
        <f t="shared" si="43"/>
        <v>#N/A</v>
      </c>
      <c r="AE47" t="e">
        <f t="shared" si="44"/>
        <v>#N/A</v>
      </c>
      <c r="AF47" t="e">
        <f t="shared" si="45"/>
        <v>#N/A</v>
      </c>
      <c r="AG47" t="e">
        <f t="shared" si="46"/>
        <v>#N/A</v>
      </c>
      <c r="AH47" t="e">
        <f t="shared" si="47"/>
        <v>#N/A</v>
      </c>
      <c r="AI47" t="e">
        <f t="shared" si="48"/>
        <v>#N/A</v>
      </c>
      <c r="AJ47" t="e">
        <f t="shared" si="49"/>
        <v>#N/A</v>
      </c>
    </row>
    <row r="48">
      <c r="A48" s="2" t="n">
        <v>46266</v>
      </c>
      <c r="B48" t="n">
        <v>702843.03004255</v>
      </c>
      <c r="C48" t="n">
        <v>366082.504056462</v>
      </c>
      <c r="D48" t="n">
        <v>145.220521576034</v>
      </c>
      <c r="E48" t="n">
        <v>14923.5322289638</v>
      </c>
      <c r="F48" t="n">
        <v>4321847.05149806</v>
      </c>
      <c r="G48" t="n">
        <v>0.0424256173661893</v>
      </c>
      <c r="H48" t="n">
        <v>0.668654574641102</v>
      </c>
      <c r="I48" t="n">
        <v>0.0359031309144788</v>
      </c>
      <c r="J48" t="n">
        <v>0.040333822781424</v>
      </c>
      <c r="K48" t="s">
        <v>179</v>
      </c>
      <c r="L48" t="e">
        <f t="shared" si="25"/>
        <v>#N/A</v>
      </c>
      <c r="M48" t="e">
        <f t="shared" si="26"/>
        <v>#N/A</v>
      </c>
      <c r="N48" t="e">
        <f t="shared" si="27"/>
        <v>#N/A</v>
      </c>
      <c r="O48" t="n">
        <f t="shared" si="28"/>
        <v>0</v>
      </c>
      <c r="P48" t="n">
        <f t="shared" si="29"/>
        <v>0</v>
      </c>
      <c r="Q48" t="n">
        <f t="shared" si="30"/>
        <v>0</v>
      </c>
      <c r="R48" t="n">
        <f t="shared" si="31"/>
        <v>0</v>
      </c>
      <c r="S48" t="e">
        <f t="shared" si="32"/>
        <v>#N/A</v>
      </c>
      <c r="T48" t="e">
        <f t="shared" si="33"/>
        <v>#N/A</v>
      </c>
      <c r="U48" t="e">
        <f t="shared" si="34"/>
        <v>#N/A</v>
      </c>
      <c r="V48" t="e">
        <f t="shared" si="35"/>
        <v>#N/A</v>
      </c>
      <c r="W48" t="e">
        <f t="shared" si="36"/>
        <v>#N/A</v>
      </c>
      <c r="X48" t="e">
        <f t="shared" si="37"/>
        <v>#N/A</v>
      </c>
      <c r="Y48" t="e">
        <f t="shared" si="38"/>
        <v>#N/A</v>
      </c>
      <c r="Z48" t="e">
        <f t="shared" si="39"/>
        <v>#N/A</v>
      </c>
      <c r="AA48" t="e">
        <f t="shared" si="40"/>
        <v>#N/A</v>
      </c>
      <c r="AB48" t="e">
        <f t="shared" si="41"/>
        <v>#N/A</v>
      </c>
      <c r="AC48" t="e">
        <f t="shared" si="42"/>
        <v>#N/A</v>
      </c>
      <c r="AD48" t="e">
        <f t="shared" si="43"/>
        <v>#N/A</v>
      </c>
      <c r="AE48" t="e">
        <f t="shared" si="44"/>
        <v>#N/A</v>
      </c>
      <c r="AF48" t="e">
        <f t="shared" si="45"/>
        <v>#N/A</v>
      </c>
      <c r="AG48" t="e">
        <f t="shared" si="46"/>
        <v>#N/A</v>
      </c>
      <c r="AH48" t="e">
        <f t="shared" si="47"/>
        <v>#N/A</v>
      </c>
      <c r="AI48" t="e">
        <f t="shared" si="48"/>
        <v>#N/A</v>
      </c>
      <c r="AJ48" t="e">
        <f t="shared" si="49"/>
        <v>#N/A</v>
      </c>
    </row>
    <row r="49">
      <c r="A49" s="2" t="n">
        <v>46357</v>
      </c>
      <c r="B49" t="n">
        <v>706266.192806826</v>
      </c>
      <c r="C49" t="n">
        <v>368856.338261879</v>
      </c>
      <c r="D49" t="n">
        <v>146.395377168667</v>
      </c>
      <c r="E49" t="n">
        <v>14972.0073894541</v>
      </c>
      <c r="F49" t="n">
        <v>4322806.25422847</v>
      </c>
      <c r="G49" t="n">
        <v>0.0429073817582754</v>
      </c>
      <c r="H49" t="n">
        <v>0.66859643122197</v>
      </c>
      <c r="I49" t="n">
        <v>0.0379674361886079</v>
      </c>
      <c r="J49" t="n">
        <v>0.0400738537345696</v>
      </c>
      <c r="K49" t="s">
        <v>179</v>
      </c>
      <c r="L49" t="e">
        <f t="shared" si="25"/>
        <v>#N/A</v>
      </c>
      <c r="M49" t="e">
        <f t="shared" si="26"/>
        <v>#N/A</v>
      </c>
      <c r="N49" t="e">
        <f t="shared" si="27"/>
        <v>#N/A</v>
      </c>
      <c r="O49" t="n">
        <f t="shared" si="28"/>
        <v>0</v>
      </c>
      <c r="P49" t="n">
        <f t="shared" si="29"/>
        <v>0</v>
      </c>
      <c r="Q49" t="n">
        <f t="shared" si="30"/>
        <v>0</v>
      </c>
      <c r="R49" t="n">
        <f t="shared" si="31"/>
        <v>0</v>
      </c>
      <c r="S49" t="e">
        <f t="shared" si="32"/>
        <v>#N/A</v>
      </c>
      <c r="T49" t="e">
        <f t="shared" si="33"/>
        <v>#N/A</v>
      </c>
      <c r="U49" t="e">
        <f t="shared" si="34"/>
        <v>#N/A</v>
      </c>
      <c r="V49" t="e">
        <f t="shared" si="35"/>
        <v>#N/A</v>
      </c>
      <c r="W49" t="e">
        <f t="shared" si="36"/>
        <v>#N/A</v>
      </c>
      <c r="X49" t="e">
        <f t="shared" si="37"/>
        <v>#N/A</v>
      </c>
      <c r="Y49" t="e">
        <f t="shared" si="38"/>
        <v>#N/A</v>
      </c>
      <c r="Z49" t="e">
        <f t="shared" si="39"/>
        <v>#N/A</v>
      </c>
      <c r="AA49" t="e">
        <f t="shared" si="40"/>
        <v>#N/A</v>
      </c>
      <c r="AB49" t="e">
        <f t="shared" si="41"/>
        <v>#N/A</v>
      </c>
      <c r="AC49" t="e">
        <f t="shared" si="42"/>
        <v>#N/A</v>
      </c>
      <c r="AD49" t="e">
        <f t="shared" si="43"/>
        <v>#N/A</v>
      </c>
      <c r="AE49" t="e">
        <f t="shared" si="44"/>
        <v>#N/A</v>
      </c>
      <c r="AF49" t="e">
        <f t="shared" si="45"/>
        <v>#N/A</v>
      </c>
      <c r="AG49" t="e">
        <f t="shared" si="46"/>
        <v>#N/A</v>
      </c>
      <c r="AH49" t="e">
        <f t="shared" si="47"/>
        <v>#N/A</v>
      </c>
      <c r="AI49" t="e">
        <f t="shared" si="48"/>
        <v>#N/A</v>
      </c>
      <c r="AJ49" t="e">
        <f t="shared" si="49"/>
        <v>#N/A</v>
      </c>
    </row>
    <row r="50">
      <c r="A50" s="2" t="n">
        <v>46447</v>
      </c>
      <c r="B50" t="n">
        <v>709458.879103655</v>
      </c>
      <c r="C50" t="n">
        <v>371444.586814535</v>
      </c>
      <c r="D50" t="n">
        <v>147.623680884132</v>
      </c>
      <c r="E50" t="n">
        <v>15017.1746113401</v>
      </c>
      <c r="F50" t="n">
        <v>4322108.42867411</v>
      </c>
      <c r="G50" t="n">
        <v>0.0436129369375887</v>
      </c>
      <c r="H50" t="n">
        <v>0.668547424262209</v>
      </c>
      <c r="I50" t="n">
        <v>0.0396383335843634</v>
      </c>
      <c r="J50" t="n">
        <v>0.0399300309955436</v>
      </c>
      <c r="K50" t="s">
        <v>179</v>
      </c>
      <c r="L50" t="e">
        <f t="shared" si="25"/>
        <v>#N/A</v>
      </c>
      <c r="M50" t="e">
        <f t="shared" si="26"/>
        <v>#N/A</v>
      </c>
      <c r="N50" t="e">
        <f t="shared" si="27"/>
        <v>#N/A</v>
      </c>
      <c r="O50" t="n">
        <f t="shared" si="28"/>
        <v>0</v>
      </c>
      <c r="P50" t="n">
        <f t="shared" si="29"/>
        <v>0</v>
      </c>
      <c r="Q50" t="n">
        <f t="shared" si="30"/>
        <v>0</v>
      </c>
      <c r="R50" t="n">
        <f t="shared" si="31"/>
        <v>0</v>
      </c>
      <c r="S50" t="e">
        <f t="shared" si="32"/>
        <v>#N/A</v>
      </c>
      <c r="T50" t="e">
        <f t="shared" si="33"/>
        <v>#N/A</v>
      </c>
      <c r="U50" t="e">
        <f t="shared" si="34"/>
        <v>#N/A</v>
      </c>
      <c r="V50" t="e">
        <f t="shared" si="35"/>
        <v>#N/A</v>
      </c>
      <c r="W50" t="e">
        <f t="shared" si="36"/>
        <v>#N/A</v>
      </c>
      <c r="X50" t="e">
        <f t="shared" si="37"/>
        <v>#N/A</v>
      </c>
      <c r="Y50" t="e">
        <f t="shared" si="38"/>
        <v>#N/A</v>
      </c>
      <c r="Z50" t="e">
        <f t="shared" si="39"/>
        <v>#N/A</v>
      </c>
      <c r="AA50" t="e">
        <f t="shared" si="40"/>
        <v>#N/A</v>
      </c>
      <c r="AB50" t="e">
        <f t="shared" si="41"/>
        <v>#N/A</v>
      </c>
      <c r="AC50" t="e">
        <f t="shared" si="42"/>
        <v>#N/A</v>
      </c>
      <c r="AD50" t="e">
        <f t="shared" si="43"/>
        <v>#N/A</v>
      </c>
      <c r="AE50" t="e">
        <f t="shared" si="44"/>
        <v>#N/A</v>
      </c>
      <c r="AF50" t="e">
        <f t="shared" si="45"/>
        <v>#N/A</v>
      </c>
      <c r="AG50" t="e">
        <f t="shared" si="46"/>
        <v>#N/A</v>
      </c>
      <c r="AH50" t="e">
        <f t="shared" si="47"/>
        <v>#N/A</v>
      </c>
      <c r="AI50" t="e">
        <f t="shared" si="48"/>
        <v>#N/A</v>
      </c>
      <c r="AJ50" t="e">
        <f t="shared" si="49"/>
        <v>#N/A</v>
      </c>
    </row>
    <row r="51">
      <c r="A51" s="2" t="n">
        <v>46539</v>
      </c>
      <c r="B51" t="n">
        <v>712594.195834163</v>
      </c>
      <c r="C51" t="n">
        <v>373786.62155354</v>
      </c>
      <c r="D51" t="n">
        <v>148.914046646654</v>
      </c>
      <c r="E51" t="n">
        <v>15060.2835781554</v>
      </c>
      <c r="F51" t="n">
        <v>4320748.86360308</v>
      </c>
      <c r="G51" t="n">
        <v>0.0443793796147313</v>
      </c>
      <c r="H51" t="n">
        <v>0.668450735412923</v>
      </c>
      <c r="I51" t="n">
        <v>0.0410120247436436</v>
      </c>
      <c r="J51" t="n">
        <v>0.0398770295631128</v>
      </c>
      <c r="K51" t="s">
        <v>179</v>
      </c>
      <c r="L51" t="e">
        <f t="shared" si="25"/>
        <v>#N/A</v>
      </c>
      <c r="M51" t="e">
        <f t="shared" si="26"/>
        <v>#N/A</v>
      </c>
      <c r="N51" t="e">
        <f t="shared" si="27"/>
        <v>#N/A</v>
      </c>
      <c r="O51" t="n">
        <f t="shared" si="28"/>
        <v>0</v>
      </c>
      <c r="P51" t="n">
        <f t="shared" si="29"/>
        <v>0</v>
      </c>
      <c r="Q51" t="n">
        <f t="shared" si="30"/>
        <v>0</v>
      </c>
      <c r="R51" t="n">
        <f t="shared" si="31"/>
        <v>0</v>
      </c>
      <c r="S51" t="e">
        <f t="shared" si="32"/>
        <v>#N/A</v>
      </c>
      <c r="T51" t="e">
        <f t="shared" si="33"/>
        <v>#N/A</v>
      </c>
      <c r="U51" t="e">
        <f t="shared" si="34"/>
        <v>#N/A</v>
      </c>
      <c r="V51" t="e">
        <f t="shared" si="35"/>
        <v>#N/A</v>
      </c>
      <c r="W51" t="e">
        <f t="shared" si="36"/>
        <v>#N/A</v>
      </c>
      <c r="X51" t="e">
        <f t="shared" si="37"/>
        <v>#N/A</v>
      </c>
      <c r="Y51" t="e">
        <f t="shared" si="38"/>
        <v>#N/A</v>
      </c>
      <c r="Z51" t="e">
        <f t="shared" si="39"/>
        <v>#N/A</v>
      </c>
      <c r="AA51" t="e">
        <f t="shared" si="40"/>
        <v>#N/A</v>
      </c>
      <c r="AB51" t="e">
        <f t="shared" si="41"/>
        <v>#N/A</v>
      </c>
      <c r="AC51" t="e">
        <f t="shared" si="42"/>
        <v>#N/A</v>
      </c>
      <c r="AD51" t="e">
        <f t="shared" si="43"/>
        <v>#N/A</v>
      </c>
      <c r="AE51" t="e">
        <f t="shared" si="44"/>
        <v>#N/A</v>
      </c>
      <c r="AF51" t="e">
        <f t="shared" si="45"/>
        <v>#N/A</v>
      </c>
      <c r="AG51" t="e">
        <f t="shared" si="46"/>
        <v>#N/A</v>
      </c>
      <c r="AH51" t="e">
        <f t="shared" si="47"/>
        <v>#N/A</v>
      </c>
      <c r="AI51" t="e">
        <f t="shared" si="48"/>
        <v>#N/A</v>
      </c>
      <c r="AJ51" t="e">
        <f t="shared" si="49"/>
        <v>#N/A</v>
      </c>
    </row>
    <row r="52">
      <c r="A52" s="2" t="n">
        <v>46631</v>
      </c>
      <c r="B52" t="n">
        <v>714819.34781749</v>
      </c>
      <c r="C52" t="n">
        <v>376027.444483735</v>
      </c>
      <c r="D52" t="n">
        <v>150.252254333841</v>
      </c>
      <c r="E52" t="n">
        <v>15095.4899626579</v>
      </c>
      <c r="F52" t="n">
        <v>4316395.94449875</v>
      </c>
      <c r="G52" t="n">
        <v>0.0454140463845546</v>
      </c>
      <c r="H52" t="n">
        <v>0.668314748992686</v>
      </c>
      <c r="I52" t="n">
        <v>0.0416643341785135</v>
      </c>
      <c r="J52" t="n">
        <v>0.0398661346338606</v>
      </c>
      <c r="K52" t="s">
        <v>179</v>
      </c>
      <c r="L52" t="e">
        <f t="shared" si="25"/>
        <v>#N/A</v>
      </c>
      <c r="M52" t="e">
        <f t="shared" si="26"/>
        <v>#N/A</v>
      </c>
      <c r="N52" t="e">
        <f t="shared" si="27"/>
        <v>#N/A</v>
      </c>
      <c r="O52" t="n">
        <f t="shared" si="28"/>
        <v>0</v>
      </c>
      <c r="P52" t="n">
        <f t="shared" si="29"/>
        <v>0</v>
      </c>
      <c r="Q52" t="n">
        <f t="shared" si="30"/>
        <v>0</v>
      </c>
      <c r="R52" t="n">
        <f t="shared" si="31"/>
        <v>0</v>
      </c>
      <c r="S52" t="e">
        <f t="shared" si="32"/>
        <v>#N/A</v>
      </c>
      <c r="T52" t="e">
        <f t="shared" si="33"/>
        <v>#N/A</v>
      </c>
      <c r="U52" t="e">
        <f t="shared" si="34"/>
        <v>#N/A</v>
      </c>
      <c r="V52" t="e">
        <f t="shared" si="35"/>
        <v>#N/A</v>
      </c>
      <c r="W52" t="e">
        <f t="shared" si="36"/>
        <v>#N/A</v>
      </c>
      <c r="X52" t="e">
        <f t="shared" si="37"/>
        <v>#N/A</v>
      </c>
      <c r="Y52" t="e">
        <f t="shared" si="38"/>
        <v>#N/A</v>
      </c>
      <c r="Z52" t="e">
        <f t="shared" si="39"/>
        <v>#N/A</v>
      </c>
      <c r="AA52" t="e">
        <f t="shared" si="40"/>
        <v>#N/A</v>
      </c>
      <c r="AB52" t="e">
        <f t="shared" si="41"/>
        <v>#N/A</v>
      </c>
      <c r="AC52" t="e">
        <f t="shared" si="42"/>
        <v>#N/A</v>
      </c>
      <c r="AD52" t="e">
        <f t="shared" si="43"/>
        <v>#N/A</v>
      </c>
      <c r="AE52" t="e">
        <f t="shared" si="44"/>
        <v>#N/A</v>
      </c>
      <c r="AF52" t="e">
        <f t="shared" si="45"/>
        <v>#N/A</v>
      </c>
      <c r="AG52" t="e">
        <f t="shared" si="46"/>
        <v>#N/A</v>
      </c>
      <c r="AH52" t="e">
        <f t="shared" si="47"/>
        <v>#N/A</v>
      </c>
      <c r="AI52" t="e">
        <f t="shared" si="48"/>
        <v>#N/A</v>
      </c>
      <c r="AJ52" t="e">
        <f t="shared" si="49"/>
        <v>#N/A</v>
      </c>
    </row>
    <row r="53">
      <c r="A53" s="2" t="n">
        <v>46722</v>
      </c>
      <c r="B53" t="n">
        <v>717647.617609612</v>
      </c>
      <c r="C53" t="n">
        <v>378416.662551428</v>
      </c>
      <c r="D53" t="n">
        <v>151.641734775741</v>
      </c>
      <c r="E53" t="n">
        <v>15131.2579233848</v>
      </c>
      <c r="F53" t="n">
        <v>4312934.58332482</v>
      </c>
      <c r="G53" t="n">
        <v>0.0463129391221991</v>
      </c>
      <c r="H53" t="n">
        <v>0.668111722464428</v>
      </c>
      <c r="I53" t="n">
        <v>0.0422137488115506</v>
      </c>
      <c r="J53" t="n">
        <v>0.0398884519822832</v>
      </c>
      <c r="K53" t="s">
        <v>179</v>
      </c>
      <c r="L53" t="e">
        <f t="shared" si="25"/>
        <v>#N/A</v>
      </c>
      <c r="M53" t="e">
        <f t="shared" si="26"/>
        <v>#N/A</v>
      </c>
      <c r="N53" t="e">
        <f t="shared" si="27"/>
        <v>#N/A</v>
      </c>
      <c r="O53" t="n">
        <f t="shared" si="28"/>
        <v>0</v>
      </c>
      <c r="P53" t="n">
        <f t="shared" si="29"/>
        <v>0</v>
      </c>
      <c r="Q53" t="n">
        <f t="shared" si="30"/>
        <v>0</v>
      </c>
      <c r="R53" t="n">
        <f t="shared" si="31"/>
        <v>0</v>
      </c>
      <c r="S53" t="e">
        <f t="shared" si="32"/>
        <v>#N/A</v>
      </c>
      <c r="T53" t="e">
        <f t="shared" si="33"/>
        <v>#N/A</v>
      </c>
      <c r="U53" t="e">
        <f t="shared" si="34"/>
        <v>#N/A</v>
      </c>
      <c r="V53" t="e">
        <f t="shared" si="35"/>
        <v>#N/A</v>
      </c>
      <c r="W53" t="e">
        <f t="shared" si="36"/>
        <v>#N/A</v>
      </c>
      <c r="X53" t="e">
        <f t="shared" si="37"/>
        <v>#N/A</v>
      </c>
      <c r="Y53" t="e">
        <f t="shared" si="38"/>
        <v>#N/A</v>
      </c>
      <c r="Z53" t="e">
        <f t="shared" si="39"/>
        <v>#N/A</v>
      </c>
      <c r="AA53" t="e">
        <f t="shared" si="40"/>
        <v>#N/A</v>
      </c>
      <c r="AB53" t="e">
        <f t="shared" si="41"/>
        <v>#N/A</v>
      </c>
      <c r="AC53" t="e">
        <f t="shared" si="42"/>
        <v>#N/A</v>
      </c>
      <c r="AD53" t="e">
        <f t="shared" si="43"/>
        <v>#N/A</v>
      </c>
      <c r="AE53" t="e">
        <f t="shared" si="44"/>
        <v>#N/A</v>
      </c>
      <c r="AF53" t="e">
        <f t="shared" si="45"/>
        <v>#N/A</v>
      </c>
      <c r="AG53" t="e">
        <f t="shared" si="46"/>
        <v>#N/A</v>
      </c>
      <c r="AH53" t="e">
        <f t="shared" si="47"/>
        <v>#N/A</v>
      </c>
      <c r="AI53" t="e">
        <f t="shared" si="48"/>
        <v>#N/A</v>
      </c>
      <c r="AJ53" t="e">
        <f t="shared" si="49"/>
        <v>#N/A</v>
      </c>
    </row>
    <row r="54">
      <c r="A54" s="2" t="n">
        <v>46813</v>
      </c>
      <c r="B54" t="n">
        <v>720497.053839629</v>
      </c>
      <c r="C54" t="n">
        <v>380889.316002802</v>
      </c>
      <c r="D54" t="n">
        <v>153.075589725659</v>
      </c>
      <c r="E54" t="n">
        <v>15168.2873191384</v>
      </c>
      <c r="F54" t="n">
        <v>4310331.1013214</v>
      </c>
      <c r="G54" t="n">
        <v>0.0471264767964102</v>
      </c>
      <c r="H54" t="n">
        <v>0.667907410448033</v>
      </c>
      <c r="I54" t="n">
        <v>0.0426573077422386</v>
      </c>
      <c r="J54" t="n">
        <v>0.0399355059579691</v>
      </c>
      <c r="K54" t="s">
        <v>179</v>
      </c>
      <c r="L54" t="e">
        <f t="shared" si="25"/>
        <v>#N/A</v>
      </c>
      <c r="M54" t="e">
        <f t="shared" si="26"/>
        <v>#N/A</v>
      </c>
      <c r="N54" t="e">
        <f t="shared" si="27"/>
        <v>#N/A</v>
      </c>
      <c r="O54" t="n">
        <f t="shared" si="28"/>
        <v>0</v>
      </c>
      <c r="P54" t="n">
        <f t="shared" si="29"/>
        <v>0</v>
      </c>
      <c r="Q54" t="n">
        <f t="shared" si="30"/>
        <v>0</v>
      </c>
      <c r="R54" t="n">
        <f t="shared" si="31"/>
        <v>0</v>
      </c>
      <c r="S54" t="e">
        <f t="shared" si="32"/>
        <v>#N/A</v>
      </c>
      <c r="T54" t="e">
        <f t="shared" si="33"/>
        <v>#N/A</v>
      </c>
      <c r="U54" t="e">
        <f t="shared" si="34"/>
        <v>#N/A</v>
      </c>
      <c r="V54" t="e">
        <f t="shared" si="35"/>
        <v>#N/A</v>
      </c>
      <c r="W54" t="e">
        <f t="shared" si="36"/>
        <v>#N/A</v>
      </c>
      <c r="X54" t="e">
        <f t="shared" si="37"/>
        <v>#N/A</v>
      </c>
      <c r="Y54" t="e">
        <f t="shared" si="38"/>
        <v>#N/A</v>
      </c>
      <c r="Z54" t="e">
        <f t="shared" si="39"/>
        <v>#N/A</v>
      </c>
      <c r="AA54" t="e">
        <f t="shared" si="40"/>
        <v>#N/A</v>
      </c>
      <c r="AB54" t="e">
        <f t="shared" si="41"/>
        <v>#N/A</v>
      </c>
      <c r="AC54" t="e">
        <f t="shared" si="42"/>
        <v>#N/A</v>
      </c>
      <c r="AD54" t="e">
        <f t="shared" si="43"/>
        <v>#N/A</v>
      </c>
      <c r="AE54" t="e">
        <f t="shared" si="44"/>
        <v>#N/A</v>
      </c>
      <c r="AF54" t="e">
        <f t="shared" si="45"/>
        <v>#N/A</v>
      </c>
      <c r="AG54" t="e">
        <f t="shared" si="46"/>
        <v>#N/A</v>
      </c>
      <c r="AH54" t="e">
        <f t="shared" si="47"/>
        <v>#N/A</v>
      </c>
      <c r="AI54" t="e">
        <f t="shared" si="48"/>
        <v>#N/A</v>
      </c>
      <c r="AJ54" t="e">
        <f t="shared" si="49"/>
        <v>#N/A</v>
      </c>
    </row>
    <row r="55">
      <c r="A55" s="2" t="n">
        <v>46905</v>
      </c>
      <c r="B55" t="n">
        <v>723624.657889543</v>
      </c>
      <c r="C55" t="n">
        <v>383225.019462153</v>
      </c>
      <c r="D55" t="n">
        <v>154.554370600243</v>
      </c>
      <c r="E55" t="n">
        <v>15208.2911867124</v>
      </c>
      <c r="F55" t="n">
        <v>4309404.70919222</v>
      </c>
      <c r="G55" t="n">
        <v>0.0477635975387351</v>
      </c>
      <c r="H55" t="n">
        <v>0.667712597679596</v>
      </c>
      <c r="I55" t="n">
        <v>0.0431537756231835</v>
      </c>
      <c r="J55" t="n">
        <v>0.0400087738530239</v>
      </c>
      <c r="K55" t="s">
        <v>179</v>
      </c>
      <c r="L55" t="e">
        <f t="shared" si="25"/>
        <v>#N/A</v>
      </c>
      <c r="M55" t="e">
        <f t="shared" si="26"/>
        <v>#N/A</v>
      </c>
      <c r="N55" t="e">
        <f t="shared" si="27"/>
        <v>#N/A</v>
      </c>
      <c r="O55" t="n">
        <f t="shared" si="28"/>
        <v>0</v>
      </c>
      <c r="P55" t="n">
        <f t="shared" si="29"/>
        <v>0</v>
      </c>
      <c r="Q55" t="n">
        <f t="shared" si="30"/>
        <v>0</v>
      </c>
      <c r="R55" t="n">
        <f t="shared" si="31"/>
        <v>0</v>
      </c>
      <c r="S55" t="e">
        <f t="shared" si="32"/>
        <v>#N/A</v>
      </c>
      <c r="T55" t="e">
        <f t="shared" si="33"/>
        <v>#N/A</v>
      </c>
      <c r="U55" t="e">
        <f t="shared" si="34"/>
        <v>#N/A</v>
      </c>
      <c r="V55" t="e">
        <f t="shared" si="35"/>
        <v>#N/A</v>
      </c>
      <c r="W55" t="e">
        <f t="shared" si="36"/>
        <v>#N/A</v>
      </c>
      <c r="X55" t="e">
        <f t="shared" si="37"/>
        <v>#N/A</v>
      </c>
      <c r="Y55" t="e">
        <f t="shared" si="38"/>
        <v>#N/A</v>
      </c>
      <c r="Z55" t="e">
        <f t="shared" si="39"/>
        <v>#N/A</v>
      </c>
      <c r="AA55" t="e">
        <f t="shared" si="40"/>
        <v>#N/A</v>
      </c>
      <c r="AB55" t="e">
        <f t="shared" si="41"/>
        <v>#N/A</v>
      </c>
      <c r="AC55" t="e">
        <f t="shared" si="42"/>
        <v>#N/A</v>
      </c>
      <c r="AD55" t="e">
        <f t="shared" si="43"/>
        <v>#N/A</v>
      </c>
      <c r="AE55" t="e">
        <f t="shared" si="44"/>
        <v>#N/A</v>
      </c>
      <c r="AF55" t="e">
        <f t="shared" si="45"/>
        <v>#N/A</v>
      </c>
      <c r="AG55" t="e">
        <f t="shared" si="46"/>
        <v>#N/A</v>
      </c>
      <c r="AH55" t="e">
        <f t="shared" si="47"/>
        <v>#N/A</v>
      </c>
      <c r="AI55" t="e">
        <f t="shared" si="48"/>
        <v>#N/A</v>
      </c>
      <c r="AJ55" t="e">
        <f t="shared" si="49"/>
        <v>#N/A</v>
      </c>
    </row>
    <row r="56">
      <c r="A56" s="2" t="n">
        <v>46997</v>
      </c>
      <c r="B56" t="n">
        <v>725342.555396066</v>
      </c>
      <c r="C56" t="n">
        <v>385286.589187227</v>
      </c>
      <c r="D56" t="n">
        <v>156.046231558276</v>
      </c>
      <c r="E56" t="n">
        <v>15235.8173615431</v>
      </c>
      <c r="F56" t="n">
        <v>4304595.15299644</v>
      </c>
      <c r="G56" t="n">
        <v>0.0491360521493307</v>
      </c>
      <c r="H56" t="n">
        <v>0.667523022956013</v>
      </c>
      <c r="I56" t="n">
        <v>0.0421958882543732</v>
      </c>
      <c r="J56" t="n">
        <v>0.0400205147356353</v>
      </c>
      <c r="K56" t="s">
        <v>179</v>
      </c>
      <c r="L56" t="e">
        <f t="shared" si="25"/>
        <v>#N/A</v>
      </c>
      <c r="M56" t="e">
        <f t="shared" si="26"/>
        <v>#N/A</v>
      </c>
      <c r="N56" t="e">
        <f t="shared" si="27"/>
        <v>#N/A</v>
      </c>
      <c r="O56" t="n">
        <f t="shared" si="28"/>
        <v>0</v>
      </c>
      <c r="P56" t="n">
        <f t="shared" si="29"/>
        <v>0</v>
      </c>
      <c r="Q56" t="n">
        <f t="shared" si="30"/>
        <v>0</v>
      </c>
      <c r="R56" t="n">
        <f t="shared" si="31"/>
        <v>0</v>
      </c>
      <c r="S56" t="e">
        <f t="shared" si="32"/>
        <v>#N/A</v>
      </c>
      <c r="T56" t="e">
        <f t="shared" si="33"/>
        <v>#N/A</v>
      </c>
      <c r="U56" t="e">
        <f t="shared" si="34"/>
        <v>#N/A</v>
      </c>
      <c r="V56" t="e">
        <f t="shared" si="35"/>
        <v>#N/A</v>
      </c>
      <c r="W56" t="e">
        <f t="shared" si="36"/>
        <v>#N/A</v>
      </c>
      <c r="X56" t="e">
        <f t="shared" si="37"/>
        <v>#N/A</v>
      </c>
      <c r="Y56" t="e">
        <f t="shared" si="38"/>
        <v>#N/A</v>
      </c>
      <c r="Z56" t="e">
        <f t="shared" si="39"/>
        <v>#N/A</v>
      </c>
      <c r="AA56" t="e">
        <f t="shared" si="40"/>
        <v>#N/A</v>
      </c>
      <c r="AB56" t="e">
        <f t="shared" si="41"/>
        <v>#N/A</v>
      </c>
      <c r="AC56" t="e">
        <f t="shared" si="42"/>
        <v>#N/A</v>
      </c>
      <c r="AD56" t="e">
        <f t="shared" si="43"/>
        <v>#N/A</v>
      </c>
      <c r="AE56" t="e">
        <f t="shared" si="44"/>
        <v>#N/A</v>
      </c>
      <c r="AF56" t="e">
        <f t="shared" si="45"/>
        <v>#N/A</v>
      </c>
      <c r="AG56" t="e">
        <f t="shared" si="46"/>
        <v>#N/A</v>
      </c>
      <c r="AH56" t="e">
        <f t="shared" si="47"/>
        <v>#N/A</v>
      </c>
      <c r="AI56" t="e">
        <f t="shared" si="48"/>
        <v>#N/A</v>
      </c>
      <c r="AJ56" t="e">
        <f t="shared" si="49"/>
        <v>#N/A</v>
      </c>
    </row>
    <row r="57">
      <c r="A57" s="2" t="n">
        <v>47088</v>
      </c>
      <c r="B57" t="n">
        <v>727743.371728542</v>
      </c>
      <c r="C57" t="n">
        <v>387559.506482478</v>
      </c>
      <c r="D57" t="n">
        <v>157.576832302087</v>
      </c>
      <c r="E57" t="n">
        <v>15263.9032346459</v>
      </c>
      <c r="F57" t="n">
        <v>4300816.10315524</v>
      </c>
      <c r="G57" t="n">
        <v>0.0503014116144994</v>
      </c>
      <c r="H57" t="n">
        <v>0.667217751277236</v>
      </c>
      <c r="I57" t="n">
        <v>0.0412376084377758</v>
      </c>
      <c r="J57" t="n">
        <v>0.0399748120111168</v>
      </c>
      <c r="K57" t="s">
        <v>179</v>
      </c>
      <c r="L57" t="e">
        <f t="shared" si="25"/>
        <v>#N/A</v>
      </c>
      <c r="M57" t="e">
        <f t="shared" si="26"/>
        <v>#N/A</v>
      </c>
      <c r="N57" t="e">
        <f t="shared" si="27"/>
        <v>#N/A</v>
      </c>
      <c r="O57" t="n">
        <f t="shared" si="28"/>
        <v>0</v>
      </c>
      <c r="P57" t="n">
        <f t="shared" si="29"/>
        <v>0</v>
      </c>
      <c r="Q57" t="n">
        <f t="shared" si="30"/>
        <v>0</v>
      </c>
      <c r="R57" t="n">
        <f t="shared" si="31"/>
        <v>0</v>
      </c>
      <c r="S57" t="e">
        <f t="shared" si="32"/>
        <v>#N/A</v>
      </c>
      <c r="T57" t="e">
        <f t="shared" si="33"/>
        <v>#N/A</v>
      </c>
      <c r="U57" t="e">
        <f t="shared" si="34"/>
        <v>#N/A</v>
      </c>
      <c r="V57" t="e">
        <f t="shared" si="35"/>
        <v>#N/A</v>
      </c>
      <c r="W57" t="e">
        <f t="shared" si="36"/>
        <v>#N/A</v>
      </c>
      <c r="X57" t="e">
        <f t="shared" si="37"/>
        <v>#N/A</v>
      </c>
      <c r="Y57" t="e">
        <f t="shared" si="38"/>
        <v>#N/A</v>
      </c>
      <c r="Z57" t="e">
        <f t="shared" si="39"/>
        <v>#N/A</v>
      </c>
      <c r="AA57" t="e">
        <f t="shared" si="40"/>
        <v>#N/A</v>
      </c>
      <c r="AB57" t="e">
        <f t="shared" si="41"/>
        <v>#N/A</v>
      </c>
      <c r="AC57" t="e">
        <f t="shared" si="42"/>
        <v>#N/A</v>
      </c>
      <c r="AD57" t="e">
        <f t="shared" si="43"/>
        <v>#N/A</v>
      </c>
      <c r="AE57" t="e">
        <f t="shared" si="44"/>
        <v>#N/A</v>
      </c>
      <c r="AF57" t="e">
        <f t="shared" si="45"/>
        <v>#N/A</v>
      </c>
      <c r="AG57" t="e">
        <f t="shared" si="46"/>
        <v>#N/A</v>
      </c>
      <c r="AH57" t="e">
        <f t="shared" si="47"/>
        <v>#N/A</v>
      </c>
      <c r="AI57" t="e">
        <f t="shared" si="48"/>
        <v>#N/A</v>
      </c>
      <c r="AJ57" t="e">
        <f t="shared" si="49"/>
        <v>#N/A</v>
      </c>
    </row>
    <row r="58">
      <c r="A58" s="2" t="n">
        <v>47178</v>
      </c>
      <c r="B58" t="n">
        <v>730222.43561767</v>
      </c>
      <c r="C58" t="n">
        <v>389965.747326384</v>
      </c>
      <c r="D58" t="n">
        <v>159.136470584545</v>
      </c>
      <c r="E58" t="n">
        <v>15293.9626550938</v>
      </c>
      <c r="F58" t="n">
        <v>4298243.88466705</v>
      </c>
      <c r="G58" t="n">
        <v>0.0513287476286303</v>
      </c>
      <c r="H58" t="n">
        <v>0.666906448324875</v>
      </c>
      <c r="I58" t="n">
        <v>0.0402336856360304</v>
      </c>
      <c r="J58" t="n">
        <v>0.0398728010217496</v>
      </c>
      <c r="K58" t="s">
        <v>179</v>
      </c>
      <c r="L58" t="e">
        <f t="shared" si="25"/>
        <v>#N/A</v>
      </c>
      <c r="M58" t="e">
        <f t="shared" si="26"/>
        <v>#N/A</v>
      </c>
      <c r="N58" t="e">
        <f t="shared" si="27"/>
        <v>#N/A</v>
      </c>
      <c r="O58" t="n">
        <f t="shared" si="28"/>
        <v>0</v>
      </c>
      <c r="P58" t="n">
        <f t="shared" si="29"/>
        <v>0</v>
      </c>
      <c r="Q58" t="n">
        <f t="shared" si="30"/>
        <v>0</v>
      </c>
      <c r="R58" t="n">
        <f t="shared" si="31"/>
        <v>0</v>
      </c>
      <c r="S58" t="e">
        <f t="shared" si="32"/>
        <v>#N/A</v>
      </c>
      <c r="T58" t="e">
        <f t="shared" si="33"/>
        <v>#N/A</v>
      </c>
      <c r="U58" t="e">
        <f t="shared" si="34"/>
        <v>#N/A</v>
      </c>
      <c r="V58" t="e">
        <f t="shared" si="35"/>
        <v>#N/A</v>
      </c>
      <c r="W58" t="e">
        <f t="shared" si="36"/>
        <v>#N/A</v>
      </c>
      <c r="X58" t="e">
        <f t="shared" si="37"/>
        <v>#N/A</v>
      </c>
      <c r="Y58" t="e">
        <f t="shared" si="38"/>
        <v>#N/A</v>
      </c>
      <c r="Z58" t="e">
        <f t="shared" si="39"/>
        <v>#N/A</v>
      </c>
      <c r="AA58" t="e">
        <f t="shared" si="40"/>
        <v>#N/A</v>
      </c>
      <c r="AB58" t="e">
        <f t="shared" si="41"/>
        <v>#N/A</v>
      </c>
      <c r="AC58" t="e">
        <f t="shared" si="42"/>
        <v>#N/A</v>
      </c>
      <c r="AD58" t="e">
        <f t="shared" si="43"/>
        <v>#N/A</v>
      </c>
      <c r="AE58" t="e">
        <f t="shared" si="44"/>
        <v>#N/A</v>
      </c>
      <c r="AF58" t="e">
        <f t="shared" si="45"/>
        <v>#N/A</v>
      </c>
      <c r="AG58" t="e">
        <f t="shared" si="46"/>
        <v>#N/A</v>
      </c>
      <c r="AH58" t="e">
        <f t="shared" si="47"/>
        <v>#N/A</v>
      </c>
      <c r="AI58" t="e">
        <f t="shared" si="48"/>
        <v>#N/A</v>
      </c>
      <c r="AJ58" t="e">
        <f t="shared" si="49"/>
        <v>#N/A</v>
      </c>
    </row>
    <row r="59">
      <c r="A59" s="2" t="n">
        <v>47270</v>
      </c>
      <c r="B59" t="n">
        <v>732375.707827881</v>
      </c>
      <c r="C59" t="n">
        <v>392138.162423992</v>
      </c>
      <c r="D59" t="n">
        <v>160.722654139261</v>
      </c>
      <c r="E59" t="n">
        <v>15323.7404189585</v>
      </c>
      <c r="F59" t="n">
        <v>4295621.44953669</v>
      </c>
      <c r="G59" t="n">
        <v>0.0523743787735628</v>
      </c>
      <c r="H59" t="n">
        <v>0.666600132266028</v>
      </c>
      <c r="I59" t="n">
        <v>0.0389598901470152</v>
      </c>
      <c r="J59" t="n">
        <v>0.0397022833597256</v>
      </c>
      <c r="K59" t="s">
        <v>179</v>
      </c>
      <c r="L59" t="e">
        <f t="shared" si="25"/>
        <v>#N/A</v>
      </c>
      <c r="M59" t="e">
        <f t="shared" si="26"/>
        <v>#N/A</v>
      </c>
      <c r="N59" t="e">
        <f t="shared" si="27"/>
        <v>#N/A</v>
      </c>
      <c r="O59" t="n">
        <f t="shared" si="28"/>
        <v>0</v>
      </c>
      <c r="P59" t="n">
        <f t="shared" si="29"/>
        <v>0</v>
      </c>
      <c r="Q59" t="n">
        <f t="shared" si="30"/>
        <v>0</v>
      </c>
      <c r="R59" t="n">
        <f t="shared" si="31"/>
        <v>0</v>
      </c>
      <c r="S59" t="e">
        <f t="shared" si="32"/>
        <v>#N/A</v>
      </c>
      <c r="T59" t="e">
        <f t="shared" si="33"/>
        <v>#N/A</v>
      </c>
      <c r="U59" t="e">
        <f t="shared" si="34"/>
        <v>#N/A</v>
      </c>
      <c r="V59" t="e">
        <f t="shared" si="35"/>
        <v>#N/A</v>
      </c>
      <c r="W59" t="e">
        <f t="shared" si="36"/>
        <v>#N/A</v>
      </c>
      <c r="X59" t="e">
        <f t="shared" si="37"/>
        <v>#N/A</v>
      </c>
      <c r="Y59" t="e">
        <f t="shared" si="38"/>
        <v>#N/A</v>
      </c>
      <c r="Z59" t="e">
        <f t="shared" si="39"/>
        <v>#N/A</v>
      </c>
      <c r="AA59" t="e">
        <f t="shared" si="40"/>
        <v>#N/A</v>
      </c>
      <c r="AB59" t="e">
        <f t="shared" si="41"/>
        <v>#N/A</v>
      </c>
      <c r="AC59" t="e">
        <f t="shared" si="42"/>
        <v>#N/A</v>
      </c>
      <c r="AD59" t="e">
        <f t="shared" si="43"/>
        <v>#N/A</v>
      </c>
      <c r="AE59" t="e">
        <f t="shared" si="44"/>
        <v>#N/A</v>
      </c>
      <c r="AF59" t="e">
        <f t="shared" si="45"/>
        <v>#N/A</v>
      </c>
      <c r="AG59" t="e">
        <f t="shared" si="46"/>
        <v>#N/A</v>
      </c>
      <c r="AH59" t="e">
        <f t="shared" si="47"/>
        <v>#N/A</v>
      </c>
      <c r="AI59" t="e">
        <f t="shared" si="48"/>
        <v>#N/A</v>
      </c>
      <c r="AJ59" t="e">
        <f t="shared" si="49"/>
        <v>#N/A</v>
      </c>
    </row>
    <row r="60">
      <c r="A60" s="2" t="n">
        <v>47362</v>
      </c>
      <c r="B60" t="n">
        <v>734868.415549606</v>
      </c>
      <c r="C60" t="n">
        <v>394499.946717204</v>
      </c>
      <c r="D60" t="n">
        <v>162.344023630184</v>
      </c>
      <c r="E60" t="n">
        <v>15355.9406928315</v>
      </c>
      <c r="F60" t="n">
        <v>4294611.12038655</v>
      </c>
      <c r="G60" t="n">
        <v>0.0531423618887184</v>
      </c>
      <c r="H60" t="n">
        <v>0.666291403995035</v>
      </c>
      <c r="I60" t="n">
        <v>0.0380505979918193</v>
      </c>
      <c r="J60" t="n">
        <v>0.0394893833854741</v>
      </c>
      <c r="K60" t="s">
        <v>179</v>
      </c>
      <c r="L60" t="e">
        <f t="shared" si="25"/>
        <v>#N/A</v>
      </c>
      <c r="M60" t="e">
        <f t="shared" si="26"/>
        <v>#N/A</v>
      </c>
      <c r="N60" t="e">
        <f t="shared" si="27"/>
        <v>#N/A</v>
      </c>
      <c r="O60" t="n">
        <f t="shared" si="28"/>
        <v>0</v>
      </c>
      <c r="P60" t="n">
        <f t="shared" si="29"/>
        <v>0</v>
      </c>
      <c r="Q60" t="n">
        <f t="shared" si="30"/>
        <v>0</v>
      </c>
      <c r="R60" t="n">
        <f t="shared" si="31"/>
        <v>0</v>
      </c>
      <c r="S60" t="e">
        <f t="shared" si="32"/>
        <v>#N/A</v>
      </c>
      <c r="T60" t="e">
        <f t="shared" si="33"/>
        <v>#N/A</v>
      </c>
      <c r="U60" t="e">
        <f t="shared" si="34"/>
        <v>#N/A</v>
      </c>
      <c r="V60" t="e">
        <f t="shared" si="35"/>
        <v>#N/A</v>
      </c>
      <c r="W60" t="e">
        <f t="shared" si="36"/>
        <v>#N/A</v>
      </c>
      <c r="X60" t="e">
        <f t="shared" si="37"/>
        <v>#N/A</v>
      </c>
      <c r="Y60" t="e">
        <f t="shared" si="38"/>
        <v>#N/A</v>
      </c>
      <c r="Z60" t="e">
        <f t="shared" si="39"/>
        <v>#N/A</v>
      </c>
      <c r="AA60" t="e">
        <f t="shared" si="40"/>
        <v>#N/A</v>
      </c>
      <c r="AB60" t="e">
        <f t="shared" si="41"/>
        <v>#N/A</v>
      </c>
      <c r="AC60" t="e">
        <f t="shared" si="42"/>
        <v>#N/A</v>
      </c>
      <c r="AD60" t="e">
        <f t="shared" si="43"/>
        <v>#N/A</v>
      </c>
      <c r="AE60" t="e">
        <f t="shared" si="44"/>
        <v>#N/A</v>
      </c>
      <c r="AF60" t="e">
        <f t="shared" si="45"/>
        <v>#N/A</v>
      </c>
      <c r="AG60" t="e">
        <f t="shared" si="46"/>
        <v>#N/A</v>
      </c>
      <c r="AH60" t="e">
        <f t="shared" si="47"/>
        <v>#N/A</v>
      </c>
      <c r="AI60" t="e">
        <f t="shared" si="48"/>
        <v>#N/A</v>
      </c>
      <c r="AJ60" t="e">
        <f t="shared" si="49"/>
        <v>#N/A</v>
      </c>
    </row>
    <row r="61">
      <c r="A61" s="2" t="n">
        <v>47453</v>
      </c>
      <c r="B61" t="n">
        <v>737396.239040768</v>
      </c>
      <c r="C61" t="n">
        <v>397007.649615734</v>
      </c>
      <c r="D61" t="n">
        <v>163.992614415639</v>
      </c>
      <c r="E61" t="n">
        <v>15390.8896151102</v>
      </c>
      <c r="F61" t="n">
        <v>4294806.02268564</v>
      </c>
      <c r="G61" t="n">
        <v>0.0538152855276456</v>
      </c>
      <c r="H61" t="n">
        <v>0.666038352304754</v>
      </c>
      <c r="I61" t="n">
        <v>0.0372262855693882</v>
      </c>
      <c r="J61" t="n">
        <v>0.039241954473648</v>
      </c>
      <c r="K61" t="s">
        <v>179</v>
      </c>
      <c r="L61" t="e">
        <f t="shared" si="25"/>
        <v>#N/A</v>
      </c>
      <c r="M61" t="e">
        <f t="shared" si="26"/>
        <v>#N/A</v>
      </c>
      <c r="N61" t="e">
        <f t="shared" si="27"/>
        <v>#N/A</v>
      </c>
      <c r="O61" t="n">
        <f t="shared" si="28"/>
        <v>0</v>
      </c>
      <c r="P61" t="n">
        <f t="shared" si="29"/>
        <v>0</v>
      </c>
      <c r="Q61" t="n">
        <f t="shared" si="30"/>
        <v>0</v>
      </c>
      <c r="R61" t="n">
        <f t="shared" si="31"/>
        <v>0</v>
      </c>
      <c r="S61" t="e">
        <f t="shared" si="32"/>
        <v>#N/A</v>
      </c>
      <c r="T61" t="e">
        <f t="shared" si="33"/>
        <v>#N/A</v>
      </c>
      <c r="U61" t="e">
        <f t="shared" si="34"/>
        <v>#N/A</v>
      </c>
      <c r="V61" t="e">
        <f t="shared" si="35"/>
        <v>#N/A</v>
      </c>
      <c r="W61" t="e">
        <f t="shared" si="36"/>
        <v>#N/A</v>
      </c>
      <c r="X61" t="e">
        <f t="shared" si="37"/>
        <v>#N/A</v>
      </c>
      <c r="Y61" t="e">
        <f t="shared" si="38"/>
        <v>#N/A</v>
      </c>
      <c r="Z61" t="e">
        <f t="shared" si="39"/>
        <v>#N/A</v>
      </c>
      <c r="AA61" t="e">
        <f t="shared" si="40"/>
        <v>#N/A</v>
      </c>
      <c r="AB61" t="e">
        <f t="shared" si="41"/>
        <v>#N/A</v>
      </c>
      <c r="AC61" t="e">
        <f t="shared" si="42"/>
        <v>#N/A</v>
      </c>
      <c r="AD61" t="e">
        <f t="shared" si="43"/>
        <v>#N/A</v>
      </c>
      <c r="AE61" t="e">
        <f t="shared" si="44"/>
        <v>#N/A</v>
      </c>
      <c r="AF61" t="e">
        <f t="shared" si="45"/>
        <v>#N/A</v>
      </c>
      <c r="AG61" t="e">
        <f t="shared" si="46"/>
        <v>#N/A</v>
      </c>
      <c r="AH61" t="e">
        <f t="shared" si="47"/>
        <v>#N/A</v>
      </c>
      <c r="AI61" t="e">
        <f t="shared" si="48"/>
        <v>#N/A</v>
      </c>
      <c r="AJ61" t="e">
        <f t="shared" si="49"/>
        <v>#N/A</v>
      </c>
    </row>
    <row r="62">
      <c r="A62" s="2" t="n">
        <v>47543</v>
      </c>
      <c r="B62" t="n">
        <v>740033.602317422</v>
      </c>
      <c r="C62" t="n">
        <v>399640.389362996</v>
      </c>
      <c r="D62" t="n">
        <v>165.671211131185</v>
      </c>
      <c r="E62" t="n">
        <v>15428.9094443448</v>
      </c>
      <c r="F62" t="n">
        <v>4296456.30038377</v>
      </c>
      <c r="G62" t="n">
        <v>0.0543273905354968</v>
      </c>
      <c r="H62" t="n">
        <v>0.665807546604921</v>
      </c>
      <c r="I62" t="n">
        <v>0.0366280631554444</v>
      </c>
      <c r="J62" t="n">
        <v>0.0389756692177546</v>
      </c>
      <c r="K62" t="s">
        <v>179</v>
      </c>
      <c r="L62" t="e">
        <f t="shared" si="25"/>
        <v>#N/A</v>
      </c>
      <c r="M62" t="e">
        <f t="shared" si="26"/>
        <v>#N/A</v>
      </c>
      <c r="N62" t="e">
        <f t="shared" si="27"/>
        <v>#N/A</v>
      </c>
      <c r="O62" t="n">
        <f t="shared" si="28"/>
        <v>0</v>
      </c>
      <c r="P62" t="n">
        <f t="shared" si="29"/>
        <v>0</v>
      </c>
      <c r="Q62" t="n">
        <f t="shared" si="30"/>
        <v>0</v>
      </c>
      <c r="R62" t="n">
        <f t="shared" si="31"/>
        <v>0</v>
      </c>
      <c r="S62" t="e">
        <f t="shared" si="32"/>
        <v>#N/A</v>
      </c>
      <c r="T62" t="e">
        <f t="shared" si="33"/>
        <v>#N/A</v>
      </c>
      <c r="U62" t="e">
        <f t="shared" si="34"/>
        <v>#N/A</v>
      </c>
      <c r="V62" t="e">
        <f t="shared" si="35"/>
        <v>#N/A</v>
      </c>
      <c r="W62" t="e">
        <f t="shared" si="36"/>
        <v>#N/A</v>
      </c>
      <c r="X62" t="e">
        <f t="shared" si="37"/>
        <v>#N/A</v>
      </c>
      <c r="Y62" t="e">
        <f t="shared" si="38"/>
        <v>#N/A</v>
      </c>
      <c r="Z62" t="e">
        <f t="shared" si="39"/>
        <v>#N/A</v>
      </c>
      <c r="AA62" t="e">
        <f t="shared" si="40"/>
        <v>#N/A</v>
      </c>
      <c r="AB62" t="e">
        <f t="shared" si="41"/>
        <v>#N/A</v>
      </c>
      <c r="AC62" t="e">
        <f t="shared" si="42"/>
        <v>#N/A</v>
      </c>
      <c r="AD62" t="e">
        <f t="shared" si="43"/>
        <v>#N/A</v>
      </c>
      <c r="AE62" t="e">
        <f t="shared" si="44"/>
        <v>#N/A</v>
      </c>
      <c r="AF62" t="e">
        <f t="shared" si="45"/>
        <v>#N/A</v>
      </c>
      <c r="AG62" t="e">
        <f t="shared" si="46"/>
        <v>#N/A</v>
      </c>
      <c r="AH62" t="e">
        <f t="shared" si="47"/>
        <v>#N/A</v>
      </c>
      <c r="AI62" t="e">
        <f t="shared" si="48"/>
        <v>#N/A</v>
      </c>
      <c r="AJ62" t="e">
        <f t="shared" si="49"/>
        <v>#N/A</v>
      </c>
    </row>
    <row r="63">
      <c r="A63" s="2" t="n">
        <v>47635</v>
      </c>
      <c r="B63" t="n">
        <v>742236.792487413</v>
      </c>
      <c r="C63" t="n">
        <v>401964.683180162</v>
      </c>
      <c r="D63" t="n">
        <v>167.373570608187</v>
      </c>
      <c r="E63" t="n">
        <v>15466.0891295873</v>
      </c>
      <c r="F63" t="n">
        <v>4297578.8342013</v>
      </c>
      <c r="G63" t="n">
        <v>0.0549329319119823</v>
      </c>
      <c r="H63" t="n">
        <v>0.665608533774498</v>
      </c>
      <c r="I63" t="n">
        <v>0.0358676227803518</v>
      </c>
      <c r="J63" t="n">
        <v>0.0386821947614887</v>
      </c>
      <c r="K63" t="s">
        <v>179</v>
      </c>
      <c r="L63" t="e">
        <f t="shared" si="25"/>
        <v>#N/A</v>
      </c>
      <c r="M63" t="e">
        <f t="shared" si="26"/>
        <v>#N/A</v>
      </c>
      <c r="N63" t="e">
        <f t="shared" si="27"/>
        <v>#N/A</v>
      </c>
      <c r="O63" t="n">
        <f t="shared" si="28"/>
        <v>0</v>
      </c>
      <c r="P63" t="n">
        <f t="shared" si="29"/>
        <v>0</v>
      </c>
      <c r="Q63" t="n">
        <f t="shared" si="30"/>
        <v>0</v>
      </c>
      <c r="R63" t="n">
        <f t="shared" si="31"/>
        <v>0</v>
      </c>
      <c r="S63" t="e">
        <f t="shared" si="32"/>
        <v>#N/A</v>
      </c>
      <c r="T63" t="e">
        <f t="shared" si="33"/>
        <v>#N/A</v>
      </c>
      <c r="U63" t="e">
        <f t="shared" si="34"/>
        <v>#N/A</v>
      </c>
      <c r="V63" t="e">
        <f t="shared" si="35"/>
        <v>#N/A</v>
      </c>
      <c r="W63" t="e">
        <f t="shared" si="36"/>
        <v>#N/A</v>
      </c>
      <c r="X63" t="e">
        <f t="shared" si="37"/>
        <v>#N/A</v>
      </c>
      <c r="Y63" t="e">
        <f t="shared" si="38"/>
        <v>#N/A</v>
      </c>
      <c r="Z63" t="e">
        <f t="shared" si="39"/>
        <v>#N/A</v>
      </c>
      <c r="AA63" t="e">
        <f t="shared" si="40"/>
        <v>#N/A</v>
      </c>
      <c r="AB63" t="e">
        <f t="shared" si="41"/>
        <v>#N/A</v>
      </c>
      <c r="AC63" t="e">
        <f t="shared" si="42"/>
        <v>#N/A</v>
      </c>
      <c r="AD63" t="e">
        <f t="shared" si="43"/>
        <v>#N/A</v>
      </c>
      <c r="AE63" t="e">
        <f t="shared" si="44"/>
        <v>#N/A</v>
      </c>
      <c r="AF63" t="e">
        <f t="shared" si="45"/>
        <v>#N/A</v>
      </c>
      <c r="AG63" t="e">
        <f t="shared" si="46"/>
        <v>#N/A</v>
      </c>
      <c r="AH63" t="e">
        <f t="shared" si="47"/>
        <v>#N/A</v>
      </c>
      <c r="AI63" t="e">
        <f t="shared" si="48"/>
        <v>#N/A</v>
      </c>
      <c r="AJ63" t="e">
        <f t="shared" si="49"/>
        <v>#N/A</v>
      </c>
    </row>
    <row r="64">
      <c r="A64" s="2" t="n">
        <v>47727</v>
      </c>
      <c r="B64" t="n">
        <v>744817.03549142</v>
      </c>
      <c r="C64" t="n">
        <v>404400.090999042</v>
      </c>
      <c r="D64" t="n">
        <v>169.105848721641</v>
      </c>
      <c r="E64" t="n">
        <v>15505.8413592986</v>
      </c>
      <c r="F64" t="n">
        <v>4299867.49720499</v>
      </c>
      <c r="G64" t="n">
        <v>0.0553913156168371</v>
      </c>
      <c r="H64" t="n">
        <v>0.665410392447194</v>
      </c>
      <c r="I64" t="n">
        <v>0.0353014520628964</v>
      </c>
      <c r="J64" t="n">
        <v>0.0383748323752142</v>
      </c>
      <c r="K64" t="s">
        <v>179</v>
      </c>
      <c r="L64" t="e">
        <f t="shared" si="25"/>
        <v>#N/A</v>
      </c>
      <c r="M64" t="e">
        <f t="shared" si="26"/>
        <v>#N/A</v>
      </c>
      <c r="N64" t="e">
        <f t="shared" si="27"/>
        <v>#N/A</v>
      </c>
      <c r="O64" t="n">
        <f t="shared" si="28"/>
        <v>0</v>
      </c>
      <c r="P64" t="n">
        <f t="shared" si="29"/>
        <v>0</v>
      </c>
      <c r="Q64" t="n">
        <f t="shared" si="30"/>
        <v>0</v>
      </c>
      <c r="R64" t="n">
        <f t="shared" si="31"/>
        <v>0</v>
      </c>
      <c r="S64" t="e">
        <f t="shared" si="32"/>
        <v>#N/A</v>
      </c>
      <c r="T64" t="e">
        <f t="shared" si="33"/>
        <v>#N/A</v>
      </c>
      <c r="U64" t="e">
        <f t="shared" si="34"/>
        <v>#N/A</v>
      </c>
      <c r="V64" t="e">
        <f t="shared" si="35"/>
        <v>#N/A</v>
      </c>
      <c r="W64" t="e">
        <f t="shared" si="36"/>
        <v>#N/A</v>
      </c>
      <c r="X64" t="e">
        <f t="shared" si="37"/>
        <v>#N/A</v>
      </c>
      <c r="Y64" t="e">
        <f t="shared" si="38"/>
        <v>#N/A</v>
      </c>
      <c r="Z64" t="e">
        <f t="shared" si="39"/>
        <v>#N/A</v>
      </c>
      <c r="AA64" t="e">
        <f t="shared" si="40"/>
        <v>#N/A</v>
      </c>
      <c r="AB64" t="e">
        <f t="shared" si="41"/>
        <v>#N/A</v>
      </c>
      <c r="AC64" t="e">
        <f t="shared" si="42"/>
        <v>#N/A</v>
      </c>
      <c r="AD64" t="e">
        <f t="shared" si="43"/>
        <v>#N/A</v>
      </c>
      <c r="AE64" t="e">
        <f t="shared" si="44"/>
        <v>#N/A</v>
      </c>
      <c r="AF64" t="e">
        <f t="shared" si="45"/>
        <v>#N/A</v>
      </c>
      <c r="AG64" t="e">
        <f t="shared" si="46"/>
        <v>#N/A</v>
      </c>
      <c r="AH64" t="e">
        <f t="shared" si="47"/>
        <v>#N/A</v>
      </c>
      <c r="AI64" t="e">
        <f t="shared" si="48"/>
        <v>#N/A</v>
      </c>
      <c r="AJ64" t="e">
        <f t="shared" si="49"/>
        <v>#N/A</v>
      </c>
    </row>
    <row r="65">
      <c r="A65" s="2" t="n">
        <v>47818</v>
      </c>
      <c r="B65" t="n">
        <v>747344.093599486</v>
      </c>
      <c r="C65" t="n">
        <v>406965.455956533</v>
      </c>
      <c r="D65" t="n">
        <v>170.862718561576</v>
      </c>
      <c r="E65" t="n">
        <v>15547.0828310776</v>
      </c>
      <c r="F65" t="n">
        <v>4302777.21951789</v>
      </c>
      <c r="G65" t="n">
        <v>0.0557916386745464</v>
      </c>
      <c r="H65" t="n">
        <v>0.665236990375656</v>
      </c>
      <c r="I65" t="n">
        <v>0.0348068036628682</v>
      </c>
      <c r="J65" t="n">
        <v>0.0380587378879923</v>
      </c>
      <c r="K65" t="s">
        <v>179</v>
      </c>
      <c r="L65" t="e">
        <f t="shared" si="25"/>
        <v>#N/A</v>
      </c>
      <c r="M65" t="e">
        <f t="shared" si="26"/>
        <v>#N/A</v>
      </c>
      <c r="N65" t="e">
        <f t="shared" si="27"/>
        <v>#N/A</v>
      </c>
      <c r="O65" t="n">
        <f t="shared" si="28"/>
        <v>0</v>
      </c>
      <c r="P65" t="n">
        <f t="shared" si="29"/>
        <v>0</v>
      </c>
      <c r="Q65" t="n">
        <f t="shared" si="30"/>
        <v>0</v>
      </c>
      <c r="R65" t="n">
        <f t="shared" si="31"/>
        <v>0</v>
      </c>
      <c r="S65" t="e">
        <f t="shared" si="32"/>
        <v>#N/A</v>
      </c>
      <c r="T65" t="e">
        <f t="shared" si="33"/>
        <v>#N/A</v>
      </c>
      <c r="U65" t="e">
        <f t="shared" si="34"/>
        <v>#N/A</v>
      </c>
      <c r="V65" t="e">
        <f t="shared" si="35"/>
        <v>#N/A</v>
      </c>
      <c r="W65" t="e">
        <f t="shared" si="36"/>
        <v>#N/A</v>
      </c>
      <c r="X65" t="e">
        <f t="shared" si="37"/>
        <v>#N/A</v>
      </c>
      <c r="Y65" t="e">
        <f t="shared" si="38"/>
        <v>#N/A</v>
      </c>
      <c r="Z65" t="e">
        <f t="shared" si="39"/>
        <v>#N/A</v>
      </c>
      <c r="AA65" t="e">
        <f t="shared" si="40"/>
        <v>#N/A</v>
      </c>
      <c r="AB65" t="e">
        <f t="shared" si="41"/>
        <v>#N/A</v>
      </c>
      <c r="AC65" t="e">
        <f t="shared" si="42"/>
        <v>#N/A</v>
      </c>
      <c r="AD65" t="e">
        <f t="shared" si="43"/>
        <v>#N/A</v>
      </c>
      <c r="AE65" t="e">
        <f t="shared" si="44"/>
        <v>#N/A</v>
      </c>
      <c r="AF65" t="e">
        <f t="shared" si="45"/>
        <v>#N/A</v>
      </c>
      <c r="AG65" t="e">
        <f t="shared" si="46"/>
        <v>#N/A</v>
      </c>
      <c r="AH65" t="e">
        <f t="shared" si="47"/>
        <v>#N/A</v>
      </c>
      <c r="AI65" t="e">
        <f t="shared" si="48"/>
        <v>#N/A</v>
      </c>
      <c r="AJ65" t="e">
        <f t="shared" si="49"/>
        <v>#N/A</v>
      </c>
    </row>
    <row r="66">
      <c r="A66" s="2" t="n">
        <v>47908</v>
      </c>
      <c r="B66" t="n">
        <v>749953.192564525</v>
      </c>
      <c r="C66" t="n">
        <v>409615.998178214</v>
      </c>
      <c r="D66" t="n">
        <v>172.643889469942</v>
      </c>
      <c r="E66" t="n">
        <v>15590.0619852463</v>
      </c>
      <c r="F66" t="n">
        <v>4306431.36047115</v>
      </c>
      <c r="G66" t="n">
        <v>0.0561137749640081</v>
      </c>
      <c r="H66" t="n">
        <v>0.66508415430425</v>
      </c>
      <c r="I66" t="n">
        <v>0.034407247832626</v>
      </c>
      <c r="J66" t="n">
        <v>0.0377401166362365</v>
      </c>
      <c r="K66" t="s">
        <v>179</v>
      </c>
      <c r="L66" t="e">
        <f t="shared" ref="L66:L97" si="50">IF(ROW()&lt;=5,NA(),IFERROR(100*(B66/INDEX(B:B,ROW()-4)-1),NA()))</f>
        <v>#N/A</v>
      </c>
      <c r="M66" t="e">
        <f t="shared" ref="M66:M97" si="51">IF(ROW()&lt;=5,NA(),IFERROR(100*(C66/INDEX(C:C,ROW()-4)-1),NA()))</f>
        <v>#N/A</v>
      </c>
      <c r="N66" t="e">
        <f t="shared" ref="N66:N97" si="52">IF(ROW()&lt;=5,NA(),IFERROR(100*(D66/INDEX(D:D,ROW()-4)-1),NA()))</f>
        <v>#N/A</v>
      </c>
      <c r="O66" t="n">
        <f t="shared" ref="O66:O97" si="53">100*G66</f>
        <v>0</v>
      </c>
      <c r="P66" t="n">
        <f t="shared" ref="P66:P97" si="54">100*H66</f>
        <v>0</v>
      </c>
      <c r="Q66" t="n">
        <f t="shared" ref="Q66:Q97" si="55">100*I66</f>
        <v>0</v>
      </c>
      <c r="R66" t="n">
        <f t="shared" ref="R66:R97" si="56">100*J66</f>
        <v>0</v>
      </c>
      <c r="S66" t="e">
        <f t="shared" ref="S66:S97" si="57">IFERROR(100*E66/INDEX(E:E,MATCH(DATE(2024,12,1),A:A,0)),NA())</f>
        <v>#N/A</v>
      </c>
      <c r="T66" t="e">
        <f t="shared" ref="T66:T97" si="58">IFERROR(100*F66/INDEX(F:F,MATCH(DATE(2024,12,1),A:A,0)),NA())</f>
        <v>#N/A</v>
      </c>
      <c r="U66" t="e">
        <f t="shared" ref="U66:U97" si="59">IF($K66="Actual",L66,NA())</f>
        <v>#N/A</v>
      </c>
      <c r="V66" t="e">
        <f t="shared" ref="V66:V97" si="60">IF($A66&gt;=DATE(2024,12,1),L66,NA())</f>
        <v>#N/A</v>
      </c>
      <c r="W66" t="e">
        <f t="shared" ref="W66:W97" si="61">IF($K66="Actual",M66,NA())</f>
        <v>#N/A</v>
      </c>
      <c r="X66" t="e">
        <f t="shared" ref="X66:X97" si="62">IF($A66&gt;=DATE(2024,12,1),M66,NA())</f>
        <v>#N/A</v>
      </c>
      <c r="Y66" t="e">
        <f t="shared" ref="Y66:Y97" si="63">IF($K66="Actual",S66,NA())</f>
        <v>#N/A</v>
      </c>
      <c r="Z66" t="e">
        <f t="shared" ref="Z66:Z97" si="64">IF($A66&gt;=DATE(2024,12,1),S66,NA())</f>
        <v>#N/A</v>
      </c>
      <c r="AA66" t="e">
        <f t="shared" ref="AA66:AA97" si="65">IF($K66="Actual",T66,NA())</f>
        <v>#N/A</v>
      </c>
      <c r="AB66" t="e">
        <f t="shared" ref="AB66:AB97" si="66">IF($A66&gt;=DATE(2024,12,1),T66,NA())</f>
        <v>#N/A</v>
      </c>
      <c r="AC66" t="e">
        <f t="shared" ref="AC66:AC97" si="67">IF($K66="Actual",O66,NA())</f>
        <v>#N/A</v>
      </c>
      <c r="AD66" t="e">
        <f t="shared" ref="AD66:AD97" si="68">IF($A66&gt;=DATE(2024,12,1),O66,NA())</f>
        <v>#N/A</v>
      </c>
      <c r="AE66" t="e">
        <f t="shared" ref="AE66:AE97" si="69">IF($K66="Actual",Q66,NA())</f>
        <v>#N/A</v>
      </c>
      <c r="AF66" t="e">
        <f t="shared" ref="AF66:AF97" si="70">IF($A66&gt;=DATE(2024,12,1),Q66,NA())</f>
        <v>#N/A</v>
      </c>
      <c r="AG66" t="e">
        <f t="shared" ref="AG66:AG97" si="71">IF($K66="Actual",R66,NA())</f>
        <v>#N/A</v>
      </c>
      <c r="AH66" t="e">
        <f t="shared" ref="AH66:AH97" si="72">IF($A66&gt;=DATE(2024,12,1),R66,NA())</f>
        <v>#N/A</v>
      </c>
      <c r="AI66" t="e">
        <f t="shared" ref="AI66:AI97" si="73">IF($K66="Actual",N66,NA())</f>
        <v>#N/A</v>
      </c>
      <c r="AJ66" t="e">
        <f t="shared" ref="AJ66:AJ97" si="74">IF($A66&gt;=DATE(2024,12,1),N66,NA())</f>
        <v>#N/A</v>
      </c>
    </row>
    <row r="67">
      <c r="A67" s="2" t="n">
        <v>48000</v>
      </c>
      <c r="B67" t="n">
        <v>752313.813644962</v>
      </c>
      <c r="C67" t="n">
        <v>411959.347860762</v>
      </c>
      <c r="D67" t="n">
        <v>174.445010733921</v>
      </c>
      <c r="E67" t="n">
        <v>15632.3170812327</v>
      </c>
      <c r="F67" t="n">
        <v>4309647.68967049</v>
      </c>
      <c r="G67" t="n">
        <v>0.0565047126318032</v>
      </c>
      <c r="H67" t="n">
        <v>0.664950070207739</v>
      </c>
      <c r="I67" t="n">
        <v>0.0338718779667116</v>
      </c>
      <c r="J67" t="n">
        <v>0.037411107026872</v>
      </c>
      <c r="K67" t="s">
        <v>179</v>
      </c>
      <c r="L67" t="e">
        <f t="shared" si="50"/>
        <v>#N/A</v>
      </c>
      <c r="M67" t="e">
        <f t="shared" si="51"/>
        <v>#N/A</v>
      </c>
      <c r="N67" t="e">
        <f t="shared" si="52"/>
        <v>#N/A</v>
      </c>
      <c r="O67" t="n">
        <f t="shared" si="53"/>
        <v>0</v>
      </c>
      <c r="P67" t="n">
        <f t="shared" si="54"/>
        <v>0</v>
      </c>
      <c r="Q67" t="n">
        <f t="shared" si="55"/>
        <v>0</v>
      </c>
      <c r="R67" t="n">
        <f t="shared" si="56"/>
        <v>0</v>
      </c>
      <c r="S67" t="e">
        <f t="shared" si="57"/>
        <v>#N/A</v>
      </c>
      <c r="T67" t="e">
        <f t="shared" si="58"/>
        <v>#N/A</v>
      </c>
      <c r="U67" t="e">
        <f t="shared" si="59"/>
        <v>#N/A</v>
      </c>
      <c r="V67" t="e">
        <f t="shared" si="60"/>
        <v>#N/A</v>
      </c>
      <c r="W67" t="e">
        <f t="shared" si="61"/>
        <v>#N/A</v>
      </c>
      <c r="X67" t="e">
        <f t="shared" si="62"/>
        <v>#N/A</v>
      </c>
      <c r="Y67" t="e">
        <f t="shared" si="63"/>
        <v>#N/A</v>
      </c>
      <c r="Z67" t="e">
        <f t="shared" si="64"/>
        <v>#N/A</v>
      </c>
      <c r="AA67" t="e">
        <f t="shared" si="65"/>
        <v>#N/A</v>
      </c>
      <c r="AB67" t="e">
        <f t="shared" si="66"/>
        <v>#N/A</v>
      </c>
      <c r="AC67" t="e">
        <f t="shared" si="67"/>
        <v>#N/A</v>
      </c>
      <c r="AD67" t="e">
        <f t="shared" si="68"/>
        <v>#N/A</v>
      </c>
      <c r="AE67" t="e">
        <f t="shared" si="69"/>
        <v>#N/A</v>
      </c>
      <c r="AF67" t="e">
        <f t="shared" si="70"/>
        <v>#N/A</v>
      </c>
      <c r="AG67" t="e">
        <f t="shared" si="71"/>
        <v>#N/A</v>
      </c>
      <c r="AH67" t="e">
        <f t="shared" si="72"/>
        <v>#N/A</v>
      </c>
      <c r="AI67" t="e">
        <f t="shared" si="73"/>
        <v>#N/A</v>
      </c>
      <c r="AJ67" t="e">
        <f t="shared" si="74"/>
        <v>#N/A</v>
      </c>
    </row>
    <row r="68">
      <c r="A68" s="2" t="n">
        <v>48092</v>
      </c>
      <c r="B68" t="n">
        <v>754821.564116441</v>
      </c>
      <c r="C68" t="n">
        <v>414412.191562681</v>
      </c>
      <c r="D68" t="n">
        <v>176.271231134439</v>
      </c>
      <c r="E68" t="n">
        <v>15675.0966348694</v>
      </c>
      <c r="F68" t="n">
        <v>4313290.17396257</v>
      </c>
      <c r="G68" t="n">
        <v>0.056759960073081</v>
      </c>
      <c r="H68" t="n">
        <v>0.664819027278877</v>
      </c>
      <c r="I68" t="n">
        <v>0.0335087364384881</v>
      </c>
      <c r="J68" t="n">
        <v>0.0370825857295585</v>
      </c>
      <c r="K68" t="s">
        <v>179</v>
      </c>
      <c r="L68" t="e">
        <f t="shared" si="50"/>
        <v>#N/A</v>
      </c>
      <c r="M68" t="e">
        <f t="shared" si="51"/>
        <v>#N/A</v>
      </c>
      <c r="N68" t="e">
        <f t="shared" si="52"/>
        <v>#N/A</v>
      </c>
      <c r="O68" t="n">
        <f t="shared" si="53"/>
        <v>0</v>
      </c>
      <c r="P68" t="n">
        <f t="shared" si="54"/>
        <v>0</v>
      </c>
      <c r="Q68" t="n">
        <f t="shared" si="55"/>
        <v>0</v>
      </c>
      <c r="R68" t="n">
        <f t="shared" si="56"/>
        <v>0</v>
      </c>
      <c r="S68" t="e">
        <f t="shared" si="57"/>
        <v>#N/A</v>
      </c>
      <c r="T68" t="e">
        <f t="shared" si="58"/>
        <v>#N/A</v>
      </c>
      <c r="U68" t="e">
        <f t="shared" si="59"/>
        <v>#N/A</v>
      </c>
      <c r="V68" t="e">
        <f t="shared" si="60"/>
        <v>#N/A</v>
      </c>
      <c r="W68" t="e">
        <f t="shared" si="61"/>
        <v>#N/A</v>
      </c>
      <c r="X68" t="e">
        <f t="shared" si="62"/>
        <v>#N/A</v>
      </c>
      <c r="Y68" t="e">
        <f t="shared" si="63"/>
        <v>#N/A</v>
      </c>
      <c r="Z68" t="e">
        <f t="shared" si="64"/>
        <v>#N/A</v>
      </c>
      <c r="AA68" t="e">
        <f t="shared" si="65"/>
        <v>#N/A</v>
      </c>
      <c r="AB68" t="e">
        <f t="shared" si="66"/>
        <v>#N/A</v>
      </c>
      <c r="AC68" t="e">
        <f t="shared" si="67"/>
        <v>#N/A</v>
      </c>
      <c r="AD68" t="e">
        <f t="shared" si="68"/>
        <v>#N/A</v>
      </c>
      <c r="AE68" t="e">
        <f t="shared" si="69"/>
        <v>#N/A</v>
      </c>
      <c r="AF68" t="e">
        <f t="shared" si="70"/>
        <v>#N/A</v>
      </c>
      <c r="AG68" t="e">
        <f t="shared" si="71"/>
        <v>#N/A</v>
      </c>
      <c r="AH68" t="e">
        <f t="shared" si="72"/>
        <v>#N/A</v>
      </c>
      <c r="AI68" t="e">
        <f t="shared" si="73"/>
        <v>#N/A</v>
      </c>
      <c r="AJ68" t="e">
        <f t="shared" si="74"/>
        <v>#N/A</v>
      </c>
    </row>
    <row r="69">
      <c r="A69" s="2" t="n">
        <v>48183</v>
      </c>
      <c r="B69" t="n">
        <v>757417.449176414</v>
      </c>
      <c r="C69" t="n">
        <v>416985.117433998</v>
      </c>
      <c r="D69" t="n">
        <v>178.117027511235</v>
      </c>
      <c r="E69" t="n">
        <v>15719.0907319779</v>
      </c>
      <c r="F69" t="n">
        <v>4317400.2905611</v>
      </c>
      <c r="G69" t="n">
        <v>0.0569737575336586</v>
      </c>
      <c r="H69" t="n">
        <v>0.664711316800488</v>
      </c>
      <c r="I69" t="n">
        <v>0.0331784646630146</v>
      </c>
      <c r="J69" t="n">
        <v>0.036756463633404</v>
      </c>
      <c r="K69" t="s">
        <v>179</v>
      </c>
      <c r="L69" t="e">
        <f t="shared" si="50"/>
        <v>#N/A</v>
      </c>
      <c r="M69" t="e">
        <f t="shared" si="51"/>
        <v>#N/A</v>
      </c>
      <c r="N69" t="e">
        <f t="shared" si="52"/>
        <v>#N/A</v>
      </c>
      <c r="O69" t="n">
        <f t="shared" si="53"/>
        <v>0</v>
      </c>
      <c r="P69" t="n">
        <f t="shared" si="54"/>
        <v>0</v>
      </c>
      <c r="Q69" t="n">
        <f t="shared" si="55"/>
        <v>0</v>
      </c>
      <c r="R69" t="n">
        <f t="shared" si="56"/>
        <v>0</v>
      </c>
      <c r="S69" t="e">
        <f t="shared" si="57"/>
        <v>#N/A</v>
      </c>
      <c r="T69" t="e">
        <f t="shared" si="58"/>
        <v>#N/A</v>
      </c>
      <c r="U69" t="e">
        <f t="shared" si="59"/>
        <v>#N/A</v>
      </c>
      <c r="V69" t="e">
        <f t="shared" si="60"/>
        <v>#N/A</v>
      </c>
      <c r="W69" t="e">
        <f t="shared" si="61"/>
        <v>#N/A</v>
      </c>
      <c r="X69" t="e">
        <f t="shared" si="62"/>
        <v>#N/A</v>
      </c>
      <c r="Y69" t="e">
        <f t="shared" si="63"/>
        <v>#N/A</v>
      </c>
      <c r="Z69" t="e">
        <f t="shared" si="64"/>
        <v>#N/A</v>
      </c>
      <c r="AA69" t="e">
        <f t="shared" si="65"/>
        <v>#N/A</v>
      </c>
      <c r="AB69" t="e">
        <f t="shared" si="66"/>
        <v>#N/A</v>
      </c>
      <c r="AC69" t="e">
        <f t="shared" si="67"/>
        <v>#N/A</v>
      </c>
      <c r="AD69" t="e">
        <f t="shared" si="68"/>
        <v>#N/A</v>
      </c>
      <c r="AE69" t="e">
        <f t="shared" si="69"/>
        <v>#N/A</v>
      </c>
      <c r="AF69" t="e">
        <f t="shared" si="70"/>
        <v>#N/A</v>
      </c>
      <c r="AG69" t="e">
        <f t="shared" si="71"/>
        <v>#N/A</v>
      </c>
      <c r="AH69" t="e">
        <f t="shared" si="72"/>
        <v>#N/A</v>
      </c>
      <c r="AI69" t="e">
        <f t="shared" si="73"/>
        <v>#N/A</v>
      </c>
      <c r="AJ69" t="e">
        <f t="shared" si="74"/>
        <v>#N/A</v>
      </c>
    </row>
    <row r="70">
      <c r="A70" s="2" t="n">
        <v>48274</v>
      </c>
      <c r="B70" t="n">
        <v>760079.549861313</v>
      </c>
      <c r="C70" t="n">
        <v>419651.577591424</v>
      </c>
      <c r="D70" t="n">
        <v>179.983842018673</v>
      </c>
      <c r="E70" t="n">
        <v>15765.0070053601</v>
      </c>
      <c r="F70" t="n">
        <v>4322329.29731038</v>
      </c>
      <c r="G70" t="n">
        <v>0.057095210230159</v>
      </c>
      <c r="H70" t="n">
        <v>0.664620426467481</v>
      </c>
      <c r="I70" t="n">
        <v>0.0329654766230769</v>
      </c>
      <c r="J70" t="n">
        <v>0.0364395152093922</v>
      </c>
      <c r="K70" t="s">
        <v>179</v>
      </c>
      <c r="L70" t="e">
        <f t="shared" si="50"/>
        <v>#N/A</v>
      </c>
      <c r="M70" t="e">
        <f t="shared" si="51"/>
        <v>#N/A</v>
      </c>
      <c r="N70" t="e">
        <f t="shared" si="52"/>
        <v>#N/A</v>
      </c>
      <c r="O70" t="n">
        <f t="shared" si="53"/>
        <v>0</v>
      </c>
      <c r="P70" t="n">
        <f t="shared" si="54"/>
        <v>0</v>
      </c>
      <c r="Q70" t="n">
        <f t="shared" si="55"/>
        <v>0</v>
      </c>
      <c r="R70" t="n">
        <f t="shared" si="56"/>
        <v>0</v>
      </c>
      <c r="S70" t="e">
        <f t="shared" si="57"/>
        <v>#N/A</v>
      </c>
      <c r="T70" t="e">
        <f t="shared" si="58"/>
        <v>#N/A</v>
      </c>
      <c r="U70" t="e">
        <f t="shared" si="59"/>
        <v>#N/A</v>
      </c>
      <c r="V70" t="e">
        <f t="shared" si="60"/>
        <v>#N/A</v>
      </c>
      <c r="W70" t="e">
        <f t="shared" si="61"/>
        <v>#N/A</v>
      </c>
      <c r="X70" t="e">
        <f t="shared" si="62"/>
        <v>#N/A</v>
      </c>
      <c r="Y70" t="e">
        <f t="shared" si="63"/>
        <v>#N/A</v>
      </c>
      <c r="Z70" t="e">
        <f t="shared" si="64"/>
        <v>#N/A</v>
      </c>
      <c r="AA70" t="e">
        <f t="shared" si="65"/>
        <v>#N/A</v>
      </c>
      <c r="AB70" t="e">
        <f t="shared" si="66"/>
        <v>#N/A</v>
      </c>
      <c r="AC70" t="e">
        <f t="shared" si="67"/>
        <v>#N/A</v>
      </c>
      <c r="AD70" t="e">
        <f t="shared" si="68"/>
        <v>#N/A</v>
      </c>
      <c r="AE70" t="e">
        <f t="shared" si="69"/>
        <v>#N/A</v>
      </c>
      <c r="AF70" t="e">
        <f t="shared" si="70"/>
        <v>#N/A</v>
      </c>
      <c r="AG70" t="e">
        <f t="shared" si="71"/>
        <v>#N/A</v>
      </c>
      <c r="AH70" t="e">
        <f t="shared" si="72"/>
        <v>#N/A</v>
      </c>
      <c r="AI70" t="e">
        <f t="shared" si="73"/>
        <v>#N/A</v>
      </c>
      <c r="AJ70" t="e">
        <f t="shared" si="74"/>
        <v>#N/A</v>
      </c>
    </row>
    <row r="71">
      <c r="A71" s="2" t="n">
        <v>48366</v>
      </c>
      <c r="B71" t="n">
        <v>762028.38303164</v>
      </c>
      <c r="C71" t="n">
        <v>421897.027618259</v>
      </c>
      <c r="D71" t="n">
        <v>181.864649262461</v>
      </c>
      <c r="E71" t="n">
        <v>15807.0441351893</v>
      </c>
      <c r="F71" t="n">
        <v>4325338.64450708</v>
      </c>
      <c r="G71" t="n">
        <v>0.0574699333584736</v>
      </c>
      <c r="H71" t="n">
        <v>0.664545398530548</v>
      </c>
      <c r="I71" t="n">
        <v>0.0323164957080062</v>
      </c>
      <c r="J71" t="n">
        <v>0.0361053493239272</v>
      </c>
      <c r="K71" t="s">
        <v>179</v>
      </c>
      <c r="L71" t="e">
        <f t="shared" si="50"/>
        <v>#N/A</v>
      </c>
      <c r="M71" t="e">
        <f t="shared" si="51"/>
        <v>#N/A</v>
      </c>
      <c r="N71" t="e">
        <f t="shared" si="52"/>
        <v>#N/A</v>
      </c>
      <c r="O71" t="n">
        <f t="shared" si="53"/>
        <v>0</v>
      </c>
      <c r="P71" t="n">
        <f t="shared" si="54"/>
        <v>0</v>
      </c>
      <c r="Q71" t="n">
        <f t="shared" si="55"/>
        <v>0</v>
      </c>
      <c r="R71" t="n">
        <f t="shared" si="56"/>
        <v>0</v>
      </c>
      <c r="S71" t="e">
        <f t="shared" si="57"/>
        <v>#N/A</v>
      </c>
      <c r="T71" t="e">
        <f t="shared" si="58"/>
        <v>#N/A</v>
      </c>
      <c r="U71" t="e">
        <f t="shared" si="59"/>
        <v>#N/A</v>
      </c>
      <c r="V71" t="e">
        <f t="shared" si="60"/>
        <v>#N/A</v>
      </c>
      <c r="W71" t="e">
        <f t="shared" si="61"/>
        <v>#N/A</v>
      </c>
      <c r="X71" t="e">
        <f t="shared" si="62"/>
        <v>#N/A</v>
      </c>
      <c r="Y71" t="e">
        <f t="shared" si="63"/>
        <v>#N/A</v>
      </c>
      <c r="Z71" t="e">
        <f t="shared" si="64"/>
        <v>#N/A</v>
      </c>
      <c r="AA71" t="e">
        <f t="shared" si="65"/>
        <v>#N/A</v>
      </c>
      <c r="AB71" t="e">
        <f t="shared" si="66"/>
        <v>#N/A</v>
      </c>
      <c r="AC71" t="e">
        <f t="shared" si="67"/>
        <v>#N/A</v>
      </c>
      <c r="AD71" t="e">
        <f t="shared" si="68"/>
        <v>#N/A</v>
      </c>
      <c r="AE71" t="e">
        <f t="shared" si="69"/>
        <v>#N/A</v>
      </c>
      <c r="AF71" t="e">
        <f t="shared" si="70"/>
        <v>#N/A</v>
      </c>
      <c r="AG71" t="e">
        <f t="shared" si="71"/>
        <v>#N/A</v>
      </c>
      <c r="AH71" t="e">
        <f t="shared" si="72"/>
        <v>#N/A</v>
      </c>
      <c r="AI71" t="e">
        <f t="shared" si="73"/>
        <v>#N/A</v>
      </c>
      <c r="AJ71" t="e">
        <f t="shared" si="74"/>
        <v>#N/A</v>
      </c>
    </row>
    <row r="72">
      <c r="A72" s="2" t="n">
        <v>48458</v>
      </c>
      <c r="B72" t="n">
        <v>764698.214508325</v>
      </c>
      <c r="C72" t="n">
        <v>424310.733978498</v>
      </c>
      <c r="D72" t="n">
        <v>183.771162325409</v>
      </c>
      <c r="E72" t="n">
        <v>15851.5110797268</v>
      </c>
      <c r="F72" t="n">
        <v>4329746.81378632</v>
      </c>
      <c r="G72" t="n">
        <v>0.0575791757861954</v>
      </c>
      <c r="H72" t="n">
        <v>0.664444473672287</v>
      </c>
      <c r="I72" t="n">
        <v>0.0320418190707553</v>
      </c>
      <c r="J72" t="n">
        <v>0.0357772465460758</v>
      </c>
      <c r="K72" t="s">
        <v>179</v>
      </c>
      <c r="L72" t="e">
        <f t="shared" si="50"/>
        <v>#N/A</v>
      </c>
      <c r="M72" t="e">
        <f t="shared" si="51"/>
        <v>#N/A</v>
      </c>
      <c r="N72" t="e">
        <f t="shared" si="52"/>
        <v>#N/A</v>
      </c>
      <c r="O72" t="n">
        <f t="shared" si="53"/>
        <v>0</v>
      </c>
      <c r="P72" t="n">
        <f t="shared" si="54"/>
        <v>0</v>
      </c>
      <c r="Q72" t="n">
        <f t="shared" si="55"/>
        <v>0</v>
      </c>
      <c r="R72" t="n">
        <f t="shared" si="56"/>
        <v>0</v>
      </c>
      <c r="S72" t="e">
        <f t="shared" si="57"/>
        <v>#N/A</v>
      </c>
      <c r="T72" t="e">
        <f t="shared" si="58"/>
        <v>#N/A</v>
      </c>
      <c r="U72" t="e">
        <f t="shared" si="59"/>
        <v>#N/A</v>
      </c>
      <c r="V72" t="e">
        <f t="shared" si="60"/>
        <v>#N/A</v>
      </c>
      <c r="W72" t="e">
        <f t="shared" si="61"/>
        <v>#N/A</v>
      </c>
      <c r="X72" t="e">
        <f t="shared" si="62"/>
        <v>#N/A</v>
      </c>
      <c r="Y72" t="e">
        <f t="shared" si="63"/>
        <v>#N/A</v>
      </c>
      <c r="Z72" t="e">
        <f t="shared" si="64"/>
        <v>#N/A</v>
      </c>
      <c r="AA72" t="e">
        <f t="shared" si="65"/>
        <v>#N/A</v>
      </c>
      <c r="AB72" t="e">
        <f t="shared" si="66"/>
        <v>#N/A</v>
      </c>
      <c r="AC72" t="e">
        <f t="shared" si="67"/>
        <v>#N/A</v>
      </c>
      <c r="AD72" t="e">
        <f t="shared" si="68"/>
        <v>#N/A</v>
      </c>
      <c r="AE72" t="e">
        <f t="shared" si="69"/>
        <v>#N/A</v>
      </c>
      <c r="AF72" t="e">
        <f t="shared" si="70"/>
        <v>#N/A</v>
      </c>
      <c r="AG72" t="e">
        <f t="shared" si="71"/>
        <v>#N/A</v>
      </c>
      <c r="AH72" t="e">
        <f t="shared" si="72"/>
        <v>#N/A</v>
      </c>
      <c r="AI72" t="e">
        <f t="shared" si="73"/>
        <v>#N/A</v>
      </c>
      <c r="AJ72" t="e">
        <f t="shared" si="74"/>
        <v>#N/A</v>
      </c>
    </row>
    <row r="73">
      <c r="A73" s="2" t="n">
        <v>48549</v>
      </c>
      <c r="B73" t="n">
        <v>767070.007814263</v>
      </c>
      <c r="C73" t="n">
        <v>426797.056058968</v>
      </c>
      <c r="D73" t="n">
        <v>185.692481268118</v>
      </c>
      <c r="E73" t="n">
        <v>15895.8897699666</v>
      </c>
      <c r="F73" t="n">
        <v>4333965.93974436</v>
      </c>
      <c r="G73" t="n">
        <v>0.0577406505199526</v>
      </c>
      <c r="H73" t="n">
        <v>0.664377342162903</v>
      </c>
      <c r="I73" t="n">
        <v>0.031663968933807</v>
      </c>
      <c r="J73" t="n">
        <v>0.0354487018818464</v>
      </c>
      <c r="K73" t="s">
        <v>179</v>
      </c>
      <c r="L73" t="e">
        <f t="shared" si="50"/>
        <v>#N/A</v>
      </c>
      <c r="M73" t="e">
        <f t="shared" si="51"/>
        <v>#N/A</v>
      </c>
      <c r="N73" t="e">
        <f t="shared" si="52"/>
        <v>#N/A</v>
      </c>
      <c r="O73" t="n">
        <f t="shared" si="53"/>
        <v>0</v>
      </c>
      <c r="P73" t="n">
        <f t="shared" si="54"/>
        <v>0</v>
      </c>
      <c r="Q73" t="n">
        <f t="shared" si="55"/>
        <v>0</v>
      </c>
      <c r="R73" t="n">
        <f t="shared" si="56"/>
        <v>0</v>
      </c>
      <c r="S73" t="e">
        <f t="shared" si="57"/>
        <v>#N/A</v>
      </c>
      <c r="T73" t="e">
        <f t="shared" si="58"/>
        <v>#N/A</v>
      </c>
      <c r="U73" t="e">
        <f t="shared" si="59"/>
        <v>#N/A</v>
      </c>
      <c r="V73" t="e">
        <f t="shared" si="60"/>
        <v>#N/A</v>
      </c>
      <c r="W73" t="e">
        <f t="shared" si="61"/>
        <v>#N/A</v>
      </c>
      <c r="X73" t="e">
        <f t="shared" si="62"/>
        <v>#N/A</v>
      </c>
      <c r="Y73" t="e">
        <f t="shared" si="63"/>
        <v>#N/A</v>
      </c>
      <c r="Z73" t="e">
        <f t="shared" si="64"/>
        <v>#N/A</v>
      </c>
      <c r="AA73" t="e">
        <f t="shared" si="65"/>
        <v>#N/A</v>
      </c>
      <c r="AB73" t="e">
        <f t="shared" si="66"/>
        <v>#N/A</v>
      </c>
      <c r="AC73" t="e">
        <f t="shared" si="67"/>
        <v>#N/A</v>
      </c>
      <c r="AD73" t="e">
        <f t="shared" si="68"/>
        <v>#N/A</v>
      </c>
      <c r="AE73" t="e">
        <f t="shared" si="69"/>
        <v>#N/A</v>
      </c>
      <c r="AF73" t="e">
        <f t="shared" si="70"/>
        <v>#N/A</v>
      </c>
      <c r="AG73" t="e">
        <f t="shared" si="71"/>
        <v>#N/A</v>
      </c>
      <c r="AH73" t="e">
        <f t="shared" si="72"/>
        <v>#N/A</v>
      </c>
      <c r="AI73" t="e">
        <f t="shared" si="73"/>
        <v>#N/A</v>
      </c>
      <c r="AJ73" t="e">
        <f t="shared" si="74"/>
        <v>#N/A</v>
      </c>
    </row>
    <row r="74">
      <c r="A74" s="2" t="n">
        <v>48639</v>
      </c>
      <c r="B74" t="n">
        <v>769523.618731056</v>
      </c>
      <c r="C74" t="n">
        <v>429339.299485114</v>
      </c>
      <c r="D74" t="n">
        <v>187.633166581616</v>
      </c>
      <c r="E74" t="n">
        <v>15940.9097725406</v>
      </c>
      <c r="F74" t="n">
        <v>4338444.14607527</v>
      </c>
      <c r="G74" t="n">
        <v>0.0578649710819601</v>
      </c>
      <c r="H74" t="n">
        <v>0.664311411165227</v>
      </c>
      <c r="I74" t="n">
        <v>0.0313199306877496</v>
      </c>
      <c r="J74" t="n">
        <v>0.0351217440118345</v>
      </c>
      <c r="K74" t="s">
        <v>179</v>
      </c>
      <c r="L74" t="e">
        <f t="shared" si="50"/>
        <v>#N/A</v>
      </c>
      <c r="M74" t="e">
        <f t="shared" si="51"/>
        <v>#N/A</v>
      </c>
      <c r="N74" t="e">
        <f t="shared" si="52"/>
        <v>#N/A</v>
      </c>
      <c r="O74" t="n">
        <f t="shared" si="53"/>
        <v>0</v>
      </c>
      <c r="P74" t="n">
        <f t="shared" si="54"/>
        <v>0</v>
      </c>
      <c r="Q74" t="n">
        <f t="shared" si="55"/>
        <v>0</v>
      </c>
      <c r="R74" t="n">
        <f t="shared" si="56"/>
        <v>0</v>
      </c>
      <c r="S74" t="e">
        <f t="shared" si="57"/>
        <v>#N/A</v>
      </c>
      <c r="T74" t="e">
        <f t="shared" si="58"/>
        <v>#N/A</v>
      </c>
      <c r="U74" t="e">
        <f t="shared" si="59"/>
        <v>#N/A</v>
      </c>
      <c r="V74" t="e">
        <f t="shared" si="60"/>
        <v>#N/A</v>
      </c>
      <c r="W74" t="e">
        <f t="shared" si="61"/>
        <v>#N/A</v>
      </c>
      <c r="X74" t="e">
        <f t="shared" si="62"/>
        <v>#N/A</v>
      </c>
      <c r="Y74" t="e">
        <f t="shared" si="63"/>
        <v>#N/A</v>
      </c>
      <c r="Z74" t="e">
        <f t="shared" si="64"/>
        <v>#N/A</v>
      </c>
      <c r="AA74" t="e">
        <f t="shared" si="65"/>
        <v>#N/A</v>
      </c>
      <c r="AB74" t="e">
        <f t="shared" si="66"/>
        <v>#N/A</v>
      </c>
      <c r="AC74" t="e">
        <f t="shared" si="67"/>
        <v>#N/A</v>
      </c>
      <c r="AD74" t="e">
        <f t="shared" si="68"/>
        <v>#N/A</v>
      </c>
      <c r="AE74" t="e">
        <f t="shared" si="69"/>
        <v>#N/A</v>
      </c>
      <c r="AF74" t="e">
        <f t="shared" si="70"/>
        <v>#N/A</v>
      </c>
      <c r="AG74" t="e">
        <f t="shared" si="71"/>
        <v>#N/A</v>
      </c>
      <c r="AH74" t="e">
        <f t="shared" si="72"/>
        <v>#N/A</v>
      </c>
      <c r="AI74" t="e">
        <f t="shared" si="73"/>
        <v>#N/A</v>
      </c>
      <c r="AJ74" t="e">
        <f t="shared" si="74"/>
        <v>#N/A</v>
      </c>
    </row>
    <row r="75">
      <c r="A75" s="2" t="n">
        <v>48731</v>
      </c>
      <c r="B75" t="n">
        <v>771706.319940407</v>
      </c>
      <c r="C75" t="n">
        <v>431523.753924793</v>
      </c>
      <c r="D75" t="n">
        <v>189.589002922267</v>
      </c>
      <c r="E75" t="n">
        <v>15984.318192908</v>
      </c>
      <c r="F75" t="n">
        <v>4342113.84274527</v>
      </c>
      <c r="G75" t="n">
        <v>0.0580924928341363</v>
      </c>
      <c r="H75" t="n">
        <v>0.664251796560401</v>
      </c>
      <c r="I75" t="n">
        <v>0.0308018919201996</v>
      </c>
      <c r="J75" t="n">
        <v>0.034785978941704</v>
      </c>
      <c r="K75" t="s">
        <v>179</v>
      </c>
      <c r="L75" t="e">
        <f t="shared" si="50"/>
        <v>#N/A</v>
      </c>
      <c r="M75" t="e">
        <f t="shared" si="51"/>
        <v>#N/A</v>
      </c>
      <c r="N75" t="e">
        <f t="shared" si="52"/>
        <v>#N/A</v>
      </c>
      <c r="O75" t="n">
        <f t="shared" si="53"/>
        <v>0</v>
      </c>
      <c r="P75" t="n">
        <f t="shared" si="54"/>
        <v>0</v>
      </c>
      <c r="Q75" t="n">
        <f t="shared" si="55"/>
        <v>0</v>
      </c>
      <c r="R75" t="n">
        <f t="shared" si="56"/>
        <v>0</v>
      </c>
      <c r="S75" t="e">
        <f t="shared" si="57"/>
        <v>#N/A</v>
      </c>
      <c r="T75" t="e">
        <f t="shared" si="58"/>
        <v>#N/A</v>
      </c>
      <c r="U75" t="e">
        <f t="shared" si="59"/>
        <v>#N/A</v>
      </c>
      <c r="V75" t="e">
        <f t="shared" si="60"/>
        <v>#N/A</v>
      </c>
      <c r="W75" t="e">
        <f t="shared" si="61"/>
        <v>#N/A</v>
      </c>
      <c r="X75" t="e">
        <f t="shared" si="62"/>
        <v>#N/A</v>
      </c>
      <c r="Y75" t="e">
        <f t="shared" si="63"/>
        <v>#N/A</v>
      </c>
      <c r="Z75" t="e">
        <f t="shared" si="64"/>
        <v>#N/A</v>
      </c>
      <c r="AA75" t="e">
        <f t="shared" si="65"/>
        <v>#N/A</v>
      </c>
      <c r="AB75" t="e">
        <f t="shared" si="66"/>
        <v>#N/A</v>
      </c>
      <c r="AC75" t="e">
        <f t="shared" si="67"/>
        <v>#N/A</v>
      </c>
      <c r="AD75" t="e">
        <f t="shared" si="68"/>
        <v>#N/A</v>
      </c>
      <c r="AE75" t="e">
        <f t="shared" si="69"/>
        <v>#N/A</v>
      </c>
      <c r="AF75" t="e">
        <f t="shared" si="70"/>
        <v>#N/A</v>
      </c>
      <c r="AG75" t="e">
        <f t="shared" si="71"/>
        <v>#N/A</v>
      </c>
      <c r="AH75" t="e">
        <f t="shared" si="72"/>
        <v>#N/A</v>
      </c>
      <c r="AI75" t="e">
        <f t="shared" si="73"/>
        <v>#N/A</v>
      </c>
      <c r="AJ75" t="e">
        <f t="shared" si="74"/>
        <v>#N/A</v>
      </c>
    </row>
    <row r="76">
      <c r="A76" s="2" t="n">
        <v>48823</v>
      </c>
      <c r="B76" t="n">
        <v>773962.155556675</v>
      </c>
      <c r="C76" t="n">
        <v>433762.591269522</v>
      </c>
      <c r="D76" t="n">
        <v>191.564225941957</v>
      </c>
      <c r="E76" t="n">
        <v>16027.3175905509</v>
      </c>
      <c r="F76" t="n">
        <v>4345699.91667158</v>
      </c>
      <c r="G76" t="n">
        <v>0.0582863054708569</v>
      </c>
      <c r="H76" t="n">
        <v>0.664183282483687</v>
      </c>
      <c r="I76" t="n">
        <v>0.0302974573383214</v>
      </c>
      <c r="J76" t="n">
        <v>0.0344427988776399</v>
      </c>
      <c r="K76" t="s">
        <v>179</v>
      </c>
      <c r="L76" t="e">
        <f t="shared" si="50"/>
        <v>#N/A</v>
      </c>
      <c r="M76" t="e">
        <f t="shared" si="51"/>
        <v>#N/A</v>
      </c>
      <c r="N76" t="e">
        <f t="shared" si="52"/>
        <v>#N/A</v>
      </c>
      <c r="O76" t="n">
        <f t="shared" si="53"/>
        <v>0</v>
      </c>
      <c r="P76" t="n">
        <f t="shared" si="54"/>
        <v>0</v>
      </c>
      <c r="Q76" t="n">
        <f t="shared" si="55"/>
        <v>0</v>
      </c>
      <c r="R76" t="n">
        <f t="shared" si="56"/>
        <v>0</v>
      </c>
      <c r="S76" t="e">
        <f t="shared" si="57"/>
        <v>#N/A</v>
      </c>
      <c r="T76" t="e">
        <f t="shared" si="58"/>
        <v>#N/A</v>
      </c>
      <c r="U76" t="e">
        <f t="shared" si="59"/>
        <v>#N/A</v>
      </c>
      <c r="V76" t="e">
        <f t="shared" si="60"/>
        <v>#N/A</v>
      </c>
      <c r="W76" t="e">
        <f t="shared" si="61"/>
        <v>#N/A</v>
      </c>
      <c r="X76" t="e">
        <f t="shared" si="62"/>
        <v>#N/A</v>
      </c>
      <c r="Y76" t="e">
        <f t="shared" si="63"/>
        <v>#N/A</v>
      </c>
      <c r="Z76" t="e">
        <f t="shared" si="64"/>
        <v>#N/A</v>
      </c>
      <c r="AA76" t="e">
        <f t="shared" si="65"/>
        <v>#N/A</v>
      </c>
      <c r="AB76" t="e">
        <f t="shared" si="66"/>
        <v>#N/A</v>
      </c>
      <c r="AC76" t="e">
        <f t="shared" si="67"/>
        <v>#N/A</v>
      </c>
      <c r="AD76" t="e">
        <f t="shared" si="68"/>
        <v>#N/A</v>
      </c>
      <c r="AE76" t="e">
        <f t="shared" si="69"/>
        <v>#N/A</v>
      </c>
      <c r="AF76" t="e">
        <f t="shared" si="70"/>
        <v>#N/A</v>
      </c>
      <c r="AG76" t="e">
        <f t="shared" si="71"/>
        <v>#N/A</v>
      </c>
      <c r="AH76" t="e">
        <f t="shared" si="72"/>
        <v>#N/A</v>
      </c>
      <c r="AI76" t="e">
        <f t="shared" si="73"/>
        <v>#N/A</v>
      </c>
      <c r="AJ76" t="e">
        <f t="shared" si="74"/>
        <v>#N/A</v>
      </c>
    </row>
    <row r="77">
      <c r="A77" s="2" t="n">
        <v>48914</v>
      </c>
      <c r="B77" t="n">
        <v>776308.402170766</v>
      </c>
      <c r="C77" t="n">
        <v>436126.757022053</v>
      </c>
      <c r="D77" t="n">
        <v>193.556806747399</v>
      </c>
      <c r="E77" t="n">
        <v>16070.989148246</v>
      </c>
      <c r="F77" t="n">
        <v>4349566.56352865</v>
      </c>
      <c r="G77" t="n">
        <v>0.0584379224736217</v>
      </c>
      <c r="H77" t="n">
        <v>0.664113706317781</v>
      </c>
      <c r="I77" t="n">
        <v>0.0298453101962261</v>
      </c>
      <c r="J77" t="n">
        <v>0.0340957903180811</v>
      </c>
      <c r="K77" t="s">
        <v>179</v>
      </c>
      <c r="L77" t="e">
        <f t="shared" si="50"/>
        <v>#N/A</v>
      </c>
      <c r="M77" t="e">
        <f t="shared" si="51"/>
        <v>#N/A</v>
      </c>
      <c r="N77" t="e">
        <f t="shared" si="52"/>
        <v>#N/A</v>
      </c>
      <c r="O77" t="n">
        <f t="shared" si="53"/>
        <v>0</v>
      </c>
      <c r="P77" t="n">
        <f t="shared" si="54"/>
        <v>0</v>
      </c>
      <c r="Q77" t="n">
        <f t="shared" si="55"/>
        <v>0</v>
      </c>
      <c r="R77" t="n">
        <f t="shared" si="56"/>
        <v>0</v>
      </c>
      <c r="S77" t="e">
        <f t="shared" si="57"/>
        <v>#N/A</v>
      </c>
      <c r="T77" t="e">
        <f t="shared" si="58"/>
        <v>#N/A</v>
      </c>
      <c r="U77" t="e">
        <f t="shared" si="59"/>
        <v>#N/A</v>
      </c>
      <c r="V77" t="e">
        <f t="shared" si="60"/>
        <v>#N/A</v>
      </c>
      <c r="W77" t="e">
        <f t="shared" si="61"/>
        <v>#N/A</v>
      </c>
      <c r="X77" t="e">
        <f t="shared" si="62"/>
        <v>#N/A</v>
      </c>
      <c r="Y77" t="e">
        <f t="shared" si="63"/>
        <v>#N/A</v>
      </c>
      <c r="Z77" t="e">
        <f t="shared" si="64"/>
        <v>#N/A</v>
      </c>
      <c r="AA77" t="e">
        <f t="shared" si="65"/>
        <v>#N/A</v>
      </c>
      <c r="AB77" t="e">
        <f t="shared" si="66"/>
        <v>#N/A</v>
      </c>
      <c r="AC77" t="e">
        <f t="shared" si="67"/>
        <v>#N/A</v>
      </c>
      <c r="AD77" t="e">
        <f t="shared" si="68"/>
        <v>#N/A</v>
      </c>
      <c r="AE77" t="e">
        <f t="shared" si="69"/>
        <v>#N/A</v>
      </c>
      <c r="AF77" t="e">
        <f t="shared" si="70"/>
        <v>#N/A</v>
      </c>
      <c r="AG77" t="e">
        <f t="shared" si="71"/>
        <v>#N/A</v>
      </c>
      <c r="AH77" t="e">
        <f t="shared" si="72"/>
        <v>#N/A</v>
      </c>
      <c r="AI77" t="e">
        <f t="shared" si="73"/>
        <v>#N/A</v>
      </c>
      <c r="AJ77" t="e">
        <f t="shared" si="74"/>
        <v>#N/A</v>
      </c>
    </row>
    <row r="78">
      <c r="A78" s="2" t="n">
        <v>49004</v>
      </c>
      <c r="B78" t="n">
        <v>778664.881765491</v>
      </c>
      <c r="C78" t="n">
        <v>438545.626632895</v>
      </c>
      <c r="D78" t="n">
        <v>195.566545414743</v>
      </c>
      <c r="E78" t="n">
        <v>16115.3374046438</v>
      </c>
      <c r="F78" t="n">
        <v>4353679.55837228</v>
      </c>
      <c r="G78" t="n">
        <v>0.0585622868161174</v>
      </c>
      <c r="H78" t="n">
        <v>0.664053548040736</v>
      </c>
      <c r="I78" t="n">
        <v>0.0294238936850207</v>
      </c>
      <c r="J78" t="n">
        <v>0.0337470257973778</v>
      </c>
      <c r="K78" t="s">
        <v>179</v>
      </c>
      <c r="L78" t="e">
        <f t="shared" si="50"/>
        <v>#N/A</v>
      </c>
      <c r="M78" t="e">
        <f t="shared" si="51"/>
        <v>#N/A</v>
      </c>
      <c r="N78" t="e">
        <f t="shared" si="52"/>
        <v>#N/A</v>
      </c>
      <c r="O78" t="n">
        <f t="shared" si="53"/>
        <v>0</v>
      </c>
      <c r="P78" t="n">
        <f t="shared" si="54"/>
        <v>0</v>
      </c>
      <c r="Q78" t="n">
        <f t="shared" si="55"/>
        <v>0</v>
      </c>
      <c r="R78" t="n">
        <f t="shared" si="56"/>
        <v>0</v>
      </c>
      <c r="S78" t="e">
        <f t="shared" si="57"/>
        <v>#N/A</v>
      </c>
      <c r="T78" t="e">
        <f t="shared" si="58"/>
        <v>#N/A</v>
      </c>
      <c r="U78" t="e">
        <f t="shared" si="59"/>
        <v>#N/A</v>
      </c>
      <c r="V78" t="e">
        <f t="shared" si="60"/>
        <v>#N/A</v>
      </c>
      <c r="W78" t="e">
        <f t="shared" si="61"/>
        <v>#N/A</v>
      </c>
      <c r="X78" t="e">
        <f t="shared" si="62"/>
        <v>#N/A</v>
      </c>
      <c r="Y78" t="e">
        <f t="shared" si="63"/>
        <v>#N/A</v>
      </c>
      <c r="Z78" t="e">
        <f t="shared" si="64"/>
        <v>#N/A</v>
      </c>
      <c r="AA78" t="e">
        <f t="shared" si="65"/>
        <v>#N/A</v>
      </c>
      <c r="AB78" t="e">
        <f t="shared" si="66"/>
        <v>#N/A</v>
      </c>
      <c r="AC78" t="e">
        <f t="shared" si="67"/>
        <v>#N/A</v>
      </c>
      <c r="AD78" t="e">
        <f t="shared" si="68"/>
        <v>#N/A</v>
      </c>
      <c r="AE78" t="e">
        <f t="shared" si="69"/>
        <v>#N/A</v>
      </c>
      <c r="AF78" t="e">
        <f t="shared" si="70"/>
        <v>#N/A</v>
      </c>
      <c r="AG78" t="e">
        <f t="shared" si="71"/>
        <v>#N/A</v>
      </c>
      <c r="AH78" t="e">
        <f t="shared" si="72"/>
        <v>#N/A</v>
      </c>
      <c r="AI78" t="e">
        <f t="shared" si="73"/>
        <v>#N/A</v>
      </c>
      <c r="AJ78" t="e">
        <f t="shared" si="74"/>
        <v>#N/A</v>
      </c>
    </row>
    <row r="79">
      <c r="A79" s="2" t="n">
        <v>49096</v>
      </c>
      <c r="B79" t="n">
        <v>780734.928147005</v>
      </c>
      <c r="C79" t="n">
        <v>440600.802885627</v>
      </c>
      <c r="D79" t="n">
        <v>197.5908076549</v>
      </c>
      <c r="E79" t="n">
        <v>16157.9650231363</v>
      </c>
      <c r="F79" t="n">
        <v>4356951.90219798</v>
      </c>
      <c r="G79" t="n">
        <v>0.0587916806736391</v>
      </c>
      <c r="H79" t="n">
        <v>0.663997367781704</v>
      </c>
      <c r="I79" t="n">
        <v>0.028827092896547</v>
      </c>
      <c r="J79" t="n">
        <v>0.0333862526158328</v>
      </c>
      <c r="K79" t="s">
        <v>179</v>
      </c>
      <c r="L79" t="e">
        <f t="shared" si="50"/>
        <v>#N/A</v>
      </c>
      <c r="M79" t="e">
        <f t="shared" si="51"/>
        <v>#N/A</v>
      </c>
      <c r="N79" t="e">
        <f t="shared" si="52"/>
        <v>#N/A</v>
      </c>
      <c r="O79" t="n">
        <f t="shared" si="53"/>
        <v>0</v>
      </c>
      <c r="P79" t="n">
        <f t="shared" si="54"/>
        <v>0</v>
      </c>
      <c r="Q79" t="n">
        <f t="shared" si="55"/>
        <v>0</v>
      </c>
      <c r="R79" t="n">
        <f t="shared" si="56"/>
        <v>0</v>
      </c>
      <c r="S79" t="e">
        <f t="shared" si="57"/>
        <v>#N/A</v>
      </c>
      <c r="T79" t="e">
        <f t="shared" si="58"/>
        <v>#N/A</v>
      </c>
      <c r="U79" t="e">
        <f t="shared" si="59"/>
        <v>#N/A</v>
      </c>
      <c r="V79" t="e">
        <f t="shared" si="60"/>
        <v>#N/A</v>
      </c>
      <c r="W79" t="e">
        <f t="shared" si="61"/>
        <v>#N/A</v>
      </c>
      <c r="X79" t="e">
        <f t="shared" si="62"/>
        <v>#N/A</v>
      </c>
      <c r="Y79" t="e">
        <f t="shared" si="63"/>
        <v>#N/A</v>
      </c>
      <c r="Z79" t="e">
        <f t="shared" si="64"/>
        <v>#N/A</v>
      </c>
      <c r="AA79" t="e">
        <f t="shared" si="65"/>
        <v>#N/A</v>
      </c>
      <c r="AB79" t="e">
        <f t="shared" si="66"/>
        <v>#N/A</v>
      </c>
      <c r="AC79" t="e">
        <f t="shared" si="67"/>
        <v>#N/A</v>
      </c>
      <c r="AD79" t="e">
        <f t="shared" si="68"/>
        <v>#N/A</v>
      </c>
      <c r="AE79" t="e">
        <f t="shared" si="69"/>
        <v>#N/A</v>
      </c>
      <c r="AF79" t="e">
        <f t="shared" si="70"/>
        <v>#N/A</v>
      </c>
      <c r="AG79" t="e">
        <f t="shared" si="71"/>
        <v>#N/A</v>
      </c>
      <c r="AH79" t="e">
        <f t="shared" si="72"/>
        <v>#N/A</v>
      </c>
      <c r="AI79" t="e">
        <f t="shared" si="73"/>
        <v>#N/A</v>
      </c>
      <c r="AJ79" t="e">
        <f t="shared" si="74"/>
        <v>#N/A</v>
      </c>
    </row>
    <row r="80">
      <c r="A80" s="2" t="n">
        <v>49188</v>
      </c>
      <c r="B80" t="n">
        <v>782898.61498712</v>
      </c>
      <c r="C80" t="n">
        <v>442735.201293351</v>
      </c>
      <c r="D80" t="n">
        <v>199.63545215004</v>
      </c>
      <c r="E80" t="n">
        <v>16200.1574723105</v>
      </c>
      <c r="F80" t="n">
        <v>4360218.75510897</v>
      </c>
      <c r="G80" t="n">
        <v>0.0589485440137796</v>
      </c>
      <c r="H80" t="n">
        <v>0.663929700983508</v>
      </c>
      <c r="I80" t="n">
        <v>0.0283314820045847</v>
      </c>
      <c r="J80" t="n">
        <v>0.0330202553183329</v>
      </c>
      <c r="K80" t="s">
        <v>179</v>
      </c>
      <c r="L80" t="e">
        <f t="shared" si="50"/>
        <v>#N/A</v>
      </c>
      <c r="M80" t="e">
        <f t="shared" si="51"/>
        <v>#N/A</v>
      </c>
      <c r="N80" t="e">
        <f t="shared" si="52"/>
        <v>#N/A</v>
      </c>
      <c r="O80" t="n">
        <f t="shared" si="53"/>
        <v>0</v>
      </c>
      <c r="P80" t="n">
        <f t="shared" si="54"/>
        <v>0</v>
      </c>
      <c r="Q80" t="n">
        <f t="shared" si="55"/>
        <v>0</v>
      </c>
      <c r="R80" t="n">
        <f t="shared" si="56"/>
        <v>0</v>
      </c>
      <c r="S80" t="e">
        <f t="shared" si="57"/>
        <v>#N/A</v>
      </c>
      <c r="T80" t="e">
        <f t="shared" si="58"/>
        <v>#N/A</v>
      </c>
      <c r="U80" t="e">
        <f t="shared" si="59"/>
        <v>#N/A</v>
      </c>
      <c r="V80" t="e">
        <f t="shared" si="60"/>
        <v>#N/A</v>
      </c>
      <c r="W80" t="e">
        <f t="shared" si="61"/>
        <v>#N/A</v>
      </c>
      <c r="X80" t="e">
        <f t="shared" si="62"/>
        <v>#N/A</v>
      </c>
      <c r="Y80" t="e">
        <f t="shared" si="63"/>
        <v>#N/A</v>
      </c>
      <c r="Z80" t="e">
        <f t="shared" si="64"/>
        <v>#N/A</v>
      </c>
      <c r="AA80" t="e">
        <f t="shared" si="65"/>
        <v>#N/A</v>
      </c>
      <c r="AB80" t="e">
        <f t="shared" si="66"/>
        <v>#N/A</v>
      </c>
      <c r="AC80" t="e">
        <f t="shared" si="67"/>
        <v>#N/A</v>
      </c>
      <c r="AD80" t="e">
        <f t="shared" si="68"/>
        <v>#N/A</v>
      </c>
      <c r="AE80" t="e">
        <f t="shared" si="69"/>
        <v>#N/A</v>
      </c>
      <c r="AF80" t="e">
        <f t="shared" si="70"/>
        <v>#N/A</v>
      </c>
      <c r="AG80" t="e">
        <f t="shared" si="71"/>
        <v>#N/A</v>
      </c>
      <c r="AH80" t="e">
        <f t="shared" si="72"/>
        <v>#N/A</v>
      </c>
      <c r="AI80" t="e">
        <f t="shared" si="73"/>
        <v>#N/A</v>
      </c>
      <c r="AJ80" t="e">
        <f t="shared" si="74"/>
        <v>#N/A</v>
      </c>
    </row>
    <row r="81">
      <c r="A81" s="2" t="n">
        <v>49279</v>
      </c>
      <c r="B81" t="n">
        <v>785137.018987833</v>
      </c>
      <c r="C81" t="n">
        <v>444989.242311865</v>
      </c>
      <c r="D81" t="n">
        <v>201.696649212123</v>
      </c>
      <c r="E81" t="n">
        <v>16242.9794553154</v>
      </c>
      <c r="F81" t="n">
        <v>4363714.55510646</v>
      </c>
      <c r="G81" t="n">
        <v>0.0590789775674804</v>
      </c>
      <c r="H81" t="n">
        <v>0.663870129243993</v>
      </c>
      <c r="I81" t="n">
        <v>0.0278738520404098</v>
      </c>
      <c r="J81" t="n">
        <v>0.0326516282761051</v>
      </c>
      <c r="K81" t="s">
        <v>179</v>
      </c>
      <c r="L81" t="e">
        <f t="shared" si="50"/>
        <v>#N/A</v>
      </c>
      <c r="M81" t="e">
        <f t="shared" si="51"/>
        <v>#N/A</v>
      </c>
      <c r="N81" t="e">
        <f t="shared" si="52"/>
        <v>#N/A</v>
      </c>
      <c r="O81" t="n">
        <f t="shared" si="53"/>
        <v>0</v>
      </c>
      <c r="P81" t="n">
        <f t="shared" si="54"/>
        <v>0</v>
      </c>
      <c r="Q81" t="n">
        <f t="shared" si="55"/>
        <v>0</v>
      </c>
      <c r="R81" t="n">
        <f t="shared" si="56"/>
        <v>0</v>
      </c>
      <c r="S81" t="e">
        <f t="shared" si="57"/>
        <v>#N/A</v>
      </c>
      <c r="T81" t="e">
        <f t="shared" si="58"/>
        <v>#N/A</v>
      </c>
      <c r="U81" t="e">
        <f t="shared" si="59"/>
        <v>#N/A</v>
      </c>
      <c r="V81" t="e">
        <f t="shared" si="60"/>
        <v>#N/A</v>
      </c>
      <c r="W81" t="e">
        <f t="shared" si="61"/>
        <v>#N/A</v>
      </c>
      <c r="X81" t="e">
        <f t="shared" si="62"/>
        <v>#N/A</v>
      </c>
      <c r="Y81" t="e">
        <f t="shared" si="63"/>
        <v>#N/A</v>
      </c>
      <c r="Z81" t="e">
        <f t="shared" si="64"/>
        <v>#N/A</v>
      </c>
      <c r="AA81" t="e">
        <f t="shared" si="65"/>
        <v>#N/A</v>
      </c>
      <c r="AB81" t="e">
        <f t="shared" si="66"/>
        <v>#N/A</v>
      </c>
      <c r="AC81" t="e">
        <f t="shared" si="67"/>
        <v>#N/A</v>
      </c>
      <c r="AD81" t="e">
        <f t="shared" si="68"/>
        <v>#N/A</v>
      </c>
      <c r="AE81" t="e">
        <f t="shared" si="69"/>
        <v>#N/A</v>
      </c>
      <c r="AF81" t="e">
        <f t="shared" si="70"/>
        <v>#N/A</v>
      </c>
      <c r="AG81" t="e">
        <f t="shared" si="71"/>
        <v>#N/A</v>
      </c>
      <c r="AH81" t="e">
        <f t="shared" si="72"/>
        <v>#N/A</v>
      </c>
      <c r="AI81" t="e">
        <f t="shared" si="73"/>
        <v>#N/A</v>
      </c>
      <c r="AJ81" t="e">
        <f t="shared" si="74"/>
        <v>#N/A</v>
      </c>
    </row>
    <row r="82">
      <c r="A82" s="2" t="n">
        <v>49369</v>
      </c>
      <c r="B82" t="n">
        <v>787377.803387387</v>
      </c>
      <c r="C82" t="n">
        <v>447299.079208729</v>
      </c>
      <c r="D82" t="n">
        <v>203.775143984748</v>
      </c>
      <c r="E82" t="n">
        <v>16286.3945958976</v>
      </c>
      <c r="F82" t="n">
        <v>4367427.53627281</v>
      </c>
      <c r="G82" t="n">
        <v>0.0591823211067704</v>
      </c>
      <c r="H82" t="n">
        <v>0.663816482751688</v>
      </c>
      <c r="I82" t="n">
        <v>0.027460043974676</v>
      </c>
      <c r="J82" t="n">
        <v>0.0322831380570998</v>
      </c>
      <c r="K82" t="s">
        <v>179</v>
      </c>
      <c r="L82" t="e">
        <f t="shared" si="50"/>
        <v>#N/A</v>
      </c>
      <c r="M82" t="e">
        <f t="shared" si="51"/>
        <v>#N/A</v>
      </c>
      <c r="N82" t="e">
        <f t="shared" si="52"/>
        <v>#N/A</v>
      </c>
      <c r="O82" t="n">
        <f t="shared" si="53"/>
        <v>0</v>
      </c>
      <c r="P82" t="n">
        <f t="shared" si="54"/>
        <v>0</v>
      </c>
      <c r="Q82" t="n">
        <f t="shared" si="55"/>
        <v>0</v>
      </c>
      <c r="R82" t="n">
        <f t="shared" si="56"/>
        <v>0</v>
      </c>
      <c r="S82" t="e">
        <f t="shared" si="57"/>
        <v>#N/A</v>
      </c>
      <c r="T82" t="e">
        <f t="shared" si="58"/>
        <v>#N/A</v>
      </c>
      <c r="U82" t="e">
        <f t="shared" si="59"/>
        <v>#N/A</v>
      </c>
      <c r="V82" t="e">
        <f t="shared" si="60"/>
        <v>#N/A</v>
      </c>
      <c r="W82" t="e">
        <f t="shared" si="61"/>
        <v>#N/A</v>
      </c>
      <c r="X82" t="e">
        <f t="shared" si="62"/>
        <v>#N/A</v>
      </c>
      <c r="Y82" t="e">
        <f t="shared" si="63"/>
        <v>#N/A</v>
      </c>
      <c r="Z82" t="e">
        <f t="shared" si="64"/>
        <v>#N/A</v>
      </c>
      <c r="AA82" t="e">
        <f t="shared" si="65"/>
        <v>#N/A</v>
      </c>
      <c r="AB82" t="e">
        <f t="shared" si="66"/>
        <v>#N/A</v>
      </c>
      <c r="AC82" t="e">
        <f t="shared" si="67"/>
        <v>#N/A</v>
      </c>
      <c r="AD82" t="e">
        <f t="shared" si="68"/>
        <v>#N/A</v>
      </c>
      <c r="AE82" t="e">
        <f t="shared" si="69"/>
        <v>#N/A</v>
      </c>
      <c r="AF82" t="e">
        <f t="shared" si="70"/>
        <v>#N/A</v>
      </c>
      <c r="AG82" t="e">
        <f t="shared" si="71"/>
        <v>#N/A</v>
      </c>
      <c r="AH82" t="e">
        <f t="shared" si="72"/>
        <v>#N/A</v>
      </c>
      <c r="AI82" t="e">
        <f t="shared" si="73"/>
        <v>#N/A</v>
      </c>
      <c r="AJ82" t="e">
        <f t="shared" si="74"/>
        <v>#N/A</v>
      </c>
    </row>
    <row r="83">
      <c r="A83" s="2" t="n">
        <v>49461</v>
      </c>
      <c r="B83" t="n">
        <v>789317.734090142</v>
      </c>
      <c r="C83" t="n">
        <v>449231.029738122</v>
      </c>
      <c r="D83" t="n">
        <v>205.867878654872</v>
      </c>
      <c r="E83" t="n">
        <v>16327.9240519079</v>
      </c>
      <c r="F83" t="n">
        <v>4370234.67825562</v>
      </c>
      <c r="G83" t="n">
        <v>0.0593990851128706</v>
      </c>
      <c r="H83" t="n">
        <v>0.663766940061039</v>
      </c>
      <c r="I83" t="n">
        <v>0.0268676427024733</v>
      </c>
      <c r="J83" t="n">
        <v>0.0319042158945342</v>
      </c>
      <c r="K83" t="s">
        <v>179</v>
      </c>
      <c r="L83" t="e">
        <f t="shared" si="50"/>
        <v>#N/A</v>
      </c>
      <c r="M83" t="e">
        <f t="shared" si="51"/>
        <v>#N/A</v>
      </c>
      <c r="N83" t="e">
        <f t="shared" si="52"/>
        <v>#N/A</v>
      </c>
      <c r="O83" t="n">
        <f t="shared" si="53"/>
        <v>0</v>
      </c>
      <c r="P83" t="n">
        <f t="shared" si="54"/>
        <v>0</v>
      </c>
      <c r="Q83" t="n">
        <f t="shared" si="55"/>
        <v>0</v>
      </c>
      <c r="R83" t="n">
        <f t="shared" si="56"/>
        <v>0</v>
      </c>
      <c r="S83" t="e">
        <f t="shared" si="57"/>
        <v>#N/A</v>
      </c>
      <c r="T83" t="e">
        <f t="shared" si="58"/>
        <v>#N/A</v>
      </c>
      <c r="U83" t="e">
        <f t="shared" si="59"/>
        <v>#N/A</v>
      </c>
      <c r="V83" t="e">
        <f t="shared" si="60"/>
        <v>#N/A</v>
      </c>
      <c r="W83" t="e">
        <f t="shared" si="61"/>
        <v>#N/A</v>
      </c>
      <c r="X83" t="e">
        <f t="shared" si="62"/>
        <v>#N/A</v>
      </c>
      <c r="Y83" t="e">
        <f t="shared" si="63"/>
        <v>#N/A</v>
      </c>
      <c r="Z83" t="e">
        <f t="shared" si="64"/>
        <v>#N/A</v>
      </c>
      <c r="AA83" t="e">
        <f t="shared" si="65"/>
        <v>#N/A</v>
      </c>
      <c r="AB83" t="e">
        <f t="shared" si="66"/>
        <v>#N/A</v>
      </c>
      <c r="AC83" t="e">
        <f t="shared" si="67"/>
        <v>#N/A</v>
      </c>
      <c r="AD83" t="e">
        <f t="shared" si="68"/>
        <v>#N/A</v>
      </c>
      <c r="AE83" t="e">
        <f t="shared" si="69"/>
        <v>#N/A</v>
      </c>
      <c r="AF83" t="e">
        <f t="shared" si="70"/>
        <v>#N/A</v>
      </c>
      <c r="AG83" t="e">
        <f t="shared" si="71"/>
        <v>#N/A</v>
      </c>
      <c r="AH83" t="e">
        <f t="shared" si="72"/>
        <v>#N/A</v>
      </c>
      <c r="AI83" t="e">
        <f t="shared" si="73"/>
        <v>#N/A</v>
      </c>
      <c r="AJ83" t="e">
        <f t="shared" si="74"/>
        <v>#N/A</v>
      </c>
    </row>
    <row r="84">
      <c r="A84" s="2" t="n">
        <v>49553</v>
      </c>
      <c r="B84" t="n">
        <v>791314.530709224</v>
      </c>
      <c r="C84" t="n">
        <v>451202.674220276</v>
      </c>
      <c r="D84" t="n">
        <v>207.978095625839</v>
      </c>
      <c r="E84" t="n">
        <v>16368.9431612089</v>
      </c>
      <c r="F84" t="n">
        <v>4372829.06753184</v>
      </c>
      <c r="G84" t="n">
        <v>0.0596258822805663</v>
      </c>
      <c r="H84" t="n">
        <v>0.66370251168202</v>
      </c>
      <c r="I84" t="n">
        <v>0.0262382499435169</v>
      </c>
      <c r="J84" t="n">
        <v>0.0315133708805065</v>
      </c>
      <c r="K84" t="s">
        <v>179</v>
      </c>
      <c r="L84" t="e">
        <f t="shared" si="50"/>
        <v>#N/A</v>
      </c>
      <c r="M84" t="e">
        <f t="shared" si="51"/>
        <v>#N/A</v>
      </c>
      <c r="N84" t="e">
        <f t="shared" si="52"/>
        <v>#N/A</v>
      </c>
      <c r="O84" t="n">
        <f t="shared" si="53"/>
        <v>0</v>
      </c>
      <c r="P84" t="n">
        <f t="shared" si="54"/>
        <v>0</v>
      </c>
      <c r="Q84" t="n">
        <f t="shared" si="55"/>
        <v>0</v>
      </c>
      <c r="R84" t="n">
        <f t="shared" si="56"/>
        <v>0</v>
      </c>
      <c r="S84" t="e">
        <f t="shared" si="57"/>
        <v>#N/A</v>
      </c>
      <c r="T84" t="e">
        <f t="shared" si="58"/>
        <v>#N/A</v>
      </c>
      <c r="U84" t="e">
        <f t="shared" si="59"/>
        <v>#N/A</v>
      </c>
      <c r="V84" t="e">
        <f t="shared" si="60"/>
        <v>#N/A</v>
      </c>
      <c r="W84" t="e">
        <f t="shared" si="61"/>
        <v>#N/A</v>
      </c>
      <c r="X84" t="e">
        <f t="shared" si="62"/>
        <v>#N/A</v>
      </c>
      <c r="Y84" t="e">
        <f t="shared" si="63"/>
        <v>#N/A</v>
      </c>
      <c r="Z84" t="e">
        <f t="shared" si="64"/>
        <v>#N/A</v>
      </c>
      <c r="AA84" t="e">
        <f t="shared" si="65"/>
        <v>#N/A</v>
      </c>
      <c r="AB84" t="e">
        <f t="shared" si="66"/>
        <v>#N/A</v>
      </c>
      <c r="AC84" t="e">
        <f t="shared" si="67"/>
        <v>#N/A</v>
      </c>
      <c r="AD84" t="e">
        <f t="shared" si="68"/>
        <v>#N/A</v>
      </c>
      <c r="AE84" t="e">
        <f t="shared" si="69"/>
        <v>#N/A</v>
      </c>
      <c r="AF84" t="e">
        <f t="shared" si="70"/>
        <v>#N/A</v>
      </c>
      <c r="AG84" t="e">
        <f t="shared" si="71"/>
        <v>#N/A</v>
      </c>
      <c r="AH84" t="e">
        <f t="shared" si="72"/>
        <v>#N/A</v>
      </c>
      <c r="AI84" t="e">
        <f t="shared" si="73"/>
        <v>#N/A</v>
      </c>
      <c r="AJ84" t="e">
        <f t="shared" si="74"/>
        <v>#N/A</v>
      </c>
    </row>
    <row r="85">
      <c r="A85" s="2" t="n">
        <v>49644</v>
      </c>
      <c r="B85" t="n">
        <v>793399.883550351</v>
      </c>
      <c r="C85" t="n">
        <v>453313.543242989</v>
      </c>
      <c r="D85" t="n">
        <v>210.105482637316</v>
      </c>
      <c r="E85" t="n">
        <v>16410.5601312947</v>
      </c>
      <c r="F85" t="n">
        <v>4375683.0505821</v>
      </c>
      <c r="G85" t="n">
        <v>0.059807798631589</v>
      </c>
      <c r="H85" t="n">
        <v>0.663631780984103</v>
      </c>
      <c r="I85" t="n">
        <v>0.0256666389164125</v>
      </c>
      <c r="J85" t="n">
        <v>0.0311148152491951</v>
      </c>
      <c r="K85" t="s">
        <v>179</v>
      </c>
      <c r="L85" t="e">
        <f t="shared" si="50"/>
        <v>#N/A</v>
      </c>
      <c r="M85" t="e">
        <f t="shared" si="51"/>
        <v>#N/A</v>
      </c>
      <c r="N85" t="e">
        <f t="shared" si="52"/>
        <v>#N/A</v>
      </c>
      <c r="O85" t="n">
        <f t="shared" si="53"/>
        <v>0</v>
      </c>
      <c r="P85" t="n">
        <f t="shared" si="54"/>
        <v>0</v>
      </c>
      <c r="Q85" t="n">
        <f t="shared" si="55"/>
        <v>0</v>
      </c>
      <c r="R85" t="n">
        <f t="shared" si="56"/>
        <v>0</v>
      </c>
      <c r="S85" t="e">
        <f t="shared" si="57"/>
        <v>#N/A</v>
      </c>
      <c r="T85" t="e">
        <f t="shared" si="58"/>
        <v>#N/A</v>
      </c>
      <c r="U85" t="e">
        <f t="shared" si="59"/>
        <v>#N/A</v>
      </c>
      <c r="V85" t="e">
        <f t="shared" si="60"/>
        <v>#N/A</v>
      </c>
      <c r="W85" t="e">
        <f t="shared" si="61"/>
        <v>#N/A</v>
      </c>
      <c r="X85" t="e">
        <f t="shared" si="62"/>
        <v>#N/A</v>
      </c>
      <c r="Y85" t="e">
        <f t="shared" si="63"/>
        <v>#N/A</v>
      </c>
      <c r="Z85" t="e">
        <f t="shared" si="64"/>
        <v>#N/A</v>
      </c>
      <c r="AA85" t="e">
        <f t="shared" si="65"/>
        <v>#N/A</v>
      </c>
      <c r="AB85" t="e">
        <f t="shared" si="66"/>
        <v>#N/A</v>
      </c>
      <c r="AC85" t="e">
        <f t="shared" si="67"/>
        <v>#N/A</v>
      </c>
      <c r="AD85" t="e">
        <f t="shared" si="68"/>
        <v>#N/A</v>
      </c>
      <c r="AE85" t="e">
        <f t="shared" si="69"/>
        <v>#N/A</v>
      </c>
      <c r="AF85" t="e">
        <f t="shared" si="70"/>
        <v>#N/A</v>
      </c>
      <c r="AG85" t="e">
        <f t="shared" si="71"/>
        <v>#N/A</v>
      </c>
      <c r="AH85" t="e">
        <f t="shared" si="72"/>
        <v>#N/A</v>
      </c>
      <c r="AI85" t="e">
        <f t="shared" si="73"/>
        <v>#N/A</v>
      </c>
      <c r="AJ85" t="e">
        <f t="shared" si="74"/>
        <v>#N/A</v>
      </c>
    </row>
    <row r="86">
      <c r="A86" s="2" t="n">
        <v>49735</v>
      </c>
      <c r="B86" t="n">
        <v>795488.849547528</v>
      </c>
      <c r="C86" t="n">
        <v>455490.167370156</v>
      </c>
      <c r="D86" t="n">
        <v>212.249621951419</v>
      </c>
      <c r="E86" t="n">
        <v>16452.7937625451</v>
      </c>
      <c r="F86" t="n">
        <v>4378767.18501246</v>
      </c>
      <c r="G86" t="n">
        <v>0.0599600825943979</v>
      </c>
      <c r="H86" t="n">
        <v>0.663566060372515</v>
      </c>
      <c r="I86" t="n">
        <v>0.0251362253583021</v>
      </c>
      <c r="J86" t="n">
        <v>0.0307114995165188</v>
      </c>
      <c r="K86" t="s">
        <v>179</v>
      </c>
      <c r="L86" t="e">
        <f t="shared" si="50"/>
        <v>#N/A</v>
      </c>
      <c r="M86" t="e">
        <f t="shared" si="51"/>
        <v>#N/A</v>
      </c>
      <c r="N86" t="e">
        <f t="shared" si="52"/>
        <v>#N/A</v>
      </c>
      <c r="O86" t="n">
        <f t="shared" si="53"/>
        <v>0</v>
      </c>
      <c r="P86" t="n">
        <f t="shared" si="54"/>
        <v>0</v>
      </c>
      <c r="Q86" t="n">
        <f t="shared" si="55"/>
        <v>0</v>
      </c>
      <c r="R86" t="n">
        <f t="shared" si="56"/>
        <v>0</v>
      </c>
      <c r="S86" t="e">
        <f t="shared" si="57"/>
        <v>#N/A</v>
      </c>
      <c r="T86" t="e">
        <f t="shared" si="58"/>
        <v>#N/A</v>
      </c>
      <c r="U86" t="e">
        <f t="shared" si="59"/>
        <v>#N/A</v>
      </c>
      <c r="V86" t="e">
        <f t="shared" si="60"/>
        <v>#N/A</v>
      </c>
      <c r="W86" t="e">
        <f t="shared" si="61"/>
        <v>#N/A</v>
      </c>
      <c r="X86" t="e">
        <f t="shared" si="62"/>
        <v>#N/A</v>
      </c>
      <c r="Y86" t="e">
        <f t="shared" si="63"/>
        <v>#N/A</v>
      </c>
      <c r="Z86" t="e">
        <f t="shared" si="64"/>
        <v>#N/A</v>
      </c>
      <c r="AA86" t="e">
        <f t="shared" si="65"/>
        <v>#N/A</v>
      </c>
      <c r="AB86" t="e">
        <f t="shared" si="66"/>
        <v>#N/A</v>
      </c>
      <c r="AC86" t="e">
        <f t="shared" si="67"/>
        <v>#N/A</v>
      </c>
      <c r="AD86" t="e">
        <f t="shared" si="68"/>
        <v>#N/A</v>
      </c>
      <c r="AE86" t="e">
        <f t="shared" si="69"/>
        <v>#N/A</v>
      </c>
      <c r="AF86" t="e">
        <f t="shared" si="70"/>
        <v>#N/A</v>
      </c>
      <c r="AG86" t="e">
        <f t="shared" si="71"/>
        <v>#N/A</v>
      </c>
      <c r="AH86" t="e">
        <f t="shared" si="72"/>
        <v>#N/A</v>
      </c>
      <c r="AI86" t="e">
        <f t="shared" si="73"/>
        <v>#N/A</v>
      </c>
      <c r="AJ86" t="e">
        <f t="shared" si="74"/>
        <v>#N/A</v>
      </c>
    </row>
    <row r="87">
      <c r="A87" s="2" t="n">
        <v>49827</v>
      </c>
      <c r="B87" t="n">
        <v>796593.51312975</v>
      </c>
      <c r="C87" t="n">
        <v>457158.263505735</v>
      </c>
      <c r="D87" t="n">
        <v>214.403299503968</v>
      </c>
      <c r="E87" t="n">
        <v>16488.6853356213</v>
      </c>
      <c r="F87" t="n">
        <v>4378985.94987261</v>
      </c>
      <c r="G87" t="n">
        <v>0.0604681678580107</v>
      </c>
      <c r="H87" t="n">
        <v>0.663497320037237</v>
      </c>
      <c r="I87" t="n">
        <v>0.0240222289345608</v>
      </c>
      <c r="J87" t="n">
        <v>0.0302692360407371</v>
      </c>
      <c r="K87" t="s">
        <v>179</v>
      </c>
      <c r="L87" t="e">
        <f t="shared" si="50"/>
        <v>#N/A</v>
      </c>
      <c r="M87" t="e">
        <f t="shared" si="51"/>
        <v>#N/A</v>
      </c>
      <c r="N87" t="e">
        <f t="shared" si="52"/>
        <v>#N/A</v>
      </c>
      <c r="O87" t="n">
        <f t="shared" si="53"/>
        <v>0</v>
      </c>
      <c r="P87" t="n">
        <f t="shared" si="54"/>
        <v>0</v>
      </c>
      <c r="Q87" t="n">
        <f t="shared" si="55"/>
        <v>0</v>
      </c>
      <c r="R87" t="n">
        <f t="shared" si="56"/>
        <v>0</v>
      </c>
      <c r="S87" t="e">
        <f t="shared" si="57"/>
        <v>#N/A</v>
      </c>
      <c r="T87" t="e">
        <f t="shared" si="58"/>
        <v>#N/A</v>
      </c>
      <c r="U87" t="e">
        <f t="shared" si="59"/>
        <v>#N/A</v>
      </c>
      <c r="V87" t="e">
        <f t="shared" si="60"/>
        <v>#N/A</v>
      </c>
      <c r="W87" t="e">
        <f t="shared" si="61"/>
        <v>#N/A</v>
      </c>
      <c r="X87" t="e">
        <f t="shared" si="62"/>
        <v>#N/A</v>
      </c>
      <c r="Y87" t="e">
        <f t="shared" si="63"/>
        <v>#N/A</v>
      </c>
      <c r="Z87" t="e">
        <f t="shared" si="64"/>
        <v>#N/A</v>
      </c>
      <c r="AA87" t="e">
        <f t="shared" si="65"/>
        <v>#N/A</v>
      </c>
      <c r="AB87" t="e">
        <f t="shared" si="66"/>
        <v>#N/A</v>
      </c>
      <c r="AC87" t="e">
        <f t="shared" si="67"/>
        <v>#N/A</v>
      </c>
      <c r="AD87" t="e">
        <f t="shared" si="68"/>
        <v>#N/A</v>
      </c>
      <c r="AE87" t="e">
        <f t="shared" si="69"/>
        <v>#N/A</v>
      </c>
      <c r="AF87" t="e">
        <f t="shared" si="70"/>
        <v>#N/A</v>
      </c>
      <c r="AG87" t="e">
        <f t="shared" si="71"/>
        <v>#N/A</v>
      </c>
      <c r="AH87" t="e">
        <f t="shared" si="72"/>
        <v>#N/A</v>
      </c>
      <c r="AI87" t="e">
        <f t="shared" si="73"/>
        <v>#N/A</v>
      </c>
      <c r="AJ87" t="e">
        <f t="shared" si="74"/>
        <v>#N/A</v>
      </c>
    </row>
    <row r="88">
      <c r="A88" s="2" t="n">
        <v>49919</v>
      </c>
      <c r="B88" t="n">
        <v>798558.134724214</v>
      </c>
      <c r="C88" t="n">
        <v>458993.958500573</v>
      </c>
      <c r="D88" t="n">
        <v>216.57953482281</v>
      </c>
      <c r="E88" t="n">
        <v>16526.8673494847</v>
      </c>
      <c r="F88" t="n">
        <v>4380391.67516698</v>
      </c>
      <c r="G88" t="n">
        <v>0.0607601926459352</v>
      </c>
      <c r="H88" t="n">
        <v>0.663377717046741</v>
      </c>
      <c r="I88" t="n">
        <v>0.02321591229348</v>
      </c>
      <c r="J88" t="n">
        <v>0.0298088164853173</v>
      </c>
      <c r="K88" t="s">
        <v>179</v>
      </c>
      <c r="L88" t="e">
        <f t="shared" si="50"/>
        <v>#N/A</v>
      </c>
      <c r="M88" t="e">
        <f t="shared" si="51"/>
        <v>#N/A</v>
      </c>
      <c r="N88" t="e">
        <f t="shared" si="52"/>
        <v>#N/A</v>
      </c>
      <c r="O88" t="n">
        <f t="shared" si="53"/>
        <v>0</v>
      </c>
      <c r="P88" t="n">
        <f t="shared" si="54"/>
        <v>0</v>
      </c>
      <c r="Q88" t="n">
        <f t="shared" si="55"/>
        <v>0</v>
      </c>
      <c r="R88" t="n">
        <f t="shared" si="56"/>
        <v>0</v>
      </c>
      <c r="S88" t="e">
        <f t="shared" si="57"/>
        <v>#N/A</v>
      </c>
      <c r="T88" t="e">
        <f t="shared" si="58"/>
        <v>#N/A</v>
      </c>
      <c r="U88" t="e">
        <f t="shared" si="59"/>
        <v>#N/A</v>
      </c>
      <c r="V88" t="e">
        <f t="shared" si="60"/>
        <v>#N/A</v>
      </c>
      <c r="W88" t="e">
        <f t="shared" si="61"/>
        <v>#N/A</v>
      </c>
      <c r="X88" t="e">
        <f t="shared" si="62"/>
        <v>#N/A</v>
      </c>
      <c r="Y88" t="e">
        <f t="shared" si="63"/>
        <v>#N/A</v>
      </c>
      <c r="Z88" t="e">
        <f t="shared" si="64"/>
        <v>#N/A</v>
      </c>
      <c r="AA88" t="e">
        <f t="shared" si="65"/>
        <v>#N/A</v>
      </c>
      <c r="AB88" t="e">
        <f t="shared" si="66"/>
        <v>#N/A</v>
      </c>
      <c r="AC88" t="e">
        <f t="shared" si="67"/>
        <v>#N/A</v>
      </c>
      <c r="AD88" t="e">
        <f t="shared" si="68"/>
        <v>#N/A</v>
      </c>
      <c r="AE88" t="e">
        <f t="shared" si="69"/>
        <v>#N/A</v>
      </c>
      <c r="AF88" t="e">
        <f t="shared" si="70"/>
        <v>#N/A</v>
      </c>
      <c r="AG88" t="e">
        <f t="shared" si="71"/>
        <v>#N/A</v>
      </c>
      <c r="AH88" t="e">
        <f t="shared" si="72"/>
        <v>#N/A</v>
      </c>
      <c r="AI88" t="e">
        <f t="shared" si="73"/>
        <v>#N/A</v>
      </c>
      <c r="AJ88" t="e">
        <f t="shared" si="74"/>
        <v>#N/A</v>
      </c>
    </row>
    <row r="89">
      <c r="A89" s="2" t="n">
        <v>50010</v>
      </c>
      <c r="B89" t="n">
        <v>800116.33475108</v>
      </c>
      <c r="C89" t="n">
        <v>460923.278748665</v>
      </c>
      <c r="D89" t="n">
        <v>218.767918792683</v>
      </c>
      <c r="E89" t="n">
        <v>16564.2891718465</v>
      </c>
      <c r="F89" t="n">
        <v>4381386.04675989</v>
      </c>
      <c r="G89" t="n">
        <v>0.061116886069443</v>
      </c>
      <c r="H89" t="n">
        <v>0.663275104675056</v>
      </c>
      <c r="I89" t="n">
        <v>0.0222908649471477</v>
      </c>
      <c r="J89" t="n">
        <v>0.0293244325147138</v>
      </c>
      <c r="K89" t="s">
        <v>179</v>
      </c>
      <c r="L89" t="e">
        <f t="shared" si="50"/>
        <v>#N/A</v>
      </c>
      <c r="M89" t="e">
        <f t="shared" si="51"/>
        <v>#N/A</v>
      </c>
      <c r="N89" t="e">
        <f t="shared" si="52"/>
        <v>#N/A</v>
      </c>
      <c r="O89" t="n">
        <f t="shared" si="53"/>
        <v>0</v>
      </c>
      <c r="P89" t="n">
        <f t="shared" si="54"/>
        <v>0</v>
      </c>
      <c r="Q89" t="n">
        <f t="shared" si="55"/>
        <v>0</v>
      </c>
      <c r="R89" t="n">
        <f t="shared" si="56"/>
        <v>0</v>
      </c>
      <c r="S89" t="e">
        <f t="shared" si="57"/>
        <v>#N/A</v>
      </c>
      <c r="T89" t="e">
        <f t="shared" si="58"/>
        <v>#N/A</v>
      </c>
      <c r="U89" t="e">
        <f t="shared" si="59"/>
        <v>#N/A</v>
      </c>
      <c r="V89" t="e">
        <f t="shared" si="60"/>
        <v>#N/A</v>
      </c>
      <c r="W89" t="e">
        <f t="shared" si="61"/>
        <v>#N/A</v>
      </c>
      <c r="X89" t="e">
        <f t="shared" si="62"/>
        <v>#N/A</v>
      </c>
      <c r="Y89" t="e">
        <f t="shared" si="63"/>
        <v>#N/A</v>
      </c>
      <c r="Z89" t="e">
        <f t="shared" si="64"/>
        <v>#N/A</v>
      </c>
      <c r="AA89" t="e">
        <f t="shared" si="65"/>
        <v>#N/A</v>
      </c>
      <c r="AB89" t="e">
        <f t="shared" si="66"/>
        <v>#N/A</v>
      </c>
      <c r="AC89" t="e">
        <f t="shared" si="67"/>
        <v>#N/A</v>
      </c>
      <c r="AD89" t="e">
        <f t="shared" si="68"/>
        <v>#N/A</v>
      </c>
      <c r="AE89" t="e">
        <f t="shared" si="69"/>
        <v>#N/A</v>
      </c>
      <c r="AF89" t="e">
        <f t="shared" si="70"/>
        <v>#N/A</v>
      </c>
      <c r="AG89" t="e">
        <f t="shared" si="71"/>
        <v>#N/A</v>
      </c>
      <c r="AH89" t="e">
        <f t="shared" si="72"/>
        <v>#N/A</v>
      </c>
      <c r="AI89" t="e">
        <f t="shared" si="73"/>
        <v>#N/A</v>
      </c>
      <c r="AJ89" t="e">
        <f t="shared" si="74"/>
        <v>#N/A</v>
      </c>
    </row>
    <row r="90">
      <c r="A90" s="2"/>
      <c r="L90" t="e">
        <f t="shared" si="50"/>
        <v>#N/A</v>
      </c>
      <c r="M90" t="e">
        <f t="shared" si="51"/>
        <v>#N/A</v>
      </c>
      <c r="N90" t="e">
        <f t="shared" si="52"/>
        <v>#N/A</v>
      </c>
      <c r="O90" t="n">
        <f t="shared" si="53"/>
        <v>0</v>
      </c>
      <c r="P90" t="n">
        <f t="shared" si="54"/>
        <v>0</v>
      </c>
      <c r="Q90" t="n">
        <f t="shared" si="55"/>
        <v>0</v>
      </c>
      <c r="R90" t="n">
        <f t="shared" si="56"/>
        <v>0</v>
      </c>
      <c r="S90" t="e">
        <f t="shared" si="57"/>
        <v>#N/A</v>
      </c>
      <c r="T90" t="e">
        <f t="shared" si="58"/>
        <v>#N/A</v>
      </c>
      <c r="U90" t="e">
        <f t="shared" si="59"/>
        <v>#N/A</v>
      </c>
      <c r="V90" t="e">
        <f t="shared" si="60"/>
        <v>#N/A</v>
      </c>
      <c r="W90" t="e">
        <f t="shared" si="61"/>
        <v>#N/A</v>
      </c>
      <c r="X90" t="e">
        <f t="shared" si="62"/>
        <v>#N/A</v>
      </c>
      <c r="Y90" t="e">
        <f t="shared" si="63"/>
        <v>#N/A</v>
      </c>
      <c r="Z90" t="e">
        <f t="shared" si="64"/>
        <v>#N/A</v>
      </c>
      <c r="AA90" t="e">
        <f t="shared" si="65"/>
        <v>#N/A</v>
      </c>
      <c r="AB90" t="e">
        <f t="shared" si="66"/>
        <v>#N/A</v>
      </c>
      <c r="AC90" t="e">
        <f t="shared" si="67"/>
        <v>#N/A</v>
      </c>
      <c r="AD90" t="e">
        <f t="shared" si="68"/>
        <v>#N/A</v>
      </c>
      <c r="AE90" t="e">
        <f t="shared" si="69"/>
        <v>#N/A</v>
      </c>
      <c r="AF90" t="e">
        <f t="shared" si="70"/>
        <v>#N/A</v>
      </c>
      <c r="AG90" t="e">
        <f t="shared" si="71"/>
        <v>#N/A</v>
      </c>
      <c r="AH90" t="e">
        <f t="shared" si="72"/>
        <v>#N/A</v>
      </c>
      <c r="AI90" t="e">
        <f t="shared" si="73"/>
        <v>#N/A</v>
      </c>
      <c r="AJ90" t="e">
        <f t="shared" si="74"/>
        <v>#N/A</v>
      </c>
    </row>
    <row r="91">
      <c r="A91" s="2"/>
      <c r="L91" t="e">
        <f t="shared" si="50"/>
        <v>#N/A</v>
      </c>
      <c r="M91" t="e">
        <f t="shared" si="51"/>
        <v>#N/A</v>
      </c>
      <c r="N91" t="e">
        <f t="shared" si="52"/>
        <v>#N/A</v>
      </c>
      <c r="O91" t="n">
        <f t="shared" si="53"/>
        <v>0</v>
      </c>
      <c r="P91" t="n">
        <f t="shared" si="54"/>
        <v>0</v>
      </c>
      <c r="Q91" t="n">
        <f t="shared" si="55"/>
        <v>0</v>
      </c>
      <c r="R91" t="n">
        <f t="shared" si="56"/>
        <v>0</v>
      </c>
      <c r="S91" t="e">
        <f t="shared" si="57"/>
        <v>#N/A</v>
      </c>
      <c r="T91" t="e">
        <f t="shared" si="58"/>
        <v>#N/A</v>
      </c>
      <c r="U91" t="e">
        <f t="shared" si="59"/>
        <v>#N/A</v>
      </c>
      <c r="V91" t="e">
        <f t="shared" si="60"/>
        <v>#N/A</v>
      </c>
      <c r="W91" t="e">
        <f t="shared" si="61"/>
        <v>#N/A</v>
      </c>
      <c r="X91" t="e">
        <f t="shared" si="62"/>
        <v>#N/A</v>
      </c>
      <c r="Y91" t="e">
        <f t="shared" si="63"/>
        <v>#N/A</v>
      </c>
      <c r="Z91" t="e">
        <f t="shared" si="64"/>
        <v>#N/A</v>
      </c>
      <c r="AA91" t="e">
        <f t="shared" si="65"/>
        <v>#N/A</v>
      </c>
      <c r="AB91" t="e">
        <f t="shared" si="66"/>
        <v>#N/A</v>
      </c>
      <c r="AC91" t="e">
        <f t="shared" si="67"/>
        <v>#N/A</v>
      </c>
      <c r="AD91" t="e">
        <f t="shared" si="68"/>
        <v>#N/A</v>
      </c>
      <c r="AE91" t="e">
        <f t="shared" si="69"/>
        <v>#N/A</v>
      </c>
      <c r="AF91" t="e">
        <f t="shared" si="70"/>
        <v>#N/A</v>
      </c>
      <c r="AG91" t="e">
        <f t="shared" si="71"/>
        <v>#N/A</v>
      </c>
      <c r="AH91" t="e">
        <f t="shared" si="72"/>
        <v>#N/A</v>
      </c>
      <c r="AI91" t="e">
        <f t="shared" si="73"/>
        <v>#N/A</v>
      </c>
      <c r="AJ91" t="e">
        <f t="shared" si="74"/>
        <v>#N/A</v>
      </c>
    </row>
    <row r="92">
      <c r="A92" s="2"/>
      <c r="L92" t="e">
        <f t="shared" si="50"/>
        <v>#N/A</v>
      </c>
      <c r="M92" t="e">
        <f t="shared" si="51"/>
        <v>#N/A</v>
      </c>
      <c r="N92" t="e">
        <f t="shared" si="52"/>
        <v>#N/A</v>
      </c>
      <c r="O92" t="n">
        <f t="shared" si="53"/>
        <v>0</v>
      </c>
      <c r="P92" t="n">
        <f t="shared" si="54"/>
        <v>0</v>
      </c>
      <c r="Q92" t="n">
        <f t="shared" si="55"/>
        <v>0</v>
      </c>
      <c r="R92" t="n">
        <f t="shared" si="56"/>
        <v>0</v>
      </c>
      <c r="S92" t="e">
        <f t="shared" si="57"/>
        <v>#N/A</v>
      </c>
      <c r="T92" t="e">
        <f t="shared" si="58"/>
        <v>#N/A</v>
      </c>
      <c r="U92" t="e">
        <f t="shared" si="59"/>
        <v>#N/A</v>
      </c>
      <c r="V92" t="e">
        <f t="shared" si="60"/>
        <v>#N/A</v>
      </c>
      <c r="W92" t="e">
        <f t="shared" si="61"/>
        <v>#N/A</v>
      </c>
      <c r="X92" t="e">
        <f t="shared" si="62"/>
        <v>#N/A</v>
      </c>
      <c r="Y92" t="e">
        <f t="shared" si="63"/>
        <v>#N/A</v>
      </c>
      <c r="Z92" t="e">
        <f t="shared" si="64"/>
        <v>#N/A</v>
      </c>
      <c r="AA92" t="e">
        <f t="shared" si="65"/>
        <v>#N/A</v>
      </c>
      <c r="AB92" t="e">
        <f t="shared" si="66"/>
        <v>#N/A</v>
      </c>
      <c r="AC92" t="e">
        <f t="shared" si="67"/>
        <v>#N/A</v>
      </c>
      <c r="AD92" t="e">
        <f t="shared" si="68"/>
        <v>#N/A</v>
      </c>
      <c r="AE92" t="e">
        <f t="shared" si="69"/>
        <v>#N/A</v>
      </c>
      <c r="AF92" t="e">
        <f t="shared" si="70"/>
        <v>#N/A</v>
      </c>
      <c r="AG92" t="e">
        <f t="shared" si="71"/>
        <v>#N/A</v>
      </c>
      <c r="AH92" t="e">
        <f t="shared" si="72"/>
        <v>#N/A</v>
      </c>
      <c r="AI92" t="e">
        <f t="shared" si="73"/>
        <v>#N/A</v>
      </c>
      <c r="AJ92" t="e">
        <f t="shared" si="74"/>
        <v>#N/A</v>
      </c>
    </row>
    <row r="93">
      <c r="A93" s="2"/>
      <c r="L93" t="e">
        <f t="shared" si="50"/>
        <v>#N/A</v>
      </c>
      <c r="M93" t="e">
        <f t="shared" si="51"/>
        <v>#N/A</v>
      </c>
      <c r="N93" t="e">
        <f t="shared" si="52"/>
        <v>#N/A</v>
      </c>
      <c r="O93" t="n">
        <f t="shared" si="53"/>
        <v>0</v>
      </c>
      <c r="P93" t="n">
        <f t="shared" si="54"/>
        <v>0</v>
      </c>
      <c r="Q93" t="n">
        <f t="shared" si="55"/>
        <v>0</v>
      </c>
      <c r="R93" t="n">
        <f t="shared" si="56"/>
        <v>0</v>
      </c>
      <c r="S93" t="e">
        <f t="shared" si="57"/>
        <v>#N/A</v>
      </c>
      <c r="T93" t="e">
        <f t="shared" si="58"/>
        <v>#N/A</v>
      </c>
      <c r="U93" t="e">
        <f t="shared" si="59"/>
        <v>#N/A</v>
      </c>
      <c r="V93" t="e">
        <f t="shared" si="60"/>
        <v>#N/A</v>
      </c>
      <c r="W93" t="e">
        <f t="shared" si="61"/>
        <v>#N/A</v>
      </c>
      <c r="X93" t="e">
        <f t="shared" si="62"/>
        <v>#N/A</v>
      </c>
      <c r="Y93" t="e">
        <f t="shared" si="63"/>
        <v>#N/A</v>
      </c>
      <c r="Z93" t="e">
        <f t="shared" si="64"/>
        <v>#N/A</v>
      </c>
      <c r="AA93" t="e">
        <f t="shared" si="65"/>
        <v>#N/A</v>
      </c>
      <c r="AB93" t="e">
        <f t="shared" si="66"/>
        <v>#N/A</v>
      </c>
      <c r="AC93" t="e">
        <f t="shared" si="67"/>
        <v>#N/A</v>
      </c>
      <c r="AD93" t="e">
        <f t="shared" si="68"/>
        <v>#N/A</v>
      </c>
      <c r="AE93" t="e">
        <f t="shared" si="69"/>
        <v>#N/A</v>
      </c>
      <c r="AF93" t="e">
        <f t="shared" si="70"/>
        <v>#N/A</v>
      </c>
      <c r="AG93" t="e">
        <f t="shared" si="71"/>
        <v>#N/A</v>
      </c>
      <c r="AH93" t="e">
        <f t="shared" si="72"/>
        <v>#N/A</v>
      </c>
      <c r="AI93" t="e">
        <f t="shared" si="73"/>
        <v>#N/A</v>
      </c>
      <c r="AJ93" t="e">
        <f t="shared" si="74"/>
        <v>#N/A</v>
      </c>
    </row>
    <row r="94">
      <c r="A94" s="2"/>
      <c r="L94" t="e">
        <f t="shared" si="50"/>
        <v>#N/A</v>
      </c>
      <c r="M94" t="e">
        <f t="shared" si="51"/>
        <v>#N/A</v>
      </c>
      <c r="N94" t="e">
        <f t="shared" si="52"/>
        <v>#N/A</v>
      </c>
      <c r="O94" t="n">
        <f t="shared" si="53"/>
        <v>0</v>
      </c>
      <c r="P94" t="n">
        <f t="shared" si="54"/>
        <v>0</v>
      </c>
      <c r="Q94" t="n">
        <f t="shared" si="55"/>
        <v>0</v>
      </c>
      <c r="R94" t="n">
        <f t="shared" si="56"/>
        <v>0</v>
      </c>
      <c r="S94" t="e">
        <f t="shared" si="57"/>
        <v>#N/A</v>
      </c>
      <c r="T94" t="e">
        <f t="shared" si="58"/>
        <v>#N/A</v>
      </c>
      <c r="U94" t="e">
        <f t="shared" si="59"/>
        <v>#N/A</v>
      </c>
      <c r="V94" t="e">
        <f t="shared" si="60"/>
        <v>#N/A</v>
      </c>
      <c r="W94" t="e">
        <f t="shared" si="61"/>
        <v>#N/A</v>
      </c>
      <c r="X94" t="e">
        <f t="shared" si="62"/>
        <v>#N/A</v>
      </c>
      <c r="Y94" t="e">
        <f t="shared" si="63"/>
        <v>#N/A</v>
      </c>
      <c r="Z94" t="e">
        <f t="shared" si="64"/>
        <v>#N/A</v>
      </c>
      <c r="AA94" t="e">
        <f t="shared" si="65"/>
        <v>#N/A</v>
      </c>
      <c r="AB94" t="e">
        <f t="shared" si="66"/>
        <v>#N/A</v>
      </c>
      <c r="AC94" t="e">
        <f t="shared" si="67"/>
        <v>#N/A</v>
      </c>
      <c r="AD94" t="e">
        <f t="shared" si="68"/>
        <v>#N/A</v>
      </c>
      <c r="AE94" t="e">
        <f t="shared" si="69"/>
        <v>#N/A</v>
      </c>
      <c r="AF94" t="e">
        <f t="shared" si="70"/>
        <v>#N/A</v>
      </c>
      <c r="AG94" t="e">
        <f t="shared" si="71"/>
        <v>#N/A</v>
      </c>
      <c r="AH94" t="e">
        <f t="shared" si="72"/>
        <v>#N/A</v>
      </c>
      <c r="AI94" t="e">
        <f t="shared" si="73"/>
        <v>#N/A</v>
      </c>
      <c r="AJ94" t="e">
        <f t="shared" si="74"/>
        <v>#N/A</v>
      </c>
    </row>
    <row r="95">
      <c r="A95" s="2"/>
      <c r="L95" t="e">
        <f t="shared" si="50"/>
        <v>#N/A</v>
      </c>
      <c r="M95" t="e">
        <f t="shared" si="51"/>
        <v>#N/A</v>
      </c>
      <c r="N95" t="e">
        <f t="shared" si="52"/>
        <v>#N/A</v>
      </c>
      <c r="O95" t="n">
        <f t="shared" si="53"/>
        <v>0</v>
      </c>
      <c r="P95" t="n">
        <f t="shared" si="54"/>
        <v>0</v>
      </c>
      <c r="Q95" t="n">
        <f t="shared" si="55"/>
        <v>0</v>
      </c>
      <c r="R95" t="n">
        <f t="shared" si="56"/>
        <v>0</v>
      </c>
      <c r="S95" t="e">
        <f t="shared" si="57"/>
        <v>#N/A</v>
      </c>
      <c r="T95" t="e">
        <f t="shared" si="58"/>
        <v>#N/A</v>
      </c>
      <c r="U95" t="e">
        <f t="shared" si="59"/>
        <v>#N/A</v>
      </c>
      <c r="V95" t="e">
        <f t="shared" si="60"/>
        <v>#N/A</v>
      </c>
      <c r="W95" t="e">
        <f t="shared" si="61"/>
        <v>#N/A</v>
      </c>
      <c r="X95" t="e">
        <f t="shared" si="62"/>
        <v>#N/A</v>
      </c>
      <c r="Y95" t="e">
        <f t="shared" si="63"/>
        <v>#N/A</v>
      </c>
      <c r="Z95" t="e">
        <f t="shared" si="64"/>
        <v>#N/A</v>
      </c>
      <c r="AA95" t="e">
        <f t="shared" si="65"/>
        <v>#N/A</v>
      </c>
      <c r="AB95" t="e">
        <f t="shared" si="66"/>
        <v>#N/A</v>
      </c>
      <c r="AC95" t="e">
        <f t="shared" si="67"/>
        <v>#N/A</v>
      </c>
      <c r="AD95" t="e">
        <f t="shared" si="68"/>
        <v>#N/A</v>
      </c>
      <c r="AE95" t="e">
        <f t="shared" si="69"/>
        <v>#N/A</v>
      </c>
      <c r="AF95" t="e">
        <f t="shared" si="70"/>
        <v>#N/A</v>
      </c>
      <c r="AG95" t="e">
        <f t="shared" si="71"/>
        <v>#N/A</v>
      </c>
      <c r="AH95" t="e">
        <f t="shared" si="72"/>
        <v>#N/A</v>
      </c>
      <c r="AI95" t="e">
        <f t="shared" si="73"/>
        <v>#N/A</v>
      </c>
      <c r="AJ95" t="e">
        <f t="shared" si="74"/>
        <v>#N/A</v>
      </c>
    </row>
    <row r="96">
      <c r="A96" s="2"/>
      <c r="L96" t="e">
        <f t="shared" si="50"/>
        <v>#N/A</v>
      </c>
      <c r="M96" t="e">
        <f t="shared" si="51"/>
        <v>#N/A</v>
      </c>
      <c r="N96" t="e">
        <f t="shared" si="52"/>
        <v>#N/A</v>
      </c>
      <c r="O96" t="n">
        <f t="shared" si="53"/>
        <v>0</v>
      </c>
      <c r="P96" t="n">
        <f t="shared" si="54"/>
        <v>0</v>
      </c>
      <c r="Q96" t="n">
        <f t="shared" si="55"/>
        <v>0</v>
      </c>
      <c r="R96" t="n">
        <f t="shared" si="56"/>
        <v>0</v>
      </c>
      <c r="S96" t="e">
        <f t="shared" si="57"/>
        <v>#N/A</v>
      </c>
      <c r="T96" t="e">
        <f t="shared" si="58"/>
        <v>#N/A</v>
      </c>
      <c r="U96" t="e">
        <f t="shared" si="59"/>
        <v>#N/A</v>
      </c>
      <c r="V96" t="e">
        <f t="shared" si="60"/>
        <v>#N/A</v>
      </c>
      <c r="W96" t="e">
        <f t="shared" si="61"/>
        <v>#N/A</v>
      </c>
      <c r="X96" t="e">
        <f t="shared" si="62"/>
        <v>#N/A</v>
      </c>
      <c r="Y96" t="e">
        <f t="shared" si="63"/>
        <v>#N/A</v>
      </c>
      <c r="Z96" t="e">
        <f t="shared" si="64"/>
        <v>#N/A</v>
      </c>
      <c r="AA96" t="e">
        <f t="shared" si="65"/>
        <v>#N/A</v>
      </c>
      <c r="AB96" t="e">
        <f t="shared" si="66"/>
        <v>#N/A</v>
      </c>
      <c r="AC96" t="e">
        <f t="shared" si="67"/>
        <v>#N/A</v>
      </c>
      <c r="AD96" t="e">
        <f t="shared" si="68"/>
        <v>#N/A</v>
      </c>
      <c r="AE96" t="e">
        <f t="shared" si="69"/>
        <v>#N/A</v>
      </c>
      <c r="AF96" t="e">
        <f t="shared" si="70"/>
        <v>#N/A</v>
      </c>
      <c r="AG96" t="e">
        <f t="shared" si="71"/>
        <v>#N/A</v>
      </c>
      <c r="AH96" t="e">
        <f t="shared" si="72"/>
        <v>#N/A</v>
      </c>
      <c r="AI96" t="e">
        <f t="shared" si="73"/>
        <v>#N/A</v>
      </c>
      <c r="AJ96" t="e">
        <f t="shared" si="74"/>
        <v>#N/A</v>
      </c>
    </row>
    <row r="97">
      <c r="A97" s="2"/>
      <c r="L97" t="e">
        <f t="shared" si="50"/>
        <v>#N/A</v>
      </c>
      <c r="M97" t="e">
        <f t="shared" si="51"/>
        <v>#N/A</v>
      </c>
      <c r="N97" t="e">
        <f t="shared" si="52"/>
        <v>#N/A</v>
      </c>
      <c r="O97" t="n">
        <f t="shared" si="53"/>
        <v>0</v>
      </c>
      <c r="P97" t="n">
        <f t="shared" si="54"/>
        <v>0</v>
      </c>
      <c r="Q97" t="n">
        <f t="shared" si="55"/>
        <v>0</v>
      </c>
      <c r="R97" t="n">
        <f t="shared" si="56"/>
        <v>0</v>
      </c>
      <c r="S97" t="e">
        <f t="shared" si="57"/>
        <v>#N/A</v>
      </c>
      <c r="T97" t="e">
        <f t="shared" si="58"/>
        <v>#N/A</v>
      </c>
      <c r="U97" t="e">
        <f t="shared" si="59"/>
        <v>#N/A</v>
      </c>
      <c r="V97" t="e">
        <f t="shared" si="60"/>
        <v>#N/A</v>
      </c>
      <c r="W97" t="e">
        <f t="shared" si="61"/>
        <v>#N/A</v>
      </c>
      <c r="X97" t="e">
        <f t="shared" si="62"/>
        <v>#N/A</v>
      </c>
      <c r="Y97" t="e">
        <f t="shared" si="63"/>
        <v>#N/A</v>
      </c>
      <c r="Z97" t="e">
        <f t="shared" si="64"/>
        <v>#N/A</v>
      </c>
      <c r="AA97" t="e">
        <f t="shared" si="65"/>
        <v>#N/A</v>
      </c>
      <c r="AB97" t="e">
        <f t="shared" si="66"/>
        <v>#N/A</v>
      </c>
      <c r="AC97" t="e">
        <f t="shared" si="67"/>
        <v>#N/A</v>
      </c>
      <c r="AD97" t="e">
        <f t="shared" si="68"/>
        <v>#N/A</v>
      </c>
      <c r="AE97" t="e">
        <f t="shared" si="69"/>
        <v>#N/A</v>
      </c>
      <c r="AF97" t="e">
        <f t="shared" si="70"/>
        <v>#N/A</v>
      </c>
      <c r="AG97" t="e">
        <f t="shared" si="71"/>
        <v>#N/A</v>
      </c>
      <c r="AH97" t="e">
        <f t="shared" si="72"/>
        <v>#N/A</v>
      </c>
      <c r="AI97" t="e">
        <f t="shared" si="73"/>
        <v>#N/A</v>
      </c>
      <c r="AJ97" t="e">
        <f t="shared" si="74"/>
        <v>#N/A</v>
      </c>
    </row>
    <row r="98">
      <c r="A98" s="2"/>
      <c r="L98" t="e">
        <f t="shared" ref="L98:L129" si="75">IF(ROW()&lt;=5,NA(),IFERROR(100*(B98/INDEX(B:B,ROW()-4)-1),NA()))</f>
        <v>#N/A</v>
      </c>
      <c r="M98" t="e">
        <f t="shared" ref="M98:M129" si="76">IF(ROW()&lt;=5,NA(),IFERROR(100*(C98/INDEX(C:C,ROW()-4)-1),NA()))</f>
        <v>#N/A</v>
      </c>
      <c r="N98" t="e">
        <f t="shared" ref="N98:N129" si="77">IF(ROW()&lt;=5,NA(),IFERROR(100*(D98/INDEX(D:D,ROW()-4)-1),NA()))</f>
        <v>#N/A</v>
      </c>
      <c r="O98" t="n">
        <f t="shared" ref="O98:O129" si="78">100*G98</f>
        <v>0</v>
      </c>
      <c r="P98" t="n">
        <f t="shared" ref="P98:P129" si="79">100*H98</f>
        <v>0</v>
      </c>
      <c r="Q98" t="n">
        <f t="shared" ref="Q98:Q129" si="80">100*I98</f>
        <v>0</v>
      </c>
      <c r="R98" t="n">
        <f t="shared" ref="R98:R129" si="81">100*J98</f>
        <v>0</v>
      </c>
      <c r="S98" t="e">
        <f t="shared" ref="S98:S129" si="82">IFERROR(100*E98/INDEX(E:E,MATCH(DATE(2024,12,1),A:A,0)),NA())</f>
        <v>#N/A</v>
      </c>
      <c r="T98" t="e">
        <f t="shared" ref="T98:T129" si="83">IFERROR(100*F98/INDEX(F:F,MATCH(DATE(2024,12,1),A:A,0)),NA())</f>
        <v>#N/A</v>
      </c>
      <c r="U98" t="e">
        <f t="shared" ref="U98:U129" si="84">IF($K98="Actual",L98,NA())</f>
        <v>#N/A</v>
      </c>
      <c r="V98" t="e">
        <f t="shared" ref="V98:V129" si="85">IF($A98&gt;=DATE(2024,12,1),L98,NA())</f>
        <v>#N/A</v>
      </c>
      <c r="W98" t="e">
        <f t="shared" ref="W98:W129" si="86">IF($K98="Actual",M98,NA())</f>
        <v>#N/A</v>
      </c>
      <c r="X98" t="e">
        <f t="shared" ref="X98:X129" si="87">IF($A98&gt;=DATE(2024,12,1),M98,NA())</f>
        <v>#N/A</v>
      </c>
      <c r="Y98" t="e">
        <f t="shared" ref="Y98:Y129" si="88">IF($K98="Actual",S98,NA())</f>
        <v>#N/A</v>
      </c>
      <c r="Z98" t="e">
        <f t="shared" ref="Z98:Z129" si="89">IF($A98&gt;=DATE(2024,12,1),S98,NA())</f>
        <v>#N/A</v>
      </c>
      <c r="AA98" t="e">
        <f t="shared" ref="AA98:AA129" si="90">IF($K98="Actual",T98,NA())</f>
        <v>#N/A</v>
      </c>
      <c r="AB98" t="e">
        <f t="shared" ref="AB98:AB129" si="91">IF($A98&gt;=DATE(2024,12,1),T98,NA())</f>
        <v>#N/A</v>
      </c>
      <c r="AC98" t="e">
        <f t="shared" ref="AC98:AC129" si="92">IF($K98="Actual",O98,NA())</f>
        <v>#N/A</v>
      </c>
      <c r="AD98" t="e">
        <f t="shared" ref="AD98:AD129" si="93">IF($A98&gt;=DATE(2024,12,1),O98,NA())</f>
        <v>#N/A</v>
      </c>
      <c r="AE98" t="e">
        <f t="shared" ref="AE98:AE129" si="94">IF($K98="Actual",Q98,NA())</f>
        <v>#N/A</v>
      </c>
      <c r="AF98" t="e">
        <f t="shared" ref="AF98:AF129" si="95">IF($A98&gt;=DATE(2024,12,1),Q98,NA())</f>
        <v>#N/A</v>
      </c>
      <c r="AG98" t="e">
        <f t="shared" ref="AG98:AG129" si="96">IF($K98="Actual",R98,NA())</f>
        <v>#N/A</v>
      </c>
      <c r="AH98" t="e">
        <f t="shared" ref="AH98:AH129" si="97">IF($A98&gt;=DATE(2024,12,1),R98,NA())</f>
        <v>#N/A</v>
      </c>
      <c r="AI98" t="e">
        <f t="shared" ref="AI98:AI129" si="98">IF($K98="Actual",N98,NA())</f>
        <v>#N/A</v>
      </c>
      <c r="AJ98" t="e">
        <f t="shared" ref="AJ98:AJ129" si="99">IF($A98&gt;=DATE(2024,12,1),N98,NA())</f>
        <v>#N/A</v>
      </c>
    </row>
    <row r="99">
      <c r="A99" s="2"/>
      <c r="L99" t="e">
        <f t="shared" si="75"/>
        <v>#N/A</v>
      </c>
      <c r="M99" t="e">
        <f t="shared" si="76"/>
        <v>#N/A</v>
      </c>
      <c r="N99" t="e">
        <f t="shared" si="77"/>
        <v>#N/A</v>
      </c>
      <c r="O99" t="n">
        <f t="shared" si="78"/>
        <v>0</v>
      </c>
      <c r="P99" t="n">
        <f t="shared" si="79"/>
        <v>0</v>
      </c>
      <c r="Q99" t="n">
        <f t="shared" si="80"/>
        <v>0</v>
      </c>
      <c r="R99" t="n">
        <f t="shared" si="81"/>
        <v>0</v>
      </c>
      <c r="S99" t="e">
        <f t="shared" si="82"/>
        <v>#N/A</v>
      </c>
      <c r="T99" t="e">
        <f t="shared" si="83"/>
        <v>#N/A</v>
      </c>
      <c r="U99" t="e">
        <f t="shared" si="84"/>
        <v>#N/A</v>
      </c>
      <c r="V99" t="e">
        <f t="shared" si="85"/>
        <v>#N/A</v>
      </c>
      <c r="W99" t="e">
        <f t="shared" si="86"/>
        <v>#N/A</v>
      </c>
      <c r="X99" t="e">
        <f t="shared" si="87"/>
        <v>#N/A</v>
      </c>
      <c r="Y99" t="e">
        <f t="shared" si="88"/>
        <v>#N/A</v>
      </c>
      <c r="Z99" t="e">
        <f t="shared" si="89"/>
        <v>#N/A</v>
      </c>
      <c r="AA99" t="e">
        <f t="shared" si="90"/>
        <v>#N/A</v>
      </c>
      <c r="AB99" t="e">
        <f t="shared" si="91"/>
        <v>#N/A</v>
      </c>
      <c r="AC99" t="e">
        <f t="shared" si="92"/>
        <v>#N/A</v>
      </c>
      <c r="AD99" t="e">
        <f t="shared" si="93"/>
        <v>#N/A</v>
      </c>
      <c r="AE99" t="e">
        <f t="shared" si="94"/>
        <v>#N/A</v>
      </c>
      <c r="AF99" t="e">
        <f t="shared" si="95"/>
        <v>#N/A</v>
      </c>
      <c r="AG99" t="e">
        <f t="shared" si="96"/>
        <v>#N/A</v>
      </c>
      <c r="AH99" t="e">
        <f t="shared" si="97"/>
        <v>#N/A</v>
      </c>
      <c r="AI99" t="e">
        <f t="shared" si="98"/>
        <v>#N/A</v>
      </c>
      <c r="AJ99" t="e">
        <f t="shared" si="99"/>
        <v>#N/A</v>
      </c>
    </row>
    <row r="100">
      <c r="A100" s="2"/>
      <c r="L100" t="e">
        <f t="shared" si="75"/>
        <v>#N/A</v>
      </c>
      <c r="M100" t="e">
        <f t="shared" si="76"/>
        <v>#N/A</v>
      </c>
      <c r="N100" t="e">
        <f t="shared" si="77"/>
        <v>#N/A</v>
      </c>
      <c r="O100" t="n">
        <f t="shared" si="78"/>
        <v>0</v>
      </c>
      <c r="P100" t="n">
        <f t="shared" si="79"/>
        <v>0</v>
      </c>
      <c r="Q100" t="n">
        <f t="shared" si="80"/>
        <v>0</v>
      </c>
      <c r="R100" t="n">
        <f t="shared" si="81"/>
        <v>0</v>
      </c>
      <c r="S100" t="e">
        <f t="shared" si="82"/>
        <v>#N/A</v>
      </c>
      <c r="T100" t="e">
        <f t="shared" si="83"/>
        <v>#N/A</v>
      </c>
      <c r="U100" t="e">
        <f t="shared" si="84"/>
        <v>#N/A</v>
      </c>
      <c r="V100" t="e">
        <f t="shared" si="85"/>
        <v>#N/A</v>
      </c>
      <c r="W100" t="e">
        <f t="shared" si="86"/>
        <v>#N/A</v>
      </c>
      <c r="X100" t="e">
        <f t="shared" si="87"/>
        <v>#N/A</v>
      </c>
      <c r="Y100" t="e">
        <f t="shared" si="88"/>
        <v>#N/A</v>
      </c>
      <c r="Z100" t="e">
        <f t="shared" si="89"/>
        <v>#N/A</v>
      </c>
      <c r="AA100" t="e">
        <f t="shared" si="90"/>
        <v>#N/A</v>
      </c>
      <c r="AB100" t="e">
        <f t="shared" si="91"/>
        <v>#N/A</v>
      </c>
      <c r="AC100" t="e">
        <f t="shared" si="92"/>
        <v>#N/A</v>
      </c>
      <c r="AD100" t="e">
        <f t="shared" si="93"/>
        <v>#N/A</v>
      </c>
      <c r="AE100" t="e">
        <f t="shared" si="94"/>
        <v>#N/A</v>
      </c>
      <c r="AF100" t="e">
        <f t="shared" si="95"/>
        <v>#N/A</v>
      </c>
      <c r="AG100" t="e">
        <f t="shared" si="96"/>
        <v>#N/A</v>
      </c>
      <c r="AH100" t="e">
        <f t="shared" si="97"/>
        <v>#N/A</v>
      </c>
      <c r="AI100" t="e">
        <f t="shared" si="98"/>
        <v>#N/A</v>
      </c>
      <c r="AJ100" t="e">
        <f t="shared" si="99"/>
        <v>#N/A</v>
      </c>
    </row>
    <row r="101">
      <c r="A101" s="2"/>
      <c r="L101" t="e">
        <f t="shared" si="75"/>
        <v>#N/A</v>
      </c>
      <c r="M101" t="e">
        <f t="shared" si="76"/>
        <v>#N/A</v>
      </c>
      <c r="N101" t="e">
        <f t="shared" si="77"/>
        <v>#N/A</v>
      </c>
      <c r="O101" t="n">
        <f t="shared" si="78"/>
        <v>0</v>
      </c>
      <c r="P101" t="n">
        <f t="shared" si="79"/>
        <v>0</v>
      </c>
      <c r="Q101" t="n">
        <f t="shared" si="80"/>
        <v>0</v>
      </c>
      <c r="R101" t="n">
        <f t="shared" si="81"/>
        <v>0</v>
      </c>
      <c r="S101" t="e">
        <f t="shared" si="82"/>
        <v>#N/A</v>
      </c>
      <c r="T101" t="e">
        <f t="shared" si="83"/>
        <v>#N/A</v>
      </c>
      <c r="U101" t="e">
        <f t="shared" si="84"/>
        <v>#N/A</v>
      </c>
      <c r="V101" t="e">
        <f t="shared" si="85"/>
        <v>#N/A</v>
      </c>
      <c r="W101" t="e">
        <f t="shared" si="86"/>
        <v>#N/A</v>
      </c>
      <c r="X101" t="e">
        <f t="shared" si="87"/>
        <v>#N/A</v>
      </c>
      <c r="Y101" t="e">
        <f t="shared" si="88"/>
        <v>#N/A</v>
      </c>
      <c r="Z101" t="e">
        <f t="shared" si="89"/>
        <v>#N/A</v>
      </c>
      <c r="AA101" t="e">
        <f t="shared" si="90"/>
        <v>#N/A</v>
      </c>
      <c r="AB101" t="e">
        <f t="shared" si="91"/>
        <v>#N/A</v>
      </c>
      <c r="AC101" t="e">
        <f t="shared" si="92"/>
        <v>#N/A</v>
      </c>
      <c r="AD101" t="e">
        <f t="shared" si="93"/>
        <v>#N/A</v>
      </c>
      <c r="AE101" t="e">
        <f t="shared" si="94"/>
        <v>#N/A</v>
      </c>
      <c r="AF101" t="e">
        <f t="shared" si="95"/>
        <v>#N/A</v>
      </c>
      <c r="AG101" t="e">
        <f t="shared" si="96"/>
        <v>#N/A</v>
      </c>
      <c r="AH101" t="e">
        <f t="shared" si="97"/>
        <v>#N/A</v>
      </c>
      <c r="AI101" t="e">
        <f t="shared" si="98"/>
        <v>#N/A</v>
      </c>
      <c r="AJ101" t="e">
        <f t="shared" si="99"/>
        <v>#N/A</v>
      </c>
    </row>
    <row r="102">
      <c r="A102" s="2"/>
      <c r="L102" t="e">
        <f t="shared" si="75"/>
        <v>#N/A</v>
      </c>
      <c r="M102" t="e">
        <f t="shared" si="76"/>
        <v>#N/A</v>
      </c>
      <c r="N102" t="e">
        <f t="shared" si="77"/>
        <v>#N/A</v>
      </c>
      <c r="O102" t="n">
        <f t="shared" si="78"/>
        <v>0</v>
      </c>
      <c r="P102" t="n">
        <f t="shared" si="79"/>
        <v>0</v>
      </c>
      <c r="Q102" t="n">
        <f t="shared" si="80"/>
        <v>0</v>
      </c>
      <c r="R102" t="n">
        <f t="shared" si="81"/>
        <v>0</v>
      </c>
      <c r="S102" t="e">
        <f t="shared" si="82"/>
        <v>#N/A</v>
      </c>
      <c r="T102" t="e">
        <f t="shared" si="83"/>
        <v>#N/A</v>
      </c>
      <c r="U102" t="e">
        <f t="shared" si="84"/>
        <v>#N/A</v>
      </c>
      <c r="V102" t="e">
        <f t="shared" si="85"/>
        <v>#N/A</v>
      </c>
      <c r="W102" t="e">
        <f t="shared" si="86"/>
        <v>#N/A</v>
      </c>
      <c r="X102" t="e">
        <f t="shared" si="87"/>
        <v>#N/A</v>
      </c>
      <c r="Y102" t="e">
        <f t="shared" si="88"/>
        <v>#N/A</v>
      </c>
      <c r="Z102" t="e">
        <f t="shared" si="89"/>
        <v>#N/A</v>
      </c>
      <c r="AA102" t="e">
        <f t="shared" si="90"/>
        <v>#N/A</v>
      </c>
      <c r="AB102" t="e">
        <f t="shared" si="91"/>
        <v>#N/A</v>
      </c>
      <c r="AC102" t="e">
        <f t="shared" si="92"/>
        <v>#N/A</v>
      </c>
      <c r="AD102" t="e">
        <f t="shared" si="93"/>
        <v>#N/A</v>
      </c>
      <c r="AE102" t="e">
        <f t="shared" si="94"/>
        <v>#N/A</v>
      </c>
      <c r="AF102" t="e">
        <f t="shared" si="95"/>
        <v>#N/A</v>
      </c>
      <c r="AG102" t="e">
        <f t="shared" si="96"/>
        <v>#N/A</v>
      </c>
      <c r="AH102" t="e">
        <f t="shared" si="97"/>
        <v>#N/A</v>
      </c>
      <c r="AI102" t="e">
        <f t="shared" si="98"/>
        <v>#N/A</v>
      </c>
      <c r="AJ102" t="e">
        <f t="shared" si="99"/>
        <v>#N/A</v>
      </c>
    </row>
    <row r="103">
      <c r="A103" s="2"/>
      <c r="L103" t="e">
        <f t="shared" si="75"/>
        <v>#N/A</v>
      </c>
      <c r="M103" t="e">
        <f t="shared" si="76"/>
        <v>#N/A</v>
      </c>
      <c r="N103" t="e">
        <f t="shared" si="77"/>
        <v>#N/A</v>
      </c>
      <c r="O103" t="n">
        <f t="shared" si="78"/>
        <v>0</v>
      </c>
      <c r="P103" t="n">
        <f t="shared" si="79"/>
        <v>0</v>
      </c>
      <c r="Q103" t="n">
        <f t="shared" si="80"/>
        <v>0</v>
      </c>
      <c r="R103" t="n">
        <f t="shared" si="81"/>
        <v>0</v>
      </c>
      <c r="S103" t="e">
        <f t="shared" si="82"/>
        <v>#N/A</v>
      </c>
      <c r="T103" t="e">
        <f t="shared" si="83"/>
        <v>#N/A</v>
      </c>
      <c r="U103" t="e">
        <f t="shared" si="84"/>
        <v>#N/A</v>
      </c>
      <c r="V103" t="e">
        <f t="shared" si="85"/>
        <v>#N/A</v>
      </c>
      <c r="W103" t="e">
        <f t="shared" si="86"/>
        <v>#N/A</v>
      </c>
      <c r="X103" t="e">
        <f t="shared" si="87"/>
        <v>#N/A</v>
      </c>
      <c r="Y103" t="e">
        <f t="shared" si="88"/>
        <v>#N/A</v>
      </c>
      <c r="Z103" t="e">
        <f t="shared" si="89"/>
        <v>#N/A</v>
      </c>
      <c r="AA103" t="e">
        <f t="shared" si="90"/>
        <v>#N/A</v>
      </c>
      <c r="AB103" t="e">
        <f t="shared" si="91"/>
        <v>#N/A</v>
      </c>
      <c r="AC103" t="e">
        <f t="shared" si="92"/>
        <v>#N/A</v>
      </c>
      <c r="AD103" t="e">
        <f t="shared" si="93"/>
        <v>#N/A</v>
      </c>
      <c r="AE103" t="e">
        <f t="shared" si="94"/>
        <v>#N/A</v>
      </c>
      <c r="AF103" t="e">
        <f t="shared" si="95"/>
        <v>#N/A</v>
      </c>
      <c r="AG103" t="e">
        <f t="shared" si="96"/>
        <v>#N/A</v>
      </c>
      <c r="AH103" t="e">
        <f t="shared" si="97"/>
        <v>#N/A</v>
      </c>
      <c r="AI103" t="e">
        <f t="shared" si="98"/>
        <v>#N/A</v>
      </c>
      <c r="AJ103" t="e">
        <f t="shared" si="99"/>
        <v>#N/A</v>
      </c>
    </row>
    <row r="104">
      <c r="A104" s="2"/>
      <c r="L104" t="e">
        <f t="shared" si="75"/>
        <v>#N/A</v>
      </c>
      <c r="M104" t="e">
        <f t="shared" si="76"/>
        <v>#N/A</v>
      </c>
      <c r="N104" t="e">
        <f t="shared" si="77"/>
        <v>#N/A</v>
      </c>
      <c r="O104" t="n">
        <f t="shared" si="78"/>
        <v>0</v>
      </c>
      <c r="P104" t="n">
        <f t="shared" si="79"/>
        <v>0</v>
      </c>
      <c r="Q104" t="n">
        <f t="shared" si="80"/>
        <v>0</v>
      </c>
      <c r="R104" t="n">
        <f t="shared" si="81"/>
        <v>0</v>
      </c>
      <c r="S104" t="e">
        <f t="shared" si="82"/>
        <v>#N/A</v>
      </c>
      <c r="T104" t="e">
        <f t="shared" si="83"/>
        <v>#N/A</v>
      </c>
      <c r="U104" t="e">
        <f t="shared" si="84"/>
        <v>#N/A</v>
      </c>
      <c r="V104" t="e">
        <f t="shared" si="85"/>
        <v>#N/A</v>
      </c>
      <c r="W104" t="e">
        <f t="shared" si="86"/>
        <v>#N/A</v>
      </c>
      <c r="X104" t="e">
        <f t="shared" si="87"/>
        <v>#N/A</v>
      </c>
      <c r="Y104" t="e">
        <f t="shared" si="88"/>
        <v>#N/A</v>
      </c>
      <c r="Z104" t="e">
        <f t="shared" si="89"/>
        <v>#N/A</v>
      </c>
      <c r="AA104" t="e">
        <f t="shared" si="90"/>
        <v>#N/A</v>
      </c>
      <c r="AB104" t="e">
        <f t="shared" si="91"/>
        <v>#N/A</v>
      </c>
      <c r="AC104" t="e">
        <f t="shared" si="92"/>
        <v>#N/A</v>
      </c>
      <c r="AD104" t="e">
        <f t="shared" si="93"/>
        <v>#N/A</v>
      </c>
      <c r="AE104" t="e">
        <f t="shared" si="94"/>
        <v>#N/A</v>
      </c>
      <c r="AF104" t="e">
        <f t="shared" si="95"/>
        <v>#N/A</v>
      </c>
      <c r="AG104" t="e">
        <f t="shared" si="96"/>
        <v>#N/A</v>
      </c>
      <c r="AH104" t="e">
        <f t="shared" si="97"/>
        <v>#N/A</v>
      </c>
      <c r="AI104" t="e">
        <f t="shared" si="98"/>
        <v>#N/A</v>
      </c>
      <c r="AJ104" t="e">
        <f t="shared" si="99"/>
        <v>#N/A</v>
      </c>
    </row>
    <row r="105">
      <c r="A105" s="2"/>
      <c r="L105" t="e">
        <f t="shared" si="75"/>
        <v>#N/A</v>
      </c>
      <c r="M105" t="e">
        <f t="shared" si="76"/>
        <v>#N/A</v>
      </c>
      <c r="N105" t="e">
        <f t="shared" si="77"/>
        <v>#N/A</v>
      </c>
      <c r="O105" t="n">
        <f t="shared" si="78"/>
        <v>0</v>
      </c>
      <c r="P105" t="n">
        <f t="shared" si="79"/>
        <v>0</v>
      </c>
      <c r="Q105" t="n">
        <f t="shared" si="80"/>
        <v>0</v>
      </c>
      <c r="R105" t="n">
        <f t="shared" si="81"/>
        <v>0</v>
      </c>
      <c r="S105" t="e">
        <f t="shared" si="82"/>
        <v>#N/A</v>
      </c>
      <c r="T105" t="e">
        <f t="shared" si="83"/>
        <v>#N/A</v>
      </c>
      <c r="U105" t="e">
        <f t="shared" si="84"/>
        <v>#N/A</v>
      </c>
      <c r="V105" t="e">
        <f t="shared" si="85"/>
        <v>#N/A</v>
      </c>
      <c r="W105" t="e">
        <f t="shared" si="86"/>
        <v>#N/A</v>
      </c>
      <c r="X105" t="e">
        <f t="shared" si="87"/>
        <v>#N/A</v>
      </c>
      <c r="Y105" t="e">
        <f t="shared" si="88"/>
        <v>#N/A</v>
      </c>
      <c r="Z105" t="e">
        <f t="shared" si="89"/>
        <v>#N/A</v>
      </c>
      <c r="AA105" t="e">
        <f t="shared" si="90"/>
        <v>#N/A</v>
      </c>
      <c r="AB105" t="e">
        <f t="shared" si="91"/>
        <v>#N/A</v>
      </c>
      <c r="AC105" t="e">
        <f t="shared" si="92"/>
        <v>#N/A</v>
      </c>
      <c r="AD105" t="e">
        <f t="shared" si="93"/>
        <v>#N/A</v>
      </c>
      <c r="AE105" t="e">
        <f t="shared" si="94"/>
        <v>#N/A</v>
      </c>
      <c r="AF105" t="e">
        <f t="shared" si="95"/>
        <v>#N/A</v>
      </c>
      <c r="AG105" t="e">
        <f t="shared" si="96"/>
        <v>#N/A</v>
      </c>
      <c r="AH105" t="e">
        <f t="shared" si="97"/>
        <v>#N/A</v>
      </c>
      <c r="AI105" t="e">
        <f t="shared" si="98"/>
        <v>#N/A</v>
      </c>
      <c r="AJ105" t="e">
        <f t="shared" si="99"/>
        <v>#N/A</v>
      </c>
    </row>
    <row r="106">
      <c r="A106" s="2"/>
      <c r="L106" t="e">
        <f t="shared" si="75"/>
        <v>#N/A</v>
      </c>
      <c r="M106" t="e">
        <f t="shared" si="76"/>
        <v>#N/A</v>
      </c>
      <c r="N106" t="e">
        <f t="shared" si="77"/>
        <v>#N/A</v>
      </c>
      <c r="O106" t="n">
        <f t="shared" si="78"/>
        <v>0</v>
      </c>
      <c r="P106" t="n">
        <f t="shared" si="79"/>
        <v>0</v>
      </c>
      <c r="Q106" t="n">
        <f t="shared" si="80"/>
        <v>0</v>
      </c>
      <c r="R106" t="n">
        <f t="shared" si="81"/>
        <v>0</v>
      </c>
      <c r="S106" t="e">
        <f t="shared" si="82"/>
        <v>#N/A</v>
      </c>
      <c r="T106" t="e">
        <f t="shared" si="83"/>
        <v>#N/A</v>
      </c>
      <c r="U106" t="e">
        <f t="shared" si="84"/>
        <v>#N/A</v>
      </c>
      <c r="V106" t="e">
        <f t="shared" si="85"/>
        <v>#N/A</v>
      </c>
      <c r="W106" t="e">
        <f t="shared" si="86"/>
        <v>#N/A</v>
      </c>
      <c r="X106" t="e">
        <f t="shared" si="87"/>
        <v>#N/A</v>
      </c>
      <c r="Y106" t="e">
        <f t="shared" si="88"/>
        <v>#N/A</v>
      </c>
      <c r="Z106" t="e">
        <f t="shared" si="89"/>
        <v>#N/A</v>
      </c>
      <c r="AA106" t="e">
        <f t="shared" si="90"/>
        <v>#N/A</v>
      </c>
      <c r="AB106" t="e">
        <f t="shared" si="91"/>
        <v>#N/A</v>
      </c>
      <c r="AC106" t="e">
        <f t="shared" si="92"/>
        <v>#N/A</v>
      </c>
      <c r="AD106" t="e">
        <f t="shared" si="93"/>
        <v>#N/A</v>
      </c>
      <c r="AE106" t="e">
        <f t="shared" si="94"/>
        <v>#N/A</v>
      </c>
      <c r="AF106" t="e">
        <f t="shared" si="95"/>
        <v>#N/A</v>
      </c>
      <c r="AG106" t="e">
        <f t="shared" si="96"/>
        <v>#N/A</v>
      </c>
      <c r="AH106" t="e">
        <f t="shared" si="97"/>
        <v>#N/A</v>
      </c>
      <c r="AI106" t="e">
        <f t="shared" si="98"/>
        <v>#N/A</v>
      </c>
      <c r="AJ106" t="e">
        <f t="shared" si="99"/>
        <v>#N/A</v>
      </c>
    </row>
    <row r="107">
      <c r="A107" s="2"/>
      <c r="L107" t="e">
        <f t="shared" si="75"/>
        <v>#N/A</v>
      </c>
      <c r="M107" t="e">
        <f t="shared" si="76"/>
        <v>#N/A</v>
      </c>
      <c r="N107" t="e">
        <f t="shared" si="77"/>
        <v>#N/A</v>
      </c>
      <c r="O107" t="n">
        <f t="shared" si="78"/>
        <v>0</v>
      </c>
      <c r="P107" t="n">
        <f t="shared" si="79"/>
        <v>0</v>
      </c>
      <c r="Q107" t="n">
        <f t="shared" si="80"/>
        <v>0</v>
      </c>
      <c r="R107" t="n">
        <f t="shared" si="81"/>
        <v>0</v>
      </c>
      <c r="S107" t="e">
        <f t="shared" si="82"/>
        <v>#N/A</v>
      </c>
      <c r="T107" t="e">
        <f t="shared" si="83"/>
        <v>#N/A</v>
      </c>
      <c r="U107" t="e">
        <f t="shared" si="84"/>
        <v>#N/A</v>
      </c>
      <c r="V107" t="e">
        <f t="shared" si="85"/>
        <v>#N/A</v>
      </c>
      <c r="W107" t="e">
        <f t="shared" si="86"/>
        <v>#N/A</v>
      </c>
      <c r="X107" t="e">
        <f t="shared" si="87"/>
        <v>#N/A</v>
      </c>
      <c r="Y107" t="e">
        <f t="shared" si="88"/>
        <v>#N/A</v>
      </c>
      <c r="Z107" t="e">
        <f t="shared" si="89"/>
        <v>#N/A</v>
      </c>
      <c r="AA107" t="e">
        <f t="shared" si="90"/>
        <v>#N/A</v>
      </c>
      <c r="AB107" t="e">
        <f t="shared" si="91"/>
        <v>#N/A</v>
      </c>
      <c r="AC107" t="e">
        <f t="shared" si="92"/>
        <v>#N/A</v>
      </c>
      <c r="AD107" t="e">
        <f t="shared" si="93"/>
        <v>#N/A</v>
      </c>
      <c r="AE107" t="e">
        <f t="shared" si="94"/>
        <v>#N/A</v>
      </c>
      <c r="AF107" t="e">
        <f t="shared" si="95"/>
        <v>#N/A</v>
      </c>
      <c r="AG107" t="e">
        <f t="shared" si="96"/>
        <v>#N/A</v>
      </c>
      <c r="AH107" t="e">
        <f t="shared" si="97"/>
        <v>#N/A</v>
      </c>
      <c r="AI107" t="e">
        <f t="shared" si="98"/>
        <v>#N/A</v>
      </c>
      <c r="AJ107" t="e">
        <f t="shared" si="99"/>
        <v>#N/A</v>
      </c>
    </row>
    <row r="108">
      <c r="A108" s="2"/>
      <c r="L108" t="e">
        <f t="shared" si="75"/>
        <v>#N/A</v>
      </c>
      <c r="M108" t="e">
        <f t="shared" si="76"/>
        <v>#N/A</v>
      </c>
      <c r="N108" t="e">
        <f t="shared" si="77"/>
        <v>#N/A</v>
      </c>
      <c r="O108" t="n">
        <f t="shared" si="78"/>
        <v>0</v>
      </c>
      <c r="P108" t="n">
        <f t="shared" si="79"/>
        <v>0</v>
      </c>
      <c r="Q108" t="n">
        <f t="shared" si="80"/>
        <v>0</v>
      </c>
      <c r="R108" t="n">
        <f t="shared" si="81"/>
        <v>0</v>
      </c>
      <c r="S108" t="e">
        <f t="shared" si="82"/>
        <v>#N/A</v>
      </c>
      <c r="T108" t="e">
        <f t="shared" si="83"/>
        <v>#N/A</v>
      </c>
      <c r="U108" t="e">
        <f t="shared" si="84"/>
        <v>#N/A</v>
      </c>
      <c r="V108" t="e">
        <f t="shared" si="85"/>
        <v>#N/A</v>
      </c>
      <c r="W108" t="e">
        <f t="shared" si="86"/>
        <v>#N/A</v>
      </c>
      <c r="X108" t="e">
        <f t="shared" si="87"/>
        <v>#N/A</v>
      </c>
      <c r="Y108" t="e">
        <f t="shared" si="88"/>
        <v>#N/A</v>
      </c>
      <c r="Z108" t="e">
        <f t="shared" si="89"/>
        <v>#N/A</v>
      </c>
      <c r="AA108" t="e">
        <f t="shared" si="90"/>
        <v>#N/A</v>
      </c>
      <c r="AB108" t="e">
        <f t="shared" si="91"/>
        <v>#N/A</v>
      </c>
      <c r="AC108" t="e">
        <f t="shared" si="92"/>
        <v>#N/A</v>
      </c>
      <c r="AD108" t="e">
        <f t="shared" si="93"/>
        <v>#N/A</v>
      </c>
      <c r="AE108" t="e">
        <f t="shared" si="94"/>
        <v>#N/A</v>
      </c>
      <c r="AF108" t="e">
        <f t="shared" si="95"/>
        <v>#N/A</v>
      </c>
      <c r="AG108" t="e">
        <f t="shared" si="96"/>
        <v>#N/A</v>
      </c>
      <c r="AH108" t="e">
        <f t="shared" si="97"/>
        <v>#N/A</v>
      </c>
      <c r="AI108" t="e">
        <f t="shared" si="98"/>
        <v>#N/A</v>
      </c>
      <c r="AJ108" t="e">
        <f t="shared" si="99"/>
        <v>#N/A</v>
      </c>
    </row>
    <row r="109">
      <c r="A109" s="2"/>
      <c r="L109" t="e">
        <f t="shared" si="75"/>
        <v>#N/A</v>
      </c>
      <c r="M109" t="e">
        <f t="shared" si="76"/>
        <v>#N/A</v>
      </c>
      <c r="N109" t="e">
        <f t="shared" si="77"/>
        <v>#N/A</v>
      </c>
      <c r="O109" t="n">
        <f t="shared" si="78"/>
        <v>0</v>
      </c>
      <c r="P109" t="n">
        <f t="shared" si="79"/>
        <v>0</v>
      </c>
      <c r="Q109" t="n">
        <f t="shared" si="80"/>
        <v>0</v>
      </c>
      <c r="R109" t="n">
        <f t="shared" si="81"/>
        <v>0</v>
      </c>
      <c r="S109" t="e">
        <f t="shared" si="82"/>
        <v>#N/A</v>
      </c>
      <c r="T109" t="e">
        <f t="shared" si="83"/>
        <v>#N/A</v>
      </c>
      <c r="U109" t="e">
        <f t="shared" si="84"/>
        <v>#N/A</v>
      </c>
      <c r="V109" t="e">
        <f t="shared" si="85"/>
        <v>#N/A</v>
      </c>
      <c r="W109" t="e">
        <f t="shared" si="86"/>
        <v>#N/A</v>
      </c>
      <c r="X109" t="e">
        <f t="shared" si="87"/>
        <v>#N/A</v>
      </c>
      <c r="Y109" t="e">
        <f t="shared" si="88"/>
        <v>#N/A</v>
      </c>
      <c r="Z109" t="e">
        <f t="shared" si="89"/>
        <v>#N/A</v>
      </c>
      <c r="AA109" t="e">
        <f t="shared" si="90"/>
        <v>#N/A</v>
      </c>
      <c r="AB109" t="e">
        <f t="shared" si="91"/>
        <v>#N/A</v>
      </c>
      <c r="AC109" t="e">
        <f t="shared" si="92"/>
        <v>#N/A</v>
      </c>
      <c r="AD109" t="e">
        <f t="shared" si="93"/>
        <v>#N/A</v>
      </c>
      <c r="AE109" t="e">
        <f t="shared" si="94"/>
        <v>#N/A</v>
      </c>
      <c r="AF109" t="e">
        <f t="shared" si="95"/>
        <v>#N/A</v>
      </c>
      <c r="AG109" t="e">
        <f t="shared" si="96"/>
        <v>#N/A</v>
      </c>
      <c r="AH109" t="e">
        <f t="shared" si="97"/>
        <v>#N/A</v>
      </c>
      <c r="AI109" t="e">
        <f t="shared" si="98"/>
        <v>#N/A</v>
      </c>
      <c r="AJ109" t="e">
        <f t="shared" si="99"/>
        <v>#N/A</v>
      </c>
    </row>
    <row r="110">
      <c r="A110" s="2"/>
      <c r="L110" t="e">
        <f t="shared" si="75"/>
        <v>#N/A</v>
      </c>
      <c r="M110" t="e">
        <f t="shared" si="76"/>
        <v>#N/A</v>
      </c>
      <c r="N110" t="e">
        <f t="shared" si="77"/>
        <v>#N/A</v>
      </c>
      <c r="O110" t="n">
        <f t="shared" si="78"/>
        <v>0</v>
      </c>
      <c r="P110" t="n">
        <f t="shared" si="79"/>
        <v>0</v>
      </c>
      <c r="Q110" t="n">
        <f t="shared" si="80"/>
        <v>0</v>
      </c>
      <c r="R110" t="n">
        <f t="shared" si="81"/>
        <v>0</v>
      </c>
      <c r="S110" t="e">
        <f t="shared" si="82"/>
        <v>#N/A</v>
      </c>
      <c r="T110" t="e">
        <f t="shared" si="83"/>
        <v>#N/A</v>
      </c>
      <c r="U110" t="e">
        <f t="shared" si="84"/>
        <v>#N/A</v>
      </c>
      <c r="V110" t="e">
        <f t="shared" si="85"/>
        <v>#N/A</v>
      </c>
      <c r="W110" t="e">
        <f t="shared" si="86"/>
        <v>#N/A</v>
      </c>
      <c r="X110" t="e">
        <f t="shared" si="87"/>
        <v>#N/A</v>
      </c>
      <c r="Y110" t="e">
        <f t="shared" si="88"/>
        <v>#N/A</v>
      </c>
      <c r="Z110" t="e">
        <f t="shared" si="89"/>
        <v>#N/A</v>
      </c>
      <c r="AA110" t="e">
        <f t="shared" si="90"/>
        <v>#N/A</v>
      </c>
      <c r="AB110" t="e">
        <f t="shared" si="91"/>
        <v>#N/A</v>
      </c>
      <c r="AC110" t="e">
        <f t="shared" si="92"/>
        <v>#N/A</v>
      </c>
      <c r="AD110" t="e">
        <f t="shared" si="93"/>
        <v>#N/A</v>
      </c>
      <c r="AE110" t="e">
        <f t="shared" si="94"/>
        <v>#N/A</v>
      </c>
      <c r="AF110" t="e">
        <f t="shared" si="95"/>
        <v>#N/A</v>
      </c>
      <c r="AG110" t="e">
        <f t="shared" si="96"/>
        <v>#N/A</v>
      </c>
      <c r="AH110" t="e">
        <f t="shared" si="97"/>
        <v>#N/A</v>
      </c>
      <c r="AI110" t="e">
        <f t="shared" si="98"/>
        <v>#N/A</v>
      </c>
      <c r="AJ110" t="e">
        <f t="shared" si="99"/>
        <v>#N/A</v>
      </c>
    </row>
    <row r="111">
      <c r="A111" s="2"/>
      <c r="L111" t="e">
        <f t="shared" si="75"/>
        <v>#N/A</v>
      </c>
      <c r="M111" t="e">
        <f t="shared" si="76"/>
        <v>#N/A</v>
      </c>
      <c r="N111" t="e">
        <f t="shared" si="77"/>
        <v>#N/A</v>
      </c>
      <c r="O111" t="n">
        <f t="shared" si="78"/>
        <v>0</v>
      </c>
      <c r="P111" t="n">
        <f t="shared" si="79"/>
        <v>0</v>
      </c>
      <c r="Q111" t="n">
        <f t="shared" si="80"/>
        <v>0</v>
      </c>
      <c r="R111" t="n">
        <f t="shared" si="81"/>
        <v>0</v>
      </c>
      <c r="S111" t="e">
        <f t="shared" si="82"/>
        <v>#N/A</v>
      </c>
      <c r="T111" t="e">
        <f t="shared" si="83"/>
        <v>#N/A</v>
      </c>
      <c r="U111" t="e">
        <f t="shared" si="84"/>
        <v>#N/A</v>
      </c>
      <c r="V111" t="e">
        <f t="shared" si="85"/>
        <v>#N/A</v>
      </c>
      <c r="W111" t="e">
        <f t="shared" si="86"/>
        <v>#N/A</v>
      </c>
      <c r="X111" t="e">
        <f t="shared" si="87"/>
        <v>#N/A</v>
      </c>
      <c r="Y111" t="e">
        <f t="shared" si="88"/>
        <v>#N/A</v>
      </c>
      <c r="Z111" t="e">
        <f t="shared" si="89"/>
        <v>#N/A</v>
      </c>
      <c r="AA111" t="e">
        <f t="shared" si="90"/>
        <v>#N/A</v>
      </c>
      <c r="AB111" t="e">
        <f t="shared" si="91"/>
        <v>#N/A</v>
      </c>
      <c r="AC111" t="e">
        <f t="shared" si="92"/>
        <v>#N/A</v>
      </c>
      <c r="AD111" t="e">
        <f t="shared" si="93"/>
        <v>#N/A</v>
      </c>
      <c r="AE111" t="e">
        <f t="shared" si="94"/>
        <v>#N/A</v>
      </c>
      <c r="AF111" t="e">
        <f t="shared" si="95"/>
        <v>#N/A</v>
      </c>
      <c r="AG111" t="e">
        <f t="shared" si="96"/>
        <v>#N/A</v>
      </c>
      <c r="AH111" t="e">
        <f t="shared" si="97"/>
        <v>#N/A</v>
      </c>
      <c r="AI111" t="e">
        <f t="shared" si="98"/>
        <v>#N/A</v>
      </c>
      <c r="AJ111" t="e">
        <f t="shared" si="99"/>
        <v>#N/A</v>
      </c>
    </row>
    <row r="112">
      <c r="A112" s="2"/>
      <c r="L112" t="e">
        <f t="shared" si="75"/>
        <v>#N/A</v>
      </c>
      <c r="M112" t="e">
        <f t="shared" si="76"/>
        <v>#N/A</v>
      </c>
      <c r="N112" t="e">
        <f t="shared" si="77"/>
        <v>#N/A</v>
      </c>
      <c r="O112" t="n">
        <f t="shared" si="78"/>
        <v>0</v>
      </c>
      <c r="P112" t="n">
        <f t="shared" si="79"/>
        <v>0</v>
      </c>
      <c r="Q112" t="n">
        <f t="shared" si="80"/>
        <v>0</v>
      </c>
      <c r="R112" t="n">
        <f t="shared" si="81"/>
        <v>0</v>
      </c>
      <c r="S112" t="e">
        <f t="shared" si="82"/>
        <v>#N/A</v>
      </c>
      <c r="T112" t="e">
        <f t="shared" si="83"/>
        <v>#N/A</v>
      </c>
      <c r="U112" t="e">
        <f t="shared" si="84"/>
        <v>#N/A</v>
      </c>
      <c r="V112" t="e">
        <f t="shared" si="85"/>
        <v>#N/A</v>
      </c>
      <c r="W112" t="e">
        <f t="shared" si="86"/>
        <v>#N/A</v>
      </c>
      <c r="X112" t="e">
        <f t="shared" si="87"/>
        <v>#N/A</v>
      </c>
      <c r="Y112" t="e">
        <f t="shared" si="88"/>
        <v>#N/A</v>
      </c>
      <c r="Z112" t="e">
        <f t="shared" si="89"/>
        <v>#N/A</v>
      </c>
      <c r="AA112" t="e">
        <f t="shared" si="90"/>
        <v>#N/A</v>
      </c>
      <c r="AB112" t="e">
        <f t="shared" si="91"/>
        <v>#N/A</v>
      </c>
      <c r="AC112" t="e">
        <f t="shared" si="92"/>
        <v>#N/A</v>
      </c>
      <c r="AD112" t="e">
        <f t="shared" si="93"/>
        <v>#N/A</v>
      </c>
      <c r="AE112" t="e">
        <f t="shared" si="94"/>
        <v>#N/A</v>
      </c>
      <c r="AF112" t="e">
        <f t="shared" si="95"/>
        <v>#N/A</v>
      </c>
      <c r="AG112" t="e">
        <f t="shared" si="96"/>
        <v>#N/A</v>
      </c>
      <c r="AH112" t="e">
        <f t="shared" si="97"/>
        <v>#N/A</v>
      </c>
      <c r="AI112" t="e">
        <f t="shared" si="98"/>
        <v>#N/A</v>
      </c>
      <c r="AJ112" t="e">
        <f t="shared" si="99"/>
        <v>#N/A</v>
      </c>
    </row>
    <row r="113">
      <c r="A113" s="2"/>
      <c r="L113" t="e">
        <f t="shared" si="75"/>
        <v>#N/A</v>
      </c>
      <c r="M113" t="e">
        <f t="shared" si="76"/>
        <v>#N/A</v>
      </c>
      <c r="N113" t="e">
        <f t="shared" si="77"/>
        <v>#N/A</v>
      </c>
      <c r="O113" t="n">
        <f t="shared" si="78"/>
        <v>0</v>
      </c>
      <c r="P113" t="n">
        <f t="shared" si="79"/>
        <v>0</v>
      </c>
      <c r="Q113" t="n">
        <f t="shared" si="80"/>
        <v>0</v>
      </c>
      <c r="R113" t="n">
        <f t="shared" si="81"/>
        <v>0</v>
      </c>
      <c r="S113" t="e">
        <f t="shared" si="82"/>
        <v>#N/A</v>
      </c>
      <c r="T113" t="e">
        <f t="shared" si="83"/>
        <v>#N/A</v>
      </c>
      <c r="U113" t="e">
        <f t="shared" si="84"/>
        <v>#N/A</v>
      </c>
      <c r="V113" t="e">
        <f t="shared" si="85"/>
        <v>#N/A</v>
      </c>
      <c r="W113" t="e">
        <f t="shared" si="86"/>
        <v>#N/A</v>
      </c>
      <c r="X113" t="e">
        <f t="shared" si="87"/>
        <v>#N/A</v>
      </c>
      <c r="Y113" t="e">
        <f t="shared" si="88"/>
        <v>#N/A</v>
      </c>
      <c r="Z113" t="e">
        <f t="shared" si="89"/>
        <v>#N/A</v>
      </c>
      <c r="AA113" t="e">
        <f t="shared" si="90"/>
        <v>#N/A</v>
      </c>
      <c r="AB113" t="e">
        <f t="shared" si="91"/>
        <v>#N/A</v>
      </c>
      <c r="AC113" t="e">
        <f t="shared" si="92"/>
        <v>#N/A</v>
      </c>
      <c r="AD113" t="e">
        <f t="shared" si="93"/>
        <v>#N/A</v>
      </c>
      <c r="AE113" t="e">
        <f t="shared" si="94"/>
        <v>#N/A</v>
      </c>
      <c r="AF113" t="e">
        <f t="shared" si="95"/>
        <v>#N/A</v>
      </c>
      <c r="AG113" t="e">
        <f t="shared" si="96"/>
        <v>#N/A</v>
      </c>
      <c r="AH113" t="e">
        <f t="shared" si="97"/>
        <v>#N/A</v>
      </c>
      <c r="AI113" t="e">
        <f t="shared" si="98"/>
        <v>#N/A</v>
      </c>
      <c r="AJ113" t="e">
        <f t="shared" si="99"/>
        <v>#N/A</v>
      </c>
    </row>
    <row r="114">
      <c r="A114" s="2"/>
      <c r="L114" t="e">
        <f t="shared" si="75"/>
        <v>#N/A</v>
      </c>
      <c r="M114" t="e">
        <f t="shared" si="76"/>
        <v>#N/A</v>
      </c>
      <c r="N114" t="e">
        <f t="shared" si="77"/>
        <v>#N/A</v>
      </c>
      <c r="O114" t="n">
        <f t="shared" si="78"/>
        <v>0</v>
      </c>
      <c r="P114" t="n">
        <f t="shared" si="79"/>
        <v>0</v>
      </c>
      <c r="Q114" t="n">
        <f t="shared" si="80"/>
        <v>0</v>
      </c>
      <c r="R114" t="n">
        <f t="shared" si="81"/>
        <v>0</v>
      </c>
      <c r="S114" t="e">
        <f t="shared" si="82"/>
        <v>#N/A</v>
      </c>
      <c r="T114" t="e">
        <f t="shared" si="83"/>
        <v>#N/A</v>
      </c>
      <c r="U114" t="e">
        <f t="shared" si="84"/>
        <v>#N/A</v>
      </c>
      <c r="V114" t="e">
        <f t="shared" si="85"/>
        <v>#N/A</v>
      </c>
      <c r="W114" t="e">
        <f t="shared" si="86"/>
        <v>#N/A</v>
      </c>
      <c r="X114" t="e">
        <f t="shared" si="87"/>
        <v>#N/A</v>
      </c>
      <c r="Y114" t="e">
        <f t="shared" si="88"/>
        <v>#N/A</v>
      </c>
      <c r="Z114" t="e">
        <f t="shared" si="89"/>
        <v>#N/A</v>
      </c>
      <c r="AA114" t="e">
        <f t="shared" si="90"/>
        <v>#N/A</v>
      </c>
      <c r="AB114" t="e">
        <f t="shared" si="91"/>
        <v>#N/A</v>
      </c>
      <c r="AC114" t="e">
        <f t="shared" si="92"/>
        <v>#N/A</v>
      </c>
      <c r="AD114" t="e">
        <f t="shared" si="93"/>
        <v>#N/A</v>
      </c>
      <c r="AE114" t="e">
        <f t="shared" si="94"/>
        <v>#N/A</v>
      </c>
      <c r="AF114" t="e">
        <f t="shared" si="95"/>
        <v>#N/A</v>
      </c>
      <c r="AG114" t="e">
        <f t="shared" si="96"/>
        <v>#N/A</v>
      </c>
      <c r="AH114" t="e">
        <f t="shared" si="97"/>
        <v>#N/A</v>
      </c>
      <c r="AI114" t="e">
        <f t="shared" si="98"/>
        <v>#N/A</v>
      </c>
      <c r="AJ114" t="e">
        <f t="shared" si="99"/>
        <v>#N/A</v>
      </c>
    </row>
    <row r="115">
      <c r="A115" s="2"/>
      <c r="L115" t="e">
        <f t="shared" si="75"/>
        <v>#N/A</v>
      </c>
      <c r="M115" t="e">
        <f t="shared" si="76"/>
        <v>#N/A</v>
      </c>
      <c r="N115" t="e">
        <f t="shared" si="77"/>
        <v>#N/A</v>
      </c>
      <c r="O115" t="n">
        <f t="shared" si="78"/>
        <v>0</v>
      </c>
      <c r="P115" t="n">
        <f t="shared" si="79"/>
        <v>0</v>
      </c>
      <c r="Q115" t="n">
        <f t="shared" si="80"/>
        <v>0</v>
      </c>
      <c r="R115" t="n">
        <f t="shared" si="81"/>
        <v>0</v>
      </c>
      <c r="S115" t="e">
        <f t="shared" si="82"/>
        <v>#N/A</v>
      </c>
      <c r="T115" t="e">
        <f t="shared" si="83"/>
        <v>#N/A</v>
      </c>
      <c r="U115" t="e">
        <f t="shared" si="84"/>
        <v>#N/A</v>
      </c>
      <c r="V115" t="e">
        <f t="shared" si="85"/>
        <v>#N/A</v>
      </c>
      <c r="W115" t="e">
        <f t="shared" si="86"/>
        <v>#N/A</v>
      </c>
      <c r="X115" t="e">
        <f t="shared" si="87"/>
        <v>#N/A</v>
      </c>
      <c r="Y115" t="e">
        <f t="shared" si="88"/>
        <v>#N/A</v>
      </c>
      <c r="Z115" t="e">
        <f t="shared" si="89"/>
        <v>#N/A</v>
      </c>
      <c r="AA115" t="e">
        <f t="shared" si="90"/>
        <v>#N/A</v>
      </c>
      <c r="AB115" t="e">
        <f t="shared" si="91"/>
        <v>#N/A</v>
      </c>
      <c r="AC115" t="e">
        <f t="shared" si="92"/>
        <v>#N/A</v>
      </c>
      <c r="AD115" t="e">
        <f t="shared" si="93"/>
        <v>#N/A</v>
      </c>
      <c r="AE115" t="e">
        <f t="shared" si="94"/>
        <v>#N/A</v>
      </c>
      <c r="AF115" t="e">
        <f t="shared" si="95"/>
        <v>#N/A</v>
      </c>
      <c r="AG115" t="e">
        <f t="shared" si="96"/>
        <v>#N/A</v>
      </c>
      <c r="AH115" t="e">
        <f t="shared" si="97"/>
        <v>#N/A</v>
      </c>
      <c r="AI115" t="e">
        <f t="shared" si="98"/>
        <v>#N/A</v>
      </c>
      <c r="AJ115" t="e">
        <f t="shared" si="99"/>
        <v>#N/A</v>
      </c>
    </row>
    <row r="116">
      <c r="A116" s="2"/>
      <c r="L116" t="e">
        <f t="shared" si="75"/>
        <v>#N/A</v>
      </c>
      <c r="M116" t="e">
        <f t="shared" si="76"/>
        <v>#N/A</v>
      </c>
      <c r="N116" t="e">
        <f t="shared" si="77"/>
        <v>#N/A</v>
      </c>
      <c r="O116" t="n">
        <f t="shared" si="78"/>
        <v>0</v>
      </c>
      <c r="P116" t="n">
        <f t="shared" si="79"/>
        <v>0</v>
      </c>
      <c r="Q116" t="n">
        <f t="shared" si="80"/>
        <v>0</v>
      </c>
      <c r="R116" t="n">
        <f t="shared" si="81"/>
        <v>0</v>
      </c>
      <c r="S116" t="e">
        <f t="shared" si="82"/>
        <v>#N/A</v>
      </c>
      <c r="T116" t="e">
        <f t="shared" si="83"/>
        <v>#N/A</v>
      </c>
      <c r="U116" t="e">
        <f t="shared" si="84"/>
        <v>#N/A</v>
      </c>
      <c r="V116" t="e">
        <f t="shared" si="85"/>
        <v>#N/A</v>
      </c>
      <c r="W116" t="e">
        <f t="shared" si="86"/>
        <v>#N/A</v>
      </c>
      <c r="X116" t="e">
        <f t="shared" si="87"/>
        <v>#N/A</v>
      </c>
      <c r="Y116" t="e">
        <f t="shared" si="88"/>
        <v>#N/A</v>
      </c>
      <c r="Z116" t="e">
        <f t="shared" si="89"/>
        <v>#N/A</v>
      </c>
      <c r="AA116" t="e">
        <f t="shared" si="90"/>
        <v>#N/A</v>
      </c>
      <c r="AB116" t="e">
        <f t="shared" si="91"/>
        <v>#N/A</v>
      </c>
      <c r="AC116" t="e">
        <f t="shared" si="92"/>
        <v>#N/A</v>
      </c>
      <c r="AD116" t="e">
        <f t="shared" si="93"/>
        <v>#N/A</v>
      </c>
      <c r="AE116" t="e">
        <f t="shared" si="94"/>
        <v>#N/A</v>
      </c>
      <c r="AF116" t="e">
        <f t="shared" si="95"/>
        <v>#N/A</v>
      </c>
      <c r="AG116" t="e">
        <f t="shared" si="96"/>
        <v>#N/A</v>
      </c>
      <c r="AH116" t="e">
        <f t="shared" si="97"/>
        <v>#N/A</v>
      </c>
      <c r="AI116" t="e">
        <f t="shared" si="98"/>
        <v>#N/A</v>
      </c>
      <c r="AJ116" t="e">
        <f t="shared" si="99"/>
        <v>#N/A</v>
      </c>
    </row>
    <row r="117">
      <c r="A117" s="2"/>
      <c r="L117" t="e">
        <f t="shared" si="75"/>
        <v>#N/A</v>
      </c>
      <c r="M117" t="e">
        <f t="shared" si="76"/>
        <v>#N/A</v>
      </c>
      <c r="N117" t="e">
        <f t="shared" si="77"/>
        <v>#N/A</v>
      </c>
      <c r="O117" t="n">
        <f t="shared" si="78"/>
        <v>0</v>
      </c>
      <c r="P117" t="n">
        <f t="shared" si="79"/>
        <v>0</v>
      </c>
      <c r="Q117" t="n">
        <f t="shared" si="80"/>
        <v>0</v>
      </c>
      <c r="R117" t="n">
        <f t="shared" si="81"/>
        <v>0</v>
      </c>
      <c r="S117" t="e">
        <f t="shared" si="82"/>
        <v>#N/A</v>
      </c>
      <c r="T117" t="e">
        <f t="shared" si="83"/>
        <v>#N/A</v>
      </c>
      <c r="U117" t="e">
        <f t="shared" si="84"/>
        <v>#N/A</v>
      </c>
      <c r="V117" t="e">
        <f t="shared" si="85"/>
        <v>#N/A</v>
      </c>
      <c r="W117" t="e">
        <f t="shared" si="86"/>
        <v>#N/A</v>
      </c>
      <c r="X117" t="e">
        <f t="shared" si="87"/>
        <v>#N/A</v>
      </c>
      <c r="Y117" t="e">
        <f t="shared" si="88"/>
        <v>#N/A</v>
      </c>
      <c r="Z117" t="e">
        <f t="shared" si="89"/>
        <v>#N/A</v>
      </c>
      <c r="AA117" t="e">
        <f t="shared" si="90"/>
        <v>#N/A</v>
      </c>
      <c r="AB117" t="e">
        <f t="shared" si="91"/>
        <v>#N/A</v>
      </c>
      <c r="AC117" t="e">
        <f t="shared" si="92"/>
        <v>#N/A</v>
      </c>
      <c r="AD117" t="e">
        <f t="shared" si="93"/>
        <v>#N/A</v>
      </c>
      <c r="AE117" t="e">
        <f t="shared" si="94"/>
        <v>#N/A</v>
      </c>
      <c r="AF117" t="e">
        <f t="shared" si="95"/>
        <v>#N/A</v>
      </c>
      <c r="AG117" t="e">
        <f t="shared" si="96"/>
        <v>#N/A</v>
      </c>
      <c r="AH117" t="e">
        <f t="shared" si="97"/>
        <v>#N/A</v>
      </c>
      <c r="AI117" t="e">
        <f t="shared" si="98"/>
        <v>#N/A</v>
      </c>
      <c r="AJ117" t="e">
        <f t="shared" si="99"/>
        <v>#N/A</v>
      </c>
    </row>
    <row r="118">
      <c r="A118" s="2"/>
      <c r="L118" t="e">
        <f t="shared" si="75"/>
        <v>#N/A</v>
      </c>
      <c r="M118" t="e">
        <f t="shared" si="76"/>
        <v>#N/A</v>
      </c>
      <c r="N118" t="e">
        <f t="shared" si="77"/>
        <v>#N/A</v>
      </c>
      <c r="O118" t="n">
        <f t="shared" si="78"/>
        <v>0</v>
      </c>
      <c r="P118" t="n">
        <f t="shared" si="79"/>
        <v>0</v>
      </c>
      <c r="Q118" t="n">
        <f t="shared" si="80"/>
        <v>0</v>
      </c>
      <c r="R118" t="n">
        <f t="shared" si="81"/>
        <v>0</v>
      </c>
      <c r="S118" t="e">
        <f t="shared" si="82"/>
        <v>#N/A</v>
      </c>
      <c r="T118" t="e">
        <f t="shared" si="83"/>
        <v>#N/A</v>
      </c>
      <c r="U118" t="e">
        <f t="shared" si="84"/>
        <v>#N/A</v>
      </c>
      <c r="V118" t="e">
        <f t="shared" si="85"/>
        <v>#N/A</v>
      </c>
      <c r="W118" t="e">
        <f t="shared" si="86"/>
        <v>#N/A</v>
      </c>
      <c r="X118" t="e">
        <f t="shared" si="87"/>
        <v>#N/A</v>
      </c>
      <c r="Y118" t="e">
        <f t="shared" si="88"/>
        <v>#N/A</v>
      </c>
      <c r="Z118" t="e">
        <f t="shared" si="89"/>
        <v>#N/A</v>
      </c>
      <c r="AA118" t="e">
        <f t="shared" si="90"/>
        <v>#N/A</v>
      </c>
      <c r="AB118" t="e">
        <f t="shared" si="91"/>
        <v>#N/A</v>
      </c>
      <c r="AC118" t="e">
        <f t="shared" si="92"/>
        <v>#N/A</v>
      </c>
      <c r="AD118" t="e">
        <f t="shared" si="93"/>
        <v>#N/A</v>
      </c>
      <c r="AE118" t="e">
        <f t="shared" si="94"/>
        <v>#N/A</v>
      </c>
      <c r="AF118" t="e">
        <f t="shared" si="95"/>
        <v>#N/A</v>
      </c>
      <c r="AG118" t="e">
        <f t="shared" si="96"/>
        <v>#N/A</v>
      </c>
      <c r="AH118" t="e">
        <f t="shared" si="97"/>
        <v>#N/A</v>
      </c>
      <c r="AI118" t="e">
        <f t="shared" si="98"/>
        <v>#N/A</v>
      </c>
      <c r="AJ118" t="e">
        <f t="shared" si="99"/>
        <v>#N/A</v>
      </c>
    </row>
    <row r="119">
      <c r="A119" s="2"/>
      <c r="L119" t="e">
        <f t="shared" si="75"/>
        <v>#N/A</v>
      </c>
      <c r="M119" t="e">
        <f t="shared" si="76"/>
        <v>#N/A</v>
      </c>
      <c r="N119" t="e">
        <f t="shared" si="77"/>
        <v>#N/A</v>
      </c>
      <c r="O119" t="n">
        <f t="shared" si="78"/>
        <v>0</v>
      </c>
      <c r="P119" t="n">
        <f t="shared" si="79"/>
        <v>0</v>
      </c>
      <c r="Q119" t="n">
        <f t="shared" si="80"/>
        <v>0</v>
      </c>
      <c r="R119" t="n">
        <f t="shared" si="81"/>
        <v>0</v>
      </c>
      <c r="S119" t="e">
        <f t="shared" si="82"/>
        <v>#N/A</v>
      </c>
      <c r="T119" t="e">
        <f t="shared" si="83"/>
        <v>#N/A</v>
      </c>
      <c r="U119" t="e">
        <f t="shared" si="84"/>
        <v>#N/A</v>
      </c>
      <c r="V119" t="e">
        <f t="shared" si="85"/>
        <v>#N/A</v>
      </c>
      <c r="W119" t="e">
        <f t="shared" si="86"/>
        <v>#N/A</v>
      </c>
      <c r="X119" t="e">
        <f t="shared" si="87"/>
        <v>#N/A</v>
      </c>
      <c r="Y119" t="e">
        <f t="shared" si="88"/>
        <v>#N/A</v>
      </c>
      <c r="Z119" t="e">
        <f t="shared" si="89"/>
        <v>#N/A</v>
      </c>
      <c r="AA119" t="e">
        <f t="shared" si="90"/>
        <v>#N/A</v>
      </c>
      <c r="AB119" t="e">
        <f t="shared" si="91"/>
        <v>#N/A</v>
      </c>
      <c r="AC119" t="e">
        <f t="shared" si="92"/>
        <v>#N/A</v>
      </c>
      <c r="AD119" t="e">
        <f t="shared" si="93"/>
        <v>#N/A</v>
      </c>
      <c r="AE119" t="e">
        <f t="shared" si="94"/>
        <v>#N/A</v>
      </c>
      <c r="AF119" t="e">
        <f t="shared" si="95"/>
        <v>#N/A</v>
      </c>
      <c r="AG119" t="e">
        <f t="shared" si="96"/>
        <v>#N/A</v>
      </c>
      <c r="AH119" t="e">
        <f t="shared" si="97"/>
        <v>#N/A</v>
      </c>
      <c r="AI119" t="e">
        <f t="shared" si="98"/>
        <v>#N/A</v>
      </c>
      <c r="AJ119" t="e">
        <f t="shared" si="99"/>
        <v>#N/A</v>
      </c>
    </row>
    <row r="120">
      <c r="A120" s="2"/>
      <c r="L120" t="e">
        <f t="shared" si="75"/>
        <v>#N/A</v>
      </c>
      <c r="M120" t="e">
        <f t="shared" si="76"/>
        <v>#N/A</v>
      </c>
      <c r="N120" t="e">
        <f t="shared" si="77"/>
        <v>#N/A</v>
      </c>
      <c r="O120" t="n">
        <f t="shared" si="78"/>
        <v>0</v>
      </c>
      <c r="P120" t="n">
        <f t="shared" si="79"/>
        <v>0</v>
      </c>
      <c r="Q120" t="n">
        <f t="shared" si="80"/>
        <v>0</v>
      </c>
      <c r="R120" t="n">
        <f t="shared" si="81"/>
        <v>0</v>
      </c>
      <c r="S120" t="e">
        <f t="shared" si="82"/>
        <v>#N/A</v>
      </c>
      <c r="T120" t="e">
        <f t="shared" si="83"/>
        <v>#N/A</v>
      </c>
      <c r="U120" t="e">
        <f t="shared" si="84"/>
        <v>#N/A</v>
      </c>
      <c r="V120" t="e">
        <f t="shared" si="85"/>
        <v>#N/A</v>
      </c>
      <c r="W120" t="e">
        <f t="shared" si="86"/>
        <v>#N/A</v>
      </c>
      <c r="X120" t="e">
        <f t="shared" si="87"/>
        <v>#N/A</v>
      </c>
      <c r="Y120" t="e">
        <f t="shared" si="88"/>
        <v>#N/A</v>
      </c>
      <c r="Z120" t="e">
        <f t="shared" si="89"/>
        <v>#N/A</v>
      </c>
      <c r="AA120" t="e">
        <f t="shared" si="90"/>
        <v>#N/A</v>
      </c>
      <c r="AB120" t="e">
        <f t="shared" si="91"/>
        <v>#N/A</v>
      </c>
      <c r="AC120" t="e">
        <f t="shared" si="92"/>
        <v>#N/A</v>
      </c>
      <c r="AD120" t="e">
        <f t="shared" si="93"/>
        <v>#N/A</v>
      </c>
      <c r="AE120" t="e">
        <f t="shared" si="94"/>
        <v>#N/A</v>
      </c>
      <c r="AF120" t="e">
        <f t="shared" si="95"/>
        <v>#N/A</v>
      </c>
      <c r="AG120" t="e">
        <f t="shared" si="96"/>
        <v>#N/A</v>
      </c>
      <c r="AH120" t="e">
        <f t="shared" si="97"/>
        <v>#N/A</v>
      </c>
      <c r="AI120" t="e">
        <f t="shared" si="98"/>
        <v>#N/A</v>
      </c>
      <c r="AJ120" t="e">
        <f t="shared" si="99"/>
        <v>#N/A</v>
      </c>
    </row>
    <row r="121">
      <c r="A121" s="2"/>
      <c r="L121" t="e">
        <f t="shared" si="75"/>
        <v>#N/A</v>
      </c>
      <c r="M121" t="e">
        <f t="shared" si="76"/>
        <v>#N/A</v>
      </c>
      <c r="N121" t="e">
        <f t="shared" si="77"/>
        <v>#N/A</v>
      </c>
      <c r="O121" t="n">
        <f t="shared" si="78"/>
        <v>0</v>
      </c>
      <c r="P121" t="n">
        <f t="shared" si="79"/>
        <v>0</v>
      </c>
      <c r="Q121" t="n">
        <f t="shared" si="80"/>
        <v>0</v>
      </c>
      <c r="R121" t="n">
        <f t="shared" si="81"/>
        <v>0</v>
      </c>
      <c r="S121" t="e">
        <f t="shared" si="82"/>
        <v>#N/A</v>
      </c>
      <c r="T121" t="e">
        <f t="shared" si="83"/>
        <v>#N/A</v>
      </c>
      <c r="U121" t="e">
        <f t="shared" si="84"/>
        <v>#N/A</v>
      </c>
      <c r="V121" t="e">
        <f t="shared" si="85"/>
        <v>#N/A</v>
      </c>
      <c r="W121" t="e">
        <f t="shared" si="86"/>
        <v>#N/A</v>
      </c>
      <c r="X121" t="e">
        <f t="shared" si="87"/>
        <v>#N/A</v>
      </c>
      <c r="Y121" t="e">
        <f t="shared" si="88"/>
        <v>#N/A</v>
      </c>
      <c r="Z121" t="e">
        <f t="shared" si="89"/>
        <v>#N/A</v>
      </c>
      <c r="AA121" t="e">
        <f t="shared" si="90"/>
        <v>#N/A</v>
      </c>
      <c r="AB121" t="e">
        <f t="shared" si="91"/>
        <v>#N/A</v>
      </c>
      <c r="AC121" t="e">
        <f t="shared" si="92"/>
        <v>#N/A</v>
      </c>
      <c r="AD121" t="e">
        <f t="shared" si="93"/>
        <v>#N/A</v>
      </c>
      <c r="AE121" t="e">
        <f t="shared" si="94"/>
        <v>#N/A</v>
      </c>
      <c r="AF121" t="e">
        <f t="shared" si="95"/>
        <v>#N/A</v>
      </c>
      <c r="AG121" t="e">
        <f t="shared" si="96"/>
        <v>#N/A</v>
      </c>
      <c r="AH121" t="e">
        <f t="shared" si="97"/>
        <v>#N/A</v>
      </c>
      <c r="AI121" t="e">
        <f t="shared" si="98"/>
        <v>#N/A</v>
      </c>
      <c r="AJ121" t="e">
        <f t="shared" si="99"/>
        <v>#N/A</v>
      </c>
    </row>
    <row r="122">
      <c r="A122" s="2"/>
      <c r="L122" t="e">
        <f t="shared" si="75"/>
        <v>#N/A</v>
      </c>
      <c r="M122" t="e">
        <f t="shared" si="76"/>
        <v>#N/A</v>
      </c>
      <c r="N122" t="e">
        <f t="shared" si="77"/>
        <v>#N/A</v>
      </c>
      <c r="O122" t="n">
        <f t="shared" si="78"/>
        <v>0</v>
      </c>
      <c r="P122" t="n">
        <f t="shared" si="79"/>
        <v>0</v>
      </c>
      <c r="Q122" t="n">
        <f t="shared" si="80"/>
        <v>0</v>
      </c>
      <c r="R122" t="n">
        <f t="shared" si="81"/>
        <v>0</v>
      </c>
      <c r="S122" t="e">
        <f t="shared" si="82"/>
        <v>#N/A</v>
      </c>
      <c r="T122" t="e">
        <f t="shared" si="83"/>
        <v>#N/A</v>
      </c>
      <c r="U122" t="e">
        <f t="shared" si="84"/>
        <v>#N/A</v>
      </c>
      <c r="V122" t="e">
        <f t="shared" si="85"/>
        <v>#N/A</v>
      </c>
      <c r="W122" t="e">
        <f t="shared" si="86"/>
        <v>#N/A</v>
      </c>
      <c r="X122" t="e">
        <f t="shared" si="87"/>
        <v>#N/A</v>
      </c>
      <c r="Y122" t="e">
        <f t="shared" si="88"/>
        <v>#N/A</v>
      </c>
      <c r="Z122" t="e">
        <f t="shared" si="89"/>
        <v>#N/A</v>
      </c>
      <c r="AA122" t="e">
        <f t="shared" si="90"/>
        <v>#N/A</v>
      </c>
      <c r="AB122" t="e">
        <f t="shared" si="91"/>
        <v>#N/A</v>
      </c>
      <c r="AC122" t="e">
        <f t="shared" si="92"/>
        <v>#N/A</v>
      </c>
      <c r="AD122" t="e">
        <f t="shared" si="93"/>
        <v>#N/A</v>
      </c>
      <c r="AE122" t="e">
        <f t="shared" si="94"/>
        <v>#N/A</v>
      </c>
      <c r="AF122" t="e">
        <f t="shared" si="95"/>
        <v>#N/A</v>
      </c>
      <c r="AG122" t="e">
        <f t="shared" si="96"/>
        <v>#N/A</v>
      </c>
      <c r="AH122" t="e">
        <f t="shared" si="97"/>
        <v>#N/A</v>
      </c>
      <c r="AI122" t="e">
        <f t="shared" si="98"/>
        <v>#N/A</v>
      </c>
      <c r="AJ122" t="e">
        <f t="shared" si="99"/>
        <v>#N/A</v>
      </c>
    </row>
    <row r="123">
      <c r="A123" s="2"/>
      <c r="L123" t="e">
        <f t="shared" si="75"/>
        <v>#N/A</v>
      </c>
      <c r="M123" t="e">
        <f t="shared" si="76"/>
        <v>#N/A</v>
      </c>
      <c r="N123" t="e">
        <f t="shared" si="77"/>
        <v>#N/A</v>
      </c>
      <c r="O123" t="n">
        <f t="shared" si="78"/>
        <v>0</v>
      </c>
      <c r="P123" t="n">
        <f t="shared" si="79"/>
        <v>0</v>
      </c>
      <c r="Q123" t="n">
        <f t="shared" si="80"/>
        <v>0</v>
      </c>
      <c r="R123" t="n">
        <f t="shared" si="81"/>
        <v>0</v>
      </c>
      <c r="S123" t="e">
        <f t="shared" si="82"/>
        <v>#N/A</v>
      </c>
      <c r="T123" t="e">
        <f t="shared" si="83"/>
        <v>#N/A</v>
      </c>
      <c r="U123" t="e">
        <f t="shared" si="84"/>
        <v>#N/A</v>
      </c>
      <c r="V123" t="e">
        <f t="shared" si="85"/>
        <v>#N/A</v>
      </c>
      <c r="W123" t="e">
        <f t="shared" si="86"/>
        <v>#N/A</v>
      </c>
      <c r="X123" t="e">
        <f t="shared" si="87"/>
        <v>#N/A</v>
      </c>
      <c r="Y123" t="e">
        <f t="shared" si="88"/>
        <v>#N/A</v>
      </c>
      <c r="Z123" t="e">
        <f t="shared" si="89"/>
        <v>#N/A</v>
      </c>
      <c r="AA123" t="e">
        <f t="shared" si="90"/>
        <v>#N/A</v>
      </c>
      <c r="AB123" t="e">
        <f t="shared" si="91"/>
        <v>#N/A</v>
      </c>
      <c r="AC123" t="e">
        <f t="shared" si="92"/>
        <v>#N/A</v>
      </c>
      <c r="AD123" t="e">
        <f t="shared" si="93"/>
        <v>#N/A</v>
      </c>
      <c r="AE123" t="e">
        <f t="shared" si="94"/>
        <v>#N/A</v>
      </c>
      <c r="AF123" t="e">
        <f t="shared" si="95"/>
        <v>#N/A</v>
      </c>
      <c r="AG123" t="e">
        <f t="shared" si="96"/>
        <v>#N/A</v>
      </c>
      <c r="AH123" t="e">
        <f t="shared" si="97"/>
        <v>#N/A</v>
      </c>
      <c r="AI123" t="e">
        <f t="shared" si="98"/>
        <v>#N/A</v>
      </c>
      <c r="AJ123" t="e">
        <f t="shared" si="99"/>
        <v>#N/A</v>
      </c>
    </row>
    <row r="124">
      <c r="A124" s="2"/>
      <c r="L124" t="e">
        <f t="shared" si="75"/>
        <v>#N/A</v>
      </c>
      <c r="M124" t="e">
        <f t="shared" si="76"/>
        <v>#N/A</v>
      </c>
      <c r="N124" t="e">
        <f t="shared" si="77"/>
        <v>#N/A</v>
      </c>
      <c r="O124" t="n">
        <f t="shared" si="78"/>
        <v>0</v>
      </c>
      <c r="P124" t="n">
        <f t="shared" si="79"/>
        <v>0</v>
      </c>
      <c r="Q124" t="n">
        <f t="shared" si="80"/>
        <v>0</v>
      </c>
      <c r="R124" t="n">
        <f t="shared" si="81"/>
        <v>0</v>
      </c>
      <c r="S124" t="e">
        <f t="shared" si="82"/>
        <v>#N/A</v>
      </c>
      <c r="T124" t="e">
        <f t="shared" si="83"/>
        <v>#N/A</v>
      </c>
      <c r="U124" t="e">
        <f t="shared" si="84"/>
        <v>#N/A</v>
      </c>
      <c r="V124" t="e">
        <f t="shared" si="85"/>
        <v>#N/A</v>
      </c>
      <c r="W124" t="e">
        <f t="shared" si="86"/>
        <v>#N/A</v>
      </c>
      <c r="X124" t="e">
        <f t="shared" si="87"/>
        <v>#N/A</v>
      </c>
      <c r="Y124" t="e">
        <f t="shared" si="88"/>
        <v>#N/A</v>
      </c>
      <c r="Z124" t="e">
        <f t="shared" si="89"/>
        <v>#N/A</v>
      </c>
      <c r="AA124" t="e">
        <f t="shared" si="90"/>
        <v>#N/A</v>
      </c>
      <c r="AB124" t="e">
        <f t="shared" si="91"/>
        <v>#N/A</v>
      </c>
      <c r="AC124" t="e">
        <f t="shared" si="92"/>
        <v>#N/A</v>
      </c>
      <c r="AD124" t="e">
        <f t="shared" si="93"/>
        <v>#N/A</v>
      </c>
      <c r="AE124" t="e">
        <f t="shared" si="94"/>
        <v>#N/A</v>
      </c>
      <c r="AF124" t="e">
        <f t="shared" si="95"/>
        <v>#N/A</v>
      </c>
      <c r="AG124" t="e">
        <f t="shared" si="96"/>
        <v>#N/A</v>
      </c>
      <c r="AH124" t="e">
        <f t="shared" si="97"/>
        <v>#N/A</v>
      </c>
      <c r="AI124" t="e">
        <f t="shared" si="98"/>
        <v>#N/A</v>
      </c>
      <c r="AJ124" t="e">
        <f t="shared" si="99"/>
        <v>#N/A</v>
      </c>
    </row>
    <row r="125">
      <c r="A125" s="2"/>
      <c r="L125" t="e">
        <f t="shared" si="75"/>
        <v>#N/A</v>
      </c>
      <c r="M125" t="e">
        <f t="shared" si="76"/>
        <v>#N/A</v>
      </c>
      <c r="N125" t="e">
        <f t="shared" si="77"/>
        <v>#N/A</v>
      </c>
      <c r="O125" t="n">
        <f t="shared" si="78"/>
        <v>0</v>
      </c>
      <c r="P125" t="n">
        <f t="shared" si="79"/>
        <v>0</v>
      </c>
      <c r="Q125" t="n">
        <f t="shared" si="80"/>
        <v>0</v>
      </c>
      <c r="R125" t="n">
        <f t="shared" si="81"/>
        <v>0</v>
      </c>
      <c r="S125" t="e">
        <f t="shared" si="82"/>
        <v>#N/A</v>
      </c>
      <c r="T125" t="e">
        <f t="shared" si="83"/>
        <v>#N/A</v>
      </c>
      <c r="U125" t="e">
        <f t="shared" si="84"/>
        <v>#N/A</v>
      </c>
      <c r="V125" t="e">
        <f t="shared" si="85"/>
        <v>#N/A</v>
      </c>
      <c r="W125" t="e">
        <f t="shared" si="86"/>
        <v>#N/A</v>
      </c>
      <c r="X125" t="e">
        <f t="shared" si="87"/>
        <v>#N/A</v>
      </c>
      <c r="Y125" t="e">
        <f t="shared" si="88"/>
        <v>#N/A</v>
      </c>
      <c r="Z125" t="e">
        <f t="shared" si="89"/>
        <v>#N/A</v>
      </c>
      <c r="AA125" t="e">
        <f t="shared" si="90"/>
        <v>#N/A</v>
      </c>
      <c r="AB125" t="e">
        <f t="shared" si="91"/>
        <v>#N/A</v>
      </c>
      <c r="AC125" t="e">
        <f t="shared" si="92"/>
        <v>#N/A</v>
      </c>
      <c r="AD125" t="e">
        <f t="shared" si="93"/>
        <v>#N/A</v>
      </c>
      <c r="AE125" t="e">
        <f t="shared" si="94"/>
        <v>#N/A</v>
      </c>
      <c r="AF125" t="e">
        <f t="shared" si="95"/>
        <v>#N/A</v>
      </c>
      <c r="AG125" t="e">
        <f t="shared" si="96"/>
        <v>#N/A</v>
      </c>
      <c r="AH125" t="e">
        <f t="shared" si="97"/>
        <v>#N/A</v>
      </c>
      <c r="AI125" t="e">
        <f t="shared" si="98"/>
        <v>#N/A</v>
      </c>
      <c r="AJ125" t="e">
        <f t="shared" si="99"/>
        <v>#N/A</v>
      </c>
    </row>
    <row r="126">
      <c r="A126" s="2"/>
      <c r="L126" t="e">
        <f t="shared" si="75"/>
        <v>#N/A</v>
      </c>
      <c r="M126" t="e">
        <f t="shared" si="76"/>
        <v>#N/A</v>
      </c>
      <c r="N126" t="e">
        <f t="shared" si="77"/>
        <v>#N/A</v>
      </c>
      <c r="O126" t="n">
        <f t="shared" si="78"/>
        <v>0</v>
      </c>
      <c r="P126" t="n">
        <f t="shared" si="79"/>
        <v>0</v>
      </c>
      <c r="Q126" t="n">
        <f t="shared" si="80"/>
        <v>0</v>
      </c>
      <c r="R126" t="n">
        <f t="shared" si="81"/>
        <v>0</v>
      </c>
      <c r="S126" t="e">
        <f t="shared" si="82"/>
        <v>#N/A</v>
      </c>
      <c r="T126" t="e">
        <f t="shared" si="83"/>
        <v>#N/A</v>
      </c>
      <c r="U126" t="e">
        <f t="shared" si="84"/>
        <v>#N/A</v>
      </c>
      <c r="V126" t="e">
        <f t="shared" si="85"/>
        <v>#N/A</v>
      </c>
      <c r="W126" t="e">
        <f t="shared" si="86"/>
        <v>#N/A</v>
      </c>
      <c r="X126" t="e">
        <f t="shared" si="87"/>
        <v>#N/A</v>
      </c>
      <c r="Y126" t="e">
        <f t="shared" si="88"/>
        <v>#N/A</v>
      </c>
      <c r="Z126" t="e">
        <f t="shared" si="89"/>
        <v>#N/A</v>
      </c>
      <c r="AA126" t="e">
        <f t="shared" si="90"/>
        <v>#N/A</v>
      </c>
      <c r="AB126" t="e">
        <f t="shared" si="91"/>
        <v>#N/A</v>
      </c>
      <c r="AC126" t="e">
        <f t="shared" si="92"/>
        <v>#N/A</v>
      </c>
      <c r="AD126" t="e">
        <f t="shared" si="93"/>
        <v>#N/A</v>
      </c>
      <c r="AE126" t="e">
        <f t="shared" si="94"/>
        <v>#N/A</v>
      </c>
      <c r="AF126" t="e">
        <f t="shared" si="95"/>
        <v>#N/A</v>
      </c>
      <c r="AG126" t="e">
        <f t="shared" si="96"/>
        <v>#N/A</v>
      </c>
      <c r="AH126" t="e">
        <f t="shared" si="97"/>
        <v>#N/A</v>
      </c>
      <c r="AI126" t="e">
        <f t="shared" si="98"/>
        <v>#N/A</v>
      </c>
      <c r="AJ126" t="e">
        <f t="shared" si="99"/>
        <v>#N/A</v>
      </c>
    </row>
    <row r="127">
      <c r="A127" s="2"/>
      <c r="L127" t="e">
        <f t="shared" si="75"/>
        <v>#N/A</v>
      </c>
      <c r="M127" t="e">
        <f t="shared" si="76"/>
        <v>#N/A</v>
      </c>
      <c r="N127" t="e">
        <f t="shared" si="77"/>
        <v>#N/A</v>
      </c>
      <c r="O127" t="n">
        <f t="shared" si="78"/>
        <v>0</v>
      </c>
      <c r="P127" t="n">
        <f t="shared" si="79"/>
        <v>0</v>
      </c>
      <c r="Q127" t="n">
        <f t="shared" si="80"/>
        <v>0</v>
      </c>
      <c r="R127" t="n">
        <f t="shared" si="81"/>
        <v>0</v>
      </c>
      <c r="S127" t="e">
        <f t="shared" si="82"/>
        <v>#N/A</v>
      </c>
      <c r="T127" t="e">
        <f t="shared" si="83"/>
        <v>#N/A</v>
      </c>
      <c r="U127" t="e">
        <f t="shared" si="84"/>
        <v>#N/A</v>
      </c>
      <c r="V127" t="e">
        <f t="shared" si="85"/>
        <v>#N/A</v>
      </c>
      <c r="W127" t="e">
        <f t="shared" si="86"/>
        <v>#N/A</v>
      </c>
      <c r="X127" t="e">
        <f t="shared" si="87"/>
        <v>#N/A</v>
      </c>
      <c r="Y127" t="e">
        <f t="shared" si="88"/>
        <v>#N/A</v>
      </c>
      <c r="Z127" t="e">
        <f t="shared" si="89"/>
        <v>#N/A</v>
      </c>
      <c r="AA127" t="e">
        <f t="shared" si="90"/>
        <v>#N/A</v>
      </c>
      <c r="AB127" t="e">
        <f t="shared" si="91"/>
        <v>#N/A</v>
      </c>
      <c r="AC127" t="e">
        <f t="shared" si="92"/>
        <v>#N/A</v>
      </c>
      <c r="AD127" t="e">
        <f t="shared" si="93"/>
        <v>#N/A</v>
      </c>
      <c r="AE127" t="e">
        <f t="shared" si="94"/>
        <v>#N/A</v>
      </c>
      <c r="AF127" t="e">
        <f t="shared" si="95"/>
        <v>#N/A</v>
      </c>
      <c r="AG127" t="e">
        <f t="shared" si="96"/>
        <v>#N/A</v>
      </c>
      <c r="AH127" t="e">
        <f t="shared" si="97"/>
        <v>#N/A</v>
      </c>
      <c r="AI127" t="e">
        <f t="shared" si="98"/>
        <v>#N/A</v>
      </c>
      <c r="AJ127" t="e">
        <f t="shared" si="99"/>
        <v>#N/A</v>
      </c>
    </row>
    <row r="128">
      <c r="A128" s="2"/>
      <c r="L128" t="e">
        <f t="shared" si="75"/>
        <v>#N/A</v>
      </c>
      <c r="M128" t="e">
        <f t="shared" si="76"/>
        <v>#N/A</v>
      </c>
      <c r="N128" t="e">
        <f t="shared" si="77"/>
        <v>#N/A</v>
      </c>
      <c r="O128" t="n">
        <f t="shared" si="78"/>
        <v>0</v>
      </c>
      <c r="P128" t="n">
        <f t="shared" si="79"/>
        <v>0</v>
      </c>
      <c r="Q128" t="n">
        <f t="shared" si="80"/>
        <v>0</v>
      </c>
      <c r="R128" t="n">
        <f t="shared" si="81"/>
        <v>0</v>
      </c>
      <c r="S128" t="e">
        <f t="shared" si="82"/>
        <v>#N/A</v>
      </c>
      <c r="T128" t="e">
        <f t="shared" si="83"/>
        <v>#N/A</v>
      </c>
      <c r="U128" t="e">
        <f t="shared" si="84"/>
        <v>#N/A</v>
      </c>
      <c r="V128" t="e">
        <f t="shared" si="85"/>
        <v>#N/A</v>
      </c>
      <c r="W128" t="e">
        <f t="shared" si="86"/>
        <v>#N/A</v>
      </c>
      <c r="X128" t="e">
        <f t="shared" si="87"/>
        <v>#N/A</v>
      </c>
      <c r="Y128" t="e">
        <f t="shared" si="88"/>
        <v>#N/A</v>
      </c>
      <c r="Z128" t="e">
        <f t="shared" si="89"/>
        <v>#N/A</v>
      </c>
      <c r="AA128" t="e">
        <f t="shared" si="90"/>
        <v>#N/A</v>
      </c>
      <c r="AB128" t="e">
        <f t="shared" si="91"/>
        <v>#N/A</v>
      </c>
      <c r="AC128" t="e">
        <f t="shared" si="92"/>
        <v>#N/A</v>
      </c>
      <c r="AD128" t="e">
        <f t="shared" si="93"/>
        <v>#N/A</v>
      </c>
      <c r="AE128" t="e">
        <f t="shared" si="94"/>
        <v>#N/A</v>
      </c>
      <c r="AF128" t="e">
        <f t="shared" si="95"/>
        <v>#N/A</v>
      </c>
      <c r="AG128" t="e">
        <f t="shared" si="96"/>
        <v>#N/A</v>
      </c>
      <c r="AH128" t="e">
        <f t="shared" si="97"/>
        <v>#N/A</v>
      </c>
      <c r="AI128" t="e">
        <f t="shared" si="98"/>
        <v>#N/A</v>
      </c>
      <c r="AJ128" t="e">
        <f t="shared" si="99"/>
        <v>#N/A</v>
      </c>
    </row>
    <row r="129">
      <c r="A129" s="2"/>
      <c r="L129" t="e">
        <f t="shared" si="75"/>
        <v>#N/A</v>
      </c>
      <c r="M129" t="e">
        <f t="shared" si="76"/>
        <v>#N/A</v>
      </c>
      <c r="N129" t="e">
        <f t="shared" si="77"/>
        <v>#N/A</v>
      </c>
      <c r="O129" t="n">
        <f t="shared" si="78"/>
        <v>0</v>
      </c>
      <c r="P129" t="n">
        <f t="shared" si="79"/>
        <v>0</v>
      </c>
      <c r="Q129" t="n">
        <f t="shared" si="80"/>
        <v>0</v>
      </c>
      <c r="R129" t="n">
        <f t="shared" si="81"/>
        <v>0</v>
      </c>
      <c r="S129" t="e">
        <f t="shared" si="82"/>
        <v>#N/A</v>
      </c>
      <c r="T129" t="e">
        <f t="shared" si="83"/>
        <v>#N/A</v>
      </c>
      <c r="U129" t="e">
        <f t="shared" si="84"/>
        <v>#N/A</v>
      </c>
      <c r="V129" t="e">
        <f t="shared" si="85"/>
        <v>#N/A</v>
      </c>
      <c r="W129" t="e">
        <f t="shared" si="86"/>
        <v>#N/A</v>
      </c>
      <c r="X129" t="e">
        <f t="shared" si="87"/>
        <v>#N/A</v>
      </c>
      <c r="Y129" t="e">
        <f t="shared" si="88"/>
        <v>#N/A</v>
      </c>
      <c r="Z129" t="e">
        <f t="shared" si="89"/>
        <v>#N/A</v>
      </c>
      <c r="AA129" t="e">
        <f t="shared" si="90"/>
        <v>#N/A</v>
      </c>
      <c r="AB129" t="e">
        <f t="shared" si="91"/>
        <v>#N/A</v>
      </c>
      <c r="AC129" t="e">
        <f t="shared" si="92"/>
        <v>#N/A</v>
      </c>
      <c r="AD129" t="e">
        <f t="shared" si="93"/>
        <v>#N/A</v>
      </c>
      <c r="AE129" t="e">
        <f t="shared" si="94"/>
        <v>#N/A</v>
      </c>
      <c r="AF129" t="e">
        <f t="shared" si="95"/>
        <v>#N/A</v>
      </c>
      <c r="AG129" t="e">
        <f t="shared" si="96"/>
        <v>#N/A</v>
      </c>
      <c r="AH129" t="e">
        <f t="shared" si="97"/>
        <v>#N/A</v>
      </c>
      <c r="AI129" t="e">
        <f t="shared" si="98"/>
        <v>#N/A</v>
      </c>
      <c r="AJ129" t="e">
        <f t="shared" si="99"/>
        <v>#N/A</v>
      </c>
    </row>
    <row r="130">
      <c r="A130" s="2"/>
      <c r="L130" t="e">
        <f t="shared" ref="L130:L161" si="100">IF(ROW()&lt;=5,NA(),IFERROR(100*(B130/INDEX(B:B,ROW()-4)-1),NA()))</f>
        <v>#N/A</v>
      </c>
      <c r="M130" t="e">
        <f t="shared" ref="M130:M161" si="101">IF(ROW()&lt;=5,NA(),IFERROR(100*(C130/INDEX(C:C,ROW()-4)-1),NA()))</f>
        <v>#N/A</v>
      </c>
      <c r="N130" t="e">
        <f t="shared" ref="N130:N161" si="102">IF(ROW()&lt;=5,NA(),IFERROR(100*(D130/INDEX(D:D,ROW()-4)-1),NA()))</f>
        <v>#N/A</v>
      </c>
      <c r="O130" t="n">
        <f t="shared" ref="O130:O161" si="103">100*G130</f>
        <v>0</v>
      </c>
      <c r="P130" t="n">
        <f t="shared" ref="P130:P161" si="104">100*H130</f>
        <v>0</v>
      </c>
      <c r="Q130" t="n">
        <f t="shared" ref="Q130:Q161" si="105">100*I130</f>
        <v>0</v>
      </c>
      <c r="R130" t="n">
        <f t="shared" ref="R130:R161" si="106">100*J130</f>
        <v>0</v>
      </c>
      <c r="S130" t="e">
        <f t="shared" ref="S130:S161" si="107">IFERROR(100*E130/INDEX(E:E,MATCH(DATE(2024,12,1),A:A,0)),NA())</f>
        <v>#N/A</v>
      </c>
      <c r="T130" t="e">
        <f t="shared" ref="T130:T161" si="108">IFERROR(100*F130/INDEX(F:F,MATCH(DATE(2024,12,1),A:A,0)),NA())</f>
        <v>#N/A</v>
      </c>
      <c r="U130" t="e">
        <f t="shared" ref="U130:U161" si="109">IF($K130="Actual",L130,NA())</f>
        <v>#N/A</v>
      </c>
      <c r="V130" t="e">
        <f t="shared" ref="V130:V161" si="110">IF($A130&gt;=DATE(2024,12,1),L130,NA())</f>
        <v>#N/A</v>
      </c>
      <c r="W130" t="e">
        <f t="shared" ref="W130:W161" si="111">IF($K130="Actual",M130,NA())</f>
        <v>#N/A</v>
      </c>
      <c r="X130" t="e">
        <f t="shared" ref="X130:X161" si="112">IF($A130&gt;=DATE(2024,12,1),M130,NA())</f>
        <v>#N/A</v>
      </c>
      <c r="Y130" t="e">
        <f t="shared" ref="Y130:Y161" si="113">IF($K130="Actual",S130,NA())</f>
        <v>#N/A</v>
      </c>
      <c r="Z130" t="e">
        <f t="shared" ref="Z130:Z161" si="114">IF($A130&gt;=DATE(2024,12,1),S130,NA())</f>
        <v>#N/A</v>
      </c>
      <c r="AA130" t="e">
        <f t="shared" ref="AA130:AA161" si="115">IF($K130="Actual",T130,NA())</f>
        <v>#N/A</v>
      </c>
      <c r="AB130" t="e">
        <f t="shared" ref="AB130:AB161" si="116">IF($A130&gt;=DATE(2024,12,1),T130,NA())</f>
        <v>#N/A</v>
      </c>
      <c r="AC130" t="e">
        <f t="shared" ref="AC130:AC161" si="117">IF($K130="Actual",O130,NA())</f>
        <v>#N/A</v>
      </c>
      <c r="AD130" t="e">
        <f t="shared" ref="AD130:AD161" si="118">IF($A130&gt;=DATE(2024,12,1),O130,NA())</f>
        <v>#N/A</v>
      </c>
      <c r="AE130" t="e">
        <f t="shared" ref="AE130:AE161" si="119">IF($K130="Actual",Q130,NA())</f>
        <v>#N/A</v>
      </c>
      <c r="AF130" t="e">
        <f t="shared" ref="AF130:AF161" si="120">IF($A130&gt;=DATE(2024,12,1),Q130,NA())</f>
        <v>#N/A</v>
      </c>
      <c r="AG130" t="e">
        <f t="shared" ref="AG130:AG161" si="121">IF($K130="Actual",R130,NA())</f>
        <v>#N/A</v>
      </c>
      <c r="AH130" t="e">
        <f t="shared" ref="AH130:AH161" si="122">IF($A130&gt;=DATE(2024,12,1),R130,NA())</f>
        <v>#N/A</v>
      </c>
      <c r="AI130" t="e">
        <f t="shared" ref="AI130:AI161" si="123">IF($K130="Actual",N130,NA())</f>
        <v>#N/A</v>
      </c>
      <c r="AJ130" t="e">
        <f t="shared" ref="AJ130:AJ161" si="124">IF($A130&gt;=DATE(2024,12,1),N130,NA())</f>
        <v>#N/A</v>
      </c>
    </row>
    <row r="131">
      <c r="A131" s="2"/>
      <c r="L131" t="e">
        <f t="shared" si="100"/>
        <v>#N/A</v>
      </c>
      <c r="M131" t="e">
        <f t="shared" si="101"/>
        <v>#N/A</v>
      </c>
      <c r="N131" t="e">
        <f t="shared" si="102"/>
        <v>#N/A</v>
      </c>
      <c r="O131" t="n">
        <f t="shared" si="103"/>
        <v>0</v>
      </c>
      <c r="P131" t="n">
        <f t="shared" si="104"/>
        <v>0</v>
      </c>
      <c r="Q131" t="n">
        <f t="shared" si="105"/>
        <v>0</v>
      </c>
      <c r="R131" t="n">
        <f t="shared" si="106"/>
        <v>0</v>
      </c>
      <c r="S131" t="e">
        <f t="shared" si="107"/>
        <v>#N/A</v>
      </c>
      <c r="T131" t="e">
        <f t="shared" si="108"/>
        <v>#N/A</v>
      </c>
      <c r="U131" t="e">
        <f t="shared" si="109"/>
        <v>#N/A</v>
      </c>
      <c r="V131" t="e">
        <f t="shared" si="110"/>
        <v>#N/A</v>
      </c>
      <c r="W131" t="e">
        <f t="shared" si="111"/>
        <v>#N/A</v>
      </c>
      <c r="X131" t="e">
        <f t="shared" si="112"/>
        <v>#N/A</v>
      </c>
      <c r="Y131" t="e">
        <f t="shared" si="113"/>
        <v>#N/A</v>
      </c>
      <c r="Z131" t="e">
        <f t="shared" si="114"/>
        <v>#N/A</v>
      </c>
      <c r="AA131" t="e">
        <f t="shared" si="115"/>
        <v>#N/A</v>
      </c>
      <c r="AB131" t="e">
        <f t="shared" si="116"/>
        <v>#N/A</v>
      </c>
      <c r="AC131" t="e">
        <f t="shared" si="117"/>
        <v>#N/A</v>
      </c>
      <c r="AD131" t="e">
        <f t="shared" si="118"/>
        <v>#N/A</v>
      </c>
      <c r="AE131" t="e">
        <f t="shared" si="119"/>
        <v>#N/A</v>
      </c>
      <c r="AF131" t="e">
        <f t="shared" si="120"/>
        <v>#N/A</v>
      </c>
      <c r="AG131" t="e">
        <f t="shared" si="121"/>
        <v>#N/A</v>
      </c>
      <c r="AH131" t="e">
        <f t="shared" si="122"/>
        <v>#N/A</v>
      </c>
      <c r="AI131" t="e">
        <f t="shared" si="123"/>
        <v>#N/A</v>
      </c>
      <c r="AJ131" t="e">
        <f t="shared" si="124"/>
        <v>#N/A</v>
      </c>
    </row>
    <row r="132">
      <c r="A132" s="2"/>
      <c r="L132" t="e">
        <f t="shared" si="100"/>
        <v>#N/A</v>
      </c>
      <c r="M132" t="e">
        <f t="shared" si="101"/>
        <v>#N/A</v>
      </c>
      <c r="N132" t="e">
        <f t="shared" si="102"/>
        <v>#N/A</v>
      </c>
      <c r="O132" t="n">
        <f t="shared" si="103"/>
        <v>0</v>
      </c>
      <c r="P132" t="n">
        <f t="shared" si="104"/>
        <v>0</v>
      </c>
      <c r="Q132" t="n">
        <f t="shared" si="105"/>
        <v>0</v>
      </c>
      <c r="R132" t="n">
        <f t="shared" si="106"/>
        <v>0</v>
      </c>
      <c r="S132" t="e">
        <f t="shared" si="107"/>
        <v>#N/A</v>
      </c>
      <c r="T132" t="e">
        <f t="shared" si="108"/>
        <v>#N/A</v>
      </c>
      <c r="U132" t="e">
        <f t="shared" si="109"/>
        <v>#N/A</v>
      </c>
      <c r="V132" t="e">
        <f t="shared" si="110"/>
        <v>#N/A</v>
      </c>
      <c r="W132" t="e">
        <f t="shared" si="111"/>
        <v>#N/A</v>
      </c>
      <c r="X132" t="e">
        <f t="shared" si="112"/>
        <v>#N/A</v>
      </c>
      <c r="Y132" t="e">
        <f t="shared" si="113"/>
        <v>#N/A</v>
      </c>
      <c r="Z132" t="e">
        <f t="shared" si="114"/>
        <v>#N/A</v>
      </c>
      <c r="AA132" t="e">
        <f t="shared" si="115"/>
        <v>#N/A</v>
      </c>
      <c r="AB132" t="e">
        <f t="shared" si="116"/>
        <v>#N/A</v>
      </c>
      <c r="AC132" t="e">
        <f t="shared" si="117"/>
        <v>#N/A</v>
      </c>
      <c r="AD132" t="e">
        <f t="shared" si="118"/>
        <v>#N/A</v>
      </c>
      <c r="AE132" t="e">
        <f t="shared" si="119"/>
        <v>#N/A</v>
      </c>
      <c r="AF132" t="e">
        <f t="shared" si="120"/>
        <v>#N/A</v>
      </c>
      <c r="AG132" t="e">
        <f t="shared" si="121"/>
        <v>#N/A</v>
      </c>
      <c r="AH132" t="e">
        <f t="shared" si="122"/>
        <v>#N/A</v>
      </c>
      <c r="AI132" t="e">
        <f t="shared" si="123"/>
        <v>#N/A</v>
      </c>
      <c r="AJ132" t="e">
        <f t="shared" si="124"/>
        <v>#N/A</v>
      </c>
    </row>
    <row r="133">
      <c r="A133" s="2"/>
      <c r="L133" t="e">
        <f t="shared" si="100"/>
        <v>#N/A</v>
      </c>
      <c r="M133" t="e">
        <f t="shared" si="101"/>
        <v>#N/A</v>
      </c>
      <c r="N133" t="e">
        <f t="shared" si="102"/>
        <v>#N/A</v>
      </c>
      <c r="O133" t="n">
        <f t="shared" si="103"/>
        <v>0</v>
      </c>
      <c r="P133" t="n">
        <f t="shared" si="104"/>
        <v>0</v>
      </c>
      <c r="Q133" t="n">
        <f t="shared" si="105"/>
        <v>0</v>
      </c>
      <c r="R133" t="n">
        <f t="shared" si="106"/>
        <v>0</v>
      </c>
      <c r="S133" t="e">
        <f t="shared" si="107"/>
        <v>#N/A</v>
      </c>
      <c r="T133" t="e">
        <f t="shared" si="108"/>
        <v>#N/A</v>
      </c>
      <c r="U133" t="e">
        <f t="shared" si="109"/>
        <v>#N/A</v>
      </c>
      <c r="V133" t="e">
        <f t="shared" si="110"/>
        <v>#N/A</v>
      </c>
      <c r="W133" t="e">
        <f t="shared" si="111"/>
        <v>#N/A</v>
      </c>
      <c r="X133" t="e">
        <f t="shared" si="112"/>
        <v>#N/A</v>
      </c>
      <c r="Y133" t="e">
        <f t="shared" si="113"/>
        <v>#N/A</v>
      </c>
      <c r="Z133" t="e">
        <f t="shared" si="114"/>
        <v>#N/A</v>
      </c>
      <c r="AA133" t="e">
        <f t="shared" si="115"/>
        <v>#N/A</v>
      </c>
      <c r="AB133" t="e">
        <f t="shared" si="116"/>
        <v>#N/A</v>
      </c>
      <c r="AC133" t="e">
        <f t="shared" si="117"/>
        <v>#N/A</v>
      </c>
      <c r="AD133" t="e">
        <f t="shared" si="118"/>
        <v>#N/A</v>
      </c>
      <c r="AE133" t="e">
        <f t="shared" si="119"/>
        <v>#N/A</v>
      </c>
      <c r="AF133" t="e">
        <f t="shared" si="120"/>
        <v>#N/A</v>
      </c>
      <c r="AG133" t="e">
        <f t="shared" si="121"/>
        <v>#N/A</v>
      </c>
      <c r="AH133" t="e">
        <f t="shared" si="122"/>
        <v>#N/A</v>
      </c>
      <c r="AI133" t="e">
        <f t="shared" si="123"/>
        <v>#N/A</v>
      </c>
      <c r="AJ133" t="e">
        <f t="shared" si="124"/>
        <v>#N/A</v>
      </c>
    </row>
    <row r="134">
      <c r="A134" s="2"/>
      <c r="L134" t="e">
        <f t="shared" si="100"/>
        <v>#N/A</v>
      </c>
      <c r="M134" t="e">
        <f t="shared" si="101"/>
        <v>#N/A</v>
      </c>
      <c r="N134" t="e">
        <f t="shared" si="102"/>
        <v>#N/A</v>
      </c>
      <c r="O134" t="n">
        <f t="shared" si="103"/>
        <v>0</v>
      </c>
      <c r="P134" t="n">
        <f t="shared" si="104"/>
        <v>0</v>
      </c>
      <c r="Q134" t="n">
        <f t="shared" si="105"/>
        <v>0</v>
      </c>
      <c r="R134" t="n">
        <f t="shared" si="106"/>
        <v>0</v>
      </c>
      <c r="S134" t="e">
        <f t="shared" si="107"/>
        <v>#N/A</v>
      </c>
      <c r="T134" t="e">
        <f t="shared" si="108"/>
        <v>#N/A</v>
      </c>
      <c r="U134" t="e">
        <f t="shared" si="109"/>
        <v>#N/A</v>
      </c>
      <c r="V134" t="e">
        <f t="shared" si="110"/>
        <v>#N/A</v>
      </c>
      <c r="W134" t="e">
        <f t="shared" si="111"/>
        <v>#N/A</v>
      </c>
      <c r="X134" t="e">
        <f t="shared" si="112"/>
        <v>#N/A</v>
      </c>
      <c r="Y134" t="e">
        <f t="shared" si="113"/>
        <v>#N/A</v>
      </c>
      <c r="Z134" t="e">
        <f t="shared" si="114"/>
        <v>#N/A</v>
      </c>
      <c r="AA134" t="e">
        <f t="shared" si="115"/>
        <v>#N/A</v>
      </c>
      <c r="AB134" t="e">
        <f t="shared" si="116"/>
        <v>#N/A</v>
      </c>
      <c r="AC134" t="e">
        <f t="shared" si="117"/>
        <v>#N/A</v>
      </c>
      <c r="AD134" t="e">
        <f t="shared" si="118"/>
        <v>#N/A</v>
      </c>
      <c r="AE134" t="e">
        <f t="shared" si="119"/>
        <v>#N/A</v>
      </c>
      <c r="AF134" t="e">
        <f t="shared" si="120"/>
        <v>#N/A</v>
      </c>
      <c r="AG134" t="e">
        <f t="shared" si="121"/>
        <v>#N/A</v>
      </c>
      <c r="AH134" t="e">
        <f t="shared" si="122"/>
        <v>#N/A</v>
      </c>
      <c r="AI134" t="e">
        <f t="shared" si="123"/>
        <v>#N/A</v>
      </c>
      <c r="AJ134" t="e">
        <f t="shared" si="124"/>
        <v>#N/A</v>
      </c>
    </row>
    <row r="135">
      <c r="A135" s="2"/>
      <c r="L135" t="e">
        <f t="shared" si="100"/>
        <v>#N/A</v>
      </c>
      <c r="M135" t="e">
        <f t="shared" si="101"/>
        <v>#N/A</v>
      </c>
      <c r="N135" t="e">
        <f t="shared" si="102"/>
        <v>#N/A</v>
      </c>
      <c r="O135" t="n">
        <f t="shared" si="103"/>
        <v>0</v>
      </c>
      <c r="P135" t="n">
        <f t="shared" si="104"/>
        <v>0</v>
      </c>
      <c r="Q135" t="n">
        <f t="shared" si="105"/>
        <v>0</v>
      </c>
      <c r="R135" t="n">
        <f t="shared" si="106"/>
        <v>0</v>
      </c>
      <c r="S135" t="e">
        <f t="shared" si="107"/>
        <v>#N/A</v>
      </c>
      <c r="T135" t="e">
        <f t="shared" si="108"/>
        <v>#N/A</v>
      </c>
      <c r="U135" t="e">
        <f t="shared" si="109"/>
        <v>#N/A</v>
      </c>
      <c r="V135" t="e">
        <f t="shared" si="110"/>
        <v>#N/A</v>
      </c>
      <c r="W135" t="e">
        <f t="shared" si="111"/>
        <v>#N/A</v>
      </c>
      <c r="X135" t="e">
        <f t="shared" si="112"/>
        <v>#N/A</v>
      </c>
      <c r="Y135" t="e">
        <f t="shared" si="113"/>
        <v>#N/A</v>
      </c>
      <c r="Z135" t="e">
        <f t="shared" si="114"/>
        <v>#N/A</v>
      </c>
      <c r="AA135" t="e">
        <f t="shared" si="115"/>
        <v>#N/A</v>
      </c>
      <c r="AB135" t="e">
        <f t="shared" si="116"/>
        <v>#N/A</v>
      </c>
      <c r="AC135" t="e">
        <f t="shared" si="117"/>
        <v>#N/A</v>
      </c>
      <c r="AD135" t="e">
        <f t="shared" si="118"/>
        <v>#N/A</v>
      </c>
      <c r="AE135" t="e">
        <f t="shared" si="119"/>
        <v>#N/A</v>
      </c>
      <c r="AF135" t="e">
        <f t="shared" si="120"/>
        <v>#N/A</v>
      </c>
      <c r="AG135" t="e">
        <f t="shared" si="121"/>
        <v>#N/A</v>
      </c>
      <c r="AH135" t="e">
        <f t="shared" si="122"/>
        <v>#N/A</v>
      </c>
      <c r="AI135" t="e">
        <f t="shared" si="123"/>
        <v>#N/A</v>
      </c>
      <c r="AJ135" t="e">
        <f t="shared" si="124"/>
        <v>#N/A</v>
      </c>
    </row>
    <row r="136">
      <c r="A136" s="2"/>
      <c r="L136" t="e">
        <f t="shared" si="100"/>
        <v>#N/A</v>
      </c>
      <c r="M136" t="e">
        <f t="shared" si="101"/>
        <v>#N/A</v>
      </c>
      <c r="N136" t="e">
        <f t="shared" si="102"/>
        <v>#N/A</v>
      </c>
      <c r="O136" t="n">
        <f t="shared" si="103"/>
        <v>0</v>
      </c>
      <c r="P136" t="n">
        <f t="shared" si="104"/>
        <v>0</v>
      </c>
      <c r="Q136" t="n">
        <f t="shared" si="105"/>
        <v>0</v>
      </c>
      <c r="R136" t="n">
        <f t="shared" si="106"/>
        <v>0</v>
      </c>
      <c r="S136" t="e">
        <f t="shared" si="107"/>
        <v>#N/A</v>
      </c>
      <c r="T136" t="e">
        <f t="shared" si="108"/>
        <v>#N/A</v>
      </c>
      <c r="U136" t="e">
        <f t="shared" si="109"/>
        <v>#N/A</v>
      </c>
      <c r="V136" t="e">
        <f t="shared" si="110"/>
        <v>#N/A</v>
      </c>
      <c r="W136" t="e">
        <f t="shared" si="111"/>
        <v>#N/A</v>
      </c>
      <c r="X136" t="e">
        <f t="shared" si="112"/>
        <v>#N/A</v>
      </c>
      <c r="Y136" t="e">
        <f t="shared" si="113"/>
        <v>#N/A</v>
      </c>
      <c r="Z136" t="e">
        <f t="shared" si="114"/>
        <v>#N/A</v>
      </c>
      <c r="AA136" t="e">
        <f t="shared" si="115"/>
        <v>#N/A</v>
      </c>
      <c r="AB136" t="e">
        <f t="shared" si="116"/>
        <v>#N/A</v>
      </c>
      <c r="AC136" t="e">
        <f t="shared" si="117"/>
        <v>#N/A</v>
      </c>
      <c r="AD136" t="e">
        <f t="shared" si="118"/>
        <v>#N/A</v>
      </c>
      <c r="AE136" t="e">
        <f t="shared" si="119"/>
        <v>#N/A</v>
      </c>
      <c r="AF136" t="e">
        <f t="shared" si="120"/>
        <v>#N/A</v>
      </c>
      <c r="AG136" t="e">
        <f t="shared" si="121"/>
        <v>#N/A</v>
      </c>
      <c r="AH136" t="e">
        <f t="shared" si="122"/>
        <v>#N/A</v>
      </c>
      <c r="AI136" t="e">
        <f t="shared" si="123"/>
        <v>#N/A</v>
      </c>
      <c r="AJ136" t="e">
        <f t="shared" si="124"/>
        <v>#N/A</v>
      </c>
    </row>
    <row r="137">
      <c r="A137" s="2"/>
      <c r="L137" t="e">
        <f t="shared" si="100"/>
        <v>#N/A</v>
      </c>
      <c r="M137" t="e">
        <f t="shared" si="101"/>
        <v>#N/A</v>
      </c>
      <c r="N137" t="e">
        <f t="shared" si="102"/>
        <v>#N/A</v>
      </c>
      <c r="O137" t="n">
        <f t="shared" si="103"/>
        <v>0</v>
      </c>
      <c r="P137" t="n">
        <f t="shared" si="104"/>
        <v>0</v>
      </c>
      <c r="Q137" t="n">
        <f t="shared" si="105"/>
        <v>0</v>
      </c>
      <c r="R137" t="n">
        <f t="shared" si="106"/>
        <v>0</v>
      </c>
      <c r="S137" t="e">
        <f t="shared" si="107"/>
        <v>#N/A</v>
      </c>
      <c r="T137" t="e">
        <f t="shared" si="108"/>
        <v>#N/A</v>
      </c>
      <c r="U137" t="e">
        <f t="shared" si="109"/>
        <v>#N/A</v>
      </c>
      <c r="V137" t="e">
        <f t="shared" si="110"/>
        <v>#N/A</v>
      </c>
      <c r="W137" t="e">
        <f t="shared" si="111"/>
        <v>#N/A</v>
      </c>
      <c r="X137" t="e">
        <f t="shared" si="112"/>
        <v>#N/A</v>
      </c>
      <c r="Y137" t="e">
        <f t="shared" si="113"/>
        <v>#N/A</v>
      </c>
      <c r="Z137" t="e">
        <f t="shared" si="114"/>
        <v>#N/A</v>
      </c>
      <c r="AA137" t="e">
        <f t="shared" si="115"/>
        <v>#N/A</v>
      </c>
      <c r="AB137" t="e">
        <f t="shared" si="116"/>
        <v>#N/A</v>
      </c>
      <c r="AC137" t="e">
        <f t="shared" si="117"/>
        <v>#N/A</v>
      </c>
      <c r="AD137" t="e">
        <f t="shared" si="118"/>
        <v>#N/A</v>
      </c>
      <c r="AE137" t="e">
        <f t="shared" si="119"/>
        <v>#N/A</v>
      </c>
      <c r="AF137" t="e">
        <f t="shared" si="120"/>
        <v>#N/A</v>
      </c>
      <c r="AG137" t="e">
        <f t="shared" si="121"/>
        <v>#N/A</v>
      </c>
      <c r="AH137" t="e">
        <f t="shared" si="122"/>
        <v>#N/A</v>
      </c>
      <c r="AI137" t="e">
        <f t="shared" si="123"/>
        <v>#N/A</v>
      </c>
      <c r="AJ137" t="e">
        <f t="shared" si="124"/>
        <v>#N/A</v>
      </c>
    </row>
    <row r="138">
      <c r="A138" s="2"/>
      <c r="L138" t="e">
        <f t="shared" si="100"/>
        <v>#N/A</v>
      </c>
      <c r="M138" t="e">
        <f t="shared" si="101"/>
        <v>#N/A</v>
      </c>
      <c r="N138" t="e">
        <f t="shared" si="102"/>
        <v>#N/A</v>
      </c>
      <c r="O138" t="n">
        <f t="shared" si="103"/>
        <v>0</v>
      </c>
      <c r="P138" t="n">
        <f t="shared" si="104"/>
        <v>0</v>
      </c>
      <c r="Q138" t="n">
        <f t="shared" si="105"/>
        <v>0</v>
      </c>
      <c r="R138" t="n">
        <f t="shared" si="106"/>
        <v>0</v>
      </c>
      <c r="S138" t="e">
        <f t="shared" si="107"/>
        <v>#N/A</v>
      </c>
      <c r="T138" t="e">
        <f t="shared" si="108"/>
        <v>#N/A</v>
      </c>
      <c r="U138" t="e">
        <f t="shared" si="109"/>
        <v>#N/A</v>
      </c>
      <c r="V138" t="e">
        <f t="shared" si="110"/>
        <v>#N/A</v>
      </c>
      <c r="W138" t="e">
        <f t="shared" si="111"/>
        <v>#N/A</v>
      </c>
      <c r="X138" t="e">
        <f t="shared" si="112"/>
        <v>#N/A</v>
      </c>
      <c r="Y138" t="e">
        <f t="shared" si="113"/>
        <v>#N/A</v>
      </c>
      <c r="Z138" t="e">
        <f t="shared" si="114"/>
        <v>#N/A</v>
      </c>
      <c r="AA138" t="e">
        <f t="shared" si="115"/>
        <v>#N/A</v>
      </c>
      <c r="AB138" t="e">
        <f t="shared" si="116"/>
        <v>#N/A</v>
      </c>
      <c r="AC138" t="e">
        <f t="shared" si="117"/>
        <v>#N/A</v>
      </c>
      <c r="AD138" t="e">
        <f t="shared" si="118"/>
        <v>#N/A</v>
      </c>
      <c r="AE138" t="e">
        <f t="shared" si="119"/>
        <v>#N/A</v>
      </c>
      <c r="AF138" t="e">
        <f t="shared" si="120"/>
        <v>#N/A</v>
      </c>
      <c r="AG138" t="e">
        <f t="shared" si="121"/>
        <v>#N/A</v>
      </c>
      <c r="AH138" t="e">
        <f t="shared" si="122"/>
        <v>#N/A</v>
      </c>
      <c r="AI138" t="e">
        <f t="shared" si="123"/>
        <v>#N/A</v>
      </c>
      <c r="AJ138" t="e">
        <f t="shared" si="124"/>
        <v>#N/A</v>
      </c>
    </row>
    <row r="139">
      <c r="A139" s="2"/>
      <c r="L139" t="e">
        <f t="shared" si="100"/>
        <v>#N/A</v>
      </c>
      <c r="M139" t="e">
        <f t="shared" si="101"/>
        <v>#N/A</v>
      </c>
      <c r="N139" t="e">
        <f t="shared" si="102"/>
        <v>#N/A</v>
      </c>
      <c r="O139" t="n">
        <f t="shared" si="103"/>
        <v>0</v>
      </c>
      <c r="P139" t="n">
        <f t="shared" si="104"/>
        <v>0</v>
      </c>
      <c r="Q139" t="n">
        <f t="shared" si="105"/>
        <v>0</v>
      </c>
      <c r="R139" t="n">
        <f t="shared" si="106"/>
        <v>0</v>
      </c>
      <c r="S139" t="e">
        <f t="shared" si="107"/>
        <v>#N/A</v>
      </c>
      <c r="T139" t="e">
        <f t="shared" si="108"/>
        <v>#N/A</v>
      </c>
      <c r="U139" t="e">
        <f t="shared" si="109"/>
        <v>#N/A</v>
      </c>
      <c r="V139" t="e">
        <f t="shared" si="110"/>
        <v>#N/A</v>
      </c>
      <c r="W139" t="e">
        <f t="shared" si="111"/>
        <v>#N/A</v>
      </c>
      <c r="X139" t="e">
        <f t="shared" si="112"/>
        <v>#N/A</v>
      </c>
      <c r="Y139" t="e">
        <f t="shared" si="113"/>
        <v>#N/A</v>
      </c>
      <c r="Z139" t="e">
        <f t="shared" si="114"/>
        <v>#N/A</v>
      </c>
      <c r="AA139" t="e">
        <f t="shared" si="115"/>
        <v>#N/A</v>
      </c>
      <c r="AB139" t="e">
        <f t="shared" si="116"/>
        <v>#N/A</v>
      </c>
      <c r="AC139" t="e">
        <f t="shared" si="117"/>
        <v>#N/A</v>
      </c>
      <c r="AD139" t="e">
        <f t="shared" si="118"/>
        <v>#N/A</v>
      </c>
      <c r="AE139" t="e">
        <f t="shared" si="119"/>
        <v>#N/A</v>
      </c>
      <c r="AF139" t="e">
        <f t="shared" si="120"/>
        <v>#N/A</v>
      </c>
      <c r="AG139" t="e">
        <f t="shared" si="121"/>
        <v>#N/A</v>
      </c>
      <c r="AH139" t="e">
        <f t="shared" si="122"/>
        <v>#N/A</v>
      </c>
      <c r="AI139" t="e">
        <f t="shared" si="123"/>
        <v>#N/A</v>
      </c>
      <c r="AJ139" t="e">
        <f t="shared" si="124"/>
        <v>#N/A</v>
      </c>
    </row>
    <row r="140">
      <c r="A140" s="2"/>
      <c r="L140" t="e">
        <f t="shared" si="100"/>
        <v>#N/A</v>
      </c>
      <c r="M140" t="e">
        <f t="shared" si="101"/>
        <v>#N/A</v>
      </c>
      <c r="N140" t="e">
        <f t="shared" si="102"/>
        <v>#N/A</v>
      </c>
      <c r="O140" t="n">
        <f t="shared" si="103"/>
        <v>0</v>
      </c>
      <c r="P140" t="n">
        <f t="shared" si="104"/>
        <v>0</v>
      </c>
      <c r="Q140" t="n">
        <f t="shared" si="105"/>
        <v>0</v>
      </c>
      <c r="R140" t="n">
        <f t="shared" si="106"/>
        <v>0</v>
      </c>
      <c r="S140" t="e">
        <f t="shared" si="107"/>
        <v>#N/A</v>
      </c>
      <c r="T140" t="e">
        <f t="shared" si="108"/>
        <v>#N/A</v>
      </c>
      <c r="U140" t="e">
        <f t="shared" si="109"/>
        <v>#N/A</v>
      </c>
      <c r="V140" t="e">
        <f t="shared" si="110"/>
        <v>#N/A</v>
      </c>
      <c r="W140" t="e">
        <f t="shared" si="111"/>
        <v>#N/A</v>
      </c>
      <c r="X140" t="e">
        <f t="shared" si="112"/>
        <v>#N/A</v>
      </c>
      <c r="Y140" t="e">
        <f t="shared" si="113"/>
        <v>#N/A</v>
      </c>
      <c r="Z140" t="e">
        <f t="shared" si="114"/>
        <v>#N/A</v>
      </c>
      <c r="AA140" t="e">
        <f t="shared" si="115"/>
        <v>#N/A</v>
      </c>
      <c r="AB140" t="e">
        <f t="shared" si="116"/>
        <v>#N/A</v>
      </c>
      <c r="AC140" t="e">
        <f t="shared" si="117"/>
        <v>#N/A</v>
      </c>
      <c r="AD140" t="e">
        <f t="shared" si="118"/>
        <v>#N/A</v>
      </c>
      <c r="AE140" t="e">
        <f t="shared" si="119"/>
        <v>#N/A</v>
      </c>
      <c r="AF140" t="e">
        <f t="shared" si="120"/>
        <v>#N/A</v>
      </c>
      <c r="AG140" t="e">
        <f t="shared" si="121"/>
        <v>#N/A</v>
      </c>
      <c r="AH140" t="e">
        <f t="shared" si="122"/>
        <v>#N/A</v>
      </c>
      <c r="AI140" t="e">
        <f t="shared" si="123"/>
        <v>#N/A</v>
      </c>
      <c r="AJ140" t="e">
        <f t="shared" si="124"/>
        <v>#N/A</v>
      </c>
    </row>
    <row r="141">
      <c r="A141" s="2"/>
      <c r="L141" t="e">
        <f t="shared" si="100"/>
        <v>#N/A</v>
      </c>
      <c r="M141" t="e">
        <f t="shared" si="101"/>
        <v>#N/A</v>
      </c>
      <c r="N141" t="e">
        <f t="shared" si="102"/>
        <v>#N/A</v>
      </c>
      <c r="O141" t="n">
        <f t="shared" si="103"/>
        <v>0</v>
      </c>
      <c r="P141" t="n">
        <f t="shared" si="104"/>
        <v>0</v>
      </c>
      <c r="Q141" t="n">
        <f t="shared" si="105"/>
        <v>0</v>
      </c>
      <c r="R141" t="n">
        <f t="shared" si="106"/>
        <v>0</v>
      </c>
      <c r="S141" t="e">
        <f t="shared" si="107"/>
        <v>#N/A</v>
      </c>
      <c r="T141" t="e">
        <f t="shared" si="108"/>
        <v>#N/A</v>
      </c>
      <c r="U141" t="e">
        <f t="shared" si="109"/>
        <v>#N/A</v>
      </c>
      <c r="V141" t="e">
        <f t="shared" si="110"/>
        <v>#N/A</v>
      </c>
      <c r="W141" t="e">
        <f t="shared" si="111"/>
        <v>#N/A</v>
      </c>
      <c r="X141" t="e">
        <f t="shared" si="112"/>
        <v>#N/A</v>
      </c>
      <c r="Y141" t="e">
        <f t="shared" si="113"/>
        <v>#N/A</v>
      </c>
      <c r="Z141" t="e">
        <f t="shared" si="114"/>
        <v>#N/A</v>
      </c>
      <c r="AA141" t="e">
        <f t="shared" si="115"/>
        <v>#N/A</v>
      </c>
      <c r="AB141" t="e">
        <f t="shared" si="116"/>
        <v>#N/A</v>
      </c>
      <c r="AC141" t="e">
        <f t="shared" si="117"/>
        <v>#N/A</v>
      </c>
      <c r="AD141" t="e">
        <f t="shared" si="118"/>
        <v>#N/A</v>
      </c>
      <c r="AE141" t="e">
        <f t="shared" si="119"/>
        <v>#N/A</v>
      </c>
      <c r="AF141" t="e">
        <f t="shared" si="120"/>
        <v>#N/A</v>
      </c>
      <c r="AG141" t="e">
        <f t="shared" si="121"/>
        <v>#N/A</v>
      </c>
      <c r="AH141" t="e">
        <f t="shared" si="122"/>
        <v>#N/A</v>
      </c>
      <c r="AI141" t="e">
        <f t="shared" si="123"/>
        <v>#N/A</v>
      </c>
      <c r="AJ141" t="e">
        <f t="shared" si="124"/>
        <v>#N/A</v>
      </c>
    </row>
    <row r="142">
      <c r="A142" s="2"/>
      <c r="L142" t="e">
        <f t="shared" si="100"/>
        <v>#N/A</v>
      </c>
      <c r="M142" t="e">
        <f t="shared" si="101"/>
        <v>#N/A</v>
      </c>
      <c r="N142" t="e">
        <f t="shared" si="102"/>
        <v>#N/A</v>
      </c>
      <c r="O142" t="n">
        <f t="shared" si="103"/>
        <v>0</v>
      </c>
      <c r="P142" t="n">
        <f t="shared" si="104"/>
        <v>0</v>
      </c>
      <c r="Q142" t="n">
        <f t="shared" si="105"/>
        <v>0</v>
      </c>
      <c r="R142" t="n">
        <f t="shared" si="106"/>
        <v>0</v>
      </c>
      <c r="S142" t="e">
        <f t="shared" si="107"/>
        <v>#N/A</v>
      </c>
      <c r="T142" t="e">
        <f t="shared" si="108"/>
        <v>#N/A</v>
      </c>
      <c r="U142" t="e">
        <f t="shared" si="109"/>
        <v>#N/A</v>
      </c>
      <c r="V142" t="e">
        <f t="shared" si="110"/>
        <v>#N/A</v>
      </c>
      <c r="W142" t="e">
        <f t="shared" si="111"/>
        <v>#N/A</v>
      </c>
      <c r="X142" t="e">
        <f t="shared" si="112"/>
        <v>#N/A</v>
      </c>
      <c r="Y142" t="e">
        <f t="shared" si="113"/>
        <v>#N/A</v>
      </c>
      <c r="Z142" t="e">
        <f t="shared" si="114"/>
        <v>#N/A</v>
      </c>
      <c r="AA142" t="e">
        <f t="shared" si="115"/>
        <v>#N/A</v>
      </c>
      <c r="AB142" t="e">
        <f t="shared" si="116"/>
        <v>#N/A</v>
      </c>
      <c r="AC142" t="e">
        <f t="shared" si="117"/>
        <v>#N/A</v>
      </c>
      <c r="AD142" t="e">
        <f t="shared" si="118"/>
        <v>#N/A</v>
      </c>
      <c r="AE142" t="e">
        <f t="shared" si="119"/>
        <v>#N/A</v>
      </c>
      <c r="AF142" t="e">
        <f t="shared" si="120"/>
        <v>#N/A</v>
      </c>
      <c r="AG142" t="e">
        <f t="shared" si="121"/>
        <v>#N/A</v>
      </c>
      <c r="AH142" t="e">
        <f t="shared" si="122"/>
        <v>#N/A</v>
      </c>
      <c r="AI142" t="e">
        <f t="shared" si="123"/>
        <v>#N/A</v>
      </c>
      <c r="AJ142" t="e">
        <f t="shared" si="124"/>
        <v>#N/A</v>
      </c>
    </row>
    <row r="143">
      <c r="A143" s="2"/>
      <c r="L143" t="e">
        <f t="shared" si="100"/>
        <v>#N/A</v>
      </c>
      <c r="M143" t="e">
        <f t="shared" si="101"/>
        <v>#N/A</v>
      </c>
      <c r="N143" t="e">
        <f t="shared" si="102"/>
        <v>#N/A</v>
      </c>
      <c r="O143" t="n">
        <f t="shared" si="103"/>
        <v>0</v>
      </c>
      <c r="P143" t="n">
        <f t="shared" si="104"/>
        <v>0</v>
      </c>
      <c r="Q143" t="n">
        <f t="shared" si="105"/>
        <v>0</v>
      </c>
      <c r="R143" t="n">
        <f t="shared" si="106"/>
        <v>0</v>
      </c>
      <c r="S143" t="e">
        <f t="shared" si="107"/>
        <v>#N/A</v>
      </c>
      <c r="T143" t="e">
        <f t="shared" si="108"/>
        <v>#N/A</v>
      </c>
      <c r="U143" t="e">
        <f t="shared" si="109"/>
        <v>#N/A</v>
      </c>
      <c r="V143" t="e">
        <f t="shared" si="110"/>
        <v>#N/A</v>
      </c>
      <c r="W143" t="e">
        <f t="shared" si="111"/>
        <v>#N/A</v>
      </c>
      <c r="X143" t="e">
        <f t="shared" si="112"/>
        <v>#N/A</v>
      </c>
      <c r="Y143" t="e">
        <f t="shared" si="113"/>
        <v>#N/A</v>
      </c>
      <c r="Z143" t="e">
        <f t="shared" si="114"/>
        <v>#N/A</v>
      </c>
      <c r="AA143" t="e">
        <f t="shared" si="115"/>
        <v>#N/A</v>
      </c>
      <c r="AB143" t="e">
        <f t="shared" si="116"/>
        <v>#N/A</v>
      </c>
      <c r="AC143" t="e">
        <f t="shared" si="117"/>
        <v>#N/A</v>
      </c>
      <c r="AD143" t="e">
        <f t="shared" si="118"/>
        <v>#N/A</v>
      </c>
      <c r="AE143" t="e">
        <f t="shared" si="119"/>
        <v>#N/A</v>
      </c>
      <c r="AF143" t="e">
        <f t="shared" si="120"/>
        <v>#N/A</v>
      </c>
      <c r="AG143" t="e">
        <f t="shared" si="121"/>
        <v>#N/A</v>
      </c>
      <c r="AH143" t="e">
        <f t="shared" si="122"/>
        <v>#N/A</v>
      </c>
      <c r="AI143" t="e">
        <f t="shared" si="123"/>
        <v>#N/A</v>
      </c>
      <c r="AJ143" t="e">
        <f t="shared" si="124"/>
        <v>#N/A</v>
      </c>
    </row>
    <row r="144">
      <c r="A144" s="2"/>
      <c r="L144" t="e">
        <f t="shared" si="100"/>
        <v>#N/A</v>
      </c>
      <c r="M144" t="e">
        <f t="shared" si="101"/>
        <v>#N/A</v>
      </c>
      <c r="N144" t="e">
        <f t="shared" si="102"/>
        <v>#N/A</v>
      </c>
      <c r="O144" t="n">
        <f t="shared" si="103"/>
        <v>0</v>
      </c>
      <c r="P144" t="n">
        <f t="shared" si="104"/>
        <v>0</v>
      </c>
      <c r="Q144" t="n">
        <f t="shared" si="105"/>
        <v>0</v>
      </c>
      <c r="R144" t="n">
        <f t="shared" si="106"/>
        <v>0</v>
      </c>
      <c r="S144" t="e">
        <f t="shared" si="107"/>
        <v>#N/A</v>
      </c>
      <c r="T144" t="e">
        <f t="shared" si="108"/>
        <v>#N/A</v>
      </c>
      <c r="U144" t="e">
        <f t="shared" si="109"/>
        <v>#N/A</v>
      </c>
      <c r="V144" t="e">
        <f t="shared" si="110"/>
        <v>#N/A</v>
      </c>
      <c r="W144" t="e">
        <f t="shared" si="111"/>
        <v>#N/A</v>
      </c>
      <c r="X144" t="e">
        <f t="shared" si="112"/>
        <v>#N/A</v>
      </c>
      <c r="Y144" t="e">
        <f t="shared" si="113"/>
        <v>#N/A</v>
      </c>
      <c r="Z144" t="e">
        <f t="shared" si="114"/>
        <v>#N/A</v>
      </c>
      <c r="AA144" t="e">
        <f t="shared" si="115"/>
        <v>#N/A</v>
      </c>
      <c r="AB144" t="e">
        <f t="shared" si="116"/>
        <v>#N/A</v>
      </c>
      <c r="AC144" t="e">
        <f t="shared" si="117"/>
        <v>#N/A</v>
      </c>
      <c r="AD144" t="e">
        <f t="shared" si="118"/>
        <v>#N/A</v>
      </c>
      <c r="AE144" t="e">
        <f t="shared" si="119"/>
        <v>#N/A</v>
      </c>
      <c r="AF144" t="e">
        <f t="shared" si="120"/>
        <v>#N/A</v>
      </c>
      <c r="AG144" t="e">
        <f t="shared" si="121"/>
        <v>#N/A</v>
      </c>
      <c r="AH144" t="e">
        <f t="shared" si="122"/>
        <v>#N/A</v>
      </c>
      <c r="AI144" t="e">
        <f t="shared" si="123"/>
        <v>#N/A</v>
      </c>
      <c r="AJ144" t="e">
        <f t="shared" si="124"/>
        <v>#N/A</v>
      </c>
    </row>
    <row r="145">
      <c r="A145" s="2"/>
      <c r="L145" t="e">
        <f t="shared" si="100"/>
        <v>#N/A</v>
      </c>
      <c r="M145" t="e">
        <f t="shared" si="101"/>
        <v>#N/A</v>
      </c>
      <c r="N145" t="e">
        <f t="shared" si="102"/>
        <v>#N/A</v>
      </c>
      <c r="O145" t="n">
        <f t="shared" si="103"/>
        <v>0</v>
      </c>
      <c r="P145" t="n">
        <f t="shared" si="104"/>
        <v>0</v>
      </c>
      <c r="Q145" t="n">
        <f t="shared" si="105"/>
        <v>0</v>
      </c>
      <c r="R145" t="n">
        <f t="shared" si="106"/>
        <v>0</v>
      </c>
      <c r="S145" t="e">
        <f t="shared" si="107"/>
        <v>#N/A</v>
      </c>
      <c r="T145" t="e">
        <f t="shared" si="108"/>
        <v>#N/A</v>
      </c>
      <c r="U145" t="e">
        <f t="shared" si="109"/>
        <v>#N/A</v>
      </c>
      <c r="V145" t="e">
        <f t="shared" si="110"/>
        <v>#N/A</v>
      </c>
      <c r="W145" t="e">
        <f t="shared" si="111"/>
        <v>#N/A</v>
      </c>
      <c r="X145" t="e">
        <f t="shared" si="112"/>
        <v>#N/A</v>
      </c>
      <c r="Y145" t="e">
        <f t="shared" si="113"/>
        <v>#N/A</v>
      </c>
      <c r="Z145" t="e">
        <f t="shared" si="114"/>
        <v>#N/A</v>
      </c>
      <c r="AA145" t="e">
        <f t="shared" si="115"/>
        <v>#N/A</v>
      </c>
      <c r="AB145" t="e">
        <f t="shared" si="116"/>
        <v>#N/A</v>
      </c>
      <c r="AC145" t="e">
        <f t="shared" si="117"/>
        <v>#N/A</v>
      </c>
      <c r="AD145" t="e">
        <f t="shared" si="118"/>
        <v>#N/A</v>
      </c>
      <c r="AE145" t="e">
        <f t="shared" si="119"/>
        <v>#N/A</v>
      </c>
      <c r="AF145" t="e">
        <f t="shared" si="120"/>
        <v>#N/A</v>
      </c>
      <c r="AG145" t="e">
        <f t="shared" si="121"/>
        <v>#N/A</v>
      </c>
      <c r="AH145" t="e">
        <f t="shared" si="122"/>
        <v>#N/A</v>
      </c>
      <c r="AI145" t="e">
        <f t="shared" si="123"/>
        <v>#N/A</v>
      </c>
      <c r="AJ145" t="e">
        <f t="shared" si="124"/>
        <v>#N/A</v>
      </c>
    </row>
    <row r="146">
      <c r="A146" s="2"/>
      <c r="L146" t="e">
        <f t="shared" si="100"/>
        <v>#N/A</v>
      </c>
      <c r="M146" t="e">
        <f t="shared" si="101"/>
        <v>#N/A</v>
      </c>
      <c r="N146" t="e">
        <f t="shared" si="102"/>
        <v>#N/A</v>
      </c>
      <c r="O146" t="n">
        <f t="shared" si="103"/>
        <v>0</v>
      </c>
      <c r="P146" t="n">
        <f t="shared" si="104"/>
        <v>0</v>
      </c>
      <c r="Q146" t="n">
        <f t="shared" si="105"/>
        <v>0</v>
      </c>
      <c r="R146" t="n">
        <f t="shared" si="106"/>
        <v>0</v>
      </c>
      <c r="S146" t="e">
        <f t="shared" si="107"/>
        <v>#N/A</v>
      </c>
      <c r="T146" t="e">
        <f t="shared" si="108"/>
        <v>#N/A</v>
      </c>
      <c r="U146" t="e">
        <f t="shared" si="109"/>
        <v>#N/A</v>
      </c>
      <c r="V146" t="e">
        <f t="shared" si="110"/>
        <v>#N/A</v>
      </c>
      <c r="W146" t="e">
        <f t="shared" si="111"/>
        <v>#N/A</v>
      </c>
      <c r="X146" t="e">
        <f t="shared" si="112"/>
        <v>#N/A</v>
      </c>
      <c r="Y146" t="e">
        <f t="shared" si="113"/>
        <v>#N/A</v>
      </c>
      <c r="Z146" t="e">
        <f t="shared" si="114"/>
        <v>#N/A</v>
      </c>
      <c r="AA146" t="e">
        <f t="shared" si="115"/>
        <v>#N/A</v>
      </c>
      <c r="AB146" t="e">
        <f t="shared" si="116"/>
        <v>#N/A</v>
      </c>
      <c r="AC146" t="e">
        <f t="shared" si="117"/>
        <v>#N/A</v>
      </c>
      <c r="AD146" t="e">
        <f t="shared" si="118"/>
        <v>#N/A</v>
      </c>
      <c r="AE146" t="e">
        <f t="shared" si="119"/>
        <v>#N/A</v>
      </c>
      <c r="AF146" t="e">
        <f t="shared" si="120"/>
        <v>#N/A</v>
      </c>
      <c r="AG146" t="e">
        <f t="shared" si="121"/>
        <v>#N/A</v>
      </c>
      <c r="AH146" t="e">
        <f t="shared" si="122"/>
        <v>#N/A</v>
      </c>
      <c r="AI146" t="e">
        <f t="shared" si="123"/>
        <v>#N/A</v>
      </c>
      <c r="AJ146" t="e">
        <f t="shared" si="124"/>
        <v>#N/A</v>
      </c>
    </row>
    <row r="147">
      <c r="A147" s="2"/>
      <c r="L147" t="e">
        <f t="shared" si="100"/>
        <v>#N/A</v>
      </c>
      <c r="M147" t="e">
        <f t="shared" si="101"/>
        <v>#N/A</v>
      </c>
      <c r="N147" t="e">
        <f t="shared" si="102"/>
        <v>#N/A</v>
      </c>
      <c r="O147" t="n">
        <f t="shared" si="103"/>
        <v>0</v>
      </c>
      <c r="P147" t="n">
        <f t="shared" si="104"/>
        <v>0</v>
      </c>
      <c r="Q147" t="n">
        <f t="shared" si="105"/>
        <v>0</v>
      </c>
      <c r="R147" t="n">
        <f t="shared" si="106"/>
        <v>0</v>
      </c>
      <c r="S147" t="e">
        <f t="shared" si="107"/>
        <v>#N/A</v>
      </c>
      <c r="T147" t="e">
        <f t="shared" si="108"/>
        <v>#N/A</v>
      </c>
      <c r="U147" t="e">
        <f t="shared" si="109"/>
        <v>#N/A</v>
      </c>
      <c r="V147" t="e">
        <f t="shared" si="110"/>
        <v>#N/A</v>
      </c>
      <c r="W147" t="e">
        <f t="shared" si="111"/>
        <v>#N/A</v>
      </c>
      <c r="X147" t="e">
        <f t="shared" si="112"/>
        <v>#N/A</v>
      </c>
      <c r="Y147" t="e">
        <f t="shared" si="113"/>
        <v>#N/A</v>
      </c>
      <c r="Z147" t="e">
        <f t="shared" si="114"/>
        <v>#N/A</v>
      </c>
      <c r="AA147" t="e">
        <f t="shared" si="115"/>
        <v>#N/A</v>
      </c>
      <c r="AB147" t="e">
        <f t="shared" si="116"/>
        <v>#N/A</v>
      </c>
      <c r="AC147" t="e">
        <f t="shared" si="117"/>
        <v>#N/A</v>
      </c>
      <c r="AD147" t="e">
        <f t="shared" si="118"/>
        <v>#N/A</v>
      </c>
      <c r="AE147" t="e">
        <f t="shared" si="119"/>
        <v>#N/A</v>
      </c>
      <c r="AF147" t="e">
        <f t="shared" si="120"/>
        <v>#N/A</v>
      </c>
      <c r="AG147" t="e">
        <f t="shared" si="121"/>
        <v>#N/A</v>
      </c>
      <c r="AH147" t="e">
        <f t="shared" si="122"/>
        <v>#N/A</v>
      </c>
      <c r="AI147" t="e">
        <f t="shared" si="123"/>
        <v>#N/A</v>
      </c>
      <c r="AJ147" t="e">
        <f t="shared" si="124"/>
        <v>#N/A</v>
      </c>
    </row>
    <row r="148">
      <c r="A148" s="2"/>
      <c r="L148" t="e">
        <f t="shared" si="100"/>
        <v>#N/A</v>
      </c>
      <c r="M148" t="e">
        <f t="shared" si="101"/>
        <v>#N/A</v>
      </c>
      <c r="N148" t="e">
        <f t="shared" si="102"/>
        <v>#N/A</v>
      </c>
      <c r="O148" t="n">
        <f t="shared" si="103"/>
        <v>0</v>
      </c>
      <c r="P148" t="n">
        <f t="shared" si="104"/>
        <v>0</v>
      </c>
      <c r="Q148" t="n">
        <f t="shared" si="105"/>
        <v>0</v>
      </c>
      <c r="R148" t="n">
        <f t="shared" si="106"/>
        <v>0</v>
      </c>
      <c r="S148" t="e">
        <f t="shared" si="107"/>
        <v>#N/A</v>
      </c>
      <c r="T148" t="e">
        <f t="shared" si="108"/>
        <v>#N/A</v>
      </c>
      <c r="U148" t="e">
        <f t="shared" si="109"/>
        <v>#N/A</v>
      </c>
      <c r="V148" t="e">
        <f t="shared" si="110"/>
        <v>#N/A</v>
      </c>
      <c r="W148" t="e">
        <f t="shared" si="111"/>
        <v>#N/A</v>
      </c>
      <c r="X148" t="e">
        <f t="shared" si="112"/>
        <v>#N/A</v>
      </c>
      <c r="Y148" t="e">
        <f t="shared" si="113"/>
        <v>#N/A</v>
      </c>
      <c r="Z148" t="e">
        <f t="shared" si="114"/>
        <v>#N/A</v>
      </c>
      <c r="AA148" t="e">
        <f t="shared" si="115"/>
        <v>#N/A</v>
      </c>
      <c r="AB148" t="e">
        <f t="shared" si="116"/>
        <v>#N/A</v>
      </c>
      <c r="AC148" t="e">
        <f t="shared" si="117"/>
        <v>#N/A</v>
      </c>
      <c r="AD148" t="e">
        <f t="shared" si="118"/>
        <v>#N/A</v>
      </c>
      <c r="AE148" t="e">
        <f t="shared" si="119"/>
        <v>#N/A</v>
      </c>
      <c r="AF148" t="e">
        <f t="shared" si="120"/>
        <v>#N/A</v>
      </c>
      <c r="AG148" t="e">
        <f t="shared" si="121"/>
        <v>#N/A</v>
      </c>
      <c r="AH148" t="e">
        <f t="shared" si="122"/>
        <v>#N/A</v>
      </c>
      <c r="AI148" t="e">
        <f t="shared" si="123"/>
        <v>#N/A</v>
      </c>
      <c r="AJ148" t="e">
        <f t="shared" si="124"/>
        <v>#N/A</v>
      </c>
    </row>
    <row r="149">
      <c r="A149" s="2"/>
      <c r="L149" t="e">
        <f t="shared" si="100"/>
        <v>#N/A</v>
      </c>
      <c r="M149" t="e">
        <f t="shared" si="101"/>
        <v>#N/A</v>
      </c>
      <c r="N149" t="e">
        <f t="shared" si="102"/>
        <v>#N/A</v>
      </c>
      <c r="O149" t="n">
        <f t="shared" si="103"/>
        <v>0</v>
      </c>
      <c r="P149" t="n">
        <f t="shared" si="104"/>
        <v>0</v>
      </c>
      <c r="Q149" t="n">
        <f t="shared" si="105"/>
        <v>0</v>
      </c>
      <c r="R149" t="n">
        <f t="shared" si="106"/>
        <v>0</v>
      </c>
      <c r="S149" t="e">
        <f t="shared" si="107"/>
        <v>#N/A</v>
      </c>
      <c r="T149" t="e">
        <f t="shared" si="108"/>
        <v>#N/A</v>
      </c>
      <c r="U149" t="e">
        <f t="shared" si="109"/>
        <v>#N/A</v>
      </c>
      <c r="V149" t="e">
        <f t="shared" si="110"/>
        <v>#N/A</v>
      </c>
      <c r="W149" t="e">
        <f t="shared" si="111"/>
        <v>#N/A</v>
      </c>
      <c r="X149" t="e">
        <f t="shared" si="112"/>
        <v>#N/A</v>
      </c>
      <c r="Y149" t="e">
        <f t="shared" si="113"/>
        <v>#N/A</v>
      </c>
      <c r="Z149" t="e">
        <f t="shared" si="114"/>
        <v>#N/A</v>
      </c>
      <c r="AA149" t="e">
        <f t="shared" si="115"/>
        <v>#N/A</v>
      </c>
      <c r="AB149" t="e">
        <f t="shared" si="116"/>
        <v>#N/A</v>
      </c>
      <c r="AC149" t="e">
        <f t="shared" si="117"/>
        <v>#N/A</v>
      </c>
      <c r="AD149" t="e">
        <f t="shared" si="118"/>
        <v>#N/A</v>
      </c>
      <c r="AE149" t="e">
        <f t="shared" si="119"/>
        <v>#N/A</v>
      </c>
      <c r="AF149" t="e">
        <f t="shared" si="120"/>
        <v>#N/A</v>
      </c>
      <c r="AG149" t="e">
        <f t="shared" si="121"/>
        <v>#N/A</v>
      </c>
      <c r="AH149" t="e">
        <f t="shared" si="122"/>
        <v>#N/A</v>
      </c>
      <c r="AI149" t="e">
        <f t="shared" si="123"/>
        <v>#N/A</v>
      </c>
      <c r="AJ149" t="e">
        <f t="shared" si="124"/>
        <v>#N/A</v>
      </c>
    </row>
    <row r="150">
      <c r="A150" s="2"/>
      <c r="L150" t="e">
        <f t="shared" si="100"/>
        <v>#N/A</v>
      </c>
      <c r="M150" t="e">
        <f t="shared" si="101"/>
        <v>#N/A</v>
      </c>
      <c r="N150" t="e">
        <f t="shared" si="102"/>
        <v>#N/A</v>
      </c>
      <c r="O150" t="n">
        <f t="shared" si="103"/>
        <v>0</v>
      </c>
      <c r="P150" t="n">
        <f t="shared" si="104"/>
        <v>0</v>
      </c>
      <c r="Q150" t="n">
        <f t="shared" si="105"/>
        <v>0</v>
      </c>
      <c r="R150" t="n">
        <f t="shared" si="106"/>
        <v>0</v>
      </c>
      <c r="S150" t="e">
        <f t="shared" si="107"/>
        <v>#N/A</v>
      </c>
      <c r="T150" t="e">
        <f t="shared" si="108"/>
        <v>#N/A</v>
      </c>
      <c r="U150" t="e">
        <f t="shared" si="109"/>
        <v>#N/A</v>
      </c>
      <c r="V150" t="e">
        <f t="shared" si="110"/>
        <v>#N/A</v>
      </c>
      <c r="W150" t="e">
        <f t="shared" si="111"/>
        <v>#N/A</v>
      </c>
      <c r="X150" t="e">
        <f t="shared" si="112"/>
        <v>#N/A</v>
      </c>
      <c r="Y150" t="e">
        <f t="shared" si="113"/>
        <v>#N/A</v>
      </c>
      <c r="Z150" t="e">
        <f t="shared" si="114"/>
        <v>#N/A</v>
      </c>
      <c r="AA150" t="e">
        <f t="shared" si="115"/>
        <v>#N/A</v>
      </c>
      <c r="AB150" t="e">
        <f t="shared" si="116"/>
        <v>#N/A</v>
      </c>
      <c r="AC150" t="e">
        <f t="shared" si="117"/>
        <v>#N/A</v>
      </c>
      <c r="AD150" t="e">
        <f t="shared" si="118"/>
        <v>#N/A</v>
      </c>
      <c r="AE150" t="e">
        <f t="shared" si="119"/>
        <v>#N/A</v>
      </c>
      <c r="AF150" t="e">
        <f t="shared" si="120"/>
        <v>#N/A</v>
      </c>
      <c r="AG150" t="e">
        <f t="shared" si="121"/>
        <v>#N/A</v>
      </c>
      <c r="AH150" t="e">
        <f t="shared" si="122"/>
        <v>#N/A</v>
      </c>
      <c r="AI150" t="e">
        <f t="shared" si="123"/>
        <v>#N/A</v>
      </c>
      <c r="AJ150" t="e">
        <f t="shared" si="124"/>
        <v>#N/A</v>
      </c>
    </row>
    <row r="151">
      <c r="A151" s="2"/>
      <c r="L151" t="e">
        <f t="shared" si="100"/>
        <v>#N/A</v>
      </c>
      <c r="M151" t="e">
        <f t="shared" si="101"/>
        <v>#N/A</v>
      </c>
      <c r="N151" t="e">
        <f t="shared" si="102"/>
        <v>#N/A</v>
      </c>
      <c r="O151" t="n">
        <f t="shared" si="103"/>
        <v>0</v>
      </c>
      <c r="P151" t="n">
        <f t="shared" si="104"/>
        <v>0</v>
      </c>
      <c r="Q151" t="n">
        <f t="shared" si="105"/>
        <v>0</v>
      </c>
      <c r="R151" t="n">
        <f t="shared" si="106"/>
        <v>0</v>
      </c>
      <c r="S151" t="e">
        <f t="shared" si="107"/>
        <v>#N/A</v>
      </c>
      <c r="T151" t="e">
        <f t="shared" si="108"/>
        <v>#N/A</v>
      </c>
      <c r="U151" t="e">
        <f t="shared" si="109"/>
        <v>#N/A</v>
      </c>
      <c r="V151" t="e">
        <f t="shared" si="110"/>
        <v>#N/A</v>
      </c>
      <c r="W151" t="e">
        <f t="shared" si="111"/>
        <v>#N/A</v>
      </c>
      <c r="X151" t="e">
        <f t="shared" si="112"/>
        <v>#N/A</v>
      </c>
      <c r="Y151" t="e">
        <f t="shared" si="113"/>
        <v>#N/A</v>
      </c>
      <c r="Z151" t="e">
        <f t="shared" si="114"/>
        <v>#N/A</v>
      </c>
      <c r="AA151" t="e">
        <f t="shared" si="115"/>
        <v>#N/A</v>
      </c>
      <c r="AB151" t="e">
        <f t="shared" si="116"/>
        <v>#N/A</v>
      </c>
      <c r="AC151" t="e">
        <f t="shared" si="117"/>
        <v>#N/A</v>
      </c>
      <c r="AD151" t="e">
        <f t="shared" si="118"/>
        <v>#N/A</v>
      </c>
      <c r="AE151" t="e">
        <f t="shared" si="119"/>
        <v>#N/A</v>
      </c>
      <c r="AF151" t="e">
        <f t="shared" si="120"/>
        <v>#N/A</v>
      </c>
      <c r="AG151" t="e">
        <f t="shared" si="121"/>
        <v>#N/A</v>
      </c>
      <c r="AH151" t="e">
        <f t="shared" si="122"/>
        <v>#N/A</v>
      </c>
      <c r="AI151" t="e">
        <f t="shared" si="123"/>
        <v>#N/A</v>
      </c>
      <c r="AJ151" t="e">
        <f t="shared" si="124"/>
        <v>#N/A</v>
      </c>
    </row>
    <row r="152">
      <c r="A152" s="2"/>
      <c r="L152" t="e">
        <f t="shared" si="100"/>
        <v>#N/A</v>
      </c>
      <c r="M152" t="e">
        <f t="shared" si="101"/>
        <v>#N/A</v>
      </c>
      <c r="N152" t="e">
        <f t="shared" si="102"/>
        <v>#N/A</v>
      </c>
      <c r="O152" t="n">
        <f t="shared" si="103"/>
        <v>0</v>
      </c>
      <c r="P152" t="n">
        <f t="shared" si="104"/>
        <v>0</v>
      </c>
      <c r="Q152" t="n">
        <f t="shared" si="105"/>
        <v>0</v>
      </c>
      <c r="R152" t="n">
        <f t="shared" si="106"/>
        <v>0</v>
      </c>
      <c r="S152" t="e">
        <f t="shared" si="107"/>
        <v>#N/A</v>
      </c>
      <c r="T152" t="e">
        <f t="shared" si="108"/>
        <v>#N/A</v>
      </c>
      <c r="U152" t="e">
        <f t="shared" si="109"/>
        <v>#N/A</v>
      </c>
      <c r="V152" t="e">
        <f t="shared" si="110"/>
        <v>#N/A</v>
      </c>
      <c r="W152" t="e">
        <f t="shared" si="111"/>
        <v>#N/A</v>
      </c>
      <c r="X152" t="e">
        <f t="shared" si="112"/>
        <v>#N/A</v>
      </c>
      <c r="Y152" t="e">
        <f t="shared" si="113"/>
        <v>#N/A</v>
      </c>
      <c r="Z152" t="e">
        <f t="shared" si="114"/>
        <v>#N/A</v>
      </c>
      <c r="AA152" t="e">
        <f t="shared" si="115"/>
        <v>#N/A</v>
      </c>
      <c r="AB152" t="e">
        <f t="shared" si="116"/>
        <v>#N/A</v>
      </c>
      <c r="AC152" t="e">
        <f t="shared" si="117"/>
        <v>#N/A</v>
      </c>
      <c r="AD152" t="e">
        <f t="shared" si="118"/>
        <v>#N/A</v>
      </c>
      <c r="AE152" t="e">
        <f t="shared" si="119"/>
        <v>#N/A</v>
      </c>
      <c r="AF152" t="e">
        <f t="shared" si="120"/>
        <v>#N/A</v>
      </c>
      <c r="AG152" t="e">
        <f t="shared" si="121"/>
        <v>#N/A</v>
      </c>
      <c r="AH152" t="e">
        <f t="shared" si="122"/>
        <v>#N/A</v>
      </c>
      <c r="AI152" t="e">
        <f t="shared" si="123"/>
        <v>#N/A</v>
      </c>
      <c r="AJ152" t="e">
        <f t="shared" si="124"/>
        <v>#N/A</v>
      </c>
    </row>
    <row r="153">
      <c r="A153" s="2"/>
      <c r="L153" t="e">
        <f t="shared" si="100"/>
        <v>#N/A</v>
      </c>
      <c r="M153" t="e">
        <f t="shared" si="101"/>
        <v>#N/A</v>
      </c>
      <c r="N153" t="e">
        <f t="shared" si="102"/>
        <v>#N/A</v>
      </c>
      <c r="O153" t="n">
        <f t="shared" si="103"/>
        <v>0</v>
      </c>
      <c r="P153" t="n">
        <f t="shared" si="104"/>
        <v>0</v>
      </c>
      <c r="Q153" t="n">
        <f t="shared" si="105"/>
        <v>0</v>
      </c>
      <c r="R153" t="n">
        <f t="shared" si="106"/>
        <v>0</v>
      </c>
      <c r="S153" t="e">
        <f t="shared" si="107"/>
        <v>#N/A</v>
      </c>
      <c r="T153" t="e">
        <f t="shared" si="108"/>
        <v>#N/A</v>
      </c>
      <c r="U153" t="e">
        <f t="shared" si="109"/>
        <v>#N/A</v>
      </c>
      <c r="V153" t="e">
        <f t="shared" si="110"/>
        <v>#N/A</v>
      </c>
      <c r="W153" t="e">
        <f t="shared" si="111"/>
        <v>#N/A</v>
      </c>
      <c r="X153" t="e">
        <f t="shared" si="112"/>
        <v>#N/A</v>
      </c>
      <c r="Y153" t="e">
        <f t="shared" si="113"/>
        <v>#N/A</v>
      </c>
      <c r="Z153" t="e">
        <f t="shared" si="114"/>
        <v>#N/A</v>
      </c>
      <c r="AA153" t="e">
        <f t="shared" si="115"/>
        <v>#N/A</v>
      </c>
      <c r="AB153" t="e">
        <f t="shared" si="116"/>
        <v>#N/A</v>
      </c>
      <c r="AC153" t="e">
        <f t="shared" si="117"/>
        <v>#N/A</v>
      </c>
      <c r="AD153" t="e">
        <f t="shared" si="118"/>
        <v>#N/A</v>
      </c>
      <c r="AE153" t="e">
        <f t="shared" si="119"/>
        <v>#N/A</v>
      </c>
      <c r="AF153" t="e">
        <f t="shared" si="120"/>
        <v>#N/A</v>
      </c>
      <c r="AG153" t="e">
        <f t="shared" si="121"/>
        <v>#N/A</v>
      </c>
      <c r="AH153" t="e">
        <f t="shared" si="122"/>
        <v>#N/A</v>
      </c>
      <c r="AI153" t="e">
        <f t="shared" si="123"/>
        <v>#N/A</v>
      </c>
      <c r="AJ153" t="e">
        <f t="shared" si="124"/>
        <v>#N/A</v>
      </c>
    </row>
    <row r="154">
      <c r="A154" s="2"/>
      <c r="L154" t="e">
        <f t="shared" si="100"/>
        <v>#N/A</v>
      </c>
      <c r="M154" t="e">
        <f t="shared" si="101"/>
        <v>#N/A</v>
      </c>
      <c r="N154" t="e">
        <f t="shared" si="102"/>
        <v>#N/A</v>
      </c>
      <c r="O154" t="n">
        <f t="shared" si="103"/>
        <v>0</v>
      </c>
      <c r="P154" t="n">
        <f t="shared" si="104"/>
        <v>0</v>
      </c>
      <c r="Q154" t="n">
        <f t="shared" si="105"/>
        <v>0</v>
      </c>
      <c r="R154" t="n">
        <f t="shared" si="106"/>
        <v>0</v>
      </c>
      <c r="S154" t="e">
        <f t="shared" si="107"/>
        <v>#N/A</v>
      </c>
      <c r="T154" t="e">
        <f t="shared" si="108"/>
        <v>#N/A</v>
      </c>
      <c r="U154" t="e">
        <f t="shared" si="109"/>
        <v>#N/A</v>
      </c>
      <c r="V154" t="e">
        <f t="shared" si="110"/>
        <v>#N/A</v>
      </c>
      <c r="W154" t="e">
        <f t="shared" si="111"/>
        <v>#N/A</v>
      </c>
      <c r="X154" t="e">
        <f t="shared" si="112"/>
        <v>#N/A</v>
      </c>
      <c r="Y154" t="e">
        <f t="shared" si="113"/>
        <v>#N/A</v>
      </c>
      <c r="Z154" t="e">
        <f t="shared" si="114"/>
        <v>#N/A</v>
      </c>
      <c r="AA154" t="e">
        <f t="shared" si="115"/>
        <v>#N/A</v>
      </c>
      <c r="AB154" t="e">
        <f t="shared" si="116"/>
        <v>#N/A</v>
      </c>
      <c r="AC154" t="e">
        <f t="shared" si="117"/>
        <v>#N/A</v>
      </c>
      <c r="AD154" t="e">
        <f t="shared" si="118"/>
        <v>#N/A</v>
      </c>
      <c r="AE154" t="e">
        <f t="shared" si="119"/>
        <v>#N/A</v>
      </c>
      <c r="AF154" t="e">
        <f t="shared" si="120"/>
        <v>#N/A</v>
      </c>
      <c r="AG154" t="e">
        <f t="shared" si="121"/>
        <v>#N/A</v>
      </c>
      <c r="AH154" t="e">
        <f t="shared" si="122"/>
        <v>#N/A</v>
      </c>
      <c r="AI154" t="e">
        <f t="shared" si="123"/>
        <v>#N/A</v>
      </c>
      <c r="AJ154" t="e">
        <f t="shared" si="124"/>
        <v>#N/A</v>
      </c>
    </row>
    <row r="155">
      <c r="A155" s="2"/>
      <c r="L155" t="e">
        <f t="shared" si="100"/>
        <v>#N/A</v>
      </c>
      <c r="M155" t="e">
        <f t="shared" si="101"/>
        <v>#N/A</v>
      </c>
      <c r="N155" t="e">
        <f t="shared" si="102"/>
        <v>#N/A</v>
      </c>
      <c r="O155" t="n">
        <f t="shared" si="103"/>
        <v>0</v>
      </c>
      <c r="P155" t="n">
        <f t="shared" si="104"/>
        <v>0</v>
      </c>
      <c r="Q155" t="n">
        <f t="shared" si="105"/>
        <v>0</v>
      </c>
      <c r="R155" t="n">
        <f t="shared" si="106"/>
        <v>0</v>
      </c>
      <c r="S155" t="e">
        <f t="shared" si="107"/>
        <v>#N/A</v>
      </c>
      <c r="T155" t="e">
        <f t="shared" si="108"/>
        <v>#N/A</v>
      </c>
      <c r="U155" t="e">
        <f t="shared" si="109"/>
        <v>#N/A</v>
      </c>
      <c r="V155" t="e">
        <f t="shared" si="110"/>
        <v>#N/A</v>
      </c>
      <c r="W155" t="e">
        <f t="shared" si="111"/>
        <v>#N/A</v>
      </c>
      <c r="X155" t="e">
        <f t="shared" si="112"/>
        <v>#N/A</v>
      </c>
      <c r="Y155" t="e">
        <f t="shared" si="113"/>
        <v>#N/A</v>
      </c>
      <c r="Z155" t="e">
        <f t="shared" si="114"/>
        <v>#N/A</v>
      </c>
      <c r="AA155" t="e">
        <f t="shared" si="115"/>
        <v>#N/A</v>
      </c>
      <c r="AB155" t="e">
        <f t="shared" si="116"/>
        <v>#N/A</v>
      </c>
      <c r="AC155" t="e">
        <f t="shared" si="117"/>
        <v>#N/A</v>
      </c>
      <c r="AD155" t="e">
        <f t="shared" si="118"/>
        <v>#N/A</v>
      </c>
      <c r="AE155" t="e">
        <f t="shared" si="119"/>
        <v>#N/A</v>
      </c>
      <c r="AF155" t="e">
        <f t="shared" si="120"/>
        <v>#N/A</v>
      </c>
      <c r="AG155" t="e">
        <f t="shared" si="121"/>
        <v>#N/A</v>
      </c>
      <c r="AH155" t="e">
        <f t="shared" si="122"/>
        <v>#N/A</v>
      </c>
      <c r="AI155" t="e">
        <f t="shared" si="123"/>
        <v>#N/A</v>
      </c>
      <c r="AJ155" t="e">
        <f t="shared" si="124"/>
        <v>#N/A</v>
      </c>
    </row>
    <row r="156">
      <c r="A156" s="2"/>
      <c r="L156" t="e">
        <f t="shared" si="100"/>
        <v>#N/A</v>
      </c>
      <c r="M156" t="e">
        <f t="shared" si="101"/>
        <v>#N/A</v>
      </c>
      <c r="N156" t="e">
        <f t="shared" si="102"/>
        <v>#N/A</v>
      </c>
      <c r="O156" t="n">
        <f t="shared" si="103"/>
        <v>0</v>
      </c>
      <c r="P156" t="n">
        <f t="shared" si="104"/>
        <v>0</v>
      </c>
      <c r="Q156" t="n">
        <f t="shared" si="105"/>
        <v>0</v>
      </c>
      <c r="R156" t="n">
        <f t="shared" si="106"/>
        <v>0</v>
      </c>
      <c r="S156" t="e">
        <f t="shared" si="107"/>
        <v>#N/A</v>
      </c>
      <c r="T156" t="e">
        <f t="shared" si="108"/>
        <v>#N/A</v>
      </c>
      <c r="U156" t="e">
        <f t="shared" si="109"/>
        <v>#N/A</v>
      </c>
      <c r="V156" t="e">
        <f t="shared" si="110"/>
        <v>#N/A</v>
      </c>
      <c r="W156" t="e">
        <f t="shared" si="111"/>
        <v>#N/A</v>
      </c>
      <c r="X156" t="e">
        <f t="shared" si="112"/>
        <v>#N/A</v>
      </c>
      <c r="Y156" t="e">
        <f t="shared" si="113"/>
        <v>#N/A</v>
      </c>
      <c r="Z156" t="e">
        <f t="shared" si="114"/>
        <v>#N/A</v>
      </c>
      <c r="AA156" t="e">
        <f t="shared" si="115"/>
        <v>#N/A</v>
      </c>
      <c r="AB156" t="e">
        <f t="shared" si="116"/>
        <v>#N/A</v>
      </c>
      <c r="AC156" t="e">
        <f t="shared" si="117"/>
        <v>#N/A</v>
      </c>
      <c r="AD156" t="e">
        <f t="shared" si="118"/>
        <v>#N/A</v>
      </c>
      <c r="AE156" t="e">
        <f t="shared" si="119"/>
        <v>#N/A</v>
      </c>
      <c r="AF156" t="e">
        <f t="shared" si="120"/>
        <v>#N/A</v>
      </c>
      <c r="AG156" t="e">
        <f t="shared" si="121"/>
        <v>#N/A</v>
      </c>
      <c r="AH156" t="e">
        <f t="shared" si="122"/>
        <v>#N/A</v>
      </c>
      <c r="AI156" t="e">
        <f t="shared" si="123"/>
        <v>#N/A</v>
      </c>
      <c r="AJ156" t="e">
        <f t="shared" si="124"/>
        <v>#N/A</v>
      </c>
    </row>
    <row r="157">
      <c r="A157" s="2"/>
      <c r="L157" t="e">
        <f t="shared" si="100"/>
        <v>#N/A</v>
      </c>
      <c r="M157" t="e">
        <f t="shared" si="101"/>
        <v>#N/A</v>
      </c>
      <c r="N157" t="e">
        <f t="shared" si="102"/>
        <v>#N/A</v>
      </c>
      <c r="O157" t="n">
        <f t="shared" si="103"/>
        <v>0</v>
      </c>
      <c r="P157" t="n">
        <f t="shared" si="104"/>
        <v>0</v>
      </c>
      <c r="Q157" t="n">
        <f t="shared" si="105"/>
        <v>0</v>
      </c>
      <c r="R157" t="n">
        <f t="shared" si="106"/>
        <v>0</v>
      </c>
      <c r="S157" t="e">
        <f t="shared" si="107"/>
        <v>#N/A</v>
      </c>
      <c r="T157" t="e">
        <f t="shared" si="108"/>
        <v>#N/A</v>
      </c>
      <c r="U157" t="e">
        <f t="shared" si="109"/>
        <v>#N/A</v>
      </c>
      <c r="V157" t="e">
        <f t="shared" si="110"/>
        <v>#N/A</v>
      </c>
      <c r="W157" t="e">
        <f t="shared" si="111"/>
        <v>#N/A</v>
      </c>
      <c r="X157" t="e">
        <f t="shared" si="112"/>
        <v>#N/A</v>
      </c>
      <c r="Y157" t="e">
        <f t="shared" si="113"/>
        <v>#N/A</v>
      </c>
      <c r="Z157" t="e">
        <f t="shared" si="114"/>
        <v>#N/A</v>
      </c>
      <c r="AA157" t="e">
        <f t="shared" si="115"/>
        <v>#N/A</v>
      </c>
      <c r="AB157" t="e">
        <f t="shared" si="116"/>
        <v>#N/A</v>
      </c>
      <c r="AC157" t="e">
        <f t="shared" si="117"/>
        <v>#N/A</v>
      </c>
      <c r="AD157" t="e">
        <f t="shared" si="118"/>
        <v>#N/A</v>
      </c>
      <c r="AE157" t="e">
        <f t="shared" si="119"/>
        <v>#N/A</v>
      </c>
      <c r="AF157" t="e">
        <f t="shared" si="120"/>
        <v>#N/A</v>
      </c>
      <c r="AG157" t="e">
        <f t="shared" si="121"/>
        <v>#N/A</v>
      </c>
      <c r="AH157" t="e">
        <f t="shared" si="122"/>
        <v>#N/A</v>
      </c>
      <c r="AI157" t="e">
        <f t="shared" si="123"/>
        <v>#N/A</v>
      </c>
      <c r="AJ157" t="e">
        <f t="shared" si="124"/>
        <v>#N/A</v>
      </c>
    </row>
    <row r="158">
      <c r="A158" s="2"/>
      <c r="L158" t="e">
        <f t="shared" si="100"/>
        <v>#N/A</v>
      </c>
      <c r="M158" t="e">
        <f t="shared" si="101"/>
        <v>#N/A</v>
      </c>
      <c r="N158" t="e">
        <f t="shared" si="102"/>
        <v>#N/A</v>
      </c>
      <c r="O158" t="n">
        <f t="shared" si="103"/>
        <v>0</v>
      </c>
      <c r="P158" t="n">
        <f t="shared" si="104"/>
        <v>0</v>
      </c>
      <c r="Q158" t="n">
        <f t="shared" si="105"/>
        <v>0</v>
      </c>
      <c r="R158" t="n">
        <f t="shared" si="106"/>
        <v>0</v>
      </c>
      <c r="S158" t="e">
        <f t="shared" si="107"/>
        <v>#N/A</v>
      </c>
      <c r="T158" t="e">
        <f t="shared" si="108"/>
        <v>#N/A</v>
      </c>
      <c r="U158" t="e">
        <f t="shared" si="109"/>
        <v>#N/A</v>
      </c>
      <c r="V158" t="e">
        <f t="shared" si="110"/>
        <v>#N/A</v>
      </c>
      <c r="W158" t="e">
        <f t="shared" si="111"/>
        <v>#N/A</v>
      </c>
      <c r="X158" t="e">
        <f t="shared" si="112"/>
        <v>#N/A</v>
      </c>
      <c r="Y158" t="e">
        <f t="shared" si="113"/>
        <v>#N/A</v>
      </c>
      <c r="Z158" t="e">
        <f t="shared" si="114"/>
        <v>#N/A</v>
      </c>
      <c r="AA158" t="e">
        <f t="shared" si="115"/>
        <v>#N/A</v>
      </c>
      <c r="AB158" t="e">
        <f t="shared" si="116"/>
        <v>#N/A</v>
      </c>
      <c r="AC158" t="e">
        <f t="shared" si="117"/>
        <v>#N/A</v>
      </c>
      <c r="AD158" t="e">
        <f t="shared" si="118"/>
        <v>#N/A</v>
      </c>
      <c r="AE158" t="e">
        <f t="shared" si="119"/>
        <v>#N/A</v>
      </c>
      <c r="AF158" t="e">
        <f t="shared" si="120"/>
        <v>#N/A</v>
      </c>
      <c r="AG158" t="e">
        <f t="shared" si="121"/>
        <v>#N/A</v>
      </c>
      <c r="AH158" t="e">
        <f t="shared" si="122"/>
        <v>#N/A</v>
      </c>
      <c r="AI158" t="e">
        <f t="shared" si="123"/>
        <v>#N/A</v>
      </c>
      <c r="AJ158" t="e">
        <f t="shared" si="124"/>
        <v>#N/A</v>
      </c>
    </row>
    <row r="159">
      <c r="A159" s="2"/>
      <c r="L159" t="e">
        <f t="shared" si="100"/>
        <v>#N/A</v>
      </c>
      <c r="M159" t="e">
        <f t="shared" si="101"/>
        <v>#N/A</v>
      </c>
      <c r="N159" t="e">
        <f t="shared" si="102"/>
        <v>#N/A</v>
      </c>
      <c r="O159" t="n">
        <f t="shared" si="103"/>
        <v>0</v>
      </c>
      <c r="P159" t="n">
        <f t="shared" si="104"/>
        <v>0</v>
      </c>
      <c r="Q159" t="n">
        <f t="shared" si="105"/>
        <v>0</v>
      </c>
      <c r="R159" t="n">
        <f t="shared" si="106"/>
        <v>0</v>
      </c>
      <c r="S159" t="e">
        <f t="shared" si="107"/>
        <v>#N/A</v>
      </c>
      <c r="T159" t="e">
        <f t="shared" si="108"/>
        <v>#N/A</v>
      </c>
      <c r="U159" t="e">
        <f t="shared" si="109"/>
        <v>#N/A</v>
      </c>
      <c r="V159" t="e">
        <f t="shared" si="110"/>
        <v>#N/A</v>
      </c>
      <c r="W159" t="e">
        <f t="shared" si="111"/>
        <v>#N/A</v>
      </c>
      <c r="X159" t="e">
        <f t="shared" si="112"/>
        <v>#N/A</v>
      </c>
      <c r="Y159" t="e">
        <f t="shared" si="113"/>
        <v>#N/A</v>
      </c>
      <c r="Z159" t="e">
        <f t="shared" si="114"/>
        <v>#N/A</v>
      </c>
      <c r="AA159" t="e">
        <f t="shared" si="115"/>
        <v>#N/A</v>
      </c>
      <c r="AB159" t="e">
        <f t="shared" si="116"/>
        <v>#N/A</v>
      </c>
      <c r="AC159" t="e">
        <f t="shared" si="117"/>
        <v>#N/A</v>
      </c>
      <c r="AD159" t="e">
        <f t="shared" si="118"/>
        <v>#N/A</v>
      </c>
      <c r="AE159" t="e">
        <f t="shared" si="119"/>
        <v>#N/A</v>
      </c>
      <c r="AF159" t="e">
        <f t="shared" si="120"/>
        <v>#N/A</v>
      </c>
      <c r="AG159" t="e">
        <f t="shared" si="121"/>
        <v>#N/A</v>
      </c>
      <c r="AH159" t="e">
        <f t="shared" si="122"/>
        <v>#N/A</v>
      </c>
      <c r="AI159" t="e">
        <f t="shared" si="123"/>
        <v>#N/A</v>
      </c>
      <c r="AJ159" t="e">
        <f t="shared" si="124"/>
        <v>#N/A</v>
      </c>
    </row>
    <row r="160">
      <c r="A160" s="2"/>
      <c r="L160" t="e">
        <f t="shared" si="100"/>
        <v>#N/A</v>
      </c>
      <c r="M160" t="e">
        <f t="shared" si="101"/>
        <v>#N/A</v>
      </c>
      <c r="N160" t="e">
        <f t="shared" si="102"/>
        <v>#N/A</v>
      </c>
      <c r="O160" t="n">
        <f t="shared" si="103"/>
        <v>0</v>
      </c>
      <c r="P160" t="n">
        <f t="shared" si="104"/>
        <v>0</v>
      </c>
      <c r="Q160" t="n">
        <f t="shared" si="105"/>
        <v>0</v>
      </c>
      <c r="R160" t="n">
        <f t="shared" si="106"/>
        <v>0</v>
      </c>
      <c r="S160" t="e">
        <f t="shared" si="107"/>
        <v>#N/A</v>
      </c>
      <c r="T160" t="e">
        <f t="shared" si="108"/>
        <v>#N/A</v>
      </c>
      <c r="U160" t="e">
        <f t="shared" si="109"/>
        <v>#N/A</v>
      </c>
      <c r="V160" t="e">
        <f t="shared" si="110"/>
        <v>#N/A</v>
      </c>
      <c r="W160" t="e">
        <f t="shared" si="111"/>
        <v>#N/A</v>
      </c>
      <c r="X160" t="e">
        <f t="shared" si="112"/>
        <v>#N/A</v>
      </c>
      <c r="Y160" t="e">
        <f t="shared" si="113"/>
        <v>#N/A</v>
      </c>
      <c r="Z160" t="e">
        <f t="shared" si="114"/>
        <v>#N/A</v>
      </c>
      <c r="AA160" t="e">
        <f t="shared" si="115"/>
        <v>#N/A</v>
      </c>
      <c r="AB160" t="e">
        <f t="shared" si="116"/>
        <v>#N/A</v>
      </c>
      <c r="AC160" t="e">
        <f t="shared" si="117"/>
        <v>#N/A</v>
      </c>
      <c r="AD160" t="e">
        <f t="shared" si="118"/>
        <v>#N/A</v>
      </c>
      <c r="AE160" t="e">
        <f t="shared" si="119"/>
        <v>#N/A</v>
      </c>
      <c r="AF160" t="e">
        <f t="shared" si="120"/>
        <v>#N/A</v>
      </c>
      <c r="AG160" t="e">
        <f t="shared" si="121"/>
        <v>#N/A</v>
      </c>
      <c r="AH160" t="e">
        <f t="shared" si="122"/>
        <v>#N/A</v>
      </c>
      <c r="AI160" t="e">
        <f t="shared" si="123"/>
        <v>#N/A</v>
      </c>
      <c r="AJ160" t="e">
        <f t="shared" si="124"/>
        <v>#N/A</v>
      </c>
    </row>
    <row r="161">
      <c r="A161" s="2"/>
      <c r="L161" t="e">
        <f t="shared" si="100"/>
        <v>#N/A</v>
      </c>
      <c r="M161" t="e">
        <f t="shared" si="101"/>
        <v>#N/A</v>
      </c>
      <c r="N161" t="e">
        <f t="shared" si="102"/>
        <v>#N/A</v>
      </c>
      <c r="O161" t="n">
        <f t="shared" si="103"/>
        <v>0</v>
      </c>
      <c r="P161" t="n">
        <f t="shared" si="104"/>
        <v>0</v>
      </c>
      <c r="Q161" t="n">
        <f t="shared" si="105"/>
        <v>0</v>
      </c>
      <c r="R161" t="n">
        <f t="shared" si="106"/>
        <v>0</v>
      </c>
      <c r="S161" t="e">
        <f t="shared" si="107"/>
        <v>#N/A</v>
      </c>
      <c r="T161" t="e">
        <f t="shared" si="108"/>
        <v>#N/A</v>
      </c>
      <c r="U161" t="e">
        <f t="shared" si="109"/>
        <v>#N/A</v>
      </c>
      <c r="V161" t="e">
        <f t="shared" si="110"/>
        <v>#N/A</v>
      </c>
      <c r="W161" t="e">
        <f t="shared" si="111"/>
        <v>#N/A</v>
      </c>
      <c r="X161" t="e">
        <f t="shared" si="112"/>
        <v>#N/A</v>
      </c>
      <c r="Y161" t="e">
        <f t="shared" si="113"/>
        <v>#N/A</v>
      </c>
      <c r="Z161" t="e">
        <f t="shared" si="114"/>
        <v>#N/A</v>
      </c>
      <c r="AA161" t="e">
        <f t="shared" si="115"/>
        <v>#N/A</v>
      </c>
      <c r="AB161" t="e">
        <f t="shared" si="116"/>
        <v>#N/A</v>
      </c>
      <c r="AC161" t="e">
        <f t="shared" si="117"/>
        <v>#N/A</v>
      </c>
      <c r="AD161" t="e">
        <f t="shared" si="118"/>
        <v>#N/A</v>
      </c>
      <c r="AE161" t="e">
        <f t="shared" si="119"/>
        <v>#N/A</v>
      </c>
      <c r="AF161" t="e">
        <f t="shared" si="120"/>
        <v>#N/A</v>
      </c>
      <c r="AG161" t="e">
        <f t="shared" si="121"/>
        <v>#N/A</v>
      </c>
      <c r="AH161" t="e">
        <f t="shared" si="122"/>
        <v>#N/A</v>
      </c>
      <c r="AI161" t="e">
        <f t="shared" si="123"/>
        <v>#N/A</v>
      </c>
      <c r="AJ161" t="e">
        <f t="shared" si="124"/>
        <v>#N/A</v>
      </c>
    </row>
    <row r="162">
      <c r="A162" s="2"/>
      <c r="L162" t="e">
        <f t="shared" ref="L162:L193" si="125">IF(ROW()&lt;=5,NA(),IFERROR(100*(B162/INDEX(B:B,ROW()-4)-1),NA()))</f>
        <v>#N/A</v>
      </c>
      <c r="M162" t="e">
        <f t="shared" ref="M162:M193" si="126">IF(ROW()&lt;=5,NA(),IFERROR(100*(C162/INDEX(C:C,ROW()-4)-1),NA()))</f>
        <v>#N/A</v>
      </c>
      <c r="N162" t="e">
        <f t="shared" ref="N162:N193" si="127">IF(ROW()&lt;=5,NA(),IFERROR(100*(D162/INDEX(D:D,ROW()-4)-1),NA()))</f>
        <v>#N/A</v>
      </c>
      <c r="O162" t="n">
        <f t="shared" ref="O162:O193" si="128">100*G162</f>
        <v>0</v>
      </c>
      <c r="P162" t="n">
        <f t="shared" ref="P162:P193" si="129">100*H162</f>
        <v>0</v>
      </c>
      <c r="Q162" t="n">
        <f t="shared" ref="Q162:Q193" si="130">100*I162</f>
        <v>0</v>
      </c>
      <c r="R162" t="n">
        <f t="shared" ref="R162:R193" si="131">100*J162</f>
        <v>0</v>
      </c>
      <c r="S162" t="e">
        <f t="shared" ref="S162:S193" si="132">IFERROR(100*E162/INDEX(E:E,MATCH(DATE(2024,12,1),A:A,0)),NA())</f>
        <v>#N/A</v>
      </c>
      <c r="T162" t="e">
        <f t="shared" ref="T162:T193" si="133">IFERROR(100*F162/INDEX(F:F,MATCH(DATE(2024,12,1),A:A,0)),NA())</f>
        <v>#N/A</v>
      </c>
      <c r="U162" t="e">
        <f t="shared" ref="U162:U193" si="134">IF($K162="Actual",L162,NA())</f>
        <v>#N/A</v>
      </c>
      <c r="V162" t="e">
        <f t="shared" ref="V162:V193" si="135">IF($A162&gt;=DATE(2024,12,1),L162,NA())</f>
        <v>#N/A</v>
      </c>
      <c r="W162" t="e">
        <f t="shared" ref="W162:W193" si="136">IF($K162="Actual",M162,NA())</f>
        <v>#N/A</v>
      </c>
      <c r="X162" t="e">
        <f t="shared" ref="X162:X193" si="137">IF($A162&gt;=DATE(2024,12,1),M162,NA())</f>
        <v>#N/A</v>
      </c>
      <c r="Y162" t="e">
        <f t="shared" ref="Y162:Y193" si="138">IF($K162="Actual",S162,NA())</f>
        <v>#N/A</v>
      </c>
      <c r="Z162" t="e">
        <f t="shared" ref="Z162:Z193" si="139">IF($A162&gt;=DATE(2024,12,1),S162,NA())</f>
        <v>#N/A</v>
      </c>
      <c r="AA162" t="e">
        <f t="shared" ref="AA162:AA193" si="140">IF($K162="Actual",T162,NA())</f>
        <v>#N/A</v>
      </c>
      <c r="AB162" t="e">
        <f t="shared" ref="AB162:AB193" si="141">IF($A162&gt;=DATE(2024,12,1),T162,NA())</f>
        <v>#N/A</v>
      </c>
      <c r="AC162" t="e">
        <f t="shared" ref="AC162:AC193" si="142">IF($K162="Actual",O162,NA())</f>
        <v>#N/A</v>
      </c>
      <c r="AD162" t="e">
        <f t="shared" ref="AD162:AD193" si="143">IF($A162&gt;=DATE(2024,12,1),O162,NA())</f>
        <v>#N/A</v>
      </c>
      <c r="AE162" t="e">
        <f t="shared" ref="AE162:AE193" si="144">IF($K162="Actual",Q162,NA())</f>
        <v>#N/A</v>
      </c>
      <c r="AF162" t="e">
        <f t="shared" ref="AF162:AF193" si="145">IF($A162&gt;=DATE(2024,12,1),Q162,NA())</f>
        <v>#N/A</v>
      </c>
      <c r="AG162" t="e">
        <f t="shared" ref="AG162:AG193" si="146">IF($K162="Actual",R162,NA())</f>
        <v>#N/A</v>
      </c>
      <c r="AH162" t="e">
        <f t="shared" ref="AH162:AH193" si="147">IF($A162&gt;=DATE(2024,12,1),R162,NA())</f>
        <v>#N/A</v>
      </c>
      <c r="AI162" t="e">
        <f t="shared" ref="AI162:AI193" si="148">IF($K162="Actual",N162,NA())</f>
        <v>#N/A</v>
      </c>
      <c r="AJ162" t="e">
        <f t="shared" ref="AJ162:AJ193" si="149">IF($A162&gt;=DATE(2024,12,1),N162,NA())</f>
        <v>#N/A</v>
      </c>
    </row>
    <row r="163">
      <c r="A163" s="2"/>
      <c r="L163" t="e">
        <f t="shared" si="125"/>
        <v>#N/A</v>
      </c>
      <c r="M163" t="e">
        <f t="shared" si="126"/>
        <v>#N/A</v>
      </c>
      <c r="N163" t="e">
        <f t="shared" si="127"/>
        <v>#N/A</v>
      </c>
      <c r="O163" t="n">
        <f t="shared" si="128"/>
        <v>0</v>
      </c>
      <c r="P163" t="n">
        <f t="shared" si="129"/>
        <v>0</v>
      </c>
      <c r="Q163" t="n">
        <f t="shared" si="130"/>
        <v>0</v>
      </c>
      <c r="R163" t="n">
        <f t="shared" si="131"/>
        <v>0</v>
      </c>
      <c r="S163" t="e">
        <f t="shared" si="132"/>
        <v>#N/A</v>
      </c>
      <c r="T163" t="e">
        <f t="shared" si="133"/>
        <v>#N/A</v>
      </c>
      <c r="U163" t="e">
        <f t="shared" si="134"/>
        <v>#N/A</v>
      </c>
      <c r="V163" t="e">
        <f t="shared" si="135"/>
        <v>#N/A</v>
      </c>
      <c r="W163" t="e">
        <f t="shared" si="136"/>
        <v>#N/A</v>
      </c>
      <c r="X163" t="e">
        <f t="shared" si="137"/>
        <v>#N/A</v>
      </c>
      <c r="Y163" t="e">
        <f t="shared" si="138"/>
        <v>#N/A</v>
      </c>
      <c r="Z163" t="e">
        <f t="shared" si="139"/>
        <v>#N/A</v>
      </c>
      <c r="AA163" t="e">
        <f t="shared" si="140"/>
        <v>#N/A</v>
      </c>
      <c r="AB163" t="e">
        <f t="shared" si="141"/>
        <v>#N/A</v>
      </c>
      <c r="AC163" t="e">
        <f t="shared" si="142"/>
        <v>#N/A</v>
      </c>
      <c r="AD163" t="e">
        <f t="shared" si="143"/>
        <v>#N/A</v>
      </c>
      <c r="AE163" t="e">
        <f t="shared" si="144"/>
        <v>#N/A</v>
      </c>
      <c r="AF163" t="e">
        <f t="shared" si="145"/>
        <v>#N/A</v>
      </c>
      <c r="AG163" t="e">
        <f t="shared" si="146"/>
        <v>#N/A</v>
      </c>
      <c r="AH163" t="e">
        <f t="shared" si="147"/>
        <v>#N/A</v>
      </c>
      <c r="AI163" t="e">
        <f t="shared" si="148"/>
        <v>#N/A</v>
      </c>
      <c r="AJ163" t="e">
        <f t="shared" si="149"/>
        <v>#N/A</v>
      </c>
    </row>
    <row r="164">
      <c r="A164" s="2"/>
      <c r="L164" t="e">
        <f t="shared" si="125"/>
        <v>#N/A</v>
      </c>
      <c r="M164" t="e">
        <f t="shared" si="126"/>
        <v>#N/A</v>
      </c>
      <c r="N164" t="e">
        <f t="shared" si="127"/>
        <v>#N/A</v>
      </c>
      <c r="O164" t="n">
        <f t="shared" si="128"/>
        <v>0</v>
      </c>
      <c r="P164" t="n">
        <f t="shared" si="129"/>
        <v>0</v>
      </c>
      <c r="Q164" t="n">
        <f t="shared" si="130"/>
        <v>0</v>
      </c>
      <c r="R164" t="n">
        <f t="shared" si="131"/>
        <v>0</v>
      </c>
      <c r="S164" t="e">
        <f t="shared" si="132"/>
        <v>#N/A</v>
      </c>
      <c r="T164" t="e">
        <f t="shared" si="133"/>
        <v>#N/A</v>
      </c>
      <c r="U164" t="e">
        <f t="shared" si="134"/>
        <v>#N/A</v>
      </c>
      <c r="V164" t="e">
        <f t="shared" si="135"/>
        <v>#N/A</v>
      </c>
      <c r="W164" t="e">
        <f t="shared" si="136"/>
        <v>#N/A</v>
      </c>
      <c r="X164" t="e">
        <f t="shared" si="137"/>
        <v>#N/A</v>
      </c>
      <c r="Y164" t="e">
        <f t="shared" si="138"/>
        <v>#N/A</v>
      </c>
      <c r="Z164" t="e">
        <f t="shared" si="139"/>
        <v>#N/A</v>
      </c>
      <c r="AA164" t="e">
        <f t="shared" si="140"/>
        <v>#N/A</v>
      </c>
      <c r="AB164" t="e">
        <f t="shared" si="141"/>
        <v>#N/A</v>
      </c>
      <c r="AC164" t="e">
        <f t="shared" si="142"/>
        <v>#N/A</v>
      </c>
      <c r="AD164" t="e">
        <f t="shared" si="143"/>
        <v>#N/A</v>
      </c>
      <c r="AE164" t="e">
        <f t="shared" si="144"/>
        <v>#N/A</v>
      </c>
      <c r="AF164" t="e">
        <f t="shared" si="145"/>
        <v>#N/A</v>
      </c>
      <c r="AG164" t="e">
        <f t="shared" si="146"/>
        <v>#N/A</v>
      </c>
      <c r="AH164" t="e">
        <f t="shared" si="147"/>
        <v>#N/A</v>
      </c>
      <c r="AI164" t="e">
        <f t="shared" si="148"/>
        <v>#N/A</v>
      </c>
      <c r="AJ164" t="e">
        <f t="shared" si="149"/>
        <v>#N/A</v>
      </c>
    </row>
    <row r="165">
      <c r="A165" s="2"/>
      <c r="L165" t="e">
        <f t="shared" si="125"/>
        <v>#N/A</v>
      </c>
      <c r="M165" t="e">
        <f t="shared" si="126"/>
        <v>#N/A</v>
      </c>
      <c r="N165" t="e">
        <f t="shared" si="127"/>
        <v>#N/A</v>
      </c>
      <c r="O165" t="n">
        <f t="shared" si="128"/>
        <v>0</v>
      </c>
      <c r="P165" t="n">
        <f t="shared" si="129"/>
        <v>0</v>
      </c>
      <c r="Q165" t="n">
        <f t="shared" si="130"/>
        <v>0</v>
      </c>
      <c r="R165" t="n">
        <f t="shared" si="131"/>
        <v>0</v>
      </c>
      <c r="S165" t="e">
        <f t="shared" si="132"/>
        <v>#N/A</v>
      </c>
      <c r="T165" t="e">
        <f t="shared" si="133"/>
        <v>#N/A</v>
      </c>
      <c r="U165" t="e">
        <f t="shared" si="134"/>
        <v>#N/A</v>
      </c>
      <c r="V165" t="e">
        <f t="shared" si="135"/>
        <v>#N/A</v>
      </c>
      <c r="W165" t="e">
        <f t="shared" si="136"/>
        <v>#N/A</v>
      </c>
      <c r="X165" t="e">
        <f t="shared" si="137"/>
        <v>#N/A</v>
      </c>
      <c r="Y165" t="e">
        <f t="shared" si="138"/>
        <v>#N/A</v>
      </c>
      <c r="Z165" t="e">
        <f t="shared" si="139"/>
        <v>#N/A</v>
      </c>
      <c r="AA165" t="e">
        <f t="shared" si="140"/>
        <v>#N/A</v>
      </c>
      <c r="AB165" t="e">
        <f t="shared" si="141"/>
        <v>#N/A</v>
      </c>
      <c r="AC165" t="e">
        <f t="shared" si="142"/>
        <v>#N/A</v>
      </c>
      <c r="AD165" t="e">
        <f t="shared" si="143"/>
        <v>#N/A</v>
      </c>
      <c r="AE165" t="e">
        <f t="shared" si="144"/>
        <v>#N/A</v>
      </c>
      <c r="AF165" t="e">
        <f t="shared" si="145"/>
        <v>#N/A</v>
      </c>
      <c r="AG165" t="e">
        <f t="shared" si="146"/>
        <v>#N/A</v>
      </c>
      <c r="AH165" t="e">
        <f t="shared" si="147"/>
        <v>#N/A</v>
      </c>
      <c r="AI165" t="e">
        <f t="shared" si="148"/>
        <v>#N/A</v>
      </c>
      <c r="AJ165" t="e">
        <f t="shared" si="149"/>
        <v>#N/A</v>
      </c>
    </row>
    <row r="166">
      <c r="A166" s="2"/>
      <c r="L166" t="e">
        <f t="shared" si="125"/>
        <v>#N/A</v>
      </c>
      <c r="M166" t="e">
        <f t="shared" si="126"/>
        <v>#N/A</v>
      </c>
      <c r="N166" t="e">
        <f t="shared" si="127"/>
        <v>#N/A</v>
      </c>
      <c r="O166" t="n">
        <f t="shared" si="128"/>
        <v>0</v>
      </c>
      <c r="P166" t="n">
        <f t="shared" si="129"/>
        <v>0</v>
      </c>
      <c r="Q166" t="n">
        <f t="shared" si="130"/>
        <v>0</v>
      </c>
      <c r="R166" t="n">
        <f t="shared" si="131"/>
        <v>0</v>
      </c>
      <c r="S166" t="e">
        <f t="shared" si="132"/>
        <v>#N/A</v>
      </c>
      <c r="T166" t="e">
        <f t="shared" si="133"/>
        <v>#N/A</v>
      </c>
      <c r="U166" t="e">
        <f t="shared" si="134"/>
        <v>#N/A</v>
      </c>
      <c r="V166" t="e">
        <f t="shared" si="135"/>
        <v>#N/A</v>
      </c>
      <c r="W166" t="e">
        <f t="shared" si="136"/>
        <v>#N/A</v>
      </c>
      <c r="X166" t="e">
        <f t="shared" si="137"/>
        <v>#N/A</v>
      </c>
      <c r="Y166" t="e">
        <f t="shared" si="138"/>
        <v>#N/A</v>
      </c>
      <c r="Z166" t="e">
        <f t="shared" si="139"/>
        <v>#N/A</v>
      </c>
      <c r="AA166" t="e">
        <f t="shared" si="140"/>
        <v>#N/A</v>
      </c>
      <c r="AB166" t="e">
        <f t="shared" si="141"/>
        <v>#N/A</v>
      </c>
      <c r="AC166" t="e">
        <f t="shared" si="142"/>
        <v>#N/A</v>
      </c>
      <c r="AD166" t="e">
        <f t="shared" si="143"/>
        <v>#N/A</v>
      </c>
      <c r="AE166" t="e">
        <f t="shared" si="144"/>
        <v>#N/A</v>
      </c>
      <c r="AF166" t="e">
        <f t="shared" si="145"/>
        <v>#N/A</v>
      </c>
      <c r="AG166" t="e">
        <f t="shared" si="146"/>
        <v>#N/A</v>
      </c>
      <c r="AH166" t="e">
        <f t="shared" si="147"/>
        <v>#N/A</v>
      </c>
      <c r="AI166" t="e">
        <f t="shared" si="148"/>
        <v>#N/A</v>
      </c>
      <c r="AJ166" t="e">
        <f t="shared" si="149"/>
        <v>#N/A</v>
      </c>
    </row>
    <row r="167">
      <c r="A167" s="2"/>
      <c r="L167" t="e">
        <f t="shared" si="125"/>
        <v>#N/A</v>
      </c>
      <c r="M167" t="e">
        <f t="shared" si="126"/>
        <v>#N/A</v>
      </c>
      <c r="N167" t="e">
        <f t="shared" si="127"/>
        <v>#N/A</v>
      </c>
      <c r="O167" t="n">
        <f t="shared" si="128"/>
        <v>0</v>
      </c>
      <c r="P167" t="n">
        <f t="shared" si="129"/>
        <v>0</v>
      </c>
      <c r="Q167" t="n">
        <f t="shared" si="130"/>
        <v>0</v>
      </c>
      <c r="R167" t="n">
        <f t="shared" si="131"/>
        <v>0</v>
      </c>
      <c r="S167" t="e">
        <f t="shared" si="132"/>
        <v>#N/A</v>
      </c>
      <c r="T167" t="e">
        <f t="shared" si="133"/>
        <v>#N/A</v>
      </c>
      <c r="U167" t="e">
        <f t="shared" si="134"/>
        <v>#N/A</v>
      </c>
      <c r="V167" t="e">
        <f t="shared" si="135"/>
        <v>#N/A</v>
      </c>
      <c r="W167" t="e">
        <f t="shared" si="136"/>
        <v>#N/A</v>
      </c>
      <c r="X167" t="e">
        <f t="shared" si="137"/>
        <v>#N/A</v>
      </c>
      <c r="Y167" t="e">
        <f t="shared" si="138"/>
        <v>#N/A</v>
      </c>
      <c r="Z167" t="e">
        <f t="shared" si="139"/>
        <v>#N/A</v>
      </c>
      <c r="AA167" t="e">
        <f t="shared" si="140"/>
        <v>#N/A</v>
      </c>
      <c r="AB167" t="e">
        <f t="shared" si="141"/>
        <v>#N/A</v>
      </c>
      <c r="AC167" t="e">
        <f t="shared" si="142"/>
        <v>#N/A</v>
      </c>
      <c r="AD167" t="e">
        <f t="shared" si="143"/>
        <v>#N/A</v>
      </c>
      <c r="AE167" t="e">
        <f t="shared" si="144"/>
        <v>#N/A</v>
      </c>
      <c r="AF167" t="e">
        <f t="shared" si="145"/>
        <v>#N/A</v>
      </c>
      <c r="AG167" t="e">
        <f t="shared" si="146"/>
        <v>#N/A</v>
      </c>
      <c r="AH167" t="e">
        <f t="shared" si="147"/>
        <v>#N/A</v>
      </c>
      <c r="AI167" t="e">
        <f t="shared" si="148"/>
        <v>#N/A</v>
      </c>
      <c r="AJ167" t="e">
        <f t="shared" si="149"/>
        <v>#N/A</v>
      </c>
    </row>
    <row r="168">
      <c r="A168" s="2"/>
      <c r="L168" t="e">
        <f t="shared" si="125"/>
        <v>#N/A</v>
      </c>
      <c r="M168" t="e">
        <f t="shared" si="126"/>
        <v>#N/A</v>
      </c>
      <c r="N168" t="e">
        <f t="shared" si="127"/>
        <v>#N/A</v>
      </c>
      <c r="O168" t="n">
        <f t="shared" si="128"/>
        <v>0</v>
      </c>
      <c r="P168" t="n">
        <f t="shared" si="129"/>
        <v>0</v>
      </c>
      <c r="Q168" t="n">
        <f t="shared" si="130"/>
        <v>0</v>
      </c>
      <c r="R168" t="n">
        <f t="shared" si="131"/>
        <v>0</v>
      </c>
      <c r="S168" t="e">
        <f t="shared" si="132"/>
        <v>#N/A</v>
      </c>
      <c r="T168" t="e">
        <f t="shared" si="133"/>
        <v>#N/A</v>
      </c>
      <c r="U168" t="e">
        <f t="shared" si="134"/>
        <v>#N/A</v>
      </c>
      <c r="V168" t="e">
        <f t="shared" si="135"/>
        <v>#N/A</v>
      </c>
      <c r="W168" t="e">
        <f t="shared" si="136"/>
        <v>#N/A</v>
      </c>
      <c r="X168" t="e">
        <f t="shared" si="137"/>
        <v>#N/A</v>
      </c>
      <c r="Y168" t="e">
        <f t="shared" si="138"/>
        <v>#N/A</v>
      </c>
      <c r="Z168" t="e">
        <f t="shared" si="139"/>
        <v>#N/A</v>
      </c>
      <c r="AA168" t="e">
        <f t="shared" si="140"/>
        <v>#N/A</v>
      </c>
      <c r="AB168" t="e">
        <f t="shared" si="141"/>
        <v>#N/A</v>
      </c>
      <c r="AC168" t="e">
        <f t="shared" si="142"/>
        <v>#N/A</v>
      </c>
      <c r="AD168" t="e">
        <f t="shared" si="143"/>
        <v>#N/A</v>
      </c>
      <c r="AE168" t="e">
        <f t="shared" si="144"/>
        <v>#N/A</v>
      </c>
      <c r="AF168" t="e">
        <f t="shared" si="145"/>
        <v>#N/A</v>
      </c>
      <c r="AG168" t="e">
        <f t="shared" si="146"/>
        <v>#N/A</v>
      </c>
      <c r="AH168" t="e">
        <f t="shared" si="147"/>
        <v>#N/A</v>
      </c>
      <c r="AI168" t="e">
        <f t="shared" si="148"/>
        <v>#N/A</v>
      </c>
      <c r="AJ168" t="e">
        <f t="shared" si="149"/>
        <v>#N/A</v>
      </c>
    </row>
    <row r="169">
      <c r="A169" s="2"/>
      <c r="L169" t="e">
        <f t="shared" si="125"/>
        <v>#N/A</v>
      </c>
      <c r="M169" t="e">
        <f t="shared" si="126"/>
        <v>#N/A</v>
      </c>
      <c r="N169" t="e">
        <f t="shared" si="127"/>
        <v>#N/A</v>
      </c>
      <c r="O169" t="n">
        <f t="shared" si="128"/>
        <v>0</v>
      </c>
      <c r="P169" t="n">
        <f t="shared" si="129"/>
        <v>0</v>
      </c>
      <c r="Q169" t="n">
        <f t="shared" si="130"/>
        <v>0</v>
      </c>
      <c r="R169" t="n">
        <f t="shared" si="131"/>
        <v>0</v>
      </c>
      <c r="S169" t="e">
        <f t="shared" si="132"/>
        <v>#N/A</v>
      </c>
      <c r="T169" t="e">
        <f t="shared" si="133"/>
        <v>#N/A</v>
      </c>
      <c r="U169" t="e">
        <f t="shared" si="134"/>
        <v>#N/A</v>
      </c>
      <c r="V169" t="e">
        <f t="shared" si="135"/>
        <v>#N/A</v>
      </c>
      <c r="W169" t="e">
        <f t="shared" si="136"/>
        <v>#N/A</v>
      </c>
      <c r="X169" t="e">
        <f t="shared" si="137"/>
        <v>#N/A</v>
      </c>
      <c r="Y169" t="e">
        <f t="shared" si="138"/>
        <v>#N/A</v>
      </c>
      <c r="Z169" t="e">
        <f t="shared" si="139"/>
        <v>#N/A</v>
      </c>
      <c r="AA169" t="e">
        <f t="shared" si="140"/>
        <v>#N/A</v>
      </c>
      <c r="AB169" t="e">
        <f t="shared" si="141"/>
        <v>#N/A</v>
      </c>
      <c r="AC169" t="e">
        <f t="shared" si="142"/>
        <v>#N/A</v>
      </c>
      <c r="AD169" t="e">
        <f t="shared" si="143"/>
        <v>#N/A</v>
      </c>
      <c r="AE169" t="e">
        <f t="shared" si="144"/>
        <v>#N/A</v>
      </c>
      <c r="AF169" t="e">
        <f t="shared" si="145"/>
        <v>#N/A</v>
      </c>
      <c r="AG169" t="e">
        <f t="shared" si="146"/>
        <v>#N/A</v>
      </c>
      <c r="AH169" t="e">
        <f t="shared" si="147"/>
        <v>#N/A</v>
      </c>
      <c r="AI169" t="e">
        <f t="shared" si="148"/>
        <v>#N/A</v>
      </c>
      <c r="AJ169" t="e">
        <f t="shared" si="149"/>
        <v>#N/A</v>
      </c>
    </row>
    <row r="170">
      <c r="A170" s="2"/>
      <c r="L170" t="e">
        <f t="shared" si="125"/>
        <v>#N/A</v>
      </c>
      <c r="M170" t="e">
        <f t="shared" si="126"/>
        <v>#N/A</v>
      </c>
      <c r="N170" t="e">
        <f t="shared" si="127"/>
        <v>#N/A</v>
      </c>
      <c r="O170" t="n">
        <f t="shared" si="128"/>
        <v>0</v>
      </c>
      <c r="P170" t="n">
        <f t="shared" si="129"/>
        <v>0</v>
      </c>
      <c r="Q170" t="n">
        <f t="shared" si="130"/>
        <v>0</v>
      </c>
      <c r="R170" t="n">
        <f t="shared" si="131"/>
        <v>0</v>
      </c>
      <c r="S170" t="e">
        <f t="shared" si="132"/>
        <v>#N/A</v>
      </c>
      <c r="T170" t="e">
        <f t="shared" si="133"/>
        <v>#N/A</v>
      </c>
      <c r="U170" t="e">
        <f t="shared" si="134"/>
        <v>#N/A</v>
      </c>
      <c r="V170" t="e">
        <f t="shared" si="135"/>
        <v>#N/A</v>
      </c>
      <c r="W170" t="e">
        <f t="shared" si="136"/>
        <v>#N/A</v>
      </c>
      <c r="X170" t="e">
        <f t="shared" si="137"/>
        <v>#N/A</v>
      </c>
      <c r="Y170" t="e">
        <f t="shared" si="138"/>
        <v>#N/A</v>
      </c>
      <c r="Z170" t="e">
        <f t="shared" si="139"/>
        <v>#N/A</v>
      </c>
      <c r="AA170" t="e">
        <f t="shared" si="140"/>
        <v>#N/A</v>
      </c>
      <c r="AB170" t="e">
        <f t="shared" si="141"/>
        <v>#N/A</v>
      </c>
      <c r="AC170" t="e">
        <f t="shared" si="142"/>
        <v>#N/A</v>
      </c>
      <c r="AD170" t="e">
        <f t="shared" si="143"/>
        <v>#N/A</v>
      </c>
      <c r="AE170" t="e">
        <f t="shared" si="144"/>
        <v>#N/A</v>
      </c>
      <c r="AF170" t="e">
        <f t="shared" si="145"/>
        <v>#N/A</v>
      </c>
      <c r="AG170" t="e">
        <f t="shared" si="146"/>
        <v>#N/A</v>
      </c>
      <c r="AH170" t="e">
        <f t="shared" si="147"/>
        <v>#N/A</v>
      </c>
      <c r="AI170" t="e">
        <f t="shared" si="148"/>
        <v>#N/A</v>
      </c>
      <c r="AJ170" t="e">
        <f t="shared" si="149"/>
        <v>#N/A</v>
      </c>
    </row>
    <row r="171">
      <c r="A171" s="2"/>
      <c r="L171" t="e">
        <f t="shared" si="125"/>
        <v>#N/A</v>
      </c>
      <c r="M171" t="e">
        <f t="shared" si="126"/>
        <v>#N/A</v>
      </c>
      <c r="N171" t="e">
        <f t="shared" si="127"/>
        <v>#N/A</v>
      </c>
      <c r="O171" t="n">
        <f t="shared" si="128"/>
        <v>0</v>
      </c>
      <c r="P171" t="n">
        <f t="shared" si="129"/>
        <v>0</v>
      </c>
      <c r="Q171" t="n">
        <f t="shared" si="130"/>
        <v>0</v>
      </c>
      <c r="R171" t="n">
        <f t="shared" si="131"/>
        <v>0</v>
      </c>
      <c r="S171" t="e">
        <f t="shared" si="132"/>
        <v>#N/A</v>
      </c>
      <c r="T171" t="e">
        <f t="shared" si="133"/>
        <v>#N/A</v>
      </c>
      <c r="U171" t="e">
        <f t="shared" si="134"/>
        <v>#N/A</v>
      </c>
      <c r="V171" t="e">
        <f t="shared" si="135"/>
        <v>#N/A</v>
      </c>
      <c r="W171" t="e">
        <f t="shared" si="136"/>
        <v>#N/A</v>
      </c>
      <c r="X171" t="e">
        <f t="shared" si="137"/>
        <v>#N/A</v>
      </c>
      <c r="Y171" t="e">
        <f t="shared" si="138"/>
        <v>#N/A</v>
      </c>
      <c r="Z171" t="e">
        <f t="shared" si="139"/>
        <v>#N/A</v>
      </c>
      <c r="AA171" t="e">
        <f t="shared" si="140"/>
        <v>#N/A</v>
      </c>
      <c r="AB171" t="e">
        <f t="shared" si="141"/>
        <v>#N/A</v>
      </c>
      <c r="AC171" t="e">
        <f t="shared" si="142"/>
        <v>#N/A</v>
      </c>
      <c r="AD171" t="e">
        <f t="shared" si="143"/>
        <v>#N/A</v>
      </c>
      <c r="AE171" t="e">
        <f t="shared" si="144"/>
        <v>#N/A</v>
      </c>
      <c r="AF171" t="e">
        <f t="shared" si="145"/>
        <v>#N/A</v>
      </c>
      <c r="AG171" t="e">
        <f t="shared" si="146"/>
        <v>#N/A</v>
      </c>
      <c r="AH171" t="e">
        <f t="shared" si="147"/>
        <v>#N/A</v>
      </c>
      <c r="AI171" t="e">
        <f t="shared" si="148"/>
        <v>#N/A</v>
      </c>
      <c r="AJ171" t="e">
        <f t="shared" si="149"/>
        <v>#N/A</v>
      </c>
    </row>
    <row r="172">
      <c r="A172" s="2"/>
      <c r="L172" t="e">
        <f t="shared" si="125"/>
        <v>#N/A</v>
      </c>
      <c r="M172" t="e">
        <f t="shared" si="126"/>
        <v>#N/A</v>
      </c>
      <c r="N172" t="e">
        <f t="shared" si="127"/>
        <v>#N/A</v>
      </c>
      <c r="O172" t="n">
        <f t="shared" si="128"/>
        <v>0</v>
      </c>
      <c r="P172" t="n">
        <f t="shared" si="129"/>
        <v>0</v>
      </c>
      <c r="Q172" t="n">
        <f t="shared" si="130"/>
        <v>0</v>
      </c>
      <c r="R172" t="n">
        <f t="shared" si="131"/>
        <v>0</v>
      </c>
      <c r="S172" t="e">
        <f t="shared" si="132"/>
        <v>#N/A</v>
      </c>
      <c r="T172" t="e">
        <f t="shared" si="133"/>
        <v>#N/A</v>
      </c>
      <c r="U172" t="e">
        <f t="shared" si="134"/>
        <v>#N/A</v>
      </c>
      <c r="V172" t="e">
        <f t="shared" si="135"/>
        <v>#N/A</v>
      </c>
      <c r="W172" t="e">
        <f t="shared" si="136"/>
        <v>#N/A</v>
      </c>
      <c r="X172" t="e">
        <f t="shared" si="137"/>
        <v>#N/A</v>
      </c>
      <c r="Y172" t="e">
        <f t="shared" si="138"/>
        <v>#N/A</v>
      </c>
      <c r="Z172" t="e">
        <f t="shared" si="139"/>
        <v>#N/A</v>
      </c>
      <c r="AA172" t="e">
        <f t="shared" si="140"/>
        <v>#N/A</v>
      </c>
      <c r="AB172" t="e">
        <f t="shared" si="141"/>
        <v>#N/A</v>
      </c>
      <c r="AC172" t="e">
        <f t="shared" si="142"/>
        <v>#N/A</v>
      </c>
      <c r="AD172" t="e">
        <f t="shared" si="143"/>
        <v>#N/A</v>
      </c>
      <c r="AE172" t="e">
        <f t="shared" si="144"/>
        <v>#N/A</v>
      </c>
      <c r="AF172" t="e">
        <f t="shared" si="145"/>
        <v>#N/A</v>
      </c>
      <c r="AG172" t="e">
        <f t="shared" si="146"/>
        <v>#N/A</v>
      </c>
      <c r="AH172" t="e">
        <f t="shared" si="147"/>
        <v>#N/A</v>
      </c>
      <c r="AI172" t="e">
        <f t="shared" si="148"/>
        <v>#N/A</v>
      </c>
      <c r="AJ172" t="e">
        <f t="shared" si="149"/>
        <v>#N/A</v>
      </c>
    </row>
    <row r="173">
      <c r="A173" s="2"/>
      <c r="L173" t="e">
        <f t="shared" si="125"/>
        <v>#N/A</v>
      </c>
      <c r="M173" t="e">
        <f t="shared" si="126"/>
        <v>#N/A</v>
      </c>
      <c r="N173" t="e">
        <f t="shared" si="127"/>
        <v>#N/A</v>
      </c>
      <c r="O173" t="n">
        <f t="shared" si="128"/>
        <v>0</v>
      </c>
      <c r="P173" t="n">
        <f t="shared" si="129"/>
        <v>0</v>
      </c>
      <c r="Q173" t="n">
        <f t="shared" si="130"/>
        <v>0</v>
      </c>
      <c r="R173" t="n">
        <f t="shared" si="131"/>
        <v>0</v>
      </c>
      <c r="S173" t="e">
        <f t="shared" si="132"/>
        <v>#N/A</v>
      </c>
      <c r="T173" t="e">
        <f t="shared" si="133"/>
        <v>#N/A</v>
      </c>
      <c r="U173" t="e">
        <f t="shared" si="134"/>
        <v>#N/A</v>
      </c>
      <c r="V173" t="e">
        <f t="shared" si="135"/>
        <v>#N/A</v>
      </c>
      <c r="W173" t="e">
        <f t="shared" si="136"/>
        <v>#N/A</v>
      </c>
      <c r="X173" t="e">
        <f t="shared" si="137"/>
        <v>#N/A</v>
      </c>
      <c r="Y173" t="e">
        <f t="shared" si="138"/>
        <v>#N/A</v>
      </c>
      <c r="Z173" t="e">
        <f t="shared" si="139"/>
        <v>#N/A</v>
      </c>
      <c r="AA173" t="e">
        <f t="shared" si="140"/>
        <v>#N/A</v>
      </c>
      <c r="AB173" t="e">
        <f t="shared" si="141"/>
        <v>#N/A</v>
      </c>
      <c r="AC173" t="e">
        <f t="shared" si="142"/>
        <v>#N/A</v>
      </c>
      <c r="AD173" t="e">
        <f t="shared" si="143"/>
        <v>#N/A</v>
      </c>
      <c r="AE173" t="e">
        <f t="shared" si="144"/>
        <v>#N/A</v>
      </c>
      <c r="AF173" t="e">
        <f t="shared" si="145"/>
        <v>#N/A</v>
      </c>
      <c r="AG173" t="e">
        <f t="shared" si="146"/>
        <v>#N/A</v>
      </c>
      <c r="AH173" t="e">
        <f t="shared" si="147"/>
        <v>#N/A</v>
      </c>
      <c r="AI173" t="e">
        <f t="shared" si="148"/>
        <v>#N/A</v>
      </c>
      <c r="AJ173" t="e">
        <f t="shared" si="149"/>
        <v>#N/A</v>
      </c>
    </row>
    <row r="174">
      <c r="A174" s="2"/>
      <c r="L174" t="e">
        <f t="shared" si="125"/>
        <v>#N/A</v>
      </c>
      <c r="M174" t="e">
        <f t="shared" si="126"/>
        <v>#N/A</v>
      </c>
      <c r="N174" t="e">
        <f t="shared" si="127"/>
        <v>#N/A</v>
      </c>
      <c r="O174" t="n">
        <f t="shared" si="128"/>
        <v>0</v>
      </c>
      <c r="P174" t="n">
        <f t="shared" si="129"/>
        <v>0</v>
      </c>
      <c r="Q174" t="n">
        <f t="shared" si="130"/>
        <v>0</v>
      </c>
      <c r="R174" t="n">
        <f t="shared" si="131"/>
        <v>0</v>
      </c>
      <c r="S174" t="e">
        <f t="shared" si="132"/>
        <v>#N/A</v>
      </c>
      <c r="T174" t="e">
        <f t="shared" si="133"/>
        <v>#N/A</v>
      </c>
      <c r="U174" t="e">
        <f t="shared" si="134"/>
        <v>#N/A</v>
      </c>
      <c r="V174" t="e">
        <f t="shared" si="135"/>
        <v>#N/A</v>
      </c>
      <c r="W174" t="e">
        <f t="shared" si="136"/>
        <v>#N/A</v>
      </c>
      <c r="X174" t="e">
        <f t="shared" si="137"/>
        <v>#N/A</v>
      </c>
      <c r="Y174" t="e">
        <f t="shared" si="138"/>
        <v>#N/A</v>
      </c>
      <c r="Z174" t="e">
        <f t="shared" si="139"/>
        <v>#N/A</v>
      </c>
      <c r="AA174" t="e">
        <f t="shared" si="140"/>
        <v>#N/A</v>
      </c>
      <c r="AB174" t="e">
        <f t="shared" si="141"/>
        <v>#N/A</v>
      </c>
      <c r="AC174" t="e">
        <f t="shared" si="142"/>
        <v>#N/A</v>
      </c>
      <c r="AD174" t="e">
        <f t="shared" si="143"/>
        <v>#N/A</v>
      </c>
      <c r="AE174" t="e">
        <f t="shared" si="144"/>
        <v>#N/A</v>
      </c>
      <c r="AF174" t="e">
        <f t="shared" si="145"/>
        <v>#N/A</v>
      </c>
      <c r="AG174" t="e">
        <f t="shared" si="146"/>
        <v>#N/A</v>
      </c>
      <c r="AH174" t="e">
        <f t="shared" si="147"/>
        <v>#N/A</v>
      </c>
      <c r="AI174" t="e">
        <f t="shared" si="148"/>
        <v>#N/A</v>
      </c>
      <c r="AJ174" t="e">
        <f t="shared" si="149"/>
        <v>#N/A</v>
      </c>
    </row>
    <row r="175">
      <c r="A175" s="2"/>
      <c r="L175" t="e">
        <f t="shared" si="125"/>
        <v>#N/A</v>
      </c>
      <c r="M175" t="e">
        <f t="shared" si="126"/>
        <v>#N/A</v>
      </c>
      <c r="N175" t="e">
        <f t="shared" si="127"/>
        <v>#N/A</v>
      </c>
      <c r="O175" t="n">
        <f t="shared" si="128"/>
        <v>0</v>
      </c>
      <c r="P175" t="n">
        <f t="shared" si="129"/>
        <v>0</v>
      </c>
      <c r="Q175" t="n">
        <f t="shared" si="130"/>
        <v>0</v>
      </c>
      <c r="R175" t="n">
        <f t="shared" si="131"/>
        <v>0</v>
      </c>
      <c r="S175" t="e">
        <f t="shared" si="132"/>
        <v>#N/A</v>
      </c>
      <c r="T175" t="e">
        <f t="shared" si="133"/>
        <v>#N/A</v>
      </c>
      <c r="U175" t="e">
        <f t="shared" si="134"/>
        <v>#N/A</v>
      </c>
      <c r="V175" t="e">
        <f t="shared" si="135"/>
        <v>#N/A</v>
      </c>
      <c r="W175" t="e">
        <f t="shared" si="136"/>
        <v>#N/A</v>
      </c>
      <c r="X175" t="e">
        <f t="shared" si="137"/>
        <v>#N/A</v>
      </c>
      <c r="Y175" t="e">
        <f t="shared" si="138"/>
        <v>#N/A</v>
      </c>
      <c r="Z175" t="e">
        <f t="shared" si="139"/>
        <v>#N/A</v>
      </c>
      <c r="AA175" t="e">
        <f t="shared" si="140"/>
        <v>#N/A</v>
      </c>
      <c r="AB175" t="e">
        <f t="shared" si="141"/>
        <v>#N/A</v>
      </c>
      <c r="AC175" t="e">
        <f t="shared" si="142"/>
        <v>#N/A</v>
      </c>
      <c r="AD175" t="e">
        <f t="shared" si="143"/>
        <v>#N/A</v>
      </c>
      <c r="AE175" t="e">
        <f t="shared" si="144"/>
        <v>#N/A</v>
      </c>
      <c r="AF175" t="e">
        <f t="shared" si="145"/>
        <v>#N/A</v>
      </c>
      <c r="AG175" t="e">
        <f t="shared" si="146"/>
        <v>#N/A</v>
      </c>
      <c r="AH175" t="e">
        <f t="shared" si="147"/>
        <v>#N/A</v>
      </c>
      <c r="AI175" t="e">
        <f t="shared" si="148"/>
        <v>#N/A</v>
      </c>
      <c r="AJ175" t="e">
        <f t="shared" si="149"/>
        <v>#N/A</v>
      </c>
    </row>
    <row r="176">
      <c r="A176" s="2"/>
      <c r="L176" t="e">
        <f t="shared" si="125"/>
        <v>#N/A</v>
      </c>
      <c r="M176" t="e">
        <f t="shared" si="126"/>
        <v>#N/A</v>
      </c>
      <c r="N176" t="e">
        <f t="shared" si="127"/>
        <v>#N/A</v>
      </c>
      <c r="O176" t="n">
        <f t="shared" si="128"/>
        <v>0</v>
      </c>
      <c r="P176" t="n">
        <f t="shared" si="129"/>
        <v>0</v>
      </c>
      <c r="Q176" t="n">
        <f t="shared" si="130"/>
        <v>0</v>
      </c>
      <c r="R176" t="n">
        <f t="shared" si="131"/>
        <v>0</v>
      </c>
      <c r="S176" t="e">
        <f t="shared" si="132"/>
        <v>#N/A</v>
      </c>
      <c r="T176" t="e">
        <f t="shared" si="133"/>
        <v>#N/A</v>
      </c>
      <c r="U176" t="e">
        <f t="shared" si="134"/>
        <v>#N/A</v>
      </c>
      <c r="V176" t="e">
        <f t="shared" si="135"/>
        <v>#N/A</v>
      </c>
      <c r="W176" t="e">
        <f t="shared" si="136"/>
        <v>#N/A</v>
      </c>
      <c r="X176" t="e">
        <f t="shared" si="137"/>
        <v>#N/A</v>
      </c>
      <c r="Y176" t="e">
        <f t="shared" si="138"/>
        <v>#N/A</v>
      </c>
      <c r="Z176" t="e">
        <f t="shared" si="139"/>
        <v>#N/A</v>
      </c>
      <c r="AA176" t="e">
        <f t="shared" si="140"/>
        <v>#N/A</v>
      </c>
      <c r="AB176" t="e">
        <f t="shared" si="141"/>
        <v>#N/A</v>
      </c>
      <c r="AC176" t="e">
        <f t="shared" si="142"/>
        <v>#N/A</v>
      </c>
      <c r="AD176" t="e">
        <f t="shared" si="143"/>
        <v>#N/A</v>
      </c>
      <c r="AE176" t="e">
        <f t="shared" si="144"/>
        <v>#N/A</v>
      </c>
      <c r="AF176" t="e">
        <f t="shared" si="145"/>
        <v>#N/A</v>
      </c>
      <c r="AG176" t="e">
        <f t="shared" si="146"/>
        <v>#N/A</v>
      </c>
      <c r="AH176" t="e">
        <f t="shared" si="147"/>
        <v>#N/A</v>
      </c>
      <c r="AI176" t="e">
        <f t="shared" si="148"/>
        <v>#N/A</v>
      </c>
      <c r="AJ176" t="e">
        <f t="shared" si="149"/>
        <v>#N/A</v>
      </c>
    </row>
    <row r="177">
      <c r="A177" s="2"/>
      <c r="L177" t="e">
        <f t="shared" si="125"/>
        <v>#N/A</v>
      </c>
      <c r="M177" t="e">
        <f t="shared" si="126"/>
        <v>#N/A</v>
      </c>
      <c r="N177" t="e">
        <f t="shared" si="127"/>
        <v>#N/A</v>
      </c>
      <c r="O177" t="n">
        <f t="shared" si="128"/>
        <v>0</v>
      </c>
      <c r="P177" t="n">
        <f t="shared" si="129"/>
        <v>0</v>
      </c>
      <c r="Q177" t="n">
        <f t="shared" si="130"/>
        <v>0</v>
      </c>
      <c r="R177" t="n">
        <f t="shared" si="131"/>
        <v>0</v>
      </c>
      <c r="S177" t="e">
        <f t="shared" si="132"/>
        <v>#N/A</v>
      </c>
      <c r="T177" t="e">
        <f t="shared" si="133"/>
        <v>#N/A</v>
      </c>
      <c r="U177" t="e">
        <f t="shared" si="134"/>
        <v>#N/A</v>
      </c>
      <c r="V177" t="e">
        <f t="shared" si="135"/>
        <v>#N/A</v>
      </c>
      <c r="W177" t="e">
        <f t="shared" si="136"/>
        <v>#N/A</v>
      </c>
      <c r="X177" t="e">
        <f t="shared" si="137"/>
        <v>#N/A</v>
      </c>
      <c r="Y177" t="e">
        <f t="shared" si="138"/>
        <v>#N/A</v>
      </c>
      <c r="Z177" t="e">
        <f t="shared" si="139"/>
        <v>#N/A</v>
      </c>
      <c r="AA177" t="e">
        <f t="shared" si="140"/>
        <v>#N/A</v>
      </c>
      <c r="AB177" t="e">
        <f t="shared" si="141"/>
        <v>#N/A</v>
      </c>
      <c r="AC177" t="e">
        <f t="shared" si="142"/>
        <v>#N/A</v>
      </c>
      <c r="AD177" t="e">
        <f t="shared" si="143"/>
        <v>#N/A</v>
      </c>
      <c r="AE177" t="e">
        <f t="shared" si="144"/>
        <v>#N/A</v>
      </c>
      <c r="AF177" t="e">
        <f t="shared" si="145"/>
        <v>#N/A</v>
      </c>
      <c r="AG177" t="e">
        <f t="shared" si="146"/>
        <v>#N/A</v>
      </c>
      <c r="AH177" t="e">
        <f t="shared" si="147"/>
        <v>#N/A</v>
      </c>
      <c r="AI177" t="e">
        <f t="shared" si="148"/>
        <v>#N/A</v>
      </c>
      <c r="AJ177" t="e">
        <f t="shared" si="149"/>
        <v>#N/A</v>
      </c>
    </row>
    <row r="178">
      <c r="A178" s="2"/>
      <c r="L178" t="e">
        <f t="shared" si="125"/>
        <v>#N/A</v>
      </c>
      <c r="M178" t="e">
        <f t="shared" si="126"/>
        <v>#N/A</v>
      </c>
      <c r="N178" t="e">
        <f t="shared" si="127"/>
        <v>#N/A</v>
      </c>
      <c r="O178" t="n">
        <f t="shared" si="128"/>
        <v>0</v>
      </c>
      <c r="P178" t="n">
        <f t="shared" si="129"/>
        <v>0</v>
      </c>
      <c r="Q178" t="n">
        <f t="shared" si="130"/>
        <v>0</v>
      </c>
      <c r="R178" t="n">
        <f t="shared" si="131"/>
        <v>0</v>
      </c>
      <c r="S178" t="e">
        <f t="shared" si="132"/>
        <v>#N/A</v>
      </c>
      <c r="T178" t="e">
        <f t="shared" si="133"/>
        <v>#N/A</v>
      </c>
      <c r="U178" t="e">
        <f t="shared" si="134"/>
        <v>#N/A</v>
      </c>
      <c r="V178" t="e">
        <f t="shared" si="135"/>
        <v>#N/A</v>
      </c>
      <c r="W178" t="e">
        <f t="shared" si="136"/>
        <v>#N/A</v>
      </c>
      <c r="X178" t="e">
        <f t="shared" si="137"/>
        <v>#N/A</v>
      </c>
      <c r="Y178" t="e">
        <f t="shared" si="138"/>
        <v>#N/A</v>
      </c>
      <c r="Z178" t="e">
        <f t="shared" si="139"/>
        <v>#N/A</v>
      </c>
      <c r="AA178" t="e">
        <f t="shared" si="140"/>
        <v>#N/A</v>
      </c>
      <c r="AB178" t="e">
        <f t="shared" si="141"/>
        <v>#N/A</v>
      </c>
      <c r="AC178" t="e">
        <f t="shared" si="142"/>
        <v>#N/A</v>
      </c>
      <c r="AD178" t="e">
        <f t="shared" si="143"/>
        <v>#N/A</v>
      </c>
      <c r="AE178" t="e">
        <f t="shared" si="144"/>
        <v>#N/A</v>
      </c>
      <c r="AF178" t="e">
        <f t="shared" si="145"/>
        <v>#N/A</v>
      </c>
      <c r="AG178" t="e">
        <f t="shared" si="146"/>
        <v>#N/A</v>
      </c>
      <c r="AH178" t="e">
        <f t="shared" si="147"/>
        <v>#N/A</v>
      </c>
      <c r="AI178" t="e">
        <f t="shared" si="148"/>
        <v>#N/A</v>
      </c>
      <c r="AJ178" t="e">
        <f t="shared" si="149"/>
        <v>#N/A</v>
      </c>
    </row>
    <row r="179">
      <c r="A179" s="2"/>
      <c r="L179" t="e">
        <f t="shared" si="125"/>
        <v>#N/A</v>
      </c>
      <c r="M179" t="e">
        <f t="shared" si="126"/>
        <v>#N/A</v>
      </c>
      <c r="N179" t="e">
        <f t="shared" si="127"/>
        <v>#N/A</v>
      </c>
      <c r="O179" t="n">
        <f t="shared" si="128"/>
        <v>0</v>
      </c>
      <c r="P179" t="n">
        <f t="shared" si="129"/>
        <v>0</v>
      </c>
      <c r="Q179" t="n">
        <f t="shared" si="130"/>
        <v>0</v>
      </c>
      <c r="R179" t="n">
        <f t="shared" si="131"/>
        <v>0</v>
      </c>
      <c r="S179" t="e">
        <f t="shared" si="132"/>
        <v>#N/A</v>
      </c>
      <c r="T179" t="e">
        <f t="shared" si="133"/>
        <v>#N/A</v>
      </c>
      <c r="U179" t="e">
        <f t="shared" si="134"/>
        <v>#N/A</v>
      </c>
      <c r="V179" t="e">
        <f t="shared" si="135"/>
        <v>#N/A</v>
      </c>
      <c r="W179" t="e">
        <f t="shared" si="136"/>
        <v>#N/A</v>
      </c>
      <c r="X179" t="e">
        <f t="shared" si="137"/>
        <v>#N/A</v>
      </c>
      <c r="Y179" t="e">
        <f t="shared" si="138"/>
        <v>#N/A</v>
      </c>
      <c r="Z179" t="e">
        <f t="shared" si="139"/>
        <v>#N/A</v>
      </c>
      <c r="AA179" t="e">
        <f t="shared" si="140"/>
        <v>#N/A</v>
      </c>
      <c r="AB179" t="e">
        <f t="shared" si="141"/>
        <v>#N/A</v>
      </c>
      <c r="AC179" t="e">
        <f t="shared" si="142"/>
        <v>#N/A</v>
      </c>
      <c r="AD179" t="e">
        <f t="shared" si="143"/>
        <v>#N/A</v>
      </c>
      <c r="AE179" t="e">
        <f t="shared" si="144"/>
        <v>#N/A</v>
      </c>
      <c r="AF179" t="e">
        <f t="shared" si="145"/>
        <v>#N/A</v>
      </c>
      <c r="AG179" t="e">
        <f t="shared" si="146"/>
        <v>#N/A</v>
      </c>
      <c r="AH179" t="e">
        <f t="shared" si="147"/>
        <v>#N/A</v>
      </c>
      <c r="AI179" t="e">
        <f t="shared" si="148"/>
        <v>#N/A</v>
      </c>
      <c r="AJ179" t="e">
        <f t="shared" si="149"/>
        <v>#N/A</v>
      </c>
    </row>
    <row r="180">
      <c r="A180" s="2"/>
      <c r="L180" t="e">
        <f t="shared" si="125"/>
        <v>#N/A</v>
      </c>
      <c r="M180" t="e">
        <f t="shared" si="126"/>
        <v>#N/A</v>
      </c>
      <c r="N180" t="e">
        <f t="shared" si="127"/>
        <v>#N/A</v>
      </c>
      <c r="O180" t="n">
        <f t="shared" si="128"/>
        <v>0</v>
      </c>
      <c r="P180" t="n">
        <f t="shared" si="129"/>
        <v>0</v>
      </c>
      <c r="Q180" t="n">
        <f t="shared" si="130"/>
        <v>0</v>
      </c>
      <c r="R180" t="n">
        <f t="shared" si="131"/>
        <v>0</v>
      </c>
      <c r="S180" t="e">
        <f t="shared" si="132"/>
        <v>#N/A</v>
      </c>
      <c r="T180" t="e">
        <f t="shared" si="133"/>
        <v>#N/A</v>
      </c>
      <c r="U180" t="e">
        <f t="shared" si="134"/>
        <v>#N/A</v>
      </c>
      <c r="V180" t="e">
        <f t="shared" si="135"/>
        <v>#N/A</v>
      </c>
      <c r="W180" t="e">
        <f t="shared" si="136"/>
        <v>#N/A</v>
      </c>
      <c r="X180" t="e">
        <f t="shared" si="137"/>
        <v>#N/A</v>
      </c>
      <c r="Y180" t="e">
        <f t="shared" si="138"/>
        <v>#N/A</v>
      </c>
      <c r="Z180" t="e">
        <f t="shared" si="139"/>
        <v>#N/A</v>
      </c>
      <c r="AA180" t="e">
        <f t="shared" si="140"/>
        <v>#N/A</v>
      </c>
      <c r="AB180" t="e">
        <f t="shared" si="141"/>
        <v>#N/A</v>
      </c>
      <c r="AC180" t="e">
        <f t="shared" si="142"/>
        <v>#N/A</v>
      </c>
      <c r="AD180" t="e">
        <f t="shared" si="143"/>
        <v>#N/A</v>
      </c>
      <c r="AE180" t="e">
        <f t="shared" si="144"/>
        <v>#N/A</v>
      </c>
      <c r="AF180" t="e">
        <f t="shared" si="145"/>
        <v>#N/A</v>
      </c>
      <c r="AG180" t="e">
        <f t="shared" si="146"/>
        <v>#N/A</v>
      </c>
      <c r="AH180" t="e">
        <f t="shared" si="147"/>
        <v>#N/A</v>
      </c>
      <c r="AI180" t="e">
        <f t="shared" si="148"/>
        <v>#N/A</v>
      </c>
      <c r="AJ180" t="e">
        <f t="shared" si="149"/>
        <v>#N/A</v>
      </c>
    </row>
    <row r="181">
      <c r="A181" s="2"/>
      <c r="L181" t="e">
        <f t="shared" si="125"/>
        <v>#N/A</v>
      </c>
      <c r="M181" t="e">
        <f t="shared" si="126"/>
        <v>#N/A</v>
      </c>
      <c r="N181" t="e">
        <f t="shared" si="127"/>
        <v>#N/A</v>
      </c>
      <c r="O181" t="n">
        <f t="shared" si="128"/>
        <v>0</v>
      </c>
      <c r="P181" t="n">
        <f t="shared" si="129"/>
        <v>0</v>
      </c>
      <c r="Q181" t="n">
        <f t="shared" si="130"/>
        <v>0</v>
      </c>
      <c r="R181" t="n">
        <f t="shared" si="131"/>
        <v>0</v>
      </c>
      <c r="S181" t="e">
        <f t="shared" si="132"/>
        <v>#N/A</v>
      </c>
      <c r="T181" t="e">
        <f t="shared" si="133"/>
        <v>#N/A</v>
      </c>
      <c r="U181" t="e">
        <f t="shared" si="134"/>
        <v>#N/A</v>
      </c>
      <c r="V181" t="e">
        <f t="shared" si="135"/>
        <v>#N/A</v>
      </c>
      <c r="W181" t="e">
        <f t="shared" si="136"/>
        <v>#N/A</v>
      </c>
      <c r="X181" t="e">
        <f t="shared" si="137"/>
        <v>#N/A</v>
      </c>
      <c r="Y181" t="e">
        <f t="shared" si="138"/>
        <v>#N/A</v>
      </c>
      <c r="Z181" t="e">
        <f t="shared" si="139"/>
        <v>#N/A</v>
      </c>
      <c r="AA181" t="e">
        <f t="shared" si="140"/>
        <v>#N/A</v>
      </c>
      <c r="AB181" t="e">
        <f t="shared" si="141"/>
        <v>#N/A</v>
      </c>
      <c r="AC181" t="e">
        <f t="shared" si="142"/>
        <v>#N/A</v>
      </c>
      <c r="AD181" t="e">
        <f t="shared" si="143"/>
        <v>#N/A</v>
      </c>
      <c r="AE181" t="e">
        <f t="shared" si="144"/>
        <v>#N/A</v>
      </c>
      <c r="AF181" t="e">
        <f t="shared" si="145"/>
        <v>#N/A</v>
      </c>
      <c r="AG181" t="e">
        <f t="shared" si="146"/>
        <v>#N/A</v>
      </c>
      <c r="AH181" t="e">
        <f t="shared" si="147"/>
        <v>#N/A</v>
      </c>
      <c r="AI181" t="e">
        <f t="shared" si="148"/>
        <v>#N/A</v>
      </c>
      <c r="AJ181" t="e">
        <f t="shared" si="149"/>
        <v>#N/A</v>
      </c>
    </row>
    <row r="182">
      <c r="A182" s="2"/>
      <c r="L182" t="e">
        <f t="shared" si="125"/>
        <v>#N/A</v>
      </c>
      <c r="M182" t="e">
        <f t="shared" si="126"/>
        <v>#N/A</v>
      </c>
      <c r="N182" t="e">
        <f t="shared" si="127"/>
        <v>#N/A</v>
      </c>
      <c r="O182" t="n">
        <f t="shared" si="128"/>
        <v>0</v>
      </c>
      <c r="P182" t="n">
        <f t="shared" si="129"/>
        <v>0</v>
      </c>
      <c r="Q182" t="n">
        <f t="shared" si="130"/>
        <v>0</v>
      </c>
      <c r="R182" t="n">
        <f t="shared" si="131"/>
        <v>0</v>
      </c>
      <c r="S182" t="e">
        <f t="shared" si="132"/>
        <v>#N/A</v>
      </c>
      <c r="T182" t="e">
        <f t="shared" si="133"/>
        <v>#N/A</v>
      </c>
      <c r="U182" t="e">
        <f t="shared" si="134"/>
        <v>#N/A</v>
      </c>
      <c r="V182" t="e">
        <f t="shared" si="135"/>
        <v>#N/A</v>
      </c>
      <c r="W182" t="e">
        <f t="shared" si="136"/>
        <v>#N/A</v>
      </c>
      <c r="X182" t="e">
        <f t="shared" si="137"/>
        <v>#N/A</v>
      </c>
      <c r="Y182" t="e">
        <f t="shared" si="138"/>
        <v>#N/A</v>
      </c>
      <c r="Z182" t="e">
        <f t="shared" si="139"/>
        <v>#N/A</v>
      </c>
      <c r="AA182" t="e">
        <f t="shared" si="140"/>
        <v>#N/A</v>
      </c>
      <c r="AB182" t="e">
        <f t="shared" si="141"/>
        <v>#N/A</v>
      </c>
      <c r="AC182" t="e">
        <f t="shared" si="142"/>
        <v>#N/A</v>
      </c>
      <c r="AD182" t="e">
        <f t="shared" si="143"/>
        <v>#N/A</v>
      </c>
      <c r="AE182" t="e">
        <f t="shared" si="144"/>
        <v>#N/A</v>
      </c>
      <c r="AF182" t="e">
        <f t="shared" si="145"/>
        <v>#N/A</v>
      </c>
      <c r="AG182" t="e">
        <f t="shared" si="146"/>
        <v>#N/A</v>
      </c>
      <c r="AH182" t="e">
        <f t="shared" si="147"/>
        <v>#N/A</v>
      </c>
      <c r="AI182" t="e">
        <f t="shared" si="148"/>
        <v>#N/A</v>
      </c>
      <c r="AJ182" t="e">
        <f t="shared" si="149"/>
        <v>#N/A</v>
      </c>
    </row>
    <row r="183">
      <c r="A183" s="2"/>
      <c r="L183" t="e">
        <f t="shared" si="125"/>
        <v>#N/A</v>
      </c>
      <c r="M183" t="e">
        <f t="shared" si="126"/>
        <v>#N/A</v>
      </c>
      <c r="N183" t="e">
        <f t="shared" si="127"/>
        <v>#N/A</v>
      </c>
      <c r="O183" t="n">
        <f t="shared" si="128"/>
        <v>0</v>
      </c>
      <c r="P183" t="n">
        <f t="shared" si="129"/>
        <v>0</v>
      </c>
      <c r="Q183" t="n">
        <f t="shared" si="130"/>
        <v>0</v>
      </c>
      <c r="R183" t="n">
        <f t="shared" si="131"/>
        <v>0</v>
      </c>
      <c r="S183" t="e">
        <f t="shared" si="132"/>
        <v>#N/A</v>
      </c>
      <c r="T183" t="e">
        <f t="shared" si="133"/>
        <v>#N/A</v>
      </c>
      <c r="U183" t="e">
        <f t="shared" si="134"/>
        <v>#N/A</v>
      </c>
      <c r="V183" t="e">
        <f t="shared" si="135"/>
        <v>#N/A</v>
      </c>
      <c r="W183" t="e">
        <f t="shared" si="136"/>
        <v>#N/A</v>
      </c>
      <c r="X183" t="e">
        <f t="shared" si="137"/>
        <v>#N/A</v>
      </c>
      <c r="Y183" t="e">
        <f t="shared" si="138"/>
        <v>#N/A</v>
      </c>
      <c r="Z183" t="e">
        <f t="shared" si="139"/>
        <v>#N/A</v>
      </c>
      <c r="AA183" t="e">
        <f t="shared" si="140"/>
        <v>#N/A</v>
      </c>
      <c r="AB183" t="e">
        <f t="shared" si="141"/>
        <v>#N/A</v>
      </c>
      <c r="AC183" t="e">
        <f t="shared" si="142"/>
        <v>#N/A</v>
      </c>
      <c r="AD183" t="e">
        <f t="shared" si="143"/>
        <v>#N/A</v>
      </c>
      <c r="AE183" t="e">
        <f t="shared" si="144"/>
        <v>#N/A</v>
      </c>
      <c r="AF183" t="e">
        <f t="shared" si="145"/>
        <v>#N/A</v>
      </c>
      <c r="AG183" t="e">
        <f t="shared" si="146"/>
        <v>#N/A</v>
      </c>
      <c r="AH183" t="e">
        <f t="shared" si="147"/>
        <v>#N/A</v>
      </c>
      <c r="AI183" t="e">
        <f t="shared" si="148"/>
        <v>#N/A</v>
      </c>
      <c r="AJ183" t="e">
        <f t="shared" si="149"/>
        <v>#N/A</v>
      </c>
    </row>
    <row r="184">
      <c r="A184" s="2"/>
      <c r="L184" t="e">
        <f t="shared" si="125"/>
        <v>#N/A</v>
      </c>
      <c r="M184" t="e">
        <f t="shared" si="126"/>
        <v>#N/A</v>
      </c>
      <c r="N184" t="e">
        <f t="shared" si="127"/>
        <v>#N/A</v>
      </c>
      <c r="O184" t="n">
        <f t="shared" si="128"/>
        <v>0</v>
      </c>
      <c r="P184" t="n">
        <f t="shared" si="129"/>
        <v>0</v>
      </c>
      <c r="Q184" t="n">
        <f t="shared" si="130"/>
        <v>0</v>
      </c>
      <c r="R184" t="n">
        <f t="shared" si="131"/>
        <v>0</v>
      </c>
      <c r="S184" t="e">
        <f t="shared" si="132"/>
        <v>#N/A</v>
      </c>
      <c r="T184" t="e">
        <f t="shared" si="133"/>
        <v>#N/A</v>
      </c>
      <c r="U184" t="e">
        <f t="shared" si="134"/>
        <v>#N/A</v>
      </c>
      <c r="V184" t="e">
        <f t="shared" si="135"/>
        <v>#N/A</v>
      </c>
      <c r="W184" t="e">
        <f t="shared" si="136"/>
        <v>#N/A</v>
      </c>
      <c r="X184" t="e">
        <f t="shared" si="137"/>
        <v>#N/A</v>
      </c>
      <c r="Y184" t="e">
        <f t="shared" si="138"/>
        <v>#N/A</v>
      </c>
      <c r="Z184" t="e">
        <f t="shared" si="139"/>
        <v>#N/A</v>
      </c>
      <c r="AA184" t="e">
        <f t="shared" si="140"/>
        <v>#N/A</v>
      </c>
      <c r="AB184" t="e">
        <f t="shared" si="141"/>
        <v>#N/A</v>
      </c>
      <c r="AC184" t="e">
        <f t="shared" si="142"/>
        <v>#N/A</v>
      </c>
      <c r="AD184" t="e">
        <f t="shared" si="143"/>
        <v>#N/A</v>
      </c>
      <c r="AE184" t="e">
        <f t="shared" si="144"/>
        <v>#N/A</v>
      </c>
      <c r="AF184" t="e">
        <f t="shared" si="145"/>
        <v>#N/A</v>
      </c>
      <c r="AG184" t="e">
        <f t="shared" si="146"/>
        <v>#N/A</v>
      </c>
      <c r="AH184" t="e">
        <f t="shared" si="147"/>
        <v>#N/A</v>
      </c>
      <c r="AI184" t="e">
        <f t="shared" si="148"/>
        <v>#N/A</v>
      </c>
      <c r="AJ184" t="e">
        <f t="shared" si="149"/>
        <v>#N/A</v>
      </c>
    </row>
    <row r="185">
      <c r="A185" s="2"/>
      <c r="L185" t="e">
        <f t="shared" si="125"/>
        <v>#N/A</v>
      </c>
      <c r="M185" t="e">
        <f t="shared" si="126"/>
        <v>#N/A</v>
      </c>
      <c r="N185" t="e">
        <f t="shared" si="127"/>
        <v>#N/A</v>
      </c>
      <c r="O185" t="n">
        <f t="shared" si="128"/>
        <v>0</v>
      </c>
      <c r="P185" t="n">
        <f t="shared" si="129"/>
        <v>0</v>
      </c>
      <c r="Q185" t="n">
        <f t="shared" si="130"/>
        <v>0</v>
      </c>
      <c r="R185" t="n">
        <f t="shared" si="131"/>
        <v>0</v>
      </c>
      <c r="S185" t="e">
        <f t="shared" si="132"/>
        <v>#N/A</v>
      </c>
      <c r="T185" t="e">
        <f t="shared" si="133"/>
        <v>#N/A</v>
      </c>
      <c r="U185" t="e">
        <f t="shared" si="134"/>
        <v>#N/A</v>
      </c>
      <c r="V185" t="e">
        <f t="shared" si="135"/>
        <v>#N/A</v>
      </c>
      <c r="W185" t="e">
        <f t="shared" si="136"/>
        <v>#N/A</v>
      </c>
      <c r="X185" t="e">
        <f t="shared" si="137"/>
        <v>#N/A</v>
      </c>
      <c r="Y185" t="e">
        <f t="shared" si="138"/>
        <v>#N/A</v>
      </c>
      <c r="Z185" t="e">
        <f t="shared" si="139"/>
        <v>#N/A</v>
      </c>
      <c r="AA185" t="e">
        <f t="shared" si="140"/>
        <v>#N/A</v>
      </c>
      <c r="AB185" t="e">
        <f t="shared" si="141"/>
        <v>#N/A</v>
      </c>
      <c r="AC185" t="e">
        <f t="shared" si="142"/>
        <v>#N/A</v>
      </c>
      <c r="AD185" t="e">
        <f t="shared" si="143"/>
        <v>#N/A</v>
      </c>
      <c r="AE185" t="e">
        <f t="shared" si="144"/>
        <v>#N/A</v>
      </c>
      <c r="AF185" t="e">
        <f t="shared" si="145"/>
        <v>#N/A</v>
      </c>
      <c r="AG185" t="e">
        <f t="shared" si="146"/>
        <v>#N/A</v>
      </c>
      <c r="AH185" t="e">
        <f t="shared" si="147"/>
        <v>#N/A</v>
      </c>
      <c r="AI185" t="e">
        <f t="shared" si="148"/>
        <v>#N/A</v>
      </c>
      <c r="AJ185" t="e">
        <f t="shared" si="149"/>
        <v>#N/A</v>
      </c>
    </row>
    <row r="186">
      <c r="A186" s="2"/>
      <c r="L186" t="e">
        <f t="shared" si="125"/>
        <v>#N/A</v>
      </c>
      <c r="M186" t="e">
        <f t="shared" si="126"/>
        <v>#N/A</v>
      </c>
      <c r="N186" t="e">
        <f t="shared" si="127"/>
        <v>#N/A</v>
      </c>
      <c r="O186" t="n">
        <f t="shared" si="128"/>
        <v>0</v>
      </c>
      <c r="P186" t="n">
        <f t="shared" si="129"/>
        <v>0</v>
      </c>
      <c r="Q186" t="n">
        <f t="shared" si="130"/>
        <v>0</v>
      </c>
      <c r="R186" t="n">
        <f t="shared" si="131"/>
        <v>0</v>
      </c>
      <c r="S186" t="e">
        <f t="shared" si="132"/>
        <v>#N/A</v>
      </c>
      <c r="T186" t="e">
        <f t="shared" si="133"/>
        <v>#N/A</v>
      </c>
      <c r="U186" t="e">
        <f t="shared" si="134"/>
        <v>#N/A</v>
      </c>
      <c r="V186" t="e">
        <f t="shared" si="135"/>
        <v>#N/A</v>
      </c>
      <c r="W186" t="e">
        <f t="shared" si="136"/>
        <v>#N/A</v>
      </c>
      <c r="X186" t="e">
        <f t="shared" si="137"/>
        <v>#N/A</v>
      </c>
      <c r="Y186" t="e">
        <f t="shared" si="138"/>
        <v>#N/A</v>
      </c>
      <c r="Z186" t="e">
        <f t="shared" si="139"/>
        <v>#N/A</v>
      </c>
      <c r="AA186" t="e">
        <f t="shared" si="140"/>
        <v>#N/A</v>
      </c>
      <c r="AB186" t="e">
        <f t="shared" si="141"/>
        <v>#N/A</v>
      </c>
      <c r="AC186" t="e">
        <f t="shared" si="142"/>
        <v>#N/A</v>
      </c>
      <c r="AD186" t="e">
        <f t="shared" si="143"/>
        <v>#N/A</v>
      </c>
      <c r="AE186" t="e">
        <f t="shared" si="144"/>
        <v>#N/A</v>
      </c>
      <c r="AF186" t="e">
        <f t="shared" si="145"/>
        <v>#N/A</v>
      </c>
      <c r="AG186" t="e">
        <f t="shared" si="146"/>
        <v>#N/A</v>
      </c>
      <c r="AH186" t="e">
        <f t="shared" si="147"/>
        <v>#N/A</v>
      </c>
      <c r="AI186" t="e">
        <f t="shared" si="148"/>
        <v>#N/A</v>
      </c>
      <c r="AJ186" t="e">
        <f t="shared" si="149"/>
        <v>#N/A</v>
      </c>
    </row>
    <row r="187">
      <c r="A187" s="2"/>
      <c r="L187" t="e">
        <f t="shared" si="125"/>
        <v>#N/A</v>
      </c>
      <c r="M187" t="e">
        <f t="shared" si="126"/>
        <v>#N/A</v>
      </c>
      <c r="N187" t="e">
        <f t="shared" si="127"/>
        <v>#N/A</v>
      </c>
      <c r="O187" t="n">
        <f t="shared" si="128"/>
        <v>0</v>
      </c>
      <c r="P187" t="n">
        <f t="shared" si="129"/>
        <v>0</v>
      </c>
      <c r="Q187" t="n">
        <f t="shared" si="130"/>
        <v>0</v>
      </c>
      <c r="R187" t="n">
        <f t="shared" si="131"/>
        <v>0</v>
      </c>
      <c r="S187" t="e">
        <f t="shared" si="132"/>
        <v>#N/A</v>
      </c>
      <c r="T187" t="e">
        <f t="shared" si="133"/>
        <v>#N/A</v>
      </c>
      <c r="U187" t="e">
        <f t="shared" si="134"/>
        <v>#N/A</v>
      </c>
      <c r="V187" t="e">
        <f t="shared" si="135"/>
        <v>#N/A</v>
      </c>
      <c r="W187" t="e">
        <f t="shared" si="136"/>
        <v>#N/A</v>
      </c>
      <c r="X187" t="e">
        <f t="shared" si="137"/>
        <v>#N/A</v>
      </c>
      <c r="Y187" t="e">
        <f t="shared" si="138"/>
        <v>#N/A</v>
      </c>
      <c r="Z187" t="e">
        <f t="shared" si="139"/>
        <v>#N/A</v>
      </c>
      <c r="AA187" t="e">
        <f t="shared" si="140"/>
        <v>#N/A</v>
      </c>
      <c r="AB187" t="e">
        <f t="shared" si="141"/>
        <v>#N/A</v>
      </c>
      <c r="AC187" t="e">
        <f t="shared" si="142"/>
        <v>#N/A</v>
      </c>
      <c r="AD187" t="e">
        <f t="shared" si="143"/>
        <v>#N/A</v>
      </c>
      <c r="AE187" t="e">
        <f t="shared" si="144"/>
        <v>#N/A</v>
      </c>
      <c r="AF187" t="e">
        <f t="shared" si="145"/>
        <v>#N/A</v>
      </c>
      <c r="AG187" t="e">
        <f t="shared" si="146"/>
        <v>#N/A</v>
      </c>
      <c r="AH187" t="e">
        <f t="shared" si="147"/>
        <v>#N/A</v>
      </c>
      <c r="AI187" t="e">
        <f t="shared" si="148"/>
        <v>#N/A</v>
      </c>
      <c r="AJ187" t="e">
        <f t="shared" si="149"/>
        <v>#N/A</v>
      </c>
    </row>
    <row r="188">
      <c r="A188" s="2"/>
      <c r="L188" t="e">
        <f t="shared" si="125"/>
        <v>#N/A</v>
      </c>
      <c r="M188" t="e">
        <f t="shared" si="126"/>
        <v>#N/A</v>
      </c>
      <c r="N188" t="e">
        <f t="shared" si="127"/>
        <v>#N/A</v>
      </c>
      <c r="O188" t="n">
        <f t="shared" si="128"/>
        <v>0</v>
      </c>
      <c r="P188" t="n">
        <f t="shared" si="129"/>
        <v>0</v>
      </c>
      <c r="Q188" t="n">
        <f t="shared" si="130"/>
        <v>0</v>
      </c>
      <c r="R188" t="n">
        <f t="shared" si="131"/>
        <v>0</v>
      </c>
      <c r="S188" t="e">
        <f t="shared" si="132"/>
        <v>#N/A</v>
      </c>
      <c r="T188" t="e">
        <f t="shared" si="133"/>
        <v>#N/A</v>
      </c>
      <c r="U188" t="e">
        <f t="shared" si="134"/>
        <v>#N/A</v>
      </c>
      <c r="V188" t="e">
        <f t="shared" si="135"/>
        <v>#N/A</v>
      </c>
      <c r="W188" t="e">
        <f t="shared" si="136"/>
        <v>#N/A</v>
      </c>
      <c r="X188" t="e">
        <f t="shared" si="137"/>
        <v>#N/A</v>
      </c>
      <c r="Y188" t="e">
        <f t="shared" si="138"/>
        <v>#N/A</v>
      </c>
      <c r="Z188" t="e">
        <f t="shared" si="139"/>
        <v>#N/A</v>
      </c>
      <c r="AA188" t="e">
        <f t="shared" si="140"/>
        <v>#N/A</v>
      </c>
      <c r="AB188" t="e">
        <f t="shared" si="141"/>
        <v>#N/A</v>
      </c>
      <c r="AC188" t="e">
        <f t="shared" si="142"/>
        <v>#N/A</v>
      </c>
      <c r="AD188" t="e">
        <f t="shared" si="143"/>
        <v>#N/A</v>
      </c>
      <c r="AE188" t="e">
        <f t="shared" si="144"/>
        <v>#N/A</v>
      </c>
      <c r="AF188" t="e">
        <f t="shared" si="145"/>
        <v>#N/A</v>
      </c>
      <c r="AG188" t="e">
        <f t="shared" si="146"/>
        <v>#N/A</v>
      </c>
      <c r="AH188" t="e">
        <f t="shared" si="147"/>
        <v>#N/A</v>
      </c>
      <c r="AI188" t="e">
        <f t="shared" si="148"/>
        <v>#N/A</v>
      </c>
      <c r="AJ188" t="e">
        <f t="shared" si="149"/>
        <v>#N/A</v>
      </c>
    </row>
    <row r="189">
      <c r="A189" s="2"/>
      <c r="L189" t="e">
        <f t="shared" si="125"/>
        <v>#N/A</v>
      </c>
      <c r="M189" t="e">
        <f t="shared" si="126"/>
        <v>#N/A</v>
      </c>
      <c r="N189" t="e">
        <f t="shared" si="127"/>
        <v>#N/A</v>
      </c>
      <c r="O189" t="n">
        <f t="shared" si="128"/>
        <v>0</v>
      </c>
      <c r="P189" t="n">
        <f t="shared" si="129"/>
        <v>0</v>
      </c>
      <c r="Q189" t="n">
        <f t="shared" si="130"/>
        <v>0</v>
      </c>
      <c r="R189" t="n">
        <f t="shared" si="131"/>
        <v>0</v>
      </c>
      <c r="S189" t="e">
        <f t="shared" si="132"/>
        <v>#N/A</v>
      </c>
      <c r="T189" t="e">
        <f t="shared" si="133"/>
        <v>#N/A</v>
      </c>
      <c r="U189" t="e">
        <f t="shared" si="134"/>
        <v>#N/A</v>
      </c>
      <c r="V189" t="e">
        <f t="shared" si="135"/>
        <v>#N/A</v>
      </c>
      <c r="W189" t="e">
        <f t="shared" si="136"/>
        <v>#N/A</v>
      </c>
      <c r="X189" t="e">
        <f t="shared" si="137"/>
        <v>#N/A</v>
      </c>
      <c r="Y189" t="e">
        <f t="shared" si="138"/>
        <v>#N/A</v>
      </c>
      <c r="Z189" t="e">
        <f t="shared" si="139"/>
        <v>#N/A</v>
      </c>
      <c r="AA189" t="e">
        <f t="shared" si="140"/>
        <v>#N/A</v>
      </c>
      <c r="AB189" t="e">
        <f t="shared" si="141"/>
        <v>#N/A</v>
      </c>
      <c r="AC189" t="e">
        <f t="shared" si="142"/>
        <v>#N/A</v>
      </c>
      <c r="AD189" t="e">
        <f t="shared" si="143"/>
        <v>#N/A</v>
      </c>
      <c r="AE189" t="e">
        <f t="shared" si="144"/>
        <v>#N/A</v>
      </c>
      <c r="AF189" t="e">
        <f t="shared" si="145"/>
        <v>#N/A</v>
      </c>
      <c r="AG189" t="e">
        <f t="shared" si="146"/>
        <v>#N/A</v>
      </c>
      <c r="AH189" t="e">
        <f t="shared" si="147"/>
        <v>#N/A</v>
      </c>
      <c r="AI189" t="e">
        <f t="shared" si="148"/>
        <v>#N/A</v>
      </c>
      <c r="AJ189" t="e">
        <f t="shared" si="149"/>
        <v>#N/A</v>
      </c>
    </row>
    <row r="190">
      <c r="A190" s="2"/>
      <c r="L190" t="e">
        <f t="shared" si="125"/>
        <v>#N/A</v>
      </c>
      <c r="M190" t="e">
        <f t="shared" si="126"/>
        <v>#N/A</v>
      </c>
      <c r="N190" t="e">
        <f t="shared" si="127"/>
        <v>#N/A</v>
      </c>
      <c r="O190" t="n">
        <f t="shared" si="128"/>
        <v>0</v>
      </c>
      <c r="P190" t="n">
        <f t="shared" si="129"/>
        <v>0</v>
      </c>
      <c r="Q190" t="n">
        <f t="shared" si="130"/>
        <v>0</v>
      </c>
      <c r="R190" t="n">
        <f t="shared" si="131"/>
        <v>0</v>
      </c>
      <c r="S190" t="e">
        <f t="shared" si="132"/>
        <v>#N/A</v>
      </c>
      <c r="T190" t="e">
        <f t="shared" si="133"/>
        <v>#N/A</v>
      </c>
      <c r="U190" t="e">
        <f t="shared" si="134"/>
        <v>#N/A</v>
      </c>
      <c r="V190" t="e">
        <f t="shared" si="135"/>
        <v>#N/A</v>
      </c>
      <c r="W190" t="e">
        <f t="shared" si="136"/>
        <v>#N/A</v>
      </c>
      <c r="X190" t="e">
        <f t="shared" si="137"/>
        <v>#N/A</v>
      </c>
      <c r="Y190" t="e">
        <f t="shared" si="138"/>
        <v>#N/A</v>
      </c>
      <c r="Z190" t="e">
        <f t="shared" si="139"/>
        <v>#N/A</v>
      </c>
      <c r="AA190" t="e">
        <f t="shared" si="140"/>
        <v>#N/A</v>
      </c>
      <c r="AB190" t="e">
        <f t="shared" si="141"/>
        <v>#N/A</v>
      </c>
      <c r="AC190" t="e">
        <f t="shared" si="142"/>
        <v>#N/A</v>
      </c>
      <c r="AD190" t="e">
        <f t="shared" si="143"/>
        <v>#N/A</v>
      </c>
      <c r="AE190" t="e">
        <f t="shared" si="144"/>
        <v>#N/A</v>
      </c>
      <c r="AF190" t="e">
        <f t="shared" si="145"/>
        <v>#N/A</v>
      </c>
      <c r="AG190" t="e">
        <f t="shared" si="146"/>
        <v>#N/A</v>
      </c>
      <c r="AH190" t="e">
        <f t="shared" si="147"/>
        <v>#N/A</v>
      </c>
      <c r="AI190" t="e">
        <f t="shared" si="148"/>
        <v>#N/A</v>
      </c>
      <c r="AJ190" t="e">
        <f t="shared" si="149"/>
        <v>#N/A</v>
      </c>
    </row>
    <row r="191">
      <c r="A191" s="2"/>
      <c r="L191" t="e">
        <f t="shared" si="125"/>
        <v>#N/A</v>
      </c>
      <c r="M191" t="e">
        <f t="shared" si="126"/>
        <v>#N/A</v>
      </c>
      <c r="N191" t="e">
        <f t="shared" si="127"/>
        <v>#N/A</v>
      </c>
      <c r="O191" t="n">
        <f t="shared" si="128"/>
        <v>0</v>
      </c>
      <c r="P191" t="n">
        <f t="shared" si="129"/>
        <v>0</v>
      </c>
      <c r="Q191" t="n">
        <f t="shared" si="130"/>
        <v>0</v>
      </c>
      <c r="R191" t="n">
        <f t="shared" si="131"/>
        <v>0</v>
      </c>
      <c r="S191" t="e">
        <f t="shared" si="132"/>
        <v>#N/A</v>
      </c>
      <c r="T191" t="e">
        <f t="shared" si="133"/>
        <v>#N/A</v>
      </c>
      <c r="U191" t="e">
        <f t="shared" si="134"/>
        <v>#N/A</v>
      </c>
      <c r="V191" t="e">
        <f t="shared" si="135"/>
        <v>#N/A</v>
      </c>
      <c r="W191" t="e">
        <f t="shared" si="136"/>
        <v>#N/A</v>
      </c>
      <c r="X191" t="e">
        <f t="shared" si="137"/>
        <v>#N/A</v>
      </c>
      <c r="Y191" t="e">
        <f t="shared" si="138"/>
        <v>#N/A</v>
      </c>
      <c r="Z191" t="e">
        <f t="shared" si="139"/>
        <v>#N/A</v>
      </c>
      <c r="AA191" t="e">
        <f t="shared" si="140"/>
        <v>#N/A</v>
      </c>
      <c r="AB191" t="e">
        <f t="shared" si="141"/>
        <v>#N/A</v>
      </c>
      <c r="AC191" t="e">
        <f t="shared" si="142"/>
        <v>#N/A</v>
      </c>
      <c r="AD191" t="e">
        <f t="shared" si="143"/>
        <v>#N/A</v>
      </c>
      <c r="AE191" t="e">
        <f t="shared" si="144"/>
        <v>#N/A</v>
      </c>
      <c r="AF191" t="e">
        <f t="shared" si="145"/>
        <v>#N/A</v>
      </c>
      <c r="AG191" t="e">
        <f t="shared" si="146"/>
        <v>#N/A</v>
      </c>
      <c r="AH191" t="e">
        <f t="shared" si="147"/>
        <v>#N/A</v>
      </c>
      <c r="AI191" t="e">
        <f t="shared" si="148"/>
        <v>#N/A</v>
      </c>
      <c r="AJ191" t="e">
        <f t="shared" si="149"/>
        <v>#N/A</v>
      </c>
    </row>
    <row r="192">
      <c r="A192" s="2"/>
      <c r="L192" t="e">
        <f t="shared" si="125"/>
        <v>#N/A</v>
      </c>
      <c r="M192" t="e">
        <f t="shared" si="126"/>
        <v>#N/A</v>
      </c>
      <c r="N192" t="e">
        <f t="shared" si="127"/>
        <v>#N/A</v>
      </c>
      <c r="O192" t="n">
        <f t="shared" si="128"/>
        <v>0</v>
      </c>
      <c r="P192" t="n">
        <f t="shared" si="129"/>
        <v>0</v>
      </c>
      <c r="Q192" t="n">
        <f t="shared" si="130"/>
        <v>0</v>
      </c>
      <c r="R192" t="n">
        <f t="shared" si="131"/>
        <v>0</v>
      </c>
      <c r="S192" t="e">
        <f t="shared" si="132"/>
        <v>#N/A</v>
      </c>
      <c r="T192" t="e">
        <f t="shared" si="133"/>
        <v>#N/A</v>
      </c>
      <c r="U192" t="e">
        <f t="shared" si="134"/>
        <v>#N/A</v>
      </c>
      <c r="V192" t="e">
        <f t="shared" si="135"/>
        <v>#N/A</v>
      </c>
      <c r="W192" t="e">
        <f t="shared" si="136"/>
        <v>#N/A</v>
      </c>
      <c r="X192" t="e">
        <f t="shared" si="137"/>
        <v>#N/A</v>
      </c>
      <c r="Y192" t="e">
        <f t="shared" si="138"/>
        <v>#N/A</v>
      </c>
      <c r="Z192" t="e">
        <f t="shared" si="139"/>
        <v>#N/A</v>
      </c>
      <c r="AA192" t="e">
        <f t="shared" si="140"/>
        <v>#N/A</v>
      </c>
      <c r="AB192" t="e">
        <f t="shared" si="141"/>
        <v>#N/A</v>
      </c>
      <c r="AC192" t="e">
        <f t="shared" si="142"/>
        <v>#N/A</v>
      </c>
      <c r="AD192" t="e">
        <f t="shared" si="143"/>
        <v>#N/A</v>
      </c>
      <c r="AE192" t="e">
        <f t="shared" si="144"/>
        <v>#N/A</v>
      </c>
      <c r="AF192" t="e">
        <f t="shared" si="145"/>
        <v>#N/A</v>
      </c>
      <c r="AG192" t="e">
        <f t="shared" si="146"/>
        <v>#N/A</v>
      </c>
      <c r="AH192" t="e">
        <f t="shared" si="147"/>
        <v>#N/A</v>
      </c>
      <c r="AI192" t="e">
        <f t="shared" si="148"/>
        <v>#N/A</v>
      </c>
      <c r="AJ192" t="e">
        <f t="shared" si="149"/>
        <v>#N/A</v>
      </c>
    </row>
    <row r="193">
      <c r="A193" s="2"/>
      <c r="L193" t="e">
        <f t="shared" si="125"/>
        <v>#N/A</v>
      </c>
      <c r="M193" t="e">
        <f t="shared" si="126"/>
        <v>#N/A</v>
      </c>
      <c r="N193" t="e">
        <f t="shared" si="127"/>
        <v>#N/A</v>
      </c>
      <c r="O193" t="n">
        <f t="shared" si="128"/>
        <v>0</v>
      </c>
      <c r="P193" t="n">
        <f t="shared" si="129"/>
        <v>0</v>
      </c>
      <c r="Q193" t="n">
        <f t="shared" si="130"/>
        <v>0</v>
      </c>
      <c r="R193" t="n">
        <f t="shared" si="131"/>
        <v>0</v>
      </c>
      <c r="S193" t="e">
        <f t="shared" si="132"/>
        <v>#N/A</v>
      </c>
      <c r="T193" t="e">
        <f t="shared" si="133"/>
        <v>#N/A</v>
      </c>
      <c r="U193" t="e">
        <f t="shared" si="134"/>
        <v>#N/A</v>
      </c>
      <c r="V193" t="e">
        <f t="shared" si="135"/>
        <v>#N/A</v>
      </c>
      <c r="W193" t="e">
        <f t="shared" si="136"/>
        <v>#N/A</v>
      </c>
      <c r="X193" t="e">
        <f t="shared" si="137"/>
        <v>#N/A</v>
      </c>
      <c r="Y193" t="e">
        <f t="shared" si="138"/>
        <v>#N/A</v>
      </c>
      <c r="Z193" t="e">
        <f t="shared" si="139"/>
        <v>#N/A</v>
      </c>
      <c r="AA193" t="e">
        <f t="shared" si="140"/>
        <v>#N/A</v>
      </c>
      <c r="AB193" t="e">
        <f t="shared" si="141"/>
        <v>#N/A</v>
      </c>
      <c r="AC193" t="e">
        <f t="shared" si="142"/>
        <v>#N/A</v>
      </c>
      <c r="AD193" t="e">
        <f t="shared" si="143"/>
        <v>#N/A</v>
      </c>
      <c r="AE193" t="e">
        <f t="shared" si="144"/>
        <v>#N/A</v>
      </c>
      <c r="AF193" t="e">
        <f t="shared" si="145"/>
        <v>#N/A</v>
      </c>
      <c r="AG193" t="e">
        <f t="shared" si="146"/>
        <v>#N/A</v>
      </c>
      <c r="AH193" t="e">
        <f t="shared" si="147"/>
        <v>#N/A</v>
      </c>
      <c r="AI193" t="e">
        <f t="shared" si="148"/>
        <v>#N/A</v>
      </c>
      <c r="AJ193" t="e">
        <f t="shared" si="149"/>
        <v>#N/A</v>
      </c>
    </row>
    <row r="194">
      <c r="A194" s="2"/>
      <c r="L194" t="e">
        <f t="shared" ref="L194:L201" si="150">IF(ROW()&lt;=5,NA(),IFERROR(100*(B194/INDEX(B:B,ROW()-4)-1),NA()))</f>
        <v>#N/A</v>
      </c>
      <c r="M194" t="e">
        <f t="shared" ref="M194:M201" si="151">IF(ROW()&lt;=5,NA(),IFERROR(100*(C194/INDEX(C:C,ROW()-4)-1),NA()))</f>
        <v>#N/A</v>
      </c>
      <c r="N194" t="e">
        <f t="shared" ref="N194:N201" si="152">IF(ROW()&lt;=5,NA(),IFERROR(100*(D194/INDEX(D:D,ROW()-4)-1),NA()))</f>
        <v>#N/A</v>
      </c>
      <c r="O194" t="n">
        <f t="shared" ref="O194:O201" si="153">100*G194</f>
        <v>0</v>
      </c>
      <c r="P194" t="n">
        <f t="shared" ref="P194:P201" si="154">100*H194</f>
        <v>0</v>
      </c>
      <c r="Q194" t="n">
        <f t="shared" ref="Q194:Q201" si="155">100*I194</f>
        <v>0</v>
      </c>
      <c r="R194" t="n">
        <f t="shared" ref="R194:R201" si="156">100*J194</f>
        <v>0</v>
      </c>
      <c r="S194" t="e">
        <f t="shared" ref="S194:S201" si="157">IFERROR(100*E194/INDEX(E:E,MATCH(DATE(2024,12,1),A:A,0)),NA())</f>
        <v>#N/A</v>
      </c>
      <c r="T194" t="e">
        <f t="shared" ref="T194:T201" si="158">IFERROR(100*F194/INDEX(F:F,MATCH(DATE(2024,12,1),A:A,0)),NA())</f>
        <v>#N/A</v>
      </c>
      <c r="U194" t="e">
        <f t="shared" ref="U194:U201" si="159">IF($K194="Actual",L194,NA())</f>
        <v>#N/A</v>
      </c>
      <c r="V194" t="e">
        <f t="shared" ref="V194:V201" si="160">IF($A194&gt;=DATE(2024,12,1),L194,NA())</f>
        <v>#N/A</v>
      </c>
      <c r="W194" t="e">
        <f t="shared" ref="W194:W201" si="161">IF($K194="Actual",M194,NA())</f>
        <v>#N/A</v>
      </c>
      <c r="X194" t="e">
        <f t="shared" ref="X194:X201" si="162">IF($A194&gt;=DATE(2024,12,1),M194,NA())</f>
        <v>#N/A</v>
      </c>
      <c r="Y194" t="e">
        <f t="shared" ref="Y194:Y201" si="163">IF($K194="Actual",S194,NA())</f>
        <v>#N/A</v>
      </c>
      <c r="Z194" t="e">
        <f t="shared" ref="Z194:Z201" si="164">IF($A194&gt;=DATE(2024,12,1),S194,NA())</f>
        <v>#N/A</v>
      </c>
      <c r="AA194" t="e">
        <f t="shared" ref="AA194:AA201" si="165">IF($K194="Actual",T194,NA())</f>
        <v>#N/A</v>
      </c>
      <c r="AB194" t="e">
        <f t="shared" ref="AB194:AB201" si="166">IF($A194&gt;=DATE(2024,12,1),T194,NA())</f>
        <v>#N/A</v>
      </c>
      <c r="AC194" t="e">
        <f t="shared" ref="AC194:AC201" si="167">IF($K194="Actual",O194,NA())</f>
        <v>#N/A</v>
      </c>
      <c r="AD194" t="e">
        <f t="shared" ref="AD194:AD201" si="168">IF($A194&gt;=DATE(2024,12,1),O194,NA())</f>
        <v>#N/A</v>
      </c>
      <c r="AE194" t="e">
        <f t="shared" ref="AE194:AE201" si="169">IF($K194="Actual",Q194,NA())</f>
        <v>#N/A</v>
      </c>
      <c r="AF194" t="e">
        <f t="shared" ref="AF194:AF201" si="170">IF($A194&gt;=DATE(2024,12,1),Q194,NA())</f>
        <v>#N/A</v>
      </c>
      <c r="AG194" t="e">
        <f t="shared" ref="AG194:AG201" si="171">IF($K194="Actual",R194,NA())</f>
        <v>#N/A</v>
      </c>
      <c r="AH194" t="e">
        <f t="shared" ref="AH194:AH201" si="172">IF($A194&gt;=DATE(2024,12,1),R194,NA())</f>
        <v>#N/A</v>
      </c>
      <c r="AI194" t="e">
        <f t="shared" ref="AI194:AI201" si="173">IF($K194="Actual",N194,NA())</f>
        <v>#N/A</v>
      </c>
      <c r="AJ194" t="e">
        <f t="shared" ref="AJ194:AJ201" si="174">IF($A194&gt;=DATE(2024,12,1),N194,NA())</f>
        <v>#N/A</v>
      </c>
    </row>
    <row r="195">
      <c r="A195" s="2"/>
      <c r="L195" t="e">
        <f t="shared" si="150"/>
        <v>#N/A</v>
      </c>
      <c r="M195" t="e">
        <f t="shared" si="151"/>
        <v>#N/A</v>
      </c>
      <c r="N195" t="e">
        <f t="shared" si="152"/>
        <v>#N/A</v>
      </c>
      <c r="O195" t="n">
        <f t="shared" si="153"/>
        <v>0</v>
      </c>
      <c r="P195" t="n">
        <f t="shared" si="154"/>
        <v>0</v>
      </c>
      <c r="Q195" t="n">
        <f t="shared" si="155"/>
        <v>0</v>
      </c>
      <c r="R195" t="n">
        <f t="shared" si="156"/>
        <v>0</v>
      </c>
      <c r="S195" t="e">
        <f t="shared" si="157"/>
        <v>#N/A</v>
      </c>
      <c r="T195" t="e">
        <f t="shared" si="158"/>
        <v>#N/A</v>
      </c>
      <c r="U195" t="e">
        <f t="shared" si="159"/>
        <v>#N/A</v>
      </c>
      <c r="V195" t="e">
        <f t="shared" si="160"/>
        <v>#N/A</v>
      </c>
      <c r="W195" t="e">
        <f t="shared" si="161"/>
        <v>#N/A</v>
      </c>
      <c r="X195" t="e">
        <f t="shared" si="162"/>
        <v>#N/A</v>
      </c>
      <c r="Y195" t="e">
        <f t="shared" si="163"/>
        <v>#N/A</v>
      </c>
      <c r="Z195" t="e">
        <f t="shared" si="164"/>
        <v>#N/A</v>
      </c>
      <c r="AA195" t="e">
        <f t="shared" si="165"/>
        <v>#N/A</v>
      </c>
      <c r="AB195" t="e">
        <f t="shared" si="166"/>
        <v>#N/A</v>
      </c>
      <c r="AC195" t="e">
        <f t="shared" si="167"/>
        <v>#N/A</v>
      </c>
      <c r="AD195" t="e">
        <f t="shared" si="168"/>
        <v>#N/A</v>
      </c>
      <c r="AE195" t="e">
        <f t="shared" si="169"/>
        <v>#N/A</v>
      </c>
      <c r="AF195" t="e">
        <f t="shared" si="170"/>
        <v>#N/A</v>
      </c>
      <c r="AG195" t="e">
        <f t="shared" si="171"/>
        <v>#N/A</v>
      </c>
      <c r="AH195" t="e">
        <f t="shared" si="172"/>
        <v>#N/A</v>
      </c>
      <c r="AI195" t="e">
        <f t="shared" si="173"/>
        <v>#N/A</v>
      </c>
      <c r="AJ195" t="e">
        <f t="shared" si="174"/>
        <v>#N/A</v>
      </c>
    </row>
    <row r="196">
      <c r="A196" s="2"/>
      <c r="L196" t="e">
        <f t="shared" si="150"/>
        <v>#N/A</v>
      </c>
      <c r="M196" t="e">
        <f t="shared" si="151"/>
        <v>#N/A</v>
      </c>
      <c r="N196" t="e">
        <f t="shared" si="152"/>
        <v>#N/A</v>
      </c>
      <c r="O196" t="n">
        <f t="shared" si="153"/>
        <v>0</v>
      </c>
      <c r="P196" t="n">
        <f t="shared" si="154"/>
        <v>0</v>
      </c>
      <c r="Q196" t="n">
        <f t="shared" si="155"/>
        <v>0</v>
      </c>
      <c r="R196" t="n">
        <f t="shared" si="156"/>
        <v>0</v>
      </c>
      <c r="S196" t="e">
        <f t="shared" si="157"/>
        <v>#N/A</v>
      </c>
      <c r="T196" t="e">
        <f t="shared" si="158"/>
        <v>#N/A</v>
      </c>
      <c r="U196" t="e">
        <f t="shared" si="159"/>
        <v>#N/A</v>
      </c>
      <c r="V196" t="e">
        <f t="shared" si="160"/>
        <v>#N/A</v>
      </c>
      <c r="W196" t="e">
        <f t="shared" si="161"/>
        <v>#N/A</v>
      </c>
      <c r="X196" t="e">
        <f t="shared" si="162"/>
        <v>#N/A</v>
      </c>
      <c r="Y196" t="e">
        <f t="shared" si="163"/>
        <v>#N/A</v>
      </c>
      <c r="Z196" t="e">
        <f t="shared" si="164"/>
        <v>#N/A</v>
      </c>
      <c r="AA196" t="e">
        <f t="shared" si="165"/>
        <v>#N/A</v>
      </c>
      <c r="AB196" t="e">
        <f t="shared" si="166"/>
        <v>#N/A</v>
      </c>
      <c r="AC196" t="e">
        <f t="shared" si="167"/>
        <v>#N/A</v>
      </c>
      <c r="AD196" t="e">
        <f t="shared" si="168"/>
        <v>#N/A</v>
      </c>
      <c r="AE196" t="e">
        <f t="shared" si="169"/>
        <v>#N/A</v>
      </c>
      <c r="AF196" t="e">
        <f t="shared" si="170"/>
        <v>#N/A</v>
      </c>
      <c r="AG196" t="e">
        <f t="shared" si="171"/>
        <v>#N/A</v>
      </c>
      <c r="AH196" t="e">
        <f t="shared" si="172"/>
        <v>#N/A</v>
      </c>
      <c r="AI196" t="e">
        <f t="shared" si="173"/>
        <v>#N/A</v>
      </c>
      <c r="AJ196" t="e">
        <f t="shared" si="174"/>
        <v>#N/A</v>
      </c>
    </row>
    <row r="197">
      <c r="A197" s="2"/>
      <c r="L197" t="e">
        <f t="shared" si="150"/>
        <v>#N/A</v>
      </c>
      <c r="M197" t="e">
        <f t="shared" si="151"/>
        <v>#N/A</v>
      </c>
      <c r="N197" t="e">
        <f t="shared" si="152"/>
        <v>#N/A</v>
      </c>
      <c r="O197" t="n">
        <f t="shared" si="153"/>
        <v>0</v>
      </c>
      <c r="P197" t="n">
        <f t="shared" si="154"/>
        <v>0</v>
      </c>
      <c r="Q197" t="n">
        <f t="shared" si="155"/>
        <v>0</v>
      </c>
      <c r="R197" t="n">
        <f t="shared" si="156"/>
        <v>0</v>
      </c>
      <c r="S197" t="e">
        <f t="shared" si="157"/>
        <v>#N/A</v>
      </c>
      <c r="T197" t="e">
        <f t="shared" si="158"/>
        <v>#N/A</v>
      </c>
      <c r="U197" t="e">
        <f t="shared" si="159"/>
        <v>#N/A</v>
      </c>
      <c r="V197" t="e">
        <f t="shared" si="160"/>
        <v>#N/A</v>
      </c>
      <c r="W197" t="e">
        <f t="shared" si="161"/>
        <v>#N/A</v>
      </c>
      <c r="X197" t="e">
        <f t="shared" si="162"/>
        <v>#N/A</v>
      </c>
      <c r="Y197" t="e">
        <f t="shared" si="163"/>
        <v>#N/A</v>
      </c>
      <c r="Z197" t="e">
        <f t="shared" si="164"/>
        <v>#N/A</v>
      </c>
      <c r="AA197" t="e">
        <f t="shared" si="165"/>
        <v>#N/A</v>
      </c>
      <c r="AB197" t="e">
        <f t="shared" si="166"/>
        <v>#N/A</v>
      </c>
      <c r="AC197" t="e">
        <f t="shared" si="167"/>
        <v>#N/A</v>
      </c>
      <c r="AD197" t="e">
        <f t="shared" si="168"/>
        <v>#N/A</v>
      </c>
      <c r="AE197" t="e">
        <f t="shared" si="169"/>
        <v>#N/A</v>
      </c>
      <c r="AF197" t="e">
        <f t="shared" si="170"/>
        <v>#N/A</v>
      </c>
      <c r="AG197" t="e">
        <f t="shared" si="171"/>
        <v>#N/A</v>
      </c>
      <c r="AH197" t="e">
        <f t="shared" si="172"/>
        <v>#N/A</v>
      </c>
      <c r="AI197" t="e">
        <f t="shared" si="173"/>
        <v>#N/A</v>
      </c>
      <c r="AJ197" t="e">
        <f t="shared" si="174"/>
        <v>#N/A</v>
      </c>
    </row>
    <row r="198">
      <c r="A198" s="2"/>
      <c r="L198" t="e">
        <f t="shared" si="150"/>
        <v>#N/A</v>
      </c>
      <c r="M198" t="e">
        <f t="shared" si="151"/>
        <v>#N/A</v>
      </c>
      <c r="N198" t="e">
        <f t="shared" si="152"/>
        <v>#N/A</v>
      </c>
      <c r="O198" t="n">
        <f t="shared" si="153"/>
        <v>0</v>
      </c>
      <c r="P198" t="n">
        <f t="shared" si="154"/>
        <v>0</v>
      </c>
      <c r="Q198" t="n">
        <f t="shared" si="155"/>
        <v>0</v>
      </c>
      <c r="R198" t="n">
        <f t="shared" si="156"/>
        <v>0</v>
      </c>
      <c r="S198" t="e">
        <f t="shared" si="157"/>
        <v>#N/A</v>
      </c>
      <c r="T198" t="e">
        <f t="shared" si="158"/>
        <v>#N/A</v>
      </c>
      <c r="U198" t="e">
        <f t="shared" si="159"/>
        <v>#N/A</v>
      </c>
      <c r="V198" t="e">
        <f t="shared" si="160"/>
        <v>#N/A</v>
      </c>
      <c r="W198" t="e">
        <f t="shared" si="161"/>
        <v>#N/A</v>
      </c>
      <c r="X198" t="e">
        <f t="shared" si="162"/>
        <v>#N/A</v>
      </c>
      <c r="Y198" t="e">
        <f t="shared" si="163"/>
        <v>#N/A</v>
      </c>
      <c r="Z198" t="e">
        <f t="shared" si="164"/>
        <v>#N/A</v>
      </c>
      <c r="AA198" t="e">
        <f t="shared" si="165"/>
        <v>#N/A</v>
      </c>
      <c r="AB198" t="e">
        <f t="shared" si="166"/>
        <v>#N/A</v>
      </c>
      <c r="AC198" t="e">
        <f t="shared" si="167"/>
        <v>#N/A</v>
      </c>
      <c r="AD198" t="e">
        <f t="shared" si="168"/>
        <v>#N/A</v>
      </c>
      <c r="AE198" t="e">
        <f t="shared" si="169"/>
        <v>#N/A</v>
      </c>
      <c r="AF198" t="e">
        <f t="shared" si="170"/>
        <v>#N/A</v>
      </c>
      <c r="AG198" t="e">
        <f t="shared" si="171"/>
        <v>#N/A</v>
      </c>
      <c r="AH198" t="e">
        <f t="shared" si="172"/>
        <v>#N/A</v>
      </c>
      <c r="AI198" t="e">
        <f t="shared" si="173"/>
        <v>#N/A</v>
      </c>
      <c r="AJ198" t="e">
        <f t="shared" si="174"/>
        <v>#N/A</v>
      </c>
    </row>
    <row r="199">
      <c r="A199" s="2"/>
      <c r="L199" t="e">
        <f t="shared" si="150"/>
        <v>#N/A</v>
      </c>
      <c r="M199" t="e">
        <f t="shared" si="151"/>
        <v>#N/A</v>
      </c>
      <c r="N199" t="e">
        <f t="shared" si="152"/>
        <v>#N/A</v>
      </c>
      <c r="O199" t="n">
        <f t="shared" si="153"/>
        <v>0</v>
      </c>
      <c r="P199" t="n">
        <f t="shared" si="154"/>
        <v>0</v>
      </c>
      <c r="Q199" t="n">
        <f t="shared" si="155"/>
        <v>0</v>
      </c>
      <c r="R199" t="n">
        <f t="shared" si="156"/>
        <v>0</v>
      </c>
      <c r="S199" t="e">
        <f t="shared" si="157"/>
        <v>#N/A</v>
      </c>
      <c r="T199" t="e">
        <f t="shared" si="158"/>
        <v>#N/A</v>
      </c>
      <c r="U199" t="e">
        <f t="shared" si="159"/>
        <v>#N/A</v>
      </c>
      <c r="V199" t="e">
        <f t="shared" si="160"/>
        <v>#N/A</v>
      </c>
      <c r="W199" t="e">
        <f t="shared" si="161"/>
        <v>#N/A</v>
      </c>
      <c r="X199" t="e">
        <f t="shared" si="162"/>
        <v>#N/A</v>
      </c>
      <c r="Y199" t="e">
        <f t="shared" si="163"/>
        <v>#N/A</v>
      </c>
      <c r="Z199" t="e">
        <f t="shared" si="164"/>
        <v>#N/A</v>
      </c>
      <c r="AA199" t="e">
        <f t="shared" si="165"/>
        <v>#N/A</v>
      </c>
      <c r="AB199" t="e">
        <f t="shared" si="166"/>
        <v>#N/A</v>
      </c>
      <c r="AC199" t="e">
        <f t="shared" si="167"/>
        <v>#N/A</v>
      </c>
      <c r="AD199" t="e">
        <f t="shared" si="168"/>
        <v>#N/A</v>
      </c>
      <c r="AE199" t="e">
        <f t="shared" si="169"/>
        <v>#N/A</v>
      </c>
      <c r="AF199" t="e">
        <f t="shared" si="170"/>
        <v>#N/A</v>
      </c>
      <c r="AG199" t="e">
        <f t="shared" si="171"/>
        <v>#N/A</v>
      </c>
      <c r="AH199" t="e">
        <f t="shared" si="172"/>
        <v>#N/A</v>
      </c>
      <c r="AI199" t="e">
        <f t="shared" si="173"/>
        <v>#N/A</v>
      </c>
      <c r="AJ199" t="e">
        <f t="shared" si="174"/>
        <v>#N/A</v>
      </c>
    </row>
    <row r="200">
      <c r="A200" s="2"/>
      <c r="L200" t="e">
        <f t="shared" si="150"/>
        <v>#N/A</v>
      </c>
      <c r="M200" t="e">
        <f t="shared" si="151"/>
        <v>#N/A</v>
      </c>
      <c r="N200" t="e">
        <f t="shared" si="152"/>
        <v>#N/A</v>
      </c>
      <c r="O200" t="n">
        <f t="shared" si="153"/>
        <v>0</v>
      </c>
      <c r="P200" t="n">
        <f t="shared" si="154"/>
        <v>0</v>
      </c>
      <c r="Q200" t="n">
        <f t="shared" si="155"/>
        <v>0</v>
      </c>
      <c r="R200" t="n">
        <f t="shared" si="156"/>
        <v>0</v>
      </c>
      <c r="S200" t="e">
        <f t="shared" si="157"/>
        <v>#N/A</v>
      </c>
      <c r="T200" t="e">
        <f t="shared" si="158"/>
        <v>#N/A</v>
      </c>
      <c r="U200" t="e">
        <f t="shared" si="159"/>
        <v>#N/A</v>
      </c>
      <c r="V200" t="e">
        <f t="shared" si="160"/>
        <v>#N/A</v>
      </c>
      <c r="W200" t="e">
        <f t="shared" si="161"/>
        <v>#N/A</v>
      </c>
      <c r="X200" t="e">
        <f t="shared" si="162"/>
        <v>#N/A</v>
      </c>
      <c r="Y200" t="e">
        <f t="shared" si="163"/>
        <v>#N/A</v>
      </c>
      <c r="Z200" t="e">
        <f t="shared" si="164"/>
        <v>#N/A</v>
      </c>
      <c r="AA200" t="e">
        <f t="shared" si="165"/>
        <v>#N/A</v>
      </c>
      <c r="AB200" t="e">
        <f t="shared" si="166"/>
        <v>#N/A</v>
      </c>
      <c r="AC200" t="e">
        <f t="shared" si="167"/>
        <v>#N/A</v>
      </c>
      <c r="AD200" t="e">
        <f t="shared" si="168"/>
        <v>#N/A</v>
      </c>
      <c r="AE200" t="e">
        <f t="shared" si="169"/>
        <v>#N/A</v>
      </c>
      <c r="AF200" t="e">
        <f t="shared" si="170"/>
        <v>#N/A</v>
      </c>
      <c r="AG200" t="e">
        <f t="shared" si="171"/>
        <v>#N/A</v>
      </c>
      <c r="AH200" t="e">
        <f t="shared" si="172"/>
        <v>#N/A</v>
      </c>
      <c r="AI200" t="e">
        <f t="shared" si="173"/>
        <v>#N/A</v>
      </c>
      <c r="AJ200" t="e">
        <f t="shared" si="174"/>
        <v>#N/A</v>
      </c>
    </row>
    <row r="201">
      <c r="A201" s="2"/>
      <c r="L201" t="e">
        <f t="shared" si="150"/>
        <v>#N/A</v>
      </c>
      <c r="M201" t="e">
        <f t="shared" si="151"/>
        <v>#N/A</v>
      </c>
      <c r="N201" t="e">
        <f t="shared" si="152"/>
        <v>#N/A</v>
      </c>
      <c r="O201" t="n">
        <f t="shared" si="153"/>
        <v>0</v>
      </c>
      <c r="P201" t="n">
        <f t="shared" si="154"/>
        <v>0</v>
      </c>
      <c r="Q201" t="n">
        <f t="shared" si="155"/>
        <v>0</v>
      </c>
      <c r="R201" t="n">
        <f t="shared" si="156"/>
        <v>0</v>
      </c>
      <c r="S201" t="e">
        <f t="shared" si="157"/>
        <v>#N/A</v>
      </c>
      <c r="T201" t="e">
        <f t="shared" si="158"/>
        <v>#N/A</v>
      </c>
      <c r="U201" t="e">
        <f t="shared" si="159"/>
        <v>#N/A</v>
      </c>
      <c r="V201" t="e">
        <f t="shared" si="160"/>
        <v>#N/A</v>
      </c>
      <c r="W201" t="e">
        <f t="shared" si="161"/>
        <v>#N/A</v>
      </c>
      <c r="X201" t="e">
        <f t="shared" si="162"/>
        <v>#N/A</v>
      </c>
      <c r="Y201" t="e">
        <f t="shared" si="163"/>
        <v>#N/A</v>
      </c>
      <c r="Z201" t="e">
        <f t="shared" si="164"/>
        <v>#N/A</v>
      </c>
      <c r="AA201" t="e">
        <f t="shared" si="165"/>
        <v>#N/A</v>
      </c>
      <c r="AB201" t="e">
        <f t="shared" si="166"/>
        <v>#N/A</v>
      </c>
      <c r="AC201" t="e">
        <f t="shared" si="167"/>
        <v>#N/A</v>
      </c>
      <c r="AD201" t="e">
        <f t="shared" si="168"/>
        <v>#N/A</v>
      </c>
      <c r="AE201" t="e">
        <f t="shared" si="169"/>
        <v>#N/A</v>
      </c>
      <c r="AF201" t="e">
        <f t="shared" si="170"/>
        <v>#N/A</v>
      </c>
      <c r="AG201" t="e">
        <f t="shared" si="171"/>
        <v>#N/A</v>
      </c>
      <c r="AH201" t="e">
        <f t="shared" si="172"/>
        <v>#N/A</v>
      </c>
      <c r="AI201" t="e">
        <f t="shared" si="173"/>
        <v>#N/A</v>
      </c>
      <c r="AJ201" t="e">
        <f t="shared" si="174"/>
        <v>#N/A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0" baseColWidth="10"/>
  <cols>
    <col min="1" max="1" width="13.7109375" hidden="0" customWidth="1"/>
    <col min="2" max="2" width="15.7109375" hidden="0" customWidth="1"/>
    <col min="3" max="3" width="15.7109375" hidden="0" customWidth="1"/>
    <col min="4" max="4" width="15.7109375" hidden="0" customWidth="1"/>
    <col min="5" max="5" width="15.7109375" hidden="0" customWidth="1"/>
    <col min="6" max="6" width="15.7109375" hidden="0" customWidth="1"/>
    <col min="7" max="7" width="15.7109375" hidden="0" customWidth="1"/>
    <col min="8" max="8" width="15.7109375" hidden="0" customWidth="1"/>
    <col min="9" max="9" width="15.7109375" hidden="0" customWidth="1"/>
    <col min="10" max="10" width="15.7109375" hidden="0" customWidth="1"/>
    <col min="11" max="11" width="15.7109375" hidden="0" customWidth="1"/>
    <col min="12" max="12" width="15.7109375" hidden="0" customWidth="1"/>
    <col min="13" max="13" width="15.7109375" hidden="0" customWidth="1"/>
    <col min="14" max="14" width="15.7109375" hidden="0" customWidth="1"/>
    <col min="15" max="15" width="15.7109375" hidden="0" customWidth="1"/>
    <col min="16" max="16" width="15.7109375" hidden="0" customWidth="1"/>
    <col min="17" max="17" width="15.7109375" hidden="0" customWidth="1"/>
    <col min="18" max="18" width="15.7109375" hidden="0" customWidth="1"/>
    <col min="19" max="19" width="15.7109375" hidden="0" customWidth="1"/>
    <col min="20" max="20" width="15.7109375" hidden="0" customWidth="1"/>
    <col min="21" max="21" width="15.7109375" hidden="0" customWidth="1"/>
    <col min="22" max="22" width="15.7109375" hidden="0" customWidth="1"/>
    <col min="23" max="23" width="15.7109375" hidden="0" customWidth="1"/>
    <col min="24" max="24" width="15.7109375" hidden="0" customWidth="1"/>
    <col min="25" max="25" width="15.7109375" hidden="0" customWidth="1"/>
    <col min="26" max="26" width="15.7109375" hidden="0" customWidth="1"/>
    <col min="27" max="27" width="15.7109375" hidden="0" customWidth="1"/>
    <col min="28" max="28" width="15.7109375" hidden="0" customWidth="1"/>
    <col min="29" max="29" width="15.7109375" hidden="0" customWidth="1"/>
    <col min="30" max="30" width="15.7109375" hidden="0" customWidth="1"/>
    <col min="31" max="31" width="15.7109375" hidden="0" customWidth="1"/>
    <col min="32" max="32" width="15.7109375" hidden="0" customWidth="1"/>
    <col min="33" max="33" width="15.7109375" hidden="0" customWidth="1"/>
    <col min="34" max="34" width="15.7109375" hidden="0" customWidth="1"/>
    <col min="35" max="35" width="15.7109375" hidden="0" customWidth="1"/>
    <col min="36" max="36" width="15.7109375" hidden="0" customWidth="1"/>
    <col min="37" max="37" width="15.7109375" hidden="0" customWidth="1"/>
    <col min="38" max="38" width="15.7109375" hidden="0" customWidth="1"/>
    <col min="39" max="39" width="15.7109375" hidden="0" customWidth="1"/>
    <col min="40" max="40" width="15.7109375" hidden="0" customWidth="1"/>
    <col min="41" max="41" width="15.7109375" hidden="0" customWidth="1"/>
    <col min="42" max="42" width="15.7109375" hidden="0" customWidth="1"/>
    <col min="43" max="43" width="15.7109375" hidden="0" customWidth="1"/>
    <col min="44" max="44" width="15.7109375" hidden="0" customWidth="1"/>
    <col min="45" max="45" width="15.7109375" hidden="0" customWidth="1"/>
    <col min="46" max="46" width="15.7109375" hidden="0" customWidth="1"/>
    <col min="47" max="47" width="15.7109375" hidden="0" customWidth="1"/>
    <col min="48" max="48" width="15.7109375" hidden="0" customWidth="1"/>
    <col min="49" max="49" width="15.7109375" hidden="0" customWidth="1"/>
    <col min="50" max="50" width="15.7109375" hidden="0" customWidth="1"/>
    <col min="51" max="51" width="15.7109375" hidden="0" customWidth="1"/>
    <col min="52" max="52" width="15.7109375" hidden="0" customWidth="1"/>
    <col min="53" max="53" width="15.7109375" hidden="0" customWidth="1"/>
    <col min="54" max="54" width="15.7109375" hidden="0" customWidth="1"/>
    <col min="55" max="55" width="15.7109375" hidden="0" customWidth="1"/>
    <col min="56" max="56" width="15.7109375" hidden="0" customWidth="1"/>
    <col min="57" max="57" width="15.7109375" hidden="0" customWidth="1"/>
    <col min="58" max="58" width="15.7109375" hidden="0" customWidth="1"/>
    <col min="59" max="59" width="15.7109375" hidden="0" customWidth="1"/>
    <col min="60" max="60" width="15.7109375" hidden="0" customWidth="1"/>
    <col min="61" max="61" width="15.7109375" hidden="0" customWidth="1"/>
    <col min="62" max="62" width="15.7109375" hidden="0" customWidth="1"/>
    <col min="63" max="63" width="15.7109375" hidden="0" customWidth="1"/>
    <col min="64" max="64" width="15.7109375" hidden="0" customWidth="1"/>
    <col min="65" max="65" width="15.7109375" hidden="0" customWidth="1"/>
    <col min="66" max="66" width="15.7109375" hidden="0" customWidth="1"/>
    <col min="67" max="67" width="15.7109375" hidden="0" customWidth="1"/>
    <col min="68" max="68" width="15.7109375" hidden="0" customWidth="1"/>
    <col min="69" max="69" width="15.7109375" hidden="0" customWidth="1"/>
    <col min="70" max="70" width="15.7109375" hidden="0" customWidth="1"/>
    <col min="71" max="71" width="15.7109375" hidden="0" customWidth="1"/>
    <col min="72" max="72" width="15.7109375" hidden="0" customWidth="1"/>
    <col min="73" max="73" width="15.7109375" hidden="0" customWidth="1"/>
    <col min="74" max="74" width="15.7109375" hidden="0" customWidth="1"/>
    <col min="75" max="75" width="15.7109375" hidden="0" customWidth="1"/>
    <col min="76" max="76" width="15.7109375" hidden="0" customWidth="1"/>
    <col min="77" max="77" width="15.7109375" hidden="0" customWidth="1"/>
    <col min="78" max="78" width="15.7109375" hidden="0" customWidth="1"/>
    <col min="79" max="79" width="15.7109375" hidden="0" customWidth="1"/>
    <col min="80" max="80" width="15.7109375" hidden="0" customWidth="1"/>
    <col min="81" max="81" width="15.7109375" hidden="0" customWidth="1"/>
    <col min="82" max="82" width="15.7109375" hidden="0" customWidth="1"/>
    <col min="83" max="83" width="15.7109375" hidden="0" customWidth="1"/>
    <col min="84" max="84" width="15.7109375" hidden="0" customWidth="1"/>
    <col min="85" max="85" width="15.7109375" hidden="0" customWidth="1"/>
    <col min="86" max="86" width="15.7109375" hidden="0" customWidth="1"/>
    <col min="87" max="87" width="15.7109375" hidden="0" customWidth="1"/>
    <col min="88" max="88" width="15.7109375" hidden="0" customWidth="1"/>
    <col min="89" max="89" width="15.7109375" hidden="0" customWidth="1"/>
    <col min="90" max="90" width="15.7109375" hidden="0" customWidth="1"/>
    <col min="91" max="91" width="15.7109375" hidden="0" customWidth="1"/>
    <col min="92" max="92" width="15.7109375" hidden="0" customWidth="1"/>
    <col min="93" max="93" width="15.7109375" hidden="0" customWidth="1"/>
    <col min="94" max="94" width="15.7109375" hidden="0" customWidth="1"/>
    <col min="95" max="95" width="15.7109375" hidden="0" customWidth="1"/>
    <col min="96" max="96" width="15.7109375" hidden="0" customWidth="1"/>
    <col min="97" max="97" width="15.7109375" hidden="0" customWidth="1"/>
    <col min="98" max="98" width="15.7109375" hidden="0" customWidth="1"/>
    <col min="99" max="99" width="15.7109375" hidden="0" customWidth="1"/>
    <col min="100" max="100" width="15.7109375" hidden="0" customWidth="1"/>
    <col min="101" max="101" width="15.7109375" hidden="0" customWidth="1"/>
    <col min="102" max="102" width="15.7109375" hidden="0" customWidth="1"/>
    <col min="103" max="103" width="15.7109375" hidden="0" customWidth="1"/>
    <col min="104" max="104" width="15.7109375" hidden="0" customWidth="1"/>
    <col min="105" max="105" width="15.7109375" hidden="0" customWidth="1"/>
    <col min="106" max="106" width="15.7109375" hidden="0" customWidth="1"/>
    <col min="107" max="107" width="15.7109375" hidden="0" customWidth="1"/>
    <col min="108" max="108" width="15.7109375" hidden="0" customWidth="1"/>
    <col min="109" max="109" width="15.7109375" hidden="0" customWidth="1"/>
    <col min="110" max="110" width="15.7109375" hidden="0" customWidth="1"/>
    <col min="111" max="111" width="15.7109375" hidden="0" customWidth="1"/>
    <col min="112" max="112" width="15.7109375" hidden="0" customWidth="1"/>
    <col min="113" max="113" width="15.7109375" hidden="0" customWidth="1"/>
    <col min="114" max="114" width="15.7109375" hidden="0" customWidth="1"/>
    <col min="115" max="115" width="15.7109375" hidden="0" customWidth="1"/>
    <col min="116" max="116" width="15.7109375" hidden="0" customWidth="1"/>
    <col min="117" max="117" width="15.7109375" hidden="0" customWidth="1"/>
    <col min="118" max="118" width="15.7109375" hidden="0" customWidth="1"/>
    <col min="119" max="119" width="15.7109375" hidden="0" customWidth="1"/>
    <col min="120" max="120" width="15.7109375" hidden="0" customWidth="1"/>
    <col min="121" max="121" width="15.7109375" hidden="0" customWidth="1"/>
    <col min="122" max="122" width="15.7109375" hidden="0" customWidth="1"/>
    <col min="123" max="123" width="15.7109375" hidden="0" customWidth="1"/>
    <col min="124" max="124" width="15.7109375" hidden="0" customWidth="1"/>
    <col min="125" max="125" width="15.7109375" hidden="0" customWidth="1"/>
    <col min="126" max="126" width="15.7109375" hidden="0" customWidth="1"/>
    <col min="127" max="127" width="15.7109375" hidden="0" customWidth="1"/>
    <col min="128" max="128" width="15.7109375" hidden="0" customWidth="1"/>
    <col min="129" max="129" width="15.7109375" hidden="0" customWidth="1"/>
    <col min="130" max="130" width="15.7109375" hidden="0" customWidth="1"/>
    <col min="131" max="131" width="15.7109375" hidden="0" customWidth="1"/>
    <col min="132" max="132" width="15.7109375" hidden="0" customWidth="1"/>
    <col min="133" max="133" width="15.7109375" hidden="0" customWidth="1"/>
    <col min="134" max="134" width="15.7109375" hidden="0" customWidth="1"/>
    <col min="135" max="135" width="15.7109375" hidden="0" customWidth="1"/>
    <col min="136" max="136" width="15.7109375" hidden="0" customWidth="1"/>
    <col min="137" max="137" width="15.7109375" hidden="0" customWidth="1"/>
    <col min="138" max="138" width="15.7109375" hidden="0" customWidth="1"/>
    <col min="139" max="139" width="15.7109375" hidden="0" customWidth="1"/>
  </cols>
  <sheetData>
    <row r="1">
      <c r="A1" s="1" t="s">
        <v>0</v>
      </c>
      <c r="B1" t="s">
        <v>2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7</v>
      </c>
      <c r="N1" t="s">
        <v>46</v>
      </c>
      <c r="O1" t="s">
        <v>3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8</v>
      </c>
      <c r="AU1" t="s">
        <v>9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1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4</v>
      </c>
      <c r="BZ1" t="s">
        <v>104</v>
      </c>
      <c r="CA1" t="s">
        <v>105</v>
      </c>
      <c r="CB1" t="s">
        <v>6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145</v>
      </c>
      <c r="DQ1" t="s">
        <v>146</v>
      </c>
      <c r="DR1" t="s">
        <v>147</v>
      </c>
      <c r="DS1" t="s">
        <v>148</v>
      </c>
      <c r="DT1" t="s">
        <v>149</v>
      </c>
      <c r="DU1" t="s">
        <v>150</v>
      </c>
      <c r="DV1" t="s">
        <v>151</v>
      </c>
      <c r="DW1" t="s">
        <v>152</v>
      </c>
      <c r="DX1" t="s">
        <v>153</v>
      </c>
      <c r="DY1" t="s">
        <v>154</v>
      </c>
      <c r="DZ1" t="s">
        <v>155</v>
      </c>
      <c r="EA1" t="s">
        <v>156</v>
      </c>
      <c r="EB1" t="s">
        <v>157</v>
      </c>
      <c r="EC1" t="s">
        <v>158</v>
      </c>
      <c r="ED1" t="s">
        <v>159</v>
      </c>
      <c r="EE1" t="s">
        <v>160</v>
      </c>
      <c r="EF1" t="s">
        <v>161</v>
      </c>
      <c r="EG1" t="s">
        <v>162</v>
      </c>
      <c r="EH1" t="s">
        <v>163</v>
      </c>
      <c r="EI1" t="s">
        <v>164</v>
      </c>
    </row>
    <row r="2">
      <c r="A2" s="2" t="n">
        <v>45717</v>
      </c>
      <c r="B2" t="n">
        <v>350468.540788399</v>
      </c>
      <c r="C2" t="n">
        <v>35109.7372357658</v>
      </c>
      <c r="D2" t="n">
        <v>18846.0057037601</v>
      </c>
      <c r="E2" t="n">
        <v>217910.492102616</v>
      </c>
      <c r="F2" t="n">
        <v>38374.7565731031</v>
      </c>
      <c r="G2" t="n">
        <v>11231.4488666411</v>
      </c>
      <c r="H2" t="n">
        <v>45981.3274945348</v>
      </c>
      <c r="I2" t="n">
        <v>43060.0756127221</v>
      </c>
      <c r="J2" t="n">
        <v>89293.6814679704</v>
      </c>
      <c r="K2" t="n">
        <v>414.928112530843</v>
      </c>
      <c r="L2" t="n">
        <v>4520.61451650285</v>
      </c>
      <c r="M2" t="n">
        <v>0.669945984158873</v>
      </c>
      <c r="N2" t="n">
        <v>25434.4374504446</v>
      </c>
      <c r="O2" t="n">
        <v>140.092369592022</v>
      </c>
      <c r="P2" t="n">
        <v>1.26258425765772</v>
      </c>
      <c r="Q2" t="n">
        <v>1.06605388918708</v>
      </c>
      <c r="R2" t="n">
        <v>0.981620276413277</v>
      </c>
      <c r="S2" t="n">
        <v>0.0884890670184543</v>
      </c>
      <c r="T2" t="n">
        <v>8980.37173293706</v>
      </c>
      <c r="U2" t="n">
        <v>0.429200922013898</v>
      </c>
      <c r="V2" t="n">
        <v>0.661634048929856</v>
      </c>
      <c r="W2" t="n">
        <v>17560396.7964388</v>
      </c>
      <c r="X2" t="n">
        <v>57636.9917975241</v>
      </c>
      <c r="Y2" t="n">
        <v>4330796.25448492</v>
      </c>
      <c r="Z2" t="n">
        <v>786.568522966432</v>
      </c>
      <c r="AA2" t="n">
        <v>1.02925683393379</v>
      </c>
      <c r="AB2" t="n">
        <v>1.01686926356156</v>
      </c>
      <c r="AC2" t="n">
        <v>1.03988417597725</v>
      </c>
      <c r="AD2" t="n">
        <v>1.05199008971384</v>
      </c>
      <c r="AE2" t="n">
        <v>104.960849833629</v>
      </c>
      <c r="AF2" t="n">
        <v>87080.1689416506</v>
      </c>
      <c r="AG2" t="n">
        <v>844.805002304026</v>
      </c>
      <c r="AH2" t="n">
        <v>96.8570075217379</v>
      </c>
      <c r="AI2" t="n">
        <v>61527.850859933</v>
      </c>
      <c r="AJ2" t="n">
        <v>82257.3691536185</v>
      </c>
      <c r="AK2" t="n">
        <v>507.133819438475</v>
      </c>
      <c r="AL2" t="n">
        <v>22647.8740876066</v>
      </c>
      <c r="AM2" t="n">
        <v>19365.2849600075</v>
      </c>
      <c r="AN2" t="n">
        <v>0.862520266328119</v>
      </c>
      <c r="AO2" t="n">
        <v>0.929903507315349</v>
      </c>
      <c r="AP2" t="n">
        <v>1.03095964296258</v>
      </c>
      <c r="AQ2" t="n">
        <v>1.03921235194631</v>
      </c>
      <c r="AR2" t="n">
        <v>32154.9597546334</v>
      </c>
      <c r="AS2" t="n">
        <v>156309.501126399</v>
      </c>
      <c r="AT2" t="n">
        <v>0.0436541782570385</v>
      </c>
      <c r="AU2" t="n">
        <v>0.0435951464976011</v>
      </c>
      <c r="AV2" t="n">
        <v>0.0949044263785597</v>
      </c>
      <c r="AW2" t="n">
        <v>147.492102615593</v>
      </c>
      <c r="AX2" t="n">
        <v>10391.1709586367</v>
      </c>
      <c r="AY2" t="n">
        <v>17116.45064024</v>
      </c>
      <c r="AZ2" t="n">
        <v>165975.376822851</v>
      </c>
      <c r="BA2" t="n">
        <v>364211.237036219</v>
      </c>
      <c r="BB2" t="n">
        <v>162352.538309116</v>
      </c>
      <c r="BC2" t="n">
        <v>205315.575963536</v>
      </c>
      <c r="BD2" t="n">
        <v>40099.192495637</v>
      </c>
      <c r="BE2" t="n">
        <v>14.5202340575456</v>
      </c>
      <c r="BF2" t="n">
        <v>36935.0956244824</v>
      </c>
      <c r="BG2" t="n">
        <v>13119.7288710048</v>
      </c>
      <c r="BH2" t="n">
        <v>19397.3801629503</v>
      </c>
      <c r="BI2" t="n">
        <v>62565.7798117878</v>
      </c>
      <c r="BJ2" t="n">
        <v>39139.0705642406</v>
      </c>
      <c r="BK2" t="n">
        <v>77017.6099211721</v>
      </c>
      <c r="BL2" t="n">
        <v>18247.0587741065</v>
      </c>
      <c r="BM2" t="n">
        <v>18007.8464044721</v>
      </c>
      <c r="BN2" t="n">
        <v>33750.1190221247</v>
      </c>
      <c r="BO2" t="n">
        <v>158612.194121875</v>
      </c>
      <c r="BP2" t="n">
        <v>153436.575701717</v>
      </c>
      <c r="BQ2" t="n">
        <v>702896.448799959</v>
      </c>
      <c r="BR2" t="n">
        <v>681349.817406348</v>
      </c>
      <c r="BS2" t="n">
        <v>672113.922754422</v>
      </c>
      <c r="BT2" t="n">
        <v>103.870017295014</v>
      </c>
      <c r="BU2" t="n">
        <v>1.03162345873216</v>
      </c>
      <c r="BV2" t="n">
        <v>0.955636897219792</v>
      </c>
      <c r="BW2" t="n">
        <v>97.3530111573871</v>
      </c>
      <c r="BX2" t="n">
        <v>74568.2694308633</v>
      </c>
      <c r="BY2" t="n">
        <v>1.06882100982271</v>
      </c>
      <c r="BZ2" t="n">
        <v>79700.1330338271</v>
      </c>
      <c r="CA2" t="n">
        <v>10060.5769051249</v>
      </c>
      <c r="CB2" t="n">
        <v>14581.1914216278</v>
      </c>
      <c r="CC2" t="n">
        <v>15181.0130874977</v>
      </c>
      <c r="CD2" t="n">
        <v>599.821665869957</v>
      </c>
      <c r="CE2" t="n">
        <v>0.0395113021727239</v>
      </c>
      <c r="CF2" t="n">
        <v>10809825.7335879</v>
      </c>
      <c r="CG2" t="n">
        <v>340744.516562918</v>
      </c>
      <c r="CH2" t="n">
        <v>430785.628655857</v>
      </c>
      <c r="CI2" t="n">
        <v>246856.101635509</v>
      </c>
      <c r="CJ2" t="n">
        <v>12585.2854499664</v>
      </c>
      <c r="CK2" t="n">
        <v>643686.745363069</v>
      </c>
      <c r="CL2" t="n">
        <v>0.0564713616005977</v>
      </c>
      <c r="CM2" t="n">
        <v>17.7080908208421</v>
      </c>
      <c r="CN2" t="n">
        <v>1137697.02575921</v>
      </c>
      <c r="CO2" t="n">
        <v>2537800.32085941</v>
      </c>
      <c r="CP2" t="n">
        <v>3102677.61831014</v>
      </c>
      <c r="CQ2" t="n">
        <v>3675497.34661862</v>
      </c>
      <c r="CR2" t="n">
        <v>8834487.4760717</v>
      </c>
      <c r="CS2" t="n">
        <v>0.0248005812241531</v>
      </c>
      <c r="CT2" t="n">
        <v>0.0247415494647157</v>
      </c>
      <c r="CU2" t="n">
        <v>0.069635469985569</v>
      </c>
      <c r="CV2" t="n">
        <v>1.35294770662073</v>
      </c>
      <c r="CW2" t="n">
        <v>0.0629938874887303</v>
      </c>
      <c r="CX2" t="n">
        <v>0.0359883333333333</v>
      </c>
      <c r="CY2" t="n">
        <v>0.0192742085963046</v>
      </c>
      <c r="CZ2" t="n">
        <v>0.00546734086841111</v>
      </c>
      <c r="DA2" t="n">
        <v>0.633370800709156</v>
      </c>
      <c r="DB2" t="n">
        <v>5.6146421482989</v>
      </c>
      <c r="DC2" t="n">
        <v>0.0613836695070385</v>
      </c>
      <c r="DD2" t="n">
        <v>0.041812440519243</v>
      </c>
      <c r="DE2" t="n">
        <v>0.00721294469504585</v>
      </c>
      <c r="DF2" t="n">
        <v>0.116342038136811</v>
      </c>
      <c r="DG2" t="n">
        <v>195464.139802887</v>
      </c>
      <c r="DH2" t="n">
        <v>106.187249230495</v>
      </c>
      <c r="DI2" t="n">
        <v>4.69695921163727</v>
      </c>
      <c r="DJ2" t="n">
        <v>4.10687603785662</v>
      </c>
      <c r="DK2" t="n">
        <v>0.0411256875275234</v>
      </c>
      <c r="DL2" t="n">
        <v>0.670223574218165</v>
      </c>
      <c r="DM2" t="n">
        <v>1.03449629207622</v>
      </c>
      <c r="DN2" t="n">
        <v>0.0357615042376472</v>
      </c>
      <c r="DO2" t="n">
        <v>0.0465455822795444</v>
      </c>
      <c r="DP2" t="n">
        <v>27499.25</v>
      </c>
      <c r="DQ2" t="n">
        <v>22660.0553573848</v>
      </c>
      <c r="DR2" t="n">
        <v>156125.597503725</v>
      </c>
      <c r="DS2" t="n">
        <v>27565.0670214726</v>
      </c>
      <c r="DT2" t="n">
        <v>11773.4752776902</v>
      </c>
      <c r="DU2" t="n">
        <v>0</v>
      </c>
      <c r="DV2" t="n">
        <v>76.25</v>
      </c>
      <c r="DW2" t="n">
        <v>258921.25</v>
      </c>
      <c r="DX2" t="n">
        <v>2.0020835478184</v>
      </c>
      <c r="DY2" t="n">
        <v>72.8314273592171</v>
      </c>
      <c r="DZ2" t="n">
        <v>1.02687319303511</v>
      </c>
      <c r="EA2" t="n">
        <v>1.18168784780365</v>
      </c>
      <c r="EB2" t="n">
        <v>135100737.563551</v>
      </c>
      <c r="EC2" t="n">
        <v>3.3974844822145</v>
      </c>
      <c r="ED2" t="n">
        <v>0.0429</v>
      </c>
      <c r="EE2" t="n">
        <v>0.0151</v>
      </c>
      <c r="EF2" t="n">
        <v>0.0261</v>
      </c>
      <c r="EG2" t="n">
        <v>0.0458</v>
      </c>
      <c r="EH2" t="n">
        <v>685263.335680707</v>
      </c>
      <c r="EI2" t="n">
        <v>351933.173754294</v>
      </c>
      <c r="EJ2" t="n">
        <v>793.450186279355</v>
      </c>
      <c r="EK2" t="n">
        <v>1.63514523027684</v>
      </c>
      <c r="EL2" t="n">
        <v>1.88535970328854</v>
      </c>
    </row>
    <row r="3">
      <c r="A3" s="2" t="n">
        <v>45809</v>
      </c>
      <c r="B3" t="n">
        <v>352938.80097866</v>
      </c>
      <c r="C3" t="n">
        <v>34986.2641210769</v>
      </c>
      <c r="D3" t="n">
        <v>19122.7159077237</v>
      </c>
      <c r="E3" t="n">
        <v>218379.487625417</v>
      </c>
      <c r="F3" t="n">
        <v>38722.132909819</v>
      </c>
      <c r="G3" t="n">
        <v>11130.5062638695</v>
      </c>
      <c r="H3" t="n">
        <v>46678.6866566805</v>
      </c>
      <c r="I3" t="n">
        <v>44950.1986809091</v>
      </c>
      <c r="J3" t="n">
        <v>90137.8063910306</v>
      </c>
      <c r="K3" t="n">
        <v>413.162996449691</v>
      </c>
      <c r="L3" t="n">
        <v>4563.93051209368</v>
      </c>
      <c r="M3" t="n">
        <v>0.669751017680153</v>
      </c>
      <c r="N3" t="n">
        <v>25730.3883901039</v>
      </c>
      <c r="O3" t="n">
        <v>140.679219657773</v>
      </c>
      <c r="P3" t="n">
        <v>1.28332763012633</v>
      </c>
      <c r="Q3" t="n">
        <v>1.07332882086029</v>
      </c>
      <c r="R3" t="n">
        <v>0.969557710693775</v>
      </c>
      <c r="S3" t="n">
        <v>0.0859451115668963</v>
      </c>
      <c r="T3" t="n">
        <v>9018.15932694988</v>
      </c>
      <c r="U3" t="n">
        <v>0.435680907262609</v>
      </c>
      <c r="V3" t="n">
        <v>0.669148610835265</v>
      </c>
      <c r="W3" t="n">
        <v>17801996.2726773</v>
      </c>
      <c r="X3" t="n">
        <v>58226.7715982906</v>
      </c>
      <c r="Y3" t="n">
        <v>4335159.61856228</v>
      </c>
      <c r="Z3" t="n">
        <v>789.253441697828</v>
      </c>
      <c r="AA3" t="n">
        <v>1.03432018585484</v>
      </c>
      <c r="AB3" t="n">
        <v>1.01769482021604</v>
      </c>
      <c r="AC3" t="n">
        <v>1.0512458039728</v>
      </c>
      <c r="AD3" t="n">
        <v>1.06209808535766</v>
      </c>
      <c r="AE3" t="n">
        <v>105.904320010608</v>
      </c>
      <c r="AF3" t="n">
        <v>87709.503323794</v>
      </c>
      <c r="AG3" t="n">
        <v>864.171110265817</v>
      </c>
      <c r="AH3" t="n">
        <v>96.9568707783642</v>
      </c>
      <c r="AI3" t="n">
        <v>62473.3831746758</v>
      </c>
      <c r="AJ3" t="n">
        <v>81162.5402779727</v>
      </c>
      <c r="AK3" t="n">
        <v>489.857364533992</v>
      </c>
      <c r="AL3" t="n">
        <v>22728.7568266566</v>
      </c>
      <c r="AM3" t="n">
        <v>19391.1176856698</v>
      </c>
      <c r="AN3" t="n">
        <v>0.843753759217416</v>
      </c>
      <c r="AO3" t="n">
        <v>0.924067337639053</v>
      </c>
      <c r="AP3" t="n">
        <v>1.03969666219384</v>
      </c>
      <c r="AQ3" t="n">
        <v>1.04647676924081</v>
      </c>
      <c r="AR3" t="n">
        <v>32276.6250504938</v>
      </c>
      <c r="AS3" t="n">
        <v>158845.074242518</v>
      </c>
      <c r="AT3" t="n">
        <v>0.0382149918379011</v>
      </c>
      <c r="AU3" t="n">
        <v>0.0431321381400727</v>
      </c>
      <c r="AV3" t="n">
        <v>0.0976693201779757</v>
      </c>
      <c r="AW3" t="n">
        <v>468.995522801677</v>
      </c>
      <c r="AX3" t="n">
        <v>10354.6275281089</v>
      </c>
      <c r="AY3" t="n">
        <v>17228.0513980428</v>
      </c>
      <c r="AZ3" t="n">
        <v>167078.600525237</v>
      </c>
      <c r="BA3" t="n">
        <v>369342.256791581</v>
      </c>
      <c r="BB3" t="n">
        <v>165823.21022354</v>
      </c>
      <c r="BC3" t="n">
        <v>206969.58598082</v>
      </c>
      <c r="BD3" t="n">
        <v>44252.3542188311</v>
      </c>
      <c r="BE3" t="n">
        <v>14.9530576929137</v>
      </c>
      <c r="BF3" t="n">
        <v>37158.8441368132</v>
      </c>
      <c r="BG3" t="n">
        <v>13288.3796064888</v>
      </c>
      <c r="BH3" t="n">
        <v>19779.0110717262</v>
      </c>
      <c r="BI3" t="n">
        <v>63578.8378224543</v>
      </c>
      <c r="BJ3" t="n">
        <v>39893.2407324003</v>
      </c>
      <c r="BK3" t="n">
        <v>76054.1129900436</v>
      </c>
      <c r="BL3" t="n">
        <v>18491.3640927817</v>
      </c>
      <c r="BM3" t="n">
        <v>17918.6984936424</v>
      </c>
      <c r="BN3" t="n">
        <v>34182.3402820989</v>
      </c>
      <c r="BO3" t="n">
        <v>158236.075858567</v>
      </c>
      <c r="BP3" t="n">
        <v>154009.466537558</v>
      </c>
      <c r="BQ3" t="n">
        <v>713090.389706012</v>
      </c>
      <c r="BR3" t="n">
        <v>685792.277712929</v>
      </c>
      <c r="BS3" t="n">
        <v>677988.730387843</v>
      </c>
      <c r="BT3" t="n">
        <v>104.613990902092</v>
      </c>
      <c r="BU3" t="n">
        <v>1.03980522488014</v>
      </c>
      <c r="BV3" t="n">
        <v>0.947075659965595</v>
      </c>
      <c r="BW3" t="n">
        <v>97.6812055146163</v>
      </c>
      <c r="BX3" t="n">
        <v>75093.8601929253</v>
      </c>
      <c r="BY3" t="n">
        <v>1.06992300491344</v>
      </c>
      <c r="BZ3" t="n">
        <v>80344.6485481641</v>
      </c>
      <c r="CA3" t="n">
        <v>10113.7372662708</v>
      </c>
      <c r="CB3" t="n">
        <v>14677.6677783645</v>
      </c>
      <c r="CC3" t="n">
        <v>15283.3846379249</v>
      </c>
      <c r="CD3" t="n">
        <v>605.716859560342</v>
      </c>
      <c r="CE3" t="n">
        <v>0.0396323715556403</v>
      </c>
      <c r="CF3" t="n">
        <v>10853518.275395</v>
      </c>
      <c r="CG3" t="n">
        <v>346990.131060874</v>
      </c>
      <c r="CH3" t="n">
        <v>438073.614845634</v>
      </c>
      <c r="CI3" t="n">
        <v>249578.719190661</v>
      </c>
      <c r="CJ3" t="n">
        <v>12798.201992331</v>
      </c>
      <c r="CK3" t="n">
        <v>653021.981947979</v>
      </c>
      <c r="CL3" t="n">
        <v>0.0543189964575256</v>
      </c>
      <c r="CM3" t="n">
        <v>18.409765739725</v>
      </c>
      <c r="CN3" t="n">
        <v>1138387.30563051</v>
      </c>
      <c r="CO3" t="n">
        <v>2557515.49679336</v>
      </c>
      <c r="CP3" t="n">
        <v>3113037.00920193</v>
      </c>
      <c r="CQ3" t="n">
        <v>3695902.80242387</v>
      </c>
      <c r="CR3" t="n">
        <v>8865252.32276874</v>
      </c>
      <c r="CS3" t="n">
        <v>0.0254056350504781</v>
      </c>
      <c r="CT3" t="n">
        <v>0.0303227813526497</v>
      </c>
      <c r="CU3" t="n">
        <v>0.0731357547794733</v>
      </c>
      <c r="CV3" t="n">
        <v>1.35861523478733</v>
      </c>
      <c r="CW3" t="n">
        <v>0.0649250388563867</v>
      </c>
      <c r="CX3" t="n">
        <v>0.0359883333333333</v>
      </c>
      <c r="CY3" t="n">
        <v>0.0228382601476805</v>
      </c>
      <c r="CZ3" t="n">
        <v>0.00748452120496914</v>
      </c>
      <c r="DA3" t="n">
        <v>0.644717879792833</v>
      </c>
      <c r="DB3" t="n">
        <v>5.61030579795527</v>
      </c>
      <c r="DC3" t="n">
        <v>0.0559444830879011</v>
      </c>
      <c r="DD3" t="n">
        <v>0.0380493538616261</v>
      </c>
      <c r="DE3" t="n">
        <v>0.00717876207397995</v>
      </c>
      <c r="DF3" t="n">
        <v>0.113754107824346</v>
      </c>
      <c r="DG3" t="n">
        <v>197484.95817766</v>
      </c>
      <c r="DH3" t="n">
        <v>107.433115645395</v>
      </c>
      <c r="DI3" t="n">
        <v>4.70878085150181</v>
      </c>
      <c r="DJ3" t="n">
        <v>4.11577647389056</v>
      </c>
      <c r="DK3" t="n">
        <v>0.0411256875275234</v>
      </c>
      <c r="DL3" t="n">
        <v>0.670223574218165</v>
      </c>
      <c r="DM3" t="n">
        <v>1.04509373576945</v>
      </c>
      <c r="DN3" t="n">
        <v>0.0357615042376472</v>
      </c>
      <c r="DO3" t="n">
        <v>0.0465455822795444</v>
      </c>
      <c r="DP3" t="n">
        <v>27610.4</v>
      </c>
      <c r="DQ3" t="n">
        <v>22819.501926048</v>
      </c>
      <c r="DR3" t="n">
        <v>157739.711870309</v>
      </c>
      <c r="DS3" t="n">
        <v>27850.0502106908</v>
      </c>
      <c r="DT3" t="n">
        <v>11895.1960966602</v>
      </c>
      <c r="DU3" t="n">
        <v>0</v>
      </c>
      <c r="DV3" t="n">
        <v>76.25</v>
      </c>
      <c r="DW3" t="n">
        <v>246475.5</v>
      </c>
      <c r="DX3" t="n">
        <v>2.01472165420273</v>
      </c>
      <c r="DY3" t="n">
        <v>71.0920766330538</v>
      </c>
      <c r="DZ3" t="n">
        <v>1.02370345415966</v>
      </c>
      <c r="EA3" t="n">
        <v>1.17590217315243</v>
      </c>
      <c r="EB3" t="n">
        <v>136745373.274626</v>
      </c>
      <c r="EC3" t="n">
        <v>3.36527720317444</v>
      </c>
      <c r="ED3" t="n">
        <v>0.0429</v>
      </c>
      <c r="EE3" t="n">
        <v>0.0151</v>
      </c>
      <c r="EF3" t="n">
        <v>0.0261</v>
      </c>
      <c r="EG3" t="n">
        <v>0.0458</v>
      </c>
      <c r="EH3" t="n">
        <v>688367.271703537</v>
      </c>
      <c r="EI3" t="n">
        <v>353901.276694433</v>
      </c>
      <c r="EJ3" t="n">
        <v>800.891733406604</v>
      </c>
      <c r="EK3" t="n">
        <v>2.04088194087118</v>
      </c>
      <c r="EL3" t="n">
        <v>1.2809356787423</v>
      </c>
    </row>
    <row r="4">
      <c r="A4" s="2" t="n">
        <v>45901</v>
      </c>
      <c r="B4" t="n">
        <v>355501.441218767</v>
      </c>
      <c r="C4" t="n">
        <v>34862.5323521365</v>
      </c>
      <c r="D4" t="n">
        <v>18994.5303264806</v>
      </c>
      <c r="E4" t="n">
        <v>218924.931396337</v>
      </c>
      <c r="F4" t="n">
        <v>38988.3099343437</v>
      </c>
      <c r="G4" t="n">
        <v>11142.8142763009</v>
      </c>
      <c r="H4" t="n">
        <v>47272.4398470848</v>
      </c>
      <c r="I4" t="n">
        <v>48826.2605483645</v>
      </c>
      <c r="J4" t="n">
        <v>90769.9253314913</v>
      </c>
      <c r="K4" t="n">
        <v>411.84463097424</v>
      </c>
      <c r="L4" t="n">
        <v>4593.65208278973</v>
      </c>
      <c r="M4" t="n">
        <v>0.669416864937389</v>
      </c>
      <c r="N4" t="n">
        <v>26012.0038331231</v>
      </c>
      <c r="O4" t="n">
        <v>141.377691369533</v>
      </c>
      <c r="P4" t="n">
        <v>1.30411108098739</v>
      </c>
      <c r="Q4" t="n">
        <v>1.08092653391427</v>
      </c>
      <c r="R4" t="n">
        <v>0.954886387829325</v>
      </c>
      <c r="S4" t="n">
        <v>0.0841031772697761</v>
      </c>
      <c r="T4" t="n">
        <v>9120.7430691135</v>
      </c>
      <c r="U4" t="n">
        <v>0.444428642904621</v>
      </c>
      <c r="V4" t="n">
        <v>0.680155893603876</v>
      </c>
      <c r="W4" t="n">
        <v>18122862.3169349</v>
      </c>
      <c r="X4" t="n">
        <v>58835.1179447278</v>
      </c>
      <c r="Y4" t="n">
        <v>4331982.12761376</v>
      </c>
      <c r="Z4" t="n">
        <v>797.234196462764</v>
      </c>
      <c r="AA4" t="n">
        <v>1.0371190126164</v>
      </c>
      <c r="AB4" t="n">
        <v>1.01603805842877</v>
      </c>
      <c r="AC4" t="n">
        <v>1.0629703365086</v>
      </c>
      <c r="AD4" t="n">
        <v>1.0733763762788</v>
      </c>
      <c r="AE4" t="n">
        <v>106.855347916536</v>
      </c>
      <c r="AF4" t="n">
        <v>88196.516212561</v>
      </c>
      <c r="AG4" t="n">
        <v>884.410807869139</v>
      </c>
      <c r="AH4" t="n">
        <v>97.0823006117391</v>
      </c>
      <c r="AI4" t="n">
        <v>63490.1556353191</v>
      </c>
      <c r="AJ4" t="n">
        <v>81108.0179770986</v>
      </c>
      <c r="AK4" t="n">
        <v>477.855835567427</v>
      </c>
      <c r="AL4" t="n">
        <v>22792.6655903758</v>
      </c>
      <c r="AM4" t="n">
        <v>19377.0948721728</v>
      </c>
      <c r="AN4" t="n">
        <v>0.821320348478375</v>
      </c>
      <c r="AO4" t="n">
        <v>0.916474849238571</v>
      </c>
      <c r="AP4" t="n">
        <v>1.0481115988226</v>
      </c>
      <c r="AQ4" t="n">
        <v>1.05352793322612</v>
      </c>
      <c r="AR4" t="n">
        <v>32184.6921292379</v>
      </c>
      <c r="AS4" t="n">
        <v>161333.593479406</v>
      </c>
      <c r="AT4" t="n">
        <v>0.0359037159711615</v>
      </c>
      <c r="AU4" t="n">
        <v>0.042563374979644</v>
      </c>
      <c r="AV4" t="n">
        <v>0.100581629429146</v>
      </c>
      <c r="AW4" t="n">
        <v>545.443770919781</v>
      </c>
      <c r="AX4" t="n">
        <v>10318.0075455826</v>
      </c>
      <c r="AY4" t="n">
        <v>17298.8869481274</v>
      </c>
      <c r="AZ4" t="n">
        <v>167675.599281029</v>
      </c>
      <c r="BA4" t="n">
        <v>374530.699188748</v>
      </c>
      <c r="BB4" t="n">
        <v>168813.683409017</v>
      </c>
      <c r="BC4" t="n">
        <v>208392.745860666</v>
      </c>
      <c r="BD4" t="n">
        <v>49904.6939399531</v>
      </c>
      <c r="BE4" t="n">
        <v>15.5421188442695</v>
      </c>
      <c r="BF4" t="n">
        <v>37420.6186440386</v>
      </c>
      <c r="BG4" t="n">
        <v>13455.8279739058</v>
      </c>
      <c r="BH4" t="n">
        <v>19699.5885373119</v>
      </c>
      <c r="BI4" t="n">
        <v>64508.4138322554</v>
      </c>
      <c r="BJ4" t="n">
        <v>40171.8901176607</v>
      </c>
      <c r="BK4" t="n">
        <v>74551.1867046165</v>
      </c>
      <c r="BL4" t="n">
        <v>18698.825909414</v>
      </c>
      <c r="BM4" t="n">
        <v>17758.6201016561</v>
      </c>
      <c r="BN4" t="n">
        <v>34391.0647505633</v>
      </c>
      <c r="BO4" t="n">
        <v>156989.25746625</v>
      </c>
      <c r="BP4" t="n">
        <v>154055.252313074</v>
      </c>
      <c r="BQ4" t="n">
        <v>721534.726856112</v>
      </c>
      <c r="BR4" t="n">
        <v>688612.008883329</v>
      </c>
      <c r="BS4" t="n">
        <v>682699.982229575</v>
      </c>
      <c r="BT4" t="n">
        <v>105.318708671016</v>
      </c>
      <c r="BU4" t="n">
        <v>1.04781026108528</v>
      </c>
      <c r="BV4" t="n">
        <v>0.936267758334539</v>
      </c>
      <c r="BW4" t="n">
        <v>98.0501733261576</v>
      </c>
      <c r="BX4" t="n">
        <v>75639.106415165</v>
      </c>
      <c r="BY4" t="n">
        <v>1.07130712821644</v>
      </c>
      <c r="BZ4" t="n">
        <v>81032.7138744877</v>
      </c>
      <c r="CA4" t="n">
        <v>10138.6759102635</v>
      </c>
      <c r="CB4" t="n">
        <v>14732.3279930533</v>
      </c>
      <c r="CC4" t="n">
        <v>15342.3506813822</v>
      </c>
      <c r="CD4" t="n">
        <v>610.022688328972</v>
      </c>
      <c r="CE4" t="n">
        <v>0.0397607007889189</v>
      </c>
      <c r="CF4" t="n">
        <v>10892257.8165114</v>
      </c>
      <c r="CG4" t="n">
        <v>352094.236672592</v>
      </c>
      <c r="CH4" t="n">
        <v>447665.74193158</v>
      </c>
      <c r="CI4" t="n">
        <v>251793.331477421</v>
      </c>
      <c r="CJ4" t="n">
        <v>13078.4333868314</v>
      </c>
      <c r="CK4" t="n">
        <v>660754.995688732</v>
      </c>
      <c r="CL4" t="n">
        <v>0.0523922044450127</v>
      </c>
      <c r="CM4" t="n">
        <v>19.0868090127708</v>
      </c>
      <c r="CN4" t="n">
        <v>1139343.28000317</v>
      </c>
      <c r="CO4" t="n">
        <v>2577851.37876015</v>
      </c>
      <c r="CP4" t="n">
        <v>3123190.28915969</v>
      </c>
      <c r="CQ4" t="n">
        <v>3717194.65876332</v>
      </c>
      <c r="CR4" t="n">
        <v>8896697.45906595</v>
      </c>
      <c r="CS4" t="n">
        <v>0.0195292273332564</v>
      </c>
      <c r="CT4" t="n">
        <v>0.0261888863417388</v>
      </c>
      <c r="CU4" t="n">
        <v>0.0677286886318709</v>
      </c>
      <c r="CV4" t="n">
        <v>1.36536075349985</v>
      </c>
      <c r="CW4" t="n">
        <v>0.0662246206908131</v>
      </c>
      <c r="CX4" t="n">
        <v>0.0359883333333333</v>
      </c>
      <c r="CY4" t="n">
        <v>0.0262145928364789</v>
      </c>
      <c r="CZ4" t="n">
        <v>-0.0000257064947400201</v>
      </c>
      <c r="DA4" t="n">
        <v>0.659053415570613</v>
      </c>
      <c r="DB4" t="n">
        <v>5.63903815899042</v>
      </c>
      <c r="DC4" t="n">
        <v>0.0536332072211615</v>
      </c>
      <c r="DD4" t="n">
        <v>0.0363693744632795</v>
      </c>
      <c r="DE4" t="n">
        <v>0.00713680951416801</v>
      </c>
      <c r="DF4" t="n">
        <v>0.111900512405258</v>
      </c>
      <c r="DG4" t="n">
        <v>198828.886334829</v>
      </c>
      <c r="DH4" t="n">
        <v>108.567031169644</v>
      </c>
      <c r="DI4" t="n">
        <v>4.71943736246181</v>
      </c>
      <c r="DJ4" t="n">
        <v>4.12351178101997</v>
      </c>
      <c r="DK4" t="n">
        <v>0.0411256875275234</v>
      </c>
      <c r="DL4" t="n">
        <v>0.670223574218165</v>
      </c>
      <c r="DM4" t="n">
        <v>1.05579974032818</v>
      </c>
      <c r="DN4" t="n">
        <v>0.0357615042376472</v>
      </c>
      <c r="DO4" t="n">
        <v>0.0465455822795444</v>
      </c>
      <c r="DP4" t="n">
        <v>27708.95</v>
      </c>
      <c r="DQ4" t="n">
        <v>22918.9784198479</v>
      </c>
      <c r="DR4" t="n">
        <v>158813.164968927</v>
      </c>
      <c r="DS4" t="n">
        <v>28039.5758687567</v>
      </c>
      <c r="DT4" t="n">
        <v>11976.1454971455</v>
      </c>
      <c r="DU4" t="n">
        <v>0</v>
      </c>
      <c r="DV4" t="n">
        <v>73.75</v>
      </c>
      <c r="DW4" t="n">
        <v>234029.75</v>
      </c>
      <c r="DX4" t="n">
        <v>2.02743953834316</v>
      </c>
      <c r="DY4" t="n">
        <v>69.3942648559171</v>
      </c>
      <c r="DZ4" t="n">
        <v>1.02054349959312</v>
      </c>
      <c r="EA4" t="n">
        <v>1.17014482580544</v>
      </c>
      <c r="EB4" t="n">
        <v>138410029.798845</v>
      </c>
      <c r="EC4" t="n">
        <v>3.3333752408558</v>
      </c>
      <c r="ED4" t="n">
        <v>0.0429</v>
      </c>
      <c r="EE4" t="n">
        <v>0.0151</v>
      </c>
      <c r="EF4" t="n">
        <v>0.0261</v>
      </c>
      <c r="EG4" t="n">
        <v>0.0458</v>
      </c>
      <c r="EH4" t="n">
        <v>691356.650080079</v>
      </c>
      <c r="EI4" t="n">
        <v>355967.103657767</v>
      </c>
      <c r="EJ4" t="n">
        <v>808.181272347927</v>
      </c>
      <c r="EK4" t="n">
        <v>2.14825165521917</v>
      </c>
      <c r="EL4" t="n">
        <v>1.63744886379051</v>
      </c>
    </row>
    <row r="5">
      <c r="A5" s="2" t="n">
        <v>45992</v>
      </c>
      <c r="B5" t="n">
        <v>358023.74330172</v>
      </c>
      <c r="C5" t="n">
        <v>34746.9792552674</v>
      </c>
      <c r="D5" t="n">
        <v>19175.4437486155</v>
      </c>
      <c r="E5" t="n">
        <v>219487.100424641</v>
      </c>
      <c r="F5" t="n">
        <v>39402.2880107491</v>
      </c>
      <c r="G5" t="n">
        <v>11154.0789053225</v>
      </c>
      <c r="H5" t="n">
        <v>47916.7351423152</v>
      </c>
      <c r="I5" t="n">
        <v>49741.1088030543</v>
      </c>
      <c r="J5" t="n">
        <v>91615.6532776664</v>
      </c>
      <c r="K5" t="n">
        <v>410.56473155331</v>
      </c>
      <c r="L5" t="n">
        <v>4622.09014835966</v>
      </c>
      <c r="M5" t="n">
        <v>0.669132869791734</v>
      </c>
      <c r="N5" t="n">
        <v>26299.9250088141</v>
      </c>
      <c r="O5" t="n">
        <v>142.175794539455</v>
      </c>
      <c r="P5" t="n">
        <v>1.32556952183791</v>
      </c>
      <c r="Q5" t="n">
        <v>1.08990576243365</v>
      </c>
      <c r="R5" t="n">
        <v>0.947195399289018</v>
      </c>
      <c r="S5" t="n">
        <v>0.0832175379055544</v>
      </c>
      <c r="T5" t="n">
        <v>9184.62700335308</v>
      </c>
      <c r="U5" t="n">
        <v>0.447808368927987</v>
      </c>
      <c r="V5" t="n">
        <v>0.682733578269594</v>
      </c>
      <c r="W5" t="n">
        <v>18440479.6134556</v>
      </c>
      <c r="X5" t="n">
        <v>59463.0596611044</v>
      </c>
      <c r="Y5" t="n">
        <v>4326208.13259025</v>
      </c>
      <c r="Z5" t="n">
        <v>806.233026581656</v>
      </c>
      <c r="AA5" t="n">
        <v>1.04065015906138</v>
      </c>
      <c r="AB5" t="n">
        <v>1.01560254562294</v>
      </c>
      <c r="AC5" t="n">
        <v>1.07479969591869</v>
      </c>
      <c r="AD5" t="n">
        <v>1.08549422024692</v>
      </c>
      <c r="AE5" t="n">
        <v>107.810642689763</v>
      </c>
      <c r="AF5" t="n">
        <v>88450.411149945</v>
      </c>
      <c r="AG5" t="n">
        <v>904.827596362442</v>
      </c>
      <c r="AH5" t="n">
        <v>97.3105353128028</v>
      </c>
      <c r="AI5" t="n">
        <v>64530.6496547591</v>
      </c>
      <c r="AJ5" t="n">
        <v>81753.6807649177</v>
      </c>
      <c r="AK5" t="n">
        <v>473.240539311766</v>
      </c>
      <c r="AL5" t="n">
        <v>22843.8650804099</v>
      </c>
      <c r="AM5" t="n">
        <v>19364.5222648954</v>
      </c>
      <c r="AN5" t="n">
        <v>0.811110349043446</v>
      </c>
      <c r="AO5" t="n">
        <v>0.913862500871707</v>
      </c>
      <c r="AP5" t="n">
        <v>1.05609904719452</v>
      </c>
      <c r="AQ5" t="n">
        <v>1.06045049948881</v>
      </c>
      <c r="AR5" t="n">
        <v>32028.4183821028</v>
      </c>
      <c r="AS5" t="n">
        <v>163722.617174504</v>
      </c>
      <c r="AT5" t="n">
        <v>0.0339877339762975</v>
      </c>
      <c r="AU5" t="n">
        <v>0.0419192880407713</v>
      </c>
      <c r="AV5" t="n">
        <v>0.116819923114466</v>
      </c>
      <c r="AW5" t="n">
        <v>562.169028303848</v>
      </c>
      <c r="AX5" t="n">
        <v>10283.808144536</v>
      </c>
      <c r="AY5" t="n">
        <v>17382.6769170597</v>
      </c>
      <c r="AZ5" t="n">
        <v>168436.270841724</v>
      </c>
      <c r="BA5" t="n">
        <v>379666.457971169</v>
      </c>
      <c r="BB5" t="n">
        <v>171853.939980549</v>
      </c>
      <c r="BC5" t="n">
        <v>209767.378288742</v>
      </c>
      <c r="BD5" t="n">
        <v>52744.3034973875</v>
      </c>
      <c r="BE5" t="n">
        <v>15.8380500440614</v>
      </c>
      <c r="BF5" t="n">
        <v>37717.6451526325</v>
      </c>
      <c r="BG5" t="n">
        <v>13631.9026448254</v>
      </c>
      <c r="BH5" t="n">
        <v>19954.9285870692</v>
      </c>
      <c r="BI5" t="n">
        <v>65537.491438419</v>
      </c>
      <c r="BJ5" t="n">
        <v>40440.8151665283</v>
      </c>
      <c r="BK5" t="n">
        <v>74310.4045078913</v>
      </c>
      <c r="BL5" t="n">
        <v>18945.4797384257</v>
      </c>
      <c r="BM5" t="n">
        <v>17696.5107451831</v>
      </c>
      <c r="BN5" t="n">
        <v>34530.0437011112</v>
      </c>
      <c r="BO5" t="n">
        <v>157071.998692611</v>
      </c>
      <c r="BP5" t="n">
        <v>155077.309747248</v>
      </c>
      <c r="BQ5" t="n">
        <v>730797.869886557</v>
      </c>
      <c r="BR5" t="n">
        <v>691947.412999917</v>
      </c>
      <c r="BS5" t="n">
        <v>687663.738711145</v>
      </c>
      <c r="BT5" t="n">
        <v>106.042552386271</v>
      </c>
      <c r="BU5" t="n">
        <v>1.05614654672531</v>
      </c>
      <c r="BV5" t="n">
        <v>0.932530730511176</v>
      </c>
      <c r="BW5" t="n">
        <v>98.4517799823721</v>
      </c>
      <c r="BX5" t="n">
        <v>76175.7699938261</v>
      </c>
      <c r="BY5" t="n">
        <v>1.07382570740765</v>
      </c>
      <c r="BZ5" t="n">
        <v>81799.5001009427</v>
      </c>
      <c r="CA5" t="n">
        <v>10156.7266149351</v>
      </c>
      <c r="CB5" t="n">
        <v>14778.8167632947</v>
      </c>
      <c r="CC5" t="n">
        <v>15402.4905960031</v>
      </c>
      <c r="CD5" t="n">
        <v>623.673832708429</v>
      </c>
      <c r="CE5" t="n">
        <v>0.040491747530636</v>
      </c>
      <c r="CF5" t="n">
        <v>10930997.3576278</v>
      </c>
      <c r="CG5" t="n">
        <v>357114.843815481</v>
      </c>
      <c r="CH5" t="n">
        <v>454857.846933169</v>
      </c>
      <c r="CI5" t="n">
        <v>254723.51488584</v>
      </c>
      <c r="CJ5" t="n">
        <v>13288.5487862554</v>
      </c>
      <c r="CK5" t="n">
        <v>669237.841774068</v>
      </c>
      <c r="CL5" t="n">
        <v>0.0515252866707595</v>
      </c>
      <c r="CM5" t="n">
        <v>19.4079463621403</v>
      </c>
      <c r="CN5" t="n">
        <v>1140155.81305583</v>
      </c>
      <c r="CO5" t="n">
        <v>2598868.98018321</v>
      </c>
      <c r="CP5" t="n">
        <v>3133138.84369515</v>
      </c>
      <c r="CQ5" t="n">
        <v>3739024.79323903</v>
      </c>
      <c r="CR5" t="n">
        <v>8928476.14807713</v>
      </c>
      <c r="CS5" t="n">
        <v>0.015536483693672</v>
      </c>
      <c r="CT5" t="n">
        <v>0.0234680377581458</v>
      </c>
      <c r="CU5" t="n">
        <v>0.0647662876229289</v>
      </c>
      <c r="CV5" t="n">
        <v>1.37306846703584</v>
      </c>
      <c r="CW5" t="n">
        <v>0.0647662876229289</v>
      </c>
      <c r="CX5" t="n">
        <v>0.0359883333333333</v>
      </c>
      <c r="CY5" t="n">
        <v>0.0251147152516357</v>
      </c>
      <c r="CZ5" t="n">
        <v>-0.00164667749348982</v>
      </c>
      <c r="DA5" t="n">
        <v>0.664955683506355</v>
      </c>
      <c r="DB5" t="n">
        <v>5.67067713033193</v>
      </c>
      <c r="DC5" t="n">
        <v>0.0517172252262975</v>
      </c>
      <c r="DD5" t="n">
        <v>0.0350292222332965</v>
      </c>
      <c r="DE5" t="n">
        <v>0.00708935110619645</v>
      </c>
      <c r="DF5" t="n">
        <v>0.110907348080671</v>
      </c>
      <c r="DG5" t="n">
        <v>200181.960215847</v>
      </c>
      <c r="DH5" t="n">
        <v>109.584328279706</v>
      </c>
      <c r="DI5" t="n">
        <v>4.72892115941363</v>
      </c>
      <c r="DJ5" t="n">
        <v>4.13007437414119</v>
      </c>
      <c r="DK5" t="n">
        <v>0.0411256875275234</v>
      </c>
      <c r="DL5" t="n">
        <v>0.670223574218165</v>
      </c>
      <c r="DM5" t="n">
        <v>1.06661541785661</v>
      </c>
      <c r="DN5" t="n">
        <v>0.0357615042376472</v>
      </c>
      <c r="DO5" t="n">
        <v>0.0465455822795444</v>
      </c>
      <c r="DP5" t="n">
        <v>27807.5</v>
      </c>
      <c r="DQ5" t="n">
        <v>23018.5831414875</v>
      </c>
      <c r="DR5" t="n">
        <v>159893.923149704</v>
      </c>
      <c r="DS5" t="n">
        <v>28230.3912902088</v>
      </c>
      <c r="DT5" t="n">
        <v>12057.6457759338</v>
      </c>
      <c r="DU5" t="n">
        <v>0</v>
      </c>
      <c r="DV5" t="n">
        <v>73.75</v>
      </c>
      <c r="DW5" t="n">
        <v>221584</v>
      </c>
      <c r="DX5" t="n">
        <v>2.04023770383496</v>
      </c>
      <c r="DY5" t="n">
        <v>67.737</v>
      </c>
      <c r="DZ5" t="n">
        <v>1.01739329913342</v>
      </c>
      <c r="EA5" t="n">
        <v>1.16441566706905</v>
      </c>
      <c r="EB5" t="n">
        <v>140094950.85763</v>
      </c>
      <c r="EC5" t="n">
        <v>3.30177570093458</v>
      </c>
      <c r="ED5" t="n">
        <v>0.0429</v>
      </c>
      <c r="EE5" t="n">
        <v>0.0151</v>
      </c>
      <c r="EF5" t="n">
        <v>0.0261</v>
      </c>
      <c r="EG5" t="n">
        <v>0.0458</v>
      </c>
      <c r="EH5" t="n">
        <v>694354.075366054</v>
      </c>
      <c r="EI5" t="n">
        <v>358114.070635927</v>
      </c>
      <c r="EJ5" t="n">
        <v>815.568921313325</v>
      </c>
      <c r="EK5" t="n">
        <v>2.19626615583119</v>
      </c>
      <c r="EL5" t="n">
        <v>1.84512502826255</v>
      </c>
    </row>
    <row r="6">
      <c r="A6" s="2" t="n">
        <v>46082</v>
      </c>
      <c r="B6" t="n">
        <v>360752.795270455</v>
      </c>
      <c r="C6" t="n">
        <v>34698.9927955387</v>
      </c>
      <c r="D6" t="n">
        <v>19251.3573975295</v>
      </c>
      <c r="E6" t="n">
        <v>220127.527017311</v>
      </c>
      <c r="F6" t="n">
        <v>40507.4118522793</v>
      </c>
      <c r="G6" t="n">
        <v>11183.2103981847</v>
      </c>
      <c r="H6" t="n">
        <v>48673.034300343</v>
      </c>
      <c r="I6" t="n">
        <v>50648.8327875947</v>
      </c>
      <c r="J6" t="n">
        <v>92375.0536377395</v>
      </c>
      <c r="K6" t="n">
        <v>409.493386195847</v>
      </c>
      <c r="L6" t="n">
        <v>4650.94514284264</v>
      </c>
      <c r="M6" t="n">
        <v>0.668924635426881</v>
      </c>
      <c r="N6" t="n">
        <v>26568.1776622603</v>
      </c>
      <c r="O6" t="n">
        <v>143.097718629784</v>
      </c>
      <c r="P6" t="n">
        <v>1.34975583212069</v>
      </c>
      <c r="Q6" t="n">
        <v>1.10487843417616</v>
      </c>
      <c r="R6" t="n">
        <v>0.944571980471314</v>
      </c>
      <c r="S6" t="n">
        <v>0.0833232121781276</v>
      </c>
      <c r="T6" t="n">
        <v>9375.02765625253</v>
      </c>
      <c r="U6" t="n">
        <v>0.44923423212773</v>
      </c>
      <c r="V6" t="n">
        <v>0.682090762259433</v>
      </c>
      <c r="W6" t="n">
        <v>18810076.8935788</v>
      </c>
      <c r="X6" t="n">
        <v>60121.7115840666</v>
      </c>
      <c r="Y6" t="n">
        <v>4323080.61881788</v>
      </c>
      <c r="Z6" t="n">
        <v>816.861188492898</v>
      </c>
      <c r="AA6" t="n">
        <v>1.04429383060435</v>
      </c>
      <c r="AB6" t="n">
        <v>1.01598882962812</v>
      </c>
      <c r="AC6" t="n">
        <v>1.08660104763903</v>
      </c>
      <c r="AD6" t="n">
        <v>1.09822069673736</v>
      </c>
      <c r="AE6" t="n">
        <v>108.764818863366</v>
      </c>
      <c r="AF6" t="n">
        <v>88619.8726422731</v>
      </c>
      <c r="AG6" t="n">
        <v>925.917001628182</v>
      </c>
      <c r="AH6" t="n">
        <v>97.6945281477452</v>
      </c>
      <c r="AI6" t="n">
        <v>65565.9558156724</v>
      </c>
      <c r="AJ6" t="n">
        <v>83051.0020485063</v>
      </c>
      <c r="AK6" t="n">
        <v>474.49448041423</v>
      </c>
      <c r="AL6" t="n">
        <v>22924.5952728681</v>
      </c>
      <c r="AM6" t="n">
        <v>19358.0591569993</v>
      </c>
      <c r="AN6" t="n">
        <v>0.819948159616283</v>
      </c>
      <c r="AO6" t="n">
        <v>0.914585545355148</v>
      </c>
      <c r="AP6" t="n">
        <v>1.06390444317972</v>
      </c>
      <c r="AQ6" t="n">
        <v>1.067560777895</v>
      </c>
      <c r="AR6" t="n">
        <v>32168.8175258116</v>
      </c>
      <c r="AS6" t="n">
        <v>166188.43347185</v>
      </c>
      <c r="AT6" t="n">
        <v>0.0335518686984596</v>
      </c>
      <c r="AU6" t="n">
        <v>0.0412924192756962</v>
      </c>
      <c r="AV6" t="n">
        <v>0.132539542620508</v>
      </c>
      <c r="AW6" t="n">
        <v>640.426592669974</v>
      </c>
      <c r="AX6" t="n">
        <v>10269.6059446337</v>
      </c>
      <c r="AY6" t="n">
        <v>17476.6333988822</v>
      </c>
      <c r="AZ6" t="n">
        <v>169423.563719433</v>
      </c>
      <c r="BA6" t="n">
        <v>385125.535342806</v>
      </c>
      <c r="BB6" t="n">
        <v>174923.249104832</v>
      </c>
      <c r="BC6" t="n">
        <v>211908.124465948</v>
      </c>
      <c r="BD6" t="n">
        <v>54874.7055605385</v>
      </c>
      <c r="BE6" t="n">
        <v>16.0600708627113</v>
      </c>
      <c r="BF6" t="n">
        <v>38107.1520440012</v>
      </c>
      <c r="BG6" t="n">
        <v>13861.4605173507</v>
      </c>
      <c r="BH6" t="n">
        <v>20104.0737609996</v>
      </c>
      <c r="BI6" t="n">
        <v>66614.2780858247</v>
      </c>
      <c r="BJ6" t="n">
        <v>40805.2240150395</v>
      </c>
      <c r="BK6" t="n">
        <v>75742.7552247199</v>
      </c>
      <c r="BL6" t="n">
        <v>19309.5553444277</v>
      </c>
      <c r="BM6" t="n">
        <v>17704.6010911214</v>
      </c>
      <c r="BN6" t="n">
        <v>34988.3561124356</v>
      </c>
      <c r="BO6" t="n">
        <v>159334.827772705</v>
      </c>
      <c r="BP6" t="n">
        <v>156976.93773593</v>
      </c>
      <c r="BQ6" t="n">
        <v>741898.862907628</v>
      </c>
      <c r="BR6" t="n">
        <v>695687.512633825</v>
      </c>
      <c r="BS6" t="n">
        <v>692882.361531839</v>
      </c>
      <c r="BT6" t="n">
        <v>106.794033680625</v>
      </c>
      <c r="BU6" t="n">
        <v>1.06642544140548</v>
      </c>
      <c r="BV6" t="n">
        <v>0.940452580944201</v>
      </c>
      <c r="BW6" t="n">
        <v>99.5638871772316</v>
      </c>
      <c r="BX6" t="n">
        <v>76756.4232017793</v>
      </c>
      <c r="BY6" t="n">
        <v>1.07806308392907</v>
      </c>
      <c r="BZ6" t="n">
        <v>82748.2663082751</v>
      </c>
      <c r="CA6" t="n">
        <v>10175.9376188768</v>
      </c>
      <c r="CB6" t="n">
        <v>14826.8827617194</v>
      </c>
      <c r="CC6" t="n">
        <v>15464.4111628334</v>
      </c>
      <c r="CD6" t="n">
        <v>637.528401114008</v>
      </c>
      <c r="CE6" t="n">
        <v>0.0412255157062895</v>
      </c>
      <c r="CF6" t="n">
        <v>10969736.8987441</v>
      </c>
      <c r="CG6" t="n">
        <v>361930.637718027</v>
      </c>
      <c r="CH6" t="n">
        <v>462645.754161457</v>
      </c>
      <c r="CI6" t="n">
        <v>259284.695051123</v>
      </c>
      <c r="CJ6" t="n">
        <v>13516.0703863415</v>
      </c>
      <c r="CK6" t="n">
        <v>679403.723363356</v>
      </c>
      <c r="CL6" t="n">
        <v>0.0506125952703482</v>
      </c>
      <c r="CM6" t="n">
        <v>19.7579277383126</v>
      </c>
      <c r="CN6" t="n">
        <v>1141136.29287341</v>
      </c>
      <c r="CO6" t="n">
        <v>2620580.79064465</v>
      </c>
      <c r="CP6" t="n">
        <v>3142892.48459403</v>
      </c>
      <c r="CQ6" t="n">
        <v>3761717.08351806</v>
      </c>
      <c r="CR6" t="n">
        <v>8960922.07925503</v>
      </c>
      <c r="CS6" t="n">
        <v>0.0120992439301429</v>
      </c>
      <c r="CT6" t="n">
        <v>0.0198397945073796</v>
      </c>
      <c r="CU6" t="n">
        <v>0.0618705874098109</v>
      </c>
      <c r="CV6" t="n">
        <v>1.38197198610202</v>
      </c>
      <c r="CW6" t="n">
        <v>0.0618705874098109</v>
      </c>
      <c r="CX6" t="n">
        <v>0.0383713858586026</v>
      </c>
      <c r="CY6" t="n">
        <v>0.0171092569853784</v>
      </c>
      <c r="CZ6" t="n">
        <v>0.00273053752200121</v>
      </c>
      <c r="DA6" t="n">
        <v>0.667515597773668</v>
      </c>
      <c r="DB6" t="n">
        <v>5.70841517471181</v>
      </c>
      <c r="DC6" t="n">
        <v>0.0512813599484596</v>
      </c>
      <c r="DD6" t="n">
        <v>0.0347853691348086</v>
      </c>
      <c r="DE6" t="n">
        <v>0.00704321249766043</v>
      </c>
      <c r="DF6" t="n">
        <v>0.110181417033073</v>
      </c>
      <c r="DG6" t="n">
        <v>201544.242059355</v>
      </c>
      <c r="DH6" t="n">
        <v>110.465020368248</v>
      </c>
      <c r="DI6" t="n">
        <v>4.73708290219245</v>
      </c>
      <c r="DJ6" t="n">
        <v>4.13531491308941</v>
      </c>
      <c r="DK6" t="n">
        <v>0.0411256875275234</v>
      </c>
      <c r="DL6" t="n">
        <v>0.670223574218165</v>
      </c>
      <c r="DM6" t="n">
        <v>1.07754189185138</v>
      </c>
      <c r="DN6" t="n">
        <v>0.0357615042376472</v>
      </c>
      <c r="DO6" t="n">
        <v>0.0465455822795444</v>
      </c>
      <c r="DP6" t="n">
        <v>27906.05</v>
      </c>
      <c r="DQ6" t="n">
        <v>23118.3160909669</v>
      </c>
      <c r="DR6" t="n">
        <v>160982.036125316</v>
      </c>
      <c r="DS6" t="n">
        <v>28422.5052521678</v>
      </c>
      <c r="DT6" t="n">
        <v>12139.7006818719</v>
      </c>
      <c r="DU6" t="n">
        <v>0</v>
      </c>
      <c r="DV6" t="n">
        <v>73.75</v>
      </c>
      <c r="DW6" t="n">
        <v>218260.24</v>
      </c>
      <c r="DX6" t="n">
        <v>2.05476139373589</v>
      </c>
      <c r="DY6" t="n">
        <v>71.0986240015636</v>
      </c>
      <c r="DZ6" t="n">
        <v>1.05870195663977</v>
      </c>
      <c r="EA6" t="n">
        <v>1.16820274370124</v>
      </c>
      <c r="EB6" t="n">
        <v>141615609.792121</v>
      </c>
      <c r="EC6" t="n">
        <v>3.27572706201137</v>
      </c>
      <c r="ED6" t="n">
        <v>0.0431166666666667</v>
      </c>
      <c r="EE6" t="n">
        <v>0.0255759818181819</v>
      </c>
      <c r="EF6" t="n">
        <v>0.0299805555556667</v>
      </c>
      <c r="EG6" t="n">
        <v>0.0448996666666666</v>
      </c>
      <c r="EH6" t="n">
        <v>697446.652713951</v>
      </c>
      <c r="EI6" t="n">
        <v>360375.759299182</v>
      </c>
      <c r="EJ6" t="n">
        <v>823.397790926495</v>
      </c>
      <c r="EK6" t="n">
        <v>2.10430748804702</v>
      </c>
      <c r="EL6" t="n">
        <v>2.14526247683167</v>
      </c>
    </row>
    <row r="7">
      <c r="A7" s="2" t="n">
        <v>46174</v>
      </c>
      <c r="B7" t="n">
        <v>363323.813853138</v>
      </c>
      <c r="C7" t="n">
        <v>34705.8969443028</v>
      </c>
      <c r="D7" t="n">
        <v>19440.1103574662</v>
      </c>
      <c r="E7" t="n">
        <v>220843.912258434</v>
      </c>
      <c r="F7" t="n">
        <v>41621.639199413</v>
      </c>
      <c r="G7" t="n">
        <v>11241.2728244739</v>
      </c>
      <c r="H7" t="n">
        <v>49441.313583114</v>
      </c>
      <c r="I7" t="n">
        <v>51592.6225598658</v>
      </c>
      <c r="J7" t="n">
        <v>93132.2391924391</v>
      </c>
      <c r="K7" t="n">
        <v>408.555865599947</v>
      </c>
      <c r="L7" t="n">
        <v>4680.09020942212</v>
      </c>
      <c r="M7" t="n">
        <v>0.668771672076916</v>
      </c>
      <c r="N7" t="n">
        <v>26833.9742776018</v>
      </c>
      <c r="O7" t="n">
        <v>144.117548434641</v>
      </c>
      <c r="P7" t="n">
        <v>1.37478881341028</v>
      </c>
      <c r="Q7" t="n">
        <v>1.12036989560719</v>
      </c>
      <c r="R7" t="n">
        <v>0.939614045803026</v>
      </c>
      <c r="S7" t="n">
        <v>0.0844263211813044</v>
      </c>
      <c r="T7" t="n">
        <v>9511.16377877396</v>
      </c>
      <c r="U7" t="n">
        <v>0.453045099692946</v>
      </c>
      <c r="V7" t="n">
        <v>0.68503709997526</v>
      </c>
      <c r="W7" t="n">
        <v>19158447.9645161</v>
      </c>
      <c r="X7" t="n">
        <v>60806.3629825482</v>
      </c>
      <c r="Y7" t="n">
        <v>4321558.58232149</v>
      </c>
      <c r="Z7" t="n">
        <v>827.455989187709</v>
      </c>
      <c r="AA7" t="n">
        <v>1.04798586871293</v>
      </c>
      <c r="AB7" t="n">
        <v>1.01674753555764</v>
      </c>
      <c r="AC7" t="n">
        <v>1.09849424123388</v>
      </c>
      <c r="AD7" t="n">
        <v>1.11138830503142</v>
      </c>
      <c r="AE7" t="n">
        <v>109.72058805132</v>
      </c>
      <c r="AF7" t="n">
        <v>88806.414444913</v>
      </c>
      <c r="AG7" t="n">
        <v>947.329693728188</v>
      </c>
      <c r="AH7" t="n">
        <v>98.2400760088526</v>
      </c>
      <c r="AI7" t="n">
        <v>66606.4058742359</v>
      </c>
      <c r="AJ7" t="n">
        <v>84171.0772134146</v>
      </c>
      <c r="AK7" t="n">
        <v>479.214168649337</v>
      </c>
      <c r="AL7" t="n">
        <v>23022.3755448293</v>
      </c>
      <c r="AM7" t="n">
        <v>19350.6902365908</v>
      </c>
      <c r="AN7" t="n">
        <v>0.826026998024782</v>
      </c>
      <c r="AO7" t="n">
        <v>0.913882499099603</v>
      </c>
      <c r="AP7" t="n">
        <v>1.07143307833047</v>
      </c>
      <c r="AQ7" t="n">
        <v>1.07479837749014</v>
      </c>
      <c r="AR7" t="n">
        <v>32275.549463725</v>
      </c>
      <c r="AS7" t="n">
        <v>168833.72445101</v>
      </c>
      <c r="AT7" t="n">
        <v>0.0341569836502677</v>
      </c>
      <c r="AU7" t="n">
        <v>0.0407431692305247</v>
      </c>
      <c r="AV7" t="n">
        <v>0.148156306785578</v>
      </c>
      <c r="AW7" t="n">
        <v>716.385241123207</v>
      </c>
      <c r="AX7" t="n">
        <v>10271.6493148147</v>
      </c>
      <c r="AY7" t="n">
        <v>17565.9977641338</v>
      </c>
      <c r="AZ7" t="n">
        <v>170369.476656889</v>
      </c>
      <c r="BA7" t="n">
        <v>390499.846249465</v>
      </c>
      <c r="BB7" t="n">
        <v>178041.25964377</v>
      </c>
      <c r="BC7" t="n">
        <v>214133.015596743</v>
      </c>
      <c r="BD7" t="n">
        <v>57023.0470739337</v>
      </c>
      <c r="BE7" t="n">
        <v>16.2839612493165</v>
      </c>
      <c r="BF7" t="n">
        <v>38571.727979524</v>
      </c>
      <c r="BG7" t="n">
        <v>14121.3485732807</v>
      </c>
      <c r="BH7" t="n">
        <v>20372.9609408444</v>
      </c>
      <c r="BI7" t="n">
        <v>67721.8983682722</v>
      </c>
      <c r="BJ7" t="n">
        <v>41184.5545328497</v>
      </c>
      <c r="BK7" t="n">
        <v>76929.7439594564</v>
      </c>
      <c r="BL7" t="n">
        <v>19680.4150812387</v>
      </c>
      <c r="BM7" t="n">
        <v>17684.2571527179</v>
      </c>
      <c r="BN7" t="n">
        <v>35412.9226683936</v>
      </c>
      <c r="BO7" t="n">
        <v>161296.898861807</v>
      </c>
      <c r="BP7" t="n">
        <v>158638.538899406</v>
      </c>
      <c r="BQ7" t="n">
        <v>753171.956250405</v>
      </c>
      <c r="BR7" t="n">
        <v>699244.815170952</v>
      </c>
      <c r="BS7" t="n">
        <v>698139.041115777</v>
      </c>
      <c r="BT7" t="n">
        <v>107.562060111513</v>
      </c>
      <c r="BU7" t="n">
        <v>1.07712197345556</v>
      </c>
      <c r="BV7" t="n">
        <v>0.946747633595462</v>
      </c>
      <c r="BW7" t="n">
        <v>100.759204039605</v>
      </c>
      <c r="BX7" t="n">
        <v>77303.4520619273</v>
      </c>
      <c r="BY7" t="n">
        <v>1.0840832267224</v>
      </c>
      <c r="BZ7" t="n">
        <v>83803.3757480745</v>
      </c>
      <c r="CA7" t="n">
        <v>10195.6976425841</v>
      </c>
      <c r="CB7" t="n">
        <v>14875.7878520062</v>
      </c>
      <c r="CC7" t="n">
        <v>15527.6592342899</v>
      </c>
      <c r="CD7" t="n">
        <v>651.871382283685</v>
      </c>
      <c r="CE7" t="n">
        <v>0.0419812989177133</v>
      </c>
      <c r="CF7" t="n">
        <v>11008476.4398605</v>
      </c>
      <c r="CG7" t="n">
        <v>366757.24607573</v>
      </c>
      <c r="CH7" t="n">
        <v>470266.060467355</v>
      </c>
      <c r="CI7" t="n">
        <v>263955.545602514</v>
      </c>
      <c r="CJ7" t="n">
        <v>13738.6955708796</v>
      </c>
      <c r="CK7" t="n">
        <v>689727.208104778</v>
      </c>
      <c r="CL7" t="n">
        <v>0.0503843882615919</v>
      </c>
      <c r="CM7" t="n">
        <v>19.8474177121706</v>
      </c>
      <c r="CN7" t="n">
        <v>1142177.03953558</v>
      </c>
      <c r="CO7" t="n">
        <v>2642970.18453153</v>
      </c>
      <c r="CP7" t="n">
        <v>3152520.33333756</v>
      </c>
      <c r="CQ7" t="n">
        <v>3785147.22406711</v>
      </c>
      <c r="CR7" t="n">
        <v>8993980.06854761</v>
      </c>
      <c r="CS7" t="n">
        <v>0.00971606916956012</v>
      </c>
      <c r="CT7" t="n">
        <v>0.016302254749817</v>
      </c>
      <c r="CU7" t="n">
        <v>0.0599854067005968</v>
      </c>
      <c r="CV7" t="n">
        <v>1.39182103355295</v>
      </c>
      <c r="CW7" t="n">
        <v>0.0599854067005968</v>
      </c>
      <c r="CX7" t="n">
        <v>0.0383713858586026</v>
      </c>
      <c r="CY7" t="n">
        <v>0.0109746581389376</v>
      </c>
      <c r="CZ7" t="n">
        <v>0.00532759661087943</v>
      </c>
      <c r="DA7" t="n">
        <v>0.673602352395392</v>
      </c>
      <c r="DB7" t="n">
        <v>5.7415352826583</v>
      </c>
      <c r="DC7" t="n">
        <v>0.0518864749002677</v>
      </c>
      <c r="DD7" t="n">
        <v>0.0352446989928769</v>
      </c>
      <c r="DE7" t="n">
        <v>0.00700282819808022</v>
      </c>
      <c r="DF7" t="n">
        <v>0.110143447205372</v>
      </c>
      <c r="DG7" t="n">
        <v>202915.794527545</v>
      </c>
      <c r="DH7" t="n">
        <v>111.368683180554</v>
      </c>
      <c r="DI7" t="n">
        <v>4.74538736044324</v>
      </c>
      <c r="DJ7" t="n">
        <v>4.1406981675096</v>
      </c>
      <c r="DK7" t="n">
        <v>0.0411256875275234</v>
      </c>
      <c r="DL7" t="n">
        <v>0.670223574218165</v>
      </c>
      <c r="DM7" t="n">
        <v>1.08858029731832</v>
      </c>
      <c r="DN7" t="n">
        <v>0.0357615042376472</v>
      </c>
      <c r="DO7" t="n">
        <v>0.0465455822795444</v>
      </c>
      <c r="DP7" t="n">
        <v>28004.6</v>
      </c>
      <c r="DQ7" t="n">
        <v>23218.177268286</v>
      </c>
      <c r="DR7" t="n">
        <v>162077.553946742</v>
      </c>
      <c r="DS7" t="n">
        <v>28615.9265914848</v>
      </c>
      <c r="DT7" t="n">
        <v>12222.3139893183</v>
      </c>
      <c r="DU7" t="n">
        <v>0</v>
      </c>
      <c r="DV7" t="n">
        <v>73.75</v>
      </c>
      <c r="DW7" t="n">
        <v>214936.48</v>
      </c>
      <c r="DX7" t="n">
        <v>2.06938847235861</v>
      </c>
      <c r="DY7" t="n">
        <v>74.6270772977208</v>
      </c>
      <c r="DZ7" t="n">
        <v>1.10168784672316</v>
      </c>
      <c r="EA7" t="n">
        <v>1.17200213719743</v>
      </c>
      <c r="EB7" t="n">
        <v>143152774.700459</v>
      </c>
      <c r="EC7" t="n">
        <v>3.24988392814095</v>
      </c>
      <c r="ED7" t="n">
        <v>0.0431166666666667</v>
      </c>
      <c r="EE7" t="n">
        <v>0.0255759818181819</v>
      </c>
      <c r="EF7" t="n">
        <v>0.0299805555556667</v>
      </c>
      <c r="EG7" t="n">
        <v>0.0448996666666666</v>
      </c>
      <c r="EH7" t="n">
        <v>700593.111696369</v>
      </c>
      <c r="EI7" t="n">
        <v>362707.913850037</v>
      </c>
      <c r="EJ7" t="n">
        <v>831.635273159334</v>
      </c>
      <c r="EK7" t="n">
        <v>1.96160526958487</v>
      </c>
      <c r="EL7" t="n">
        <v>2.44409144807076</v>
      </c>
    </row>
    <row r="8">
      <c r="A8" s="2" t="n">
        <v>46266</v>
      </c>
      <c r="B8" t="n">
        <v>366082.504056462</v>
      </c>
      <c r="C8" t="n">
        <v>34749.3994098087</v>
      </c>
      <c r="D8" t="n">
        <v>19674.3208458636</v>
      </c>
      <c r="E8" t="n">
        <v>221608.698187278</v>
      </c>
      <c r="F8" t="n">
        <v>42777.2157708532</v>
      </c>
      <c r="G8" t="n">
        <v>11312.1070238254</v>
      </c>
      <c r="H8" t="n">
        <v>50224.9037089858</v>
      </c>
      <c r="I8" t="n">
        <v>54958.1174204004</v>
      </c>
      <c r="J8" t="n">
        <v>93855.1660330555</v>
      </c>
      <c r="K8" t="n">
        <v>407.836660694949</v>
      </c>
      <c r="L8" t="n">
        <v>4709.17307461645</v>
      </c>
      <c r="M8" t="n">
        <v>0.668654574641102</v>
      </c>
      <c r="N8" t="n">
        <v>27092.4076458262</v>
      </c>
      <c r="O8" t="n">
        <v>145.220521576034</v>
      </c>
      <c r="P8" t="n">
        <v>1.4003426800467</v>
      </c>
      <c r="Q8" t="n">
        <v>1.13255613034818</v>
      </c>
      <c r="R8" t="n">
        <v>0.933348343767862</v>
      </c>
      <c r="S8" t="n">
        <v>0.086497624251748</v>
      </c>
      <c r="T8" t="n">
        <v>9659.23787703196</v>
      </c>
      <c r="U8" t="n">
        <v>0.458646982848503</v>
      </c>
      <c r="V8" t="n">
        <v>0.690670510756102</v>
      </c>
      <c r="W8" t="n">
        <v>19502775.2175649</v>
      </c>
      <c r="X8" t="n">
        <v>61519.6711956205</v>
      </c>
      <c r="Y8" t="n">
        <v>4321847.05149806</v>
      </c>
      <c r="Z8" t="n">
        <v>837.805468986409</v>
      </c>
      <c r="AA8" t="n">
        <v>1.05165598756134</v>
      </c>
      <c r="AB8" t="n">
        <v>1.0173400971771</v>
      </c>
      <c r="AC8" t="n">
        <v>1.1103730724471</v>
      </c>
      <c r="AD8" t="n">
        <v>1.12482038017184</v>
      </c>
      <c r="AE8" t="n">
        <v>110.680751050307</v>
      </c>
      <c r="AF8" t="n">
        <v>89118.4765282059</v>
      </c>
      <c r="AG8" t="n">
        <v>969.261777455723</v>
      </c>
      <c r="AH8" t="n">
        <v>98.9045024833668</v>
      </c>
      <c r="AI8" t="n">
        <v>67707.6017122002</v>
      </c>
      <c r="AJ8" t="n">
        <v>85184.4564552852</v>
      </c>
      <c r="AK8" t="n">
        <v>485.291001695577</v>
      </c>
      <c r="AL8" t="n">
        <v>23142.2495386196</v>
      </c>
      <c r="AM8" t="n">
        <v>19346.4884109987</v>
      </c>
      <c r="AN8" t="n">
        <v>0.830425161126008</v>
      </c>
      <c r="AO8" t="n">
        <v>0.91221906691747</v>
      </c>
      <c r="AP8" t="n">
        <v>1.07879724581653</v>
      </c>
      <c r="AQ8" t="n">
        <v>1.08216219230067</v>
      </c>
      <c r="AR8" t="n">
        <v>32362.7754590215</v>
      </c>
      <c r="AS8" t="n">
        <v>171711.613836844</v>
      </c>
      <c r="AT8" t="n">
        <v>0.0359031309144788</v>
      </c>
      <c r="AU8" t="n">
        <v>0.040333822781424</v>
      </c>
      <c r="AV8" t="n">
        <v>0.157077565028944</v>
      </c>
      <c r="AW8" t="n">
        <v>764.78592884395</v>
      </c>
      <c r="AX8" t="n">
        <v>10284.5244198934</v>
      </c>
      <c r="AY8" t="n">
        <v>17656.3899032135</v>
      </c>
      <c r="AZ8" t="n">
        <v>171265.819806289</v>
      </c>
      <c r="BA8" t="n">
        <v>396160.645761538</v>
      </c>
      <c r="BB8" t="n">
        <v>181191.263134715</v>
      </c>
      <c r="BC8" t="n">
        <v>216574.95257049</v>
      </c>
      <c r="BD8" t="n">
        <v>61403.5397888566</v>
      </c>
      <c r="BE8" t="n">
        <v>16.7404762872424</v>
      </c>
      <c r="BF8" t="n">
        <v>39086.8326548843</v>
      </c>
      <c r="BG8" t="n">
        <v>14401.8584891593</v>
      </c>
      <c r="BH8" t="n">
        <v>20690.6173187554</v>
      </c>
      <c r="BI8" t="n">
        <v>68881.6574488308</v>
      </c>
      <c r="BJ8" t="n">
        <v>41532.153191624</v>
      </c>
      <c r="BK8" t="n">
        <v>77939.6913755083</v>
      </c>
      <c r="BL8" t="n">
        <v>19996.8526247021</v>
      </c>
      <c r="BM8" t="n">
        <v>17648.2356064109</v>
      </c>
      <c r="BN8" t="n">
        <v>35819.3629387695</v>
      </c>
      <c r="BO8" t="n">
        <v>162993.702545391</v>
      </c>
      <c r="BP8" t="n">
        <v>160266.750380325</v>
      </c>
      <c r="BQ8" t="n">
        <v>764671.980164572</v>
      </c>
      <c r="BR8" t="n">
        <v>702843.03004255</v>
      </c>
      <c r="BS8" t="n">
        <v>703718.802177978</v>
      </c>
      <c r="BT8" t="n">
        <v>108.334092472664</v>
      </c>
      <c r="BU8" t="n">
        <v>1.08796978145593</v>
      </c>
      <c r="BV8" t="n">
        <v>0.951700127496225</v>
      </c>
      <c r="BW8" t="n">
        <v>101.966230920203</v>
      </c>
      <c r="BX8" t="n">
        <v>77890.4113190836</v>
      </c>
      <c r="BY8" t="n">
        <v>1.09141519984044</v>
      </c>
      <c r="BZ8" t="n">
        <v>85010.7788354717</v>
      </c>
      <c r="CA8" t="n">
        <v>10214.3591543473</v>
      </c>
      <c r="CB8" t="n">
        <v>14923.5322289638</v>
      </c>
      <c r="CC8" t="n">
        <v>15584.7238353395</v>
      </c>
      <c r="CD8" t="n">
        <v>661.191606375789</v>
      </c>
      <c r="CE8" t="n">
        <v>0.0424256173661893</v>
      </c>
      <c r="CF8" t="n">
        <v>11042891.9327549</v>
      </c>
      <c r="CG8" t="n">
        <v>371477.878958912</v>
      </c>
      <c r="CH8" t="n">
        <v>480254.680112284</v>
      </c>
      <c r="CI8" t="n">
        <v>268873.036857514</v>
      </c>
      <c r="CJ8" t="n">
        <v>14030.5103880889</v>
      </c>
      <c r="CK8" t="n">
        <v>700258.507526685</v>
      </c>
      <c r="CL8" t="n">
        <v>0.0502411274961471</v>
      </c>
      <c r="CM8" t="n">
        <v>19.9040119089025</v>
      </c>
      <c r="CN8" t="n">
        <v>1143389.93059615</v>
      </c>
      <c r="CO8" t="n">
        <v>2666031.14190986</v>
      </c>
      <c r="CP8" t="n">
        <v>3162078.2839899</v>
      </c>
      <c r="CQ8" t="n">
        <v>3809421.07250601</v>
      </c>
      <c r="CR8" t="n">
        <v>9027811.86763884</v>
      </c>
      <c r="CS8" t="n">
        <v>0.00872182550995727</v>
      </c>
      <c r="CT8" t="n">
        <v>0.0131525173769024</v>
      </c>
      <c r="CU8" t="n">
        <v>0.0593163188472264</v>
      </c>
      <c r="CV8" t="n">
        <v>1.40247304112808</v>
      </c>
      <c r="CW8" t="n">
        <v>0.0593163188472264</v>
      </c>
      <c r="CX8" t="n">
        <v>0.0383713858586026</v>
      </c>
      <c r="CY8" t="n">
        <v>0.00872605362010048</v>
      </c>
      <c r="CZ8" t="n">
        <v>0.00442646375680196</v>
      </c>
      <c r="DA8" t="n">
        <v>0.681925877394738</v>
      </c>
      <c r="DB8" t="n">
        <v>5.76919473841549</v>
      </c>
      <c r="DC8" t="n">
        <v>0.0536326221644788</v>
      </c>
      <c r="DD8" t="n">
        <v>0.0364749553344654</v>
      </c>
      <c r="DE8" t="n">
        <v>0.00697275565799248</v>
      </c>
      <c r="DF8" t="n">
        <v>0.110377898797588</v>
      </c>
      <c r="DG8" t="n">
        <v>204296.680709037</v>
      </c>
      <c r="DH8" t="n">
        <v>112.224647686853</v>
      </c>
      <c r="DI8" t="n">
        <v>4.75320104208092</v>
      </c>
      <c r="DJ8" t="n">
        <v>4.14559064531669</v>
      </c>
      <c r="DK8" t="n">
        <v>0.0411256875275234</v>
      </c>
      <c r="DL8" t="n">
        <v>0.670223574218165</v>
      </c>
      <c r="DM8" t="n">
        <v>1.09973178089033</v>
      </c>
      <c r="DN8" t="n">
        <v>0.0357615042376472</v>
      </c>
      <c r="DO8" t="n">
        <v>0.0465455822795444</v>
      </c>
      <c r="DP8" t="n">
        <v>28092.15</v>
      </c>
      <c r="DQ8" t="n">
        <v>23307.5857496445</v>
      </c>
      <c r="DR8" t="n">
        <v>163180.527005572</v>
      </c>
      <c r="DS8" t="n">
        <v>28810.6642051475</v>
      </c>
      <c r="DT8" t="n">
        <v>12305.489498317</v>
      </c>
      <c r="DU8" t="n">
        <v>0</v>
      </c>
      <c r="DV8" t="n">
        <v>61.25</v>
      </c>
      <c r="DW8" t="n">
        <v>211612.72</v>
      </c>
      <c r="DX8" t="n">
        <v>2.08411967568879</v>
      </c>
      <c r="DY8" t="n">
        <v>78.3306392241504</v>
      </c>
      <c r="DZ8" t="n">
        <v>1.14641906913042</v>
      </c>
      <c r="EA8" t="n">
        <v>1.17581388761627</v>
      </c>
      <c r="EB8" t="n">
        <v>144706624.746536</v>
      </c>
      <c r="EC8" t="n">
        <v>3.22424467803606</v>
      </c>
      <c r="ED8" t="n">
        <v>0.0431166666666667</v>
      </c>
      <c r="EE8" t="n">
        <v>0.0255759818181819</v>
      </c>
      <c r="EF8" t="n">
        <v>0.0299805555556667</v>
      </c>
      <c r="EG8" t="n">
        <v>0.0448996666666666</v>
      </c>
      <c r="EH8" t="n">
        <v>703800.034786651</v>
      </c>
      <c r="EI8" t="n">
        <v>365139.379931972</v>
      </c>
      <c r="EJ8" t="n">
        <v>840.202910495912</v>
      </c>
      <c r="EK8" t="n">
        <v>2.06662401695521</v>
      </c>
      <c r="EL8" t="n">
        <v>2.71813054045216</v>
      </c>
    </row>
    <row r="9">
      <c r="A9" s="2" t="n">
        <v>46357</v>
      </c>
      <c r="B9" t="n">
        <v>368856.338261879</v>
      </c>
      <c r="C9" t="n">
        <v>34798.7731619424</v>
      </c>
      <c r="D9" t="n">
        <v>19923.7897827338</v>
      </c>
      <c r="E9" t="n">
        <v>222425.565501559</v>
      </c>
      <c r="F9" t="n">
        <v>43905.5903150765</v>
      </c>
      <c r="G9" t="n">
        <v>11392.0433377403</v>
      </c>
      <c r="H9" t="n">
        <v>51014.6796164902</v>
      </c>
      <c r="I9" t="n">
        <v>55264.832889636</v>
      </c>
      <c r="J9" t="n">
        <v>94481.6282483165</v>
      </c>
      <c r="K9" t="n">
        <v>407.165022285732</v>
      </c>
      <c r="L9" t="n">
        <v>4738.52841259926</v>
      </c>
      <c r="M9" t="n">
        <v>0.66859643122197</v>
      </c>
      <c r="N9" t="n">
        <v>27360.6135810168</v>
      </c>
      <c r="O9" t="n">
        <v>146.395377168667</v>
      </c>
      <c r="P9" t="n">
        <v>1.42657751763553</v>
      </c>
      <c r="Q9" t="n">
        <v>1.14333453311165</v>
      </c>
      <c r="R9" t="n">
        <v>0.928321653347933</v>
      </c>
      <c r="S9" t="n">
        <v>0.0890479208530014</v>
      </c>
      <c r="T9" t="n">
        <v>9799.29563522917</v>
      </c>
      <c r="U9" t="n">
        <v>0.463830037751374</v>
      </c>
      <c r="V9" t="n">
        <v>0.695580469747434</v>
      </c>
      <c r="W9" t="n">
        <v>19836870.0252638</v>
      </c>
      <c r="X9" t="n">
        <v>62261.5184404156</v>
      </c>
      <c r="Y9" t="n">
        <v>4322806.25422847</v>
      </c>
      <c r="Z9" t="n">
        <v>847.513669596401</v>
      </c>
      <c r="AA9" t="n">
        <v>1.05525621412174</v>
      </c>
      <c r="AB9" t="n">
        <v>1.0176361081612</v>
      </c>
      <c r="AC9" t="n">
        <v>1.12243992695953</v>
      </c>
      <c r="AD9" t="n">
        <v>1.13833610996853</v>
      </c>
      <c r="AE9" t="n">
        <v>111.647158928041</v>
      </c>
      <c r="AF9" t="n">
        <v>89495.6193098513</v>
      </c>
      <c r="AG9" t="n">
        <v>991.380747041101</v>
      </c>
      <c r="AH9" t="n">
        <v>99.6987190615242</v>
      </c>
      <c r="AI9" t="n">
        <v>68844.4980291535</v>
      </c>
      <c r="AJ9" t="n">
        <v>85836.2677965601</v>
      </c>
      <c r="AK9" t="n">
        <v>493.941025529669</v>
      </c>
      <c r="AL9" t="n">
        <v>23274.1094233619</v>
      </c>
      <c r="AM9" t="n">
        <v>19334.3691000954</v>
      </c>
      <c r="AN9" t="n">
        <v>0.837597817677711</v>
      </c>
      <c r="AO9" t="n">
        <v>0.911916770915212</v>
      </c>
      <c r="AP9" t="n">
        <v>1.08597651413658</v>
      </c>
      <c r="AQ9" t="n">
        <v>1.08965958960287</v>
      </c>
      <c r="AR9" t="n">
        <v>32418.8055991108</v>
      </c>
      <c r="AS9" t="n">
        <v>174711.369898374</v>
      </c>
      <c r="AT9" t="n">
        <v>0.0379674361886079</v>
      </c>
      <c r="AU9" t="n">
        <v>0.0400738537345696</v>
      </c>
      <c r="AV9" t="n">
        <v>0.166541904153647</v>
      </c>
      <c r="AW9" t="n">
        <v>816.867314281146</v>
      </c>
      <c r="AX9" t="n">
        <v>10299.1372065356</v>
      </c>
      <c r="AY9" t="n">
        <v>17742.3844918569</v>
      </c>
      <c r="AZ9" t="n">
        <v>172022.18743938</v>
      </c>
      <c r="BA9" t="n">
        <v>401927.84679874</v>
      </c>
      <c r="BB9" t="n">
        <v>184406.784815517</v>
      </c>
      <c r="BC9" t="n">
        <v>219082.04200252</v>
      </c>
      <c r="BD9" t="n">
        <v>62715.5973823257</v>
      </c>
      <c r="BE9" t="n">
        <v>16.8772129652884</v>
      </c>
      <c r="BF9" t="n">
        <v>39612.7000728429</v>
      </c>
      <c r="BG9" t="n">
        <v>14692.5175898873</v>
      </c>
      <c r="BH9" t="n">
        <v>21024.702977085</v>
      </c>
      <c r="BI9" t="n">
        <v>70058.6463462722</v>
      </c>
      <c r="BJ9" t="n">
        <v>41873.4551902364</v>
      </c>
      <c r="BK9" t="n">
        <v>79137.6056314266</v>
      </c>
      <c r="BL9" t="n">
        <v>20285.4808892845</v>
      </c>
      <c r="BM9" t="n">
        <v>17631.3354374418</v>
      </c>
      <c r="BN9" t="n">
        <v>36194.6754098118</v>
      </c>
      <c r="BO9" t="n">
        <v>164838.657367965</v>
      </c>
      <c r="BP9" t="n">
        <v>162188.347762741</v>
      </c>
      <c r="BQ9" t="n">
        <v>776246.963395803</v>
      </c>
      <c r="BR9" t="n">
        <v>706266.192806826</v>
      </c>
      <c r="BS9" t="n">
        <v>709385.35202187</v>
      </c>
      <c r="BT9" t="n">
        <v>109.111676914375</v>
      </c>
      <c r="BU9" t="n">
        <v>1.09908553987809</v>
      </c>
      <c r="BV9" t="n">
        <v>0.958240677099015</v>
      </c>
      <c r="BW9" t="n">
        <v>103.22291563955</v>
      </c>
      <c r="BX9" t="n">
        <v>78480.5927257249</v>
      </c>
      <c r="BY9" t="n">
        <v>1.10017941202089</v>
      </c>
      <c r="BZ9" t="n">
        <v>86342.7323600392</v>
      </c>
      <c r="CA9" t="n">
        <v>10233.4789768549</v>
      </c>
      <c r="CB9" t="n">
        <v>14972.0073894541</v>
      </c>
      <c r="CC9" t="n">
        <v>15643.2169487666</v>
      </c>
      <c r="CD9" t="n">
        <v>671.209559312512</v>
      </c>
      <c r="CE9" t="n">
        <v>0.0429073817582754</v>
      </c>
      <c r="CF9" t="n">
        <v>11077307.4256493</v>
      </c>
      <c r="CG9" t="n">
        <v>376373.981305126</v>
      </c>
      <c r="CH9" t="n">
        <v>486480.895880268</v>
      </c>
      <c r="CI9" t="n">
        <v>273685.913945215</v>
      </c>
      <c r="CJ9" t="n">
        <v>14212.4075951932</v>
      </c>
      <c r="CK9" t="n">
        <v>710858.451937365</v>
      </c>
      <c r="CL9" t="n">
        <v>0.0504057683241963</v>
      </c>
      <c r="CM9" t="n">
        <v>19.8389992504086</v>
      </c>
      <c r="CN9" t="n">
        <v>1144817.6764493</v>
      </c>
      <c r="CO9" t="n">
        <v>2689813.34391154</v>
      </c>
      <c r="CP9" t="n">
        <v>3171603.49245133</v>
      </c>
      <c r="CQ9" t="n">
        <v>3834631.02036084</v>
      </c>
      <c r="CR9" t="n">
        <v>9062547.02395511</v>
      </c>
      <c r="CS9" t="n">
        <v>0.00828880739753212</v>
      </c>
      <c r="CT9" t="n">
        <v>0.0103952249434939</v>
      </c>
      <c r="CU9" t="n">
        <v>0.0593692920619257</v>
      </c>
      <c r="CV9" t="n">
        <v>1.41381925637372</v>
      </c>
      <c r="CW9" t="n">
        <v>0.0593692920619259</v>
      </c>
      <c r="CX9" t="n">
        <v>0.0383713858586026</v>
      </c>
      <c r="CY9" t="n">
        <v>0.00779315843014683</v>
      </c>
      <c r="CZ9" t="n">
        <v>0.00260206651334704</v>
      </c>
      <c r="DA9" t="n">
        <v>0.689266231712906</v>
      </c>
      <c r="DB9" t="n">
        <v>5.78921060205304</v>
      </c>
      <c r="DC9" t="n">
        <v>0.0556969274386079</v>
      </c>
      <c r="DD9" t="n">
        <v>0.0379152125885887</v>
      </c>
      <c r="DE9" t="n">
        <v>0.00695366825539988</v>
      </c>
      <c r="DF9" t="n">
        <v>0.110892418443413</v>
      </c>
      <c r="DG9" t="n">
        <v>205686.964121783</v>
      </c>
      <c r="DH9" t="n">
        <v>113.152671043523</v>
      </c>
      <c r="DI9" t="n">
        <v>4.76159357861336</v>
      </c>
      <c r="DJ9" t="n">
        <v>4.15106197801853</v>
      </c>
      <c r="DK9" t="n">
        <v>0.0411256875275234</v>
      </c>
      <c r="DL9" t="n">
        <v>0.670223574218165</v>
      </c>
      <c r="DM9" t="n">
        <v>1.11099750094646</v>
      </c>
      <c r="DN9" t="n">
        <v>0.0357615042376472</v>
      </c>
      <c r="DO9" t="n">
        <v>0.0465455822795444</v>
      </c>
      <c r="DP9" t="n">
        <v>28179.7</v>
      </c>
      <c r="DQ9" t="n">
        <v>23397.099084385</v>
      </c>
      <c r="DR9" t="n">
        <v>164291.006036321</v>
      </c>
      <c r="DS9" t="n">
        <v>29006.7270506895</v>
      </c>
      <c r="DT9" t="n">
        <v>12389.231034772</v>
      </c>
      <c r="DU9" t="n">
        <v>0</v>
      </c>
      <c r="DV9" t="n">
        <v>61.25</v>
      </c>
      <c r="DW9" t="n">
        <v>208288.96</v>
      </c>
      <c r="DX9" t="n">
        <v>2.09895574495133</v>
      </c>
      <c r="DY9" t="n">
        <v>82.218</v>
      </c>
      <c r="DZ9" t="n">
        <v>1.19296648862472</v>
      </c>
      <c r="EA9" t="n">
        <v>1.17963803514669</v>
      </c>
      <c r="EB9" t="n">
        <v>146277341.038978</v>
      </c>
      <c r="EC9" t="n">
        <v>3.19880770320023</v>
      </c>
      <c r="ED9" t="n">
        <v>0.0431166666666667</v>
      </c>
      <c r="EE9" t="n">
        <v>0.0255759818181819</v>
      </c>
      <c r="EF9" t="n">
        <v>0.0299805555556667</v>
      </c>
      <c r="EG9" t="n">
        <v>0.0448996666666666</v>
      </c>
      <c r="EH9" t="n">
        <v>707028.934251509</v>
      </c>
      <c r="EI9" t="n">
        <v>367660.591633399</v>
      </c>
      <c r="EJ9" t="n">
        <v>848.945705104862</v>
      </c>
      <c r="EK9" t="n">
        <v>2.06934508864345</v>
      </c>
      <c r="EL9" t="n">
        <v>2.96786287910757</v>
      </c>
    </row>
    <row r="10">
      <c r="A10" s="2" t="n">
        <v>46447</v>
      </c>
      <c r="B10" t="n">
        <v>371444.586814535</v>
      </c>
      <c r="C10" t="n">
        <v>34841.65076252</v>
      </c>
      <c r="D10" t="n">
        <v>20088.5703374495</v>
      </c>
      <c r="E10" t="n">
        <v>223271.273916083</v>
      </c>
      <c r="F10" t="n">
        <v>44349.1951019431</v>
      </c>
      <c r="G10" t="n">
        <v>11477.5198202611</v>
      </c>
      <c r="H10" t="n">
        <v>51731.2689116039</v>
      </c>
      <c r="I10" t="n">
        <v>55792.1707770432</v>
      </c>
      <c r="J10" t="n">
        <v>95113.9023790745</v>
      </c>
      <c r="K10" t="n">
        <v>406.453544392833</v>
      </c>
      <c r="L10" t="n">
        <v>4767.43727907435</v>
      </c>
      <c r="M10" t="n">
        <v>0.668547424262209</v>
      </c>
      <c r="N10" t="n">
        <v>27631.7287231606</v>
      </c>
      <c r="O10" t="n">
        <v>147.623680884132</v>
      </c>
      <c r="P10" t="n">
        <v>1.45119685978729</v>
      </c>
      <c r="Q10" t="n">
        <v>1.15497941327706</v>
      </c>
      <c r="R10" t="n">
        <v>0.922194602515575</v>
      </c>
      <c r="S10" t="n">
        <v>0.0914223730365237</v>
      </c>
      <c r="T10" t="n">
        <v>9774.31547453082</v>
      </c>
      <c r="U10" t="n">
        <v>0.468180732920699</v>
      </c>
      <c r="V10" t="n">
        <v>0.699128128252887</v>
      </c>
      <c r="W10" t="n">
        <v>20125814.1217467</v>
      </c>
      <c r="X10" t="n">
        <v>63026.5275073501</v>
      </c>
      <c r="Y10" t="n">
        <v>4322108.42867411</v>
      </c>
      <c r="Z10" t="n">
        <v>857.105675192186</v>
      </c>
      <c r="AA10" t="n">
        <v>1.05861895420692</v>
      </c>
      <c r="AB10" t="n">
        <v>1.01762286597501</v>
      </c>
      <c r="AC10" t="n">
        <v>1.13458909421377</v>
      </c>
      <c r="AD10" t="n">
        <v>1.15181509770357</v>
      </c>
      <c r="AE10" t="n">
        <v>112.623882225425</v>
      </c>
      <c r="AF10" t="n">
        <v>89828.5153847515</v>
      </c>
      <c r="AG10" t="n">
        <v>1013.78491963185</v>
      </c>
      <c r="AH10" t="n">
        <v>100.63374324966</v>
      </c>
      <c r="AI10" t="n">
        <v>69976.001710423</v>
      </c>
      <c r="AJ10" t="n">
        <v>86007.3207455102</v>
      </c>
      <c r="AK10" t="n">
        <v>502.519833751952</v>
      </c>
      <c r="AL10" t="n">
        <v>23406.1658459121</v>
      </c>
      <c r="AM10" t="n">
        <v>19314.2448282713</v>
      </c>
      <c r="AN10" t="n">
        <v>0.831093927213682</v>
      </c>
      <c r="AO10" t="n">
        <v>0.911014244919949</v>
      </c>
      <c r="AP10" t="n">
        <v>1.09287137093506</v>
      </c>
      <c r="AQ10" t="n">
        <v>1.09723337589084</v>
      </c>
      <c r="AR10" t="n">
        <v>32563.0286391216</v>
      </c>
      <c r="AS10" t="n">
        <v>177723.947188943</v>
      </c>
      <c r="AT10" t="n">
        <v>0.0396383335843634</v>
      </c>
      <c r="AU10" t="n">
        <v>0.0399300309955436</v>
      </c>
      <c r="AV10" t="n">
        <v>0.180025305066031</v>
      </c>
      <c r="AW10" t="n">
        <v>845.7084145236</v>
      </c>
      <c r="AX10" t="n">
        <v>10311.8273749326</v>
      </c>
      <c r="AY10" t="n">
        <v>17822.5891906052</v>
      </c>
      <c r="AZ10" t="n">
        <v>172858.765037073</v>
      </c>
      <c r="BA10" t="n">
        <v>407561.398532162</v>
      </c>
      <c r="BB10" t="n">
        <v>187671.295272294</v>
      </c>
      <c r="BC10" t="n">
        <v>220792.665064472</v>
      </c>
      <c r="BD10" t="n">
        <v>65082.9475146852</v>
      </c>
      <c r="BE10" t="n">
        <v>17.1239274345937</v>
      </c>
      <c r="BF10" t="n">
        <v>40131.1393771856</v>
      </c>
      <c r="BG10" t="n">
        <v>14964.4915051709</v>
      </c>
      <c r="BH10" t="n">
        <v>21266.1413221429</v>
      </c>
      <c r="BI10" t="n">
        <v>71209.1787244187</v>
      </c>
      <c r="BJ10" t="n">
        <v>42180.9592421554</v>
      </c>
      <c r="BK10" t="n">
        <v>79048.5866608438</v>
      </c>
      <c r="BL10" t="n">
        <v>20584.7236064433</v>
      </c>
      <c r="BM10" t="n">
        <v>17595.5521684266</v>
      </c>
      <c r="BN10" t="n">
        <v>36673.7470235559</v>
      </c>
      <c r="BO10" t="n">
        <v>165492.16945927</v>
      </c>
      <c r="BP10" t="n">
        <v>163896.064835406</v>
      </c>
      <c r="BQ10" t="n">
        <v>786580.708599393</v>
      </c>
      <c r="BR10" t="n">
        <v>709458.879103655</v>
      </c>
      <c r="BS10" t="n">
        <v>714754.038359379</v>
      </c>
      <c r="BT10" t="n">
        <v>109.885820975264</v>
      </c>
      <c r="BU10" t="n">
        <v>1.10870513754442</v>
      </c>
      <c r="BV10" t="n">
        <v>0.957383731300966</v>
      </c>
      <c r="BW10" t="n">
        <v>103.815802943262</v>
      </c>
      <c r="BX10" t="n">
        <v>79031.2875612566</v>
      </c>
      <c r="BY10" t="n">
        <v>1.11049744189341</v>
      </c>
      <c r="BZ10" t="n">
        <v>87764.0426663178</v>
      </c>
      <c r="CA10" t="n">
        <v>10249.7373322657</v>
      </c>
      <c r="CB10" t="n">
        <v>15017.1746113401</v>
      </c>
      <c r="CC10" t="n">
        <v>15701.9843369096</v>
      </c>
      <c r="CD10" t="n">
        <v>684.809725569554</v>
      </c>
      <c r="CE10" t="n">
        <v>0.0436129369375887</v>
      </c>
      <c r="CF10" t="n">
        <v>11111722.9185437</v>
      </c>
      <c r="CG10" t="n">
        <v>381250.142608198</v>
      </c>
      <c r="CH10" t="n">
        <v>492439.045185358</v>
      </c>
      <c r="CI10" t="n">
        <v>277489.9661483</v>
      </c>
      <c r="CJ10" t="n">
        <v>14386.4733131978</v>
      </c>
      <c r="CK10" t="n">
        <v>720321.71616194</v>
      </c>
      <c r="CL10" t="n">
        <v>0.0514122789530767</v>
      </c>
      <c r="CM10" t="n">
        <v>19.4506063602566</v>
      </c>
      <c r="CN10" t="n">
        <v>1146472.10682337</v>
      </c>
      <c r="CO10" t="n">
        <v>2714340.60782416</v>
      </c>
      <c r="CP10" t="n">
        <v>3181102.09119595</v>
      </c>
      <c r="CQ10" t="n">
        <v>3860812.71464753</v>
      </c>
      <c r="CR10" t="n">
        <v>9098227.31698642</v>
      </c>
      <c r="CS10" t="n">
        <v>0.00800986111334174</v>
      </c>
      <c r="CT10" t="n">
        <v>0.00830155852452197</v>
      </c>
      <c r="CU10" t="n">
        <v>0.0597939005655021</v>
      </c>
      <c r="CV10" t="n">
        <v>1.42568164902017</v>
      </c>
      <c r="CW10" t="n">
        <v>0.0597939005655021</v>
      </c>
      <c r="CX10" t="n">
        <v>0.039440022763365</v>
      </c>
      <c r="CY10" t="n">
        <v>0.00985294486662482</v>
      </c>
      <c r="CZ10" t="n">
        <v>-0.00155138634210285</v>
      </c>
      <c r="DA10" t="n">
        <v>0.695061009287602</v>
      </c>
      <c r="DB10" t="n">
        <v>5.80601750382392</v>
      </c>
      <c r="DC10" t="n">
        <v>0.0573678248343634</v>
      </c>
      <c r="DD10" t="n">
        <v>0.039093089774353</v>
      </c>
      <c r="DE10" t="n">
        <v>0.0069431122524218</v>
      </c>
      <c r="DF10" t="n">
        <v>0.111944148475335</v>
      </c>
      <c r="DG10" t="n">
        <v>207086.708715988</v>
      </c>
      <c r="DH10" t="n">
        <v>114.102831360243</v>
      </c>
      <c r="DI10" t="n">
        <v>4.77011287571163</v>
      </c>
      <c r="DJ10" t="n">
        <v>4.1566600712862</v>
      </c>
      <c r="DK10" t="n">
        <v>0.0411256875275234</v>
      </c>
      <c r="DL10" t="n">
        <v>0.670223574218165</v>
      </c>
      <c r="DM10" t="n">
        <v>1.12237862773229</v>
      </c>
      <c r="DN10" t="n">
        <v>0.0357615042376472</v>
      </c>
      <c r="DO10" t="n">
        <v>0.0465455822795444</v>
      </c>
      <c r="DP10" t="n">
        <v>28267.25</v>
      </c>
      <c r="DQ10" t="n">
        <v>23486.7172725075</v>
      </c>
      <c r="DR10" t="n">
        <v>165409.042118762</v>
      </c>
      <c r="DS10" t="n">
        <v>29204.1241466024</v>
      </c>
      <c r="DT10" t="n">
        <v>12473.5424506234</v>
      </c>
      <c r="DU10" t="n">
        <v>0</v>
      </c>
      <c r="DV10" t="n">
        <v>61.25</v>
      </c>
      <c r="DW10" t="n">
        <v>208288.96</v>
      </c>
      <c r="DX10" t="n">
        <v>2.11030270909113</v>
      </c>
      <c r="DY10" t="n">
        <v>80.6083433839946</v>
      </c>
      <c r="DZ10" t="n">
        <v>1.18119551508904</v>
      </c>
      <c r="EA10" t="n">
        <v>1.18588501702756</v>
      </c>
      <c r="EB10" t="n">
        <v>147730387.822721</v>
      </c>
      <c r="EC10" t="n">
        <v>3.18782304357156</v>
      </c>
      <c r="ED10" t="n">
        <v>0.0435</v>
      </c>
      <c r="EE10" t="n">
        <v>0.0304926484848485</v>
      </c>
      <c r="EF10" t="n">
        <v>0.03050813492075</v>
      </c>
      <c r="EG10" t="n">
        <v>0.0441803333333333</v>
      </c>
      <c r="EH10" t="n">
        <v>710233.521453383</v>
      </c>
      <c r="EI10" t="n">
        <v>370221.976402994</v>
      </c>
      <c r="EJ10" t="n">
        <v>857.826804102833</v>
      </c>
      <c r="EK10" t="n">
        <v>1.97953337090857</v>
      </c>
      <c r="EL10" t="n">
        <v>3.16284724710216</v>
      </c>
    </row>
    <row r="11">
      <c r="A11" s="2" t="n">
        <v>46539</v>
      </c>
      <c r="B11" t="n">
        <v>373786.62155354</v>
      </c>
      <c r="C11" t="n">
        <v>34871.136963982</v>
      </c>
      <c r="D11" t="n">
        <v>20318.8398308093</v>
      </c>
      <c r="E11" t="n">
        <v>224132.464292569</v>
      </c>
      <c r="F11" t="n">
        <v>44831.4757948218</v>
      </c>
      <c r="G11" t="n">
        <v>11568.147691662</v>
      </c>
      <c r="H11" t="n">
        <v>52448.400420708</v>
      </c>
      <c r="I11" t="n">
        <v>56471.4417418513</v>
      </c>
      <c r="J11" t="n">
        <v>95791.7591588784</v>
      </c>
      <c r="K11" t="n">
        <v>405.754502976133</v>
      </c>
      <c r="L11" t="n">
        <v>4796.11752576087</v>
      </c>
      <c r="M11" t="n">
        <v>0.668450735412923</v>
      </c>
      <c r="N11" t="n">
        <v>27897.2311658077</v>
      </c>
      <c r="O11" t="n">
        <v>148.914046646654</v>
      </c>
      <c r="P11" t="n">
        <v>1.476104289197</v>
      </c>
      <c r="Q11" t="n">
        <v>1.16860587843603</v>
      </c>
      <c r="R11" t="n">
        <v>0.919319237984853</v>
      </c>
      <c r="S11" t="n">
        <v>0.0935037368655158</v>
      </c>
      <c r="T11" t="n">
        <v>9798.51370936572</v>
      </c>
      <c r="U11" t="n">
        <v>0.47042615329704</v>
      </c>
      <c r="V11" t="n">
        <v>0.699480333429319</v>
      </c>
      <c r="W11" t="n">
        <v>20445454.9119583</v>
      </c>
      <c r="X11" t="n">
        <v>63813.3853282873</v>
      </c>
      <c r="Y11" t="n">
        <v>4320748.86360308</v>
      </c>
      <c r="Z11" t="n">
        <v>867.475552952885</v>
      </c>
      <c r="AA11" t="n">
        <v>1.06233950365197</v>
      </c>
      <c r="AB11" t="n">
        <v>1.0179589279912</v>
      </c>
      <c r="AC11" t="n">
        <v>1.14679986798825</v>
      </c>
      <c r="AD11" t="n">
        <v>1.16514792900532</v>
      </c>
      <c r="AE11" t="n">
        <v>113.606899868959</v>
      </c>
      <c r="AF11" t="n">
        <v>90086.2269016276</v>
      </c>
      <c r="AG11" t="n">
        <v>1036.4998291433</v>
      </c>
      <c r="AH11" t="n">
        <v>101.708551640787</v>
      </c>
      <c r="AI11" t="n">
        <v>71054.8761517566</v>
      </c>
      <c r="AJ11" t="n">
        <v>86140.8981638241</v>
      </c>
      <c r="AK11" t="n">
        <v>506.999640917019</v>
      </c>
      <c r="AL11" t="n">
        <v>23539.6063658396</v>
      </c>
      <c r="AM11" t="n">
        <v>19286.6047416855</v>
      </c>
      <c r="AN11" t="n">
        <v>0.82835714180751</v>
      </c>
      <c r="AO11" t="n">
        <v>0.912464651353548</v>
      </c>
      <c r="AP11" t="n">
        <v>1.09963975510375</v>
      </c>
      <c r="AQ11" t="n">
        <v>1.10500592548667</v>
      </c>
      <c r="AR11" t="n">
        <v>32702.8909566546</v>
      </c>
      <c r="AS11" t="n">
        <v>180571.616892396</v>
      </c>
      <c r="AT11" t="n">
        <v>0.0410120247436436</v>
      </c>
      <c r="AU11" t="n">
        <v>0.0398770295631128</v>
      </c>
      <c r="AV11" t="n">
        <v>0.194186467569896</v>
      </c>
      <c r="AW11" t="n">
        <v>861.190376485814</v>
      </c>
      <c r="AX11" t="n">
        <v>10320.5541893276</v>
      </c>
      <c r="AY11" t="n">
        <v>17901.3526875894</v>
      </c>
      <c r="AZ11" t="n">
        <v>173727.607544808</v>
      </c>
      <c r="BA11" t="n">
        <v>413036.432266466</v>
      </c>
      <c r="BB11" t="n">
        <v>190981.956700407</v>
      </c>
      <c r="BC11" t="n">
        <v>222473.857174659</v>
      </c>
      <c r="BD11" t="n">
        <v>67694.4132893538</v>
      </c>
      <c r="BE11" t="n">
        <v>17.3960825264408</v>
      </c>
      <c r="BF11" t="n">
        <v>40630.0330156446</v>
      </c>
      <c r="BG11" t="n">
        <v>15234.2143057565</v>
      </c>
      <c r="BH11" t="n">
        <v>21585.5062206458</v>
      </c>
      <c r="BI11" t="n">
        <v>72330.9448405143</v>
      </c>
      <c r="BJ11" t="n">
        <v>42491.6861815144</v>
      </c>
      <c r="BK11" t="n">
        <v>79349.7878255619</v>
      </c>
      <c r="BL11" t="n">
        <v>20919.6259826736</v>
      </c>
      <c r="BM11" t="n">
        <v>17598.3450714157</v>
      </c>
      <c r="BN11" t="n">
        <v>37152.7405833813</v>
      </c>
      <c r="BO11" t="n">
        <v>166610.059463033</v>
      </c>
      <c r="BP11" t="n">
        <v>166002.96124321</v>
      </c>
      <c r="BQ11" t="n">
        <v>796897.87175077</v>
      </c>
      <c r="BR11" t="n">
        <v>712594.195834163</v>
      </c>
      <c r="BS11" t="n">
        <v>719868.181303791</v>
      </c>
      <c r="BT11" t="n">
        <v>110.676177520088</v>
      </c>
      <c r="BU11" t="n">
        <v>1.11830530091483</v>
      </c>
      <c r="BV11" t="n">
        <v>0.959030414438076</v>
      </c>
      <c r="BW11" t="n">
        <v>104.31962856997</v>
      </c>
      <c r="BX11" t="n">
        <v>79529.5961313832</v>
      </c>
      <c r="BY11" t="n">
        <v>1.12235799612035</v>
      </c>
      <c r="BZ11" t="n">
        <v>89260.67814628</v>
      </c>
      <c r="CA11" t="n">
        <v>10264.1660523946</v>
      </c>
      <c r="CB11" t="n">
        <v>15060.2835781554</v>
      </c>
      <c r="CC11" t="n">
        <v>15759.6888663202</v>
      </c>
      <c r="CD11" t="n">
        <v>699.40528816478</v>
      </c>
      <c r="CE11" t="n">
        <v>0.0443793796147313</v>
      </c>
      <c r="CF11" t="n">
        <v>11146138.411438</v>
      </c>
      <c r="CG11" t="n">
        <v>386018.375216039</v>
      </c>
      <c r="CH11" t="n">
        <v>498490.077481697</v>
      </c>
      <c r="CI11" t="n">
        <v>281350.357058214</v>
      </c>
      <c r="CJ11" t="n">
        <v>14563.2525826317</v>
      </c>
      <c r="CK11" t="n">
        <v>729769.795152278</v>
      </c>
      <c r="CL11" t="n">
        <v>0.0517425046241873</v>
      </c>
      <c r="CM11" t="n">
        <v>19.3264707084269</v>
      </c>
      <c r="CN11" t="n">
        <v>1148264.91583354</v>
      </c>
      <c r="CO11" t="n">
        <v>2739595.26540814</v>
      </c>
      <c r="CP11" t="n">
        <v>3190567.7963404</v>
      </c>
      <c r="CQ11" t="n">
        <v>3887860.18124168</v>
      </c>
      <c r="CR11" t="n">
        <v>9134740.48872501</v>
      </c>
      <c r="CS11" t="n">
        <v>0.00773017763959142</v>
      </c>
      <c r="CT11" t="n">
        <v>0.00659518245906064</v>
      </c>
      <c r="CU11" t="n">
        <v>0.0602218897614637</v>
      </c>
      <c r="CV11" t="n">
        <v>1.43814340838787</v>
      </c>
      <c r="CW11" t="n">
        <v>0.0602218897614637</v>
      </c>
      <c r="CX11" t="n">
        <v>0.039440022763365</v>
      </c>
      <c r="CY11" t="n">
        <v>0.012305022763365</v>
      </c>
      <c r="CZ11" t="n">
        <v>-0.00570984030430436</v>
      </c>
      <c r="DA11" t="n">
        <v>0.69632767359937</v>
      </c>
      <c r="DB11" t="n">
        <v>5.82534403226076</v>
      </c>
      <c r="DC11" t="n">
        <v>0.0587415159936436</v>
      </c>
      <c r="DD11" t="n">
        <v>0.0400643229842588</v>
      </c>
      <c r="DE11" t="n">
        <v>0.00693922283245515</v>
      </c>
      <c r="DF11" t="n">
        <v>0.112449489590262</v>
      </c>
      <c r="DG11" t="n">
        <v>208495.978877053</v>
      </c>
      <c r="DH11" t="n">
        <v>115.021580796364</v>
      </c>
      <c r="DI11" t="n">
        <v>4.77828977811232</v>
      </c>
      <c r="DJ11" t="n">
        <v>4.1619157698563</v>
      </c>
      <c r="DK11" t="n">
        <v>0.0411256875275234</v>
      </c>
      <c r="DL11" t="n">
        <v>0.670223574218165</v>
      </c>
      <c r="DM11" t="n">
        <v>1.13387634348147</v>
      </c>
      <c r="DN11" t="n">
        <v>0.0357615042376472</v>
      </c>
      <c r="DO11" t="n">
        <v>0.0465455822795444</v>
      </c>
      <c r="DP11" t="n">
        <v>28354.8</v>
      </c>
      <c r="DQ11" t="n">
        <v>23576.440314012</v>
      </c>
      <c r="DR11" t="n">
        <v>166534.686680277</v>
      </c>
      <c r="DS11" t="n">
        <v>29402.8645727506</v>
      </c>
      <c r="DT11" t="n">
        <v>12558.4276240246</v>
      </c>
      <c r="DU11" t="n">
        <v>0</v>
      </c>
      <c r="DV11" t="n">
        <v>61.25</v>
      </c>
      <c r="DW11" t="n">
        <v>208288.96</v>
      </c>
      <c r="DX11" t="n">
        <v>2.12171101496979</v>
      </c>
      <c r="DY11" t="n">
        <v>79.0302004805758</v>
      </c>
      <c r="DZ11" t="n">
        <v>1.16954068548472</v>
      </c>
      <c r="EA11" t="n">
        <v>1.19216508090601</v>
      </c>
      <c r="EB11" t="n">
        <v>149197868.454801</v>
      </c>
      <c r="EC11" t="n">
        <v>3.17687610510602</v>
      </c>
      <c r="ED11" t="n">
        <v>0.0435</v>
      </c>
      <c r="EE11" t="n">
        <v>0.0304926484848485</v>
      </c>
      <c r="EF11" t="n">
        <v>0.03050813492075</v>
      </c>
      <c r="EG11" t="n">
        <v>0.0441803333333333</v>
      </c>
      <c r="EH11" t="n">
        <v>713406.900524747</v>
      </c>
      <c r="EI11" t="n">
        <v>372766.698054805</v>
      </c>
      <c r="EJ11" t="n">
        <v>866.990367610901</v>
      </c>
      <c r="EK11" t="n">
        <v>1.90911400035871</v>
      </c>
      <c r="EL11" t="n">
        <v>3.32818471040521</v>
      </c>
    </row>
    <row r="12">
      <c r="A12" s="2" t="n">
        <v>46631</v>
      </c>
      <c r="B12" t="n">
        <v>376027.444483735</v>
      </c>
      <c r="C12" t="n">
        <v>34894.5803489033</v>
      </c>
      <c r="D12" t="n">
        <v>20451.0494250044</v>
      </c>
      <c r="E12" t="n">
        <v>225008.720826492</v>
      </c>
      <c r="F12" t="n">
        <v>45256.9820785839</v>
      </c>
      <c r="G12" t="n">
        <v>11655.0960420051</v>
      </c>
      <c r="H12" t="n">
        <v>53129.8670909993</v>
      </c>
      <c r="I12" t="n">
        <v>59888.0710657334</v>
      </c>
      <c r="J12" t="n">
        <v>95830.1652960967</v>
      </c>
      <c r="K12" t="n">
        <v>404.990544295297</v>
      </c>
      <c r="L12" t="n">
        <v>4822.32207403977</v>
      </c>
      <c r="M12" t="n">
        <v>0.668314748992686</v>
      </c>
      <c r="N12" t="n">
        <v>28164.4735076241</v>
      </c>
      <c r="O12" t="n">
        <v>150.252254333841</v>
      </c>
      <c r="P12" t="n">
        <v>1.5019812274936</v>
      </c>
      <c r="Q12" t="n">
        <v>1.18482185570739</v>
      </c>
      <c r="R12" t="n">
        <v>0.9191401028071</v>
      </c>
      <c r="S12" t="n">
        <v>0.0950408394632821</v>
      </c>
      <c r="T12" t="n">
        <v>9785.38863607398</v>
      </c>
      <c r="U12" t="n">
        <v>0.470337781606881</v>
      </c>
      <c r="V12" t="n">
        <v>0.696246080708852</v>
      </c>
      <c r="W12" t="n">
        <v>20776659.4569953</v>
      </c>
      <c r="X12" t="n">
        <v>64618.7739227662</v>
      </c>
      <c r="Y12" t="n">
        <v>4316395.94449875</v>
      </c>
      <c r="Z12" t="n">
        <v>879.015012621531</v>
      </c>
      <c r="AA12" t="n">
        <v>1.0663343312076</v>
      </c>
      <c r="AB12" t="n">
        <v>1.01879196764913</v>
      </c>
      <c r="AC12" t="n">
        <v>1.159206033597</v>
      </c>
      <c r="AD12" t="n">
        <v>1.17828937179707</v>
      </c>
      <c r="AE12" t="n">
        <v>114.599400646528</v>
      </c>
      <c r="AF12" t="n">
        <v>90247.8420878722</v>
      </c>
      <c r="AG12" t="n">
        <v>1059.83293691326</v>
      </c>
      <c r="AH12" t="n">
        <v>102.891316344722</v>
      </c>
      <c r="AI12" t="n">
        <v>72064.7855215776</v>
      </c>
      <c r="AJ12" t="n">
        <v>86050.1874192888</v>
      </c>
      <c r="AK12" t="n">
        <v>509.447024400184</v>
      </c>
      <c r="AL12" t="n">
        <v>23679.3625873733</v>
      </c>
      <c r="AM12" t="n">
        <v>19230.8329382033</v>
      </c>
      <c r="AN12" t="n">
        <v>0.829864273731884</v>
      </c>
      <c r="AO12" t="n">
        <v>0.916268945254208</v>
      </c>
      <c r="AP12" t="n">
        <v>1.10631039356207</v>
      </c>
      <c r="AQ12" t="n">
        <v>1.1129285479897</v>
      </c>
      <c r="AR12" t="n">
        <v>32787.8599076465</v>
      </c>
      <c r="AS12" t="n">
        <v>183189.415050965</v>
      </c>
      <c r="AT12" t="n">
        <v>0.0416643341785135</v>
      </c>
      <c r="AU12" t="n">
        <v>0.0398661346338606</v>
      </c>
      <c r="AV12" t="n">
        <v>0.212545292131036</v>
      </c>
      <c r="AW12" t="n">
        <v>876.256533923559</v>
      </c>
      <c r="AX12" t="n">
        <v>10327.492555711</v>
      </c>
      <c r="AY12" t="n">
        <v>17957.2515848651</v>
      </c>
      <c r="AZ12" t="n">
        <v>173851.109726812</v>
      </c>
      <c r="BA12" t="n">
        <v>418491.678344808</v>
      </c>
      <c r="BB12" t="n">
        <v>194243.414455868</v>
      </c>
      <c r="BC12" t="n">
        <v>223969.149886834</v>
      </c>
      <c r="BD12" t="n">
        <v>73176.8805389209</v>
      </c>
      <c r="BE12" t="n">
        <v>17.9674403410166</v>
      </c>
      <c r="BF12" t="n">
        <v>41115.9131584316</v>
      </c>
      <c r="BG12" t="n">
        <v>15511.6999457578</v>
      </c>
      <c r="BH12" t="n">
        <v>21807.6561111055</v>
      </c>
      <c r="BI12" t="n">
        <v>73419.0239413296</v>
      </c>
      <c r="BJ12" t="n">
        <v>42799.4594376435</v>
      </c>
      <c r="BK12" t="n">
        <v>79526.0305250517</v>
      </c>
      <c r="BL12" t="n">
        <v>21276.1441461843</v>
      </c>
      <c r="BM12" t="n">
        <v>17620.6150126474</v>
      </c>
      <c r="BN12" t="n">
        <v>37574.6909389862</v>
      </c>
      <c r="BO12" t="n">
        <v>167587.04062287</v>
      </c>
      <c r="BP12" t="n">
        <v>168376.737783117</v>
      </c>
      <c r="BQ12" t="n">
        <v>806599.148234697</v>
      </c>
      <c r="BR12" t="n">
        <v>714819.34781749</v>
      </c>
      <c r="BS12" t="n">
        <v>724587.629862827</v>
      </c>
      <c r="BT12" t="n">
        <v>111.487360888494</v>
      </c>
      <c r="BU12" t="n">
        <v>1.12839579032666</v>
      </c>
      <c r="BV12" t="n">
        <v>0.963968771244628</v>
      </c>
      <c r="BW12" t="n">
        <v>104.877239965988</v>
      </c>
      <c r="BX12" t="n">
        <v>80006.3701312114</v>
      </c>
      <c r="BY12" t="n">
        <v>1.1354098526415</v>
      </c>
      <c r="BZ12" t="n">
        <v>90840.0209210604</v>
      </c>
      <c r="CA12" t="n">
        <v>10273.1678886182</v>
      </c>
      <c r="CB12" t="n">
        <v>15095.4899626579</v>
      </c>
      <c r="CC12" t="n">
        <v>15813.6519568491</v>
      </c>
      <c r="CD12" t="n">
        <v>718.161994191185</v>
      </c>
      <c r="CE12" t="n">
        <v>0.0454140463845546</v>
      </c>
      <c r="CF12" t="n">
        <v>11179119.1065133</v>
      </c>
      <c r="CG12" t="n">
        <v>390627.288161278</v>
      </c>
      <c r="CH12" t="n">
        <v>507325.831478991</v>
      </c>
      <c r="CI12" t="n">
        <v>284825.608292222</v>
      </c>
      <c r="CJ12" t="n">
        <v>14821.3867422335</v>
      </c>
      <c r="CK12" t="n">
        <v>738653.867758516</v>
      </c>
      <c r="CL12" t="n">
        <v>0.0520620123887671</v>
      </c>
      <c r="CM12" t="n">
        <v>19.2078629718078</v>
      </c>
      <c r="CN12" t="n">
        <v>1150259.38412879</v>
      </c>
      <c r="CO12" t="n">
        <v>2765512.70292072</v>
      </c>
      <c r="CP12" t="n">
        <v>3199987.47888084</v>
      </c>
      <c r="CQ12" t="n">
        <v>3915772.08704951</v>
      </c>
      <c r="CR12" t="n">
        <v>9172072.07707329</v>
      </c>
      <c r="CS12" t="n">
        <v>0.00701542434677221</v>
      </c>
      <c r="CT12" t="n">
        <v>0.00521722480211931</v>
      </c>
      <c r="CU12" t="n">
        <v>0.0603919296315408</v>
      </c>
      <c r="CV12" t="n">
        <v>1.45106720307157</v>
      </c>
      <c r="CW12" t="n">
        <v>0.0603919296315408</v>
      </c>
      <c r="CX12" t="n">
        <v>0.039440022763365</v>
      </c>
      <c r="CY12" t="n">
        <v>0.0127689953150494</v>
      </c>
      <c r="CZ12" t="n">
        <v>-0.00755177051293009</v>
      </c>
      <c r="DA12" t="n">
        <v>0.693895230730192</v>
      </c>
      <c r="DB12" t="n">
        <v>5.85026172498202</v>
      </c>
      <c r="DC12" t="n">
        <v>0.0593938254285135</v>
      </c>
      <c r="DD12" t="n">
        <v>0.0405417204471335</v>
      </c>
      <c r="DE12" t="n">
        <v>0.0069384233712605</v>
      </c>
      <c r="DF12" t="n">
        <v>0.112811629956821</v>
      </c>
      <c r="DG12" t="n">
        <v>209787.037336164</v>
      </c>
      <c r="DH12" t="n">
        <v>116.032570518713</v>
      </c>
      <c r="DI12" t="n">
        <v>4.78719814411529</v>
      </c>
      <c r="DJ12" t="n">
        <v>4.16790293202867</v>
      </c>
      <c r="DK12" t="n">
        <v>0.0411256875275234</v>
      </c>
      <c r="DL12" t="n">
        <v>0.670223574218165</v>
      </c>
      <c r="DM12" t="n">
        <v>1.14549184253852</v>
      </c>
      <c r="DN12" t="n">
        <v>0.0357615042376472</v>
      </c>
      <c r="DO12" t="n">
        <v>0.0465455822795444</v>
      </c>
      <c r="DP12" t="n">
        <v>28438.7</v>
      </c>
      <c r="DQ12" t="n">
        <v>23661.9825923103</v>
      </c>
      <c r="DR12" t="n">
        <v>167565.910481964</v>
      </c>
      <c r="DS12" t="n">
        <v>29584.9343528644</v>
      </c>
      <c r="DT12" t="n">
        <v>12636.1925013352</v>
      </c>
      <c r="DU12" t="n">
        <v>0</v>
      </c>
      <c r="DV12" t="n">
        <v>56.25</v>
      </c>
      <c r="DW12" t="n">
        <v>208288.96</v>
      </c>
      <c r="DX12" t="n">
        <v>2.13318099420103</v>
      </c>
      <c r="DY12" t="n">
        <v>77.4829543171104</v>
      </c>
      <c r="DZ12" t="n">
        <v>1.15800085382221</v>
      </c>
      <c r="EA12" t="n">
        <v>1.1984784019736</v>
      </c>
      <c r="EB12" t="n">
        <v>150679926.313932</v>
      </c>
      <c r="EC12" t="n">
        <v>3.16596675826966</v>
      </c>
      <c r="ED12" t="n">
        <v>0.0435</v>
      </c>
      <c r="EE12" t="n">
        <v>0.0304926484848485</v>
      </c>
      <c r="EF12" t="n">
        <v>0.03050813492075</v>
      </c>
      <c r="EG12" t="n">
        <v>0.0441803333333333</v>
      </c>
      <c r="EH12" t="n">
        <v>716371.940447952</v>
      </c>
      <c r="EI12" t="n">
        <v>375273.26918187</v>
      </c>
      <c r="EJ12" t="n">
        <v>876.641277165998</v>
      </c>
      <c r="EK12" t="n">
        <v>1.70398186551199</v>
      </c>
      <c r="EL12" t="n">
        <v>3.46489098317413</v>
      </c>
    </row>
    <row r="13">
      <c r="A13" s="2" t="n">
        <v>46722</v>
      </c>
      <c r="B13" t="n">
        <v>378416.662551428</v>
      </c>
      <c r="C13" t="n">
        <v>34925.2694585869</v>
      </c>
      <c r="D13" t="n">
        <v>20631.4376066889</v>
      </c>
      <c r="E13" t="n">
        <v>225832.46856532</v>
      </c>
      <c r="F13" t="n">
        <v>45836.1306625908</v>
      </c>
      <c r="G13" t="n">
        <v>11743.033028924</v>
      </c>
      <c r="H13" t="n">
        <v>53855.9926665194</v>
      </c>
      <c r="I13" t="n">
        <v>60051.3034277419</v>
      </c>
      <c r="J13" t="n">
        <v>96257.1127552788</v>
      </c>
      <c r="K13" t="n">
        <v>404.297963495436</v>
      </c>
      <c r="L13" t="n">
        <v>4848.74389956732</v>
      </c>
      <c r="M13" t="n">
        <v>0.668111722464428</v>
      </c>
      <c r="N13" t="n">
        <v>28419.9329944326</v>
      </c>
      <c r="O13" t="n">
        <v>151.641734775741</v>
      </c>
      <c r="P13" t="n">
        <v>1.52815761181869</v>
      </c>
      <c r="Q13" t="n">
        <v>1.20260655001796</v>
      </c>
      <c r="R13" t="n">
        <v>0.919647934592113</v>
      </c>
      <c r="S13" t="n">
        <v>0.0963192921665343</v>
      </c>
      <c r="T13" t="n">
        <v>9744.04777857217</v>
      </c>
      <c r="U13" t="n">
        <v>0.469690191199012</v>
      </c>
      <c r="V13" t="n">
        <v>0.692211822538996</v>
      </c>
      <c r="W13" t="n">
        <v>21125174.9014291</v>
      </c>
      <c r="X13" t="n">
        <v>65447.03840248</v>
      </c>
      <c r="Y13" t="n">
        <v>4312934.58332482</v>
      </c>
      <c r="Z13" t="n">
        <v>892.209704822382</v>
      </c>
      <c r="AA13" t="n">
        <v>1.07053524793901</v>
      </c>
      <c r="AB13" t="n">
        <v>1.02020968209681</v>
      </c>
      <c r="AC13" t="n">
        <v>1.17142092339658</v>
      </c>
      <c r="AD13" t="n">
        <v>1.19126724526648</v>
      </c>
      <c r="AE13" t="n">
        <v>115.596642313318</v>
      </c>
      <c r="AF13" t="n">
        <v>90386.1607158606</v>
      </c>
      <c r="AG13" t="n">
        <v>1083.44627701004</v>
      </c>
      <c r="AH13" t="n">
        <v>104.186043064849</v>
      </c>
      <c r="AI13" t="n">
        <v>73030.2739385438</v>
      </c>
      <c r="AJ13" t="n">
        <v>86298.8810745223</v>
      </c>
      <c r="AK13" t="n">
        <v>510.303520793169</v>
      </c>
      <c r="AL13" t="n">
        <v>23841.058994554</v>
      </c>
      <c r="AM13" t="n">
        <v>19190.5362184591</v>
      </c>
      <c r="AN13" t="n">
        <v>0.831990922658576</v>
      </c>
      <c r="AO13" t="n">
        <v>0.919947279271249</v>
      </c>
      <c r="AP13" t="n">
        <v>1.11295989934498</v>
      </c>
      <c r="AQ13" t="n">
        <v>1.12106845383819</v>
      </c>
      <c r="AR13" t="n">
        <v>32912.5182297659</v>
      </c>
      <c r="AS13" t="n">
        <v>185764.915297498</v>
      </c>
      <c r="AT13" t="n">
        <v>0.0422137488115506</v>
      </c>
      <c r="AU13" t="n">
        <v>0.0398884519822832</v>
      </c>
      <c r="AV13" t="n">
        <v>0.227829083950045</v>
      </c>
      <c r="AW13" t="n">
        <v>823.747738827369</v>
      </c>
      <c r="AX13" t="n">
        <v>10336.5753860139</v>
      </c>
      <c r="AY13" t="n">
        <v>18028.3016376438</v>
      </c>
      <c r="AZ13" t="n">
        <v>174433.468841148</v>
      </c>
      <c r="BA13" t="n">
        <v>424230.983346276</v>
      </c>
      <c r="BB13" t="n">
        <v>197505.690940411</v>
      </c>
      <c r="BC13" t="n">
        <v>225662.376068449</v>
      </c>
      <c r="BD13" t="n">
        <v>75235.7480154221</v>
      </c>
      <c r="BE13" t="n">
        <v>18.1820061502274</v>
      </c>
      <c r="BF13" t="n">
        <v>41605.3295381205</v>
      </c>
      <c r="BG13" t="n">
        <v>15795.9163562748</v>
      </c>
      <c r="BH13" t="n">
        <v>22086.6811736149</v>
      </c>
      <c r="BI13" t="n">
        <v>74506.191838763</v>
      </c>
      <c r="BJ13" t="n">
        <v>43066.7968664442</v>
      </c>
      <c r="BK13" t="n">
        <v>80085.044053715</v>
      </c>
      <c r="BL13" t="n">
        <v>21680.95363513</v>
      </c>
      <c r="BM13" t="n">
        <v>17654.2815819278</v>
      </c>
      <c r="BN13" t="n">
        <v>38045.7659743682</v>
      </c>
      <c r="BO13" t="n">
        <v>169055.605245141</v>
      </c>
      <c r="BP13" t="n">
        <v>170838.320673023</v>
      </c>
      <c r="BQ13" t="n">
        <v>817014.874632022</v>
      </c>
      <c r="BR13" t="n">
        <v>717647.617609612</v>
      </c>
      <c r="BS13" t="n">
        <v>729409.040113152</v>
      </c>
      <c r="BT13" t="n">
        <v>112.314950129288</v>
      </c>
      <c r="BU13" t="n">
        <v>1.13846245546721</v>
      </c>
      <c r="BV13" t="n">
        <v>0.969169542796262</v>
      </c>
      <c r="BW13" t="n">
        <v>105.384844171494</v>
      </c>
      <c r="BX13" t="n">
        <v>80514.7177740556</v>
      </c>
      <c r="BY13" t="n">
        <v>1.14969721455633</v>
      </c>
      <c r="BZ13" t="n">
        <v>92567.5467556208</v>
      </c>
      <c r="CA13" t="n">
        <v>10282.5140238175</v>
      </c>
      <c r="CB13" t="n">
        <v>15131.2579233848</v>
      </c>
      <c r="CC13" t="n">
        <v>15866.0619568967</v>
      </c>
      <c r="CD13" t="n">
        <v>734.804033511835</v>
      </c>
      <c r="CE13" t="n">
        <v>0.0463129391221991</v>
      </c>
      <c r="CF13" t="n">
        <v>11212099.8015885</v>
      </c>
      <c r="CG13" t="n">
        <v>395104.350393228</v>
      </c>
      <c r="CH13" t="n">
        <v>512725.880347865</v>
      </c>
      <c r="CI13" t="n">
        <v>288968.371673161</v>
      </c>
      <c r="CJ13" t="n">
        <v>14979.1477071724</v>
      </c>
      <c r="CK13" t="n">
        <v>748192.207348555</v>
      </c>
      <c r="CL13" t="n">
        <v>0.0523707941904146</v>
      </c>
      <c r="CM13" t="n">
        <v>19.0946120916958</v>
      </c>
      <c r="CN13" t="n">
        <v>1152354.23366787</v>
      </c>
      <c r="CO13" t="n">
        <v>2792013.03536045</v>
      </c>
      <c r="CP13" t="n">
        <v>3209355.46312729</v>
      </c>
      <c r="CQ13" t="n">
        <v>3944367.26902832</v>
      </c>
      <c r="CR13" t="n">
        <v>9210035.24329855</v>
      </c>
      <c r="CS13" t="n">
        <v>0.00637684119506619</v>
      </c>
      <c r="CT13" t="n">
        <v>0.00405154436579878</v>
      </c>
      <c r="CU13" t="n">
        <v>0.0604823845500499</v>
      </c>
      <c r="CV13" t="n">
        <v>1.46448616645079</v>
      </c>
      <c r="CW13" t="n">
        <v>0.0604823845500497</v>
      </c>
      <c r="CX13" t="n">
        <v>0.039440022763365</v>
      </c>
      <c r="CY13" t="n">
        <v>0.0132311513224297</v>
      </c>
      <c r="CZ13" t="n">
        <v>-0.00917960695663093</v>
      </c>
      <c r="DA13" t="n">
        <v>0.690480900599325</v>
      </c>
      <c r="DB13" t="n">
        <v>5.88366854376763</v>
      </c>
      <c r="DC13" t="n">
        <v>0.0599432400615506</v>
      </c>
      <c r="DD13" t="n">
        <v>0.0409429536935561</v>
      </c>
      <c r="DE13" t="n">
        <v>0.00694006101679077</v>
      </c>
      <c r="DF13" t="n">
        <v>0.113145050202775</v>
      </c>
      <c r="DG13" t="n">
        <v>211086.090347275</v>
      </c>
      <c r="DH13" t="n">
        <v>116.899915537667</v>
      </c>
      <c r="DI13" t="n">
        <v>4.79480256187716</v>
      </c>
      <c r="DJ13" t="n">
        <v>4.17258614595994</v>
      </c>
      <c r="DK13" t="n">
        <v>0.0411256875275234</v>
      </c>
      <c r="DL13" t="n">
        <v>0.670223574218165</v>
      </c>
      <c r="DM13" t="n">
        <v>1.15722633148288</v>
      </c>
      <c r="DN13" t="n">
        <v>0.0357615042376472</v>
      </c>
      <c r="DO13" t="n">
        <v>0.0465455822795444</v>
      </c>
      <c r="DP13" t="n">
        <v>28522.6</v>
      </c>
      <c r="DQ13" t="n">
        <v>23747.617985765</v>
      </c>
      <c r="DR13" t="n">
        <v>168603.519875448</v>
      </c>
      <c r="DS13" t="n">
        <v>29768.1315539051</v>
      </c>
      <c r="DT13" t="n">
        <v>12714.4389179217</v>
      </c>
      <c r="DU13" t="n">
        <v>0</v>
      </c>
      <c r="DV13" t="n">
        <v>56.25</v>
      </c>
      <c r="DW13" t="n">
        <v>208288.96</v>
      </c>
      <c r="DX13" t="n">
        <v>2.14471298019127</v>
      </c>
      <c r="DY13" t="n">
        <v>75.966</v>
      </c>
      <c r="DZ13" t="n">
        <v>1.1465748854194</v>
      </c>
      <c r="EA13" t="n">
        <v>1.20482515634968</v>
      </c>
      <c r="EB13" t="n">
        <v>152176706.203079</v>
      </c>
      <c r="EC13" t="n">
        <v>3.15509487397338</v>
      </c>
      <c r="ED13" t="n">
        <v>0.0435</v>
      </c>
      <c r="EE13" t="n">
        <v>0.0304926484848485</v>
      </c>
      <c r="EF13" t="n">
        <v>0.03050813492075</v>
      </c>
      <c r="EG13" t="n">
        <v>0.0441803333333333</v>
      </c>
      <c r="EH13" t="n">
        <v>719274.845315589</v>
      </c>
      <c r="EI13" t="n">
        <v>377773.162432325</v>
      </c>
      <c r="EJ13" t="n">
        <v>887.055974244691</v>
      </c>
      <c r="EK13" t="n">
        <v>1.61149222753449</v>
      </c>
      <c r="EL13" t="n">
        <v>3.58369076164844</v>
      </c>
    </row>
    <row r="14">
      <c r="A14" s="2" t="n">
        <v>46813</v>
      </c>
      <c r="B14" t="n">
        <v>380889.316002802</v>
      </c>
      <c r="C14" t="n">
        <v>34976.5397148655</v>
      </c>
      <c r="D14" t="n">
        <v>20798.2596126528</v>
      </c>
      <c r="E14" t="n">
        <v>226685.851406957</v>
      </c>
      <c r="F14" t="n">
        <v>46435.1182453373</v>
      </c>
      <c r="G14" t="n">
        <v>11827.1554026141</v>
      </c>
      <c r="H14" t="n">
        <v>54591.6570024517</v>
      </c>
      <c r="I14" t="n">
        <v>60489.503815096</v>
      </c>
      <c r="J14" t="n">
        <v>96571.1526649674</v>
      </c>
      <c r="K14" t="n">
        <v>403.651064500766</v>
      </c>
      <c r="L14" t="n">
        <v>4875.51127675027</v>
      </c>
      <c r="M14" t="n">
        <v>0.667907410448033</v>
      </c>
      <c r="N14" t="n">
        <v>28676.7961185074</v>
      </c>
      <c r="O14" t="n">
        <v>153.075589725659</v>
      </c>
      <c r="P14" t="n">
        <v>1.55476395950791</v>
      </c>
      <c r="Q14" t="n">
        <v>1.21902926761324</v>
      </c>
      <c r="R14" t="n">
        <v>0.920972078170814</v>
      </c>
      <c r="S14" t="n">
        <v>0.0974895628134743</v>
      </c>
      <c r="T14" t="n">
        <v>9696.25799370255</v>
      </c>
      <c r="U14" t="n">
        <v>0.468645688692733</v>
      </c>
      <c r="V14" t="n">
        <v>0.687574053105455</v>
      </c>
      <c r="W14" t="n">
        <v>21491172.1658949</v>
      </c>
      <c r="X14" t="n">
        <v>66299.2396011922</v>
      </c>
      <c r="Y14" t="n">
        <v>4310331.1013214</v>
      </c>
      <c r="Z14" t="n">
        <v>906.638316978533</v>
      </c>
      <c r="AA14" t="n">
        <v>1.0750334636169</v>
      </c>
      <c r="AB14" t="n">
        <v>1.02196386434217</v>
      </c>
      <c r="AC14" t="n">
        <v>1.18369253786796</v>
      </c>
      <c r="AD14" t="n">
        <v>1.20409274926689</v>
      </c>
      <c r="AE14" t="n">
        <v>116.592946743482</v>
      </c>
      <c r="AF14" t="n">
        <v>90562.3138239611</v>
      </c>
      <c r="AG14" t="n">
        <v>1107.38571545102</v>
      </c>
      <c r="AH14" t="n">
        <v>105.582618599873</v>
      </c>
      <c r="AI14" t="n">
        <v>73993.440570041</v>
      </c>
      <c r="AJ14" t="n">
        <v>86611.4185531735</v>
      </c>
      <c r="AK14" t="n">
        <v>510.135171441436</v>
      </c>
      <c r="AL14" t="n">
        <v>24021.2383948863</v>
      </c>
      <c r="AM14" t="n">
        <v>19149.3720871167</v>
      </c>
      <c r="AN14" t="n">
        <v>0.834433568747399</v>
      </c>
      <c r="AO14" t="n">
        <v>0.924203073210865</v>
      </c>
      <c r="AP14" t="n">
        <v>1.1196036559184</v>
      </c>
      <c r="AQ14" t="n">
        <v>1.12941297199154</v>
      </c>
      <c r="AR14" t="n">
        <v>33039.8000444289</v>
      </c>
      <c r="AS14" t="n">
        <v>188393.037134211</v>
      </c>
      <c r="AT14" t="n">
        <v>0.0426573077422386</v>
      </c>
      <c r="AU14" t="n">
        <v>0.0399355059579691</v>
      </c>
      <c r="AV14" t="n">
        <v>0.241158960886867</v>
      </c>
      <c r="AW14" t="n">
        <v>853.382841637678</v>
      </c>
      <c r="AX14" t="n">
        <v>10351.7494670532</v>
      </c>
      <c r="AY14" t="n">
        <v>18099.8834205917</v>
      </c>
      <c r="AZ14" t="n">
        <v>174905.208217105</v>
      </c>
      <c r="BA14" t="n">
        <v>430181.334939939</v>
      </c>
      <c r="BB14" t="n">
        <v>200810.544213061</v>
      </c>
      <c r="BC14" t="n">
        <v>227437.48286925</v>
      </c>
      <c r="BD14" t="n">
        <v>77547.0574563532</v>
      </c>
      <c r="BE14" t="n">
        <v>18.4228803134215</v>
      </c>
      <c r="BF14" t="n">
        <v>42114.997865115</v>
      </c>
      <c r="BG14" t="n">
        <v>16094.5269892295</v>
      </c>
      <c r="BH14" t="n">
        <v>22358.8250685937</v>
      </c>
      <c r="BI14" t="n">
        <v>75618.621731411</v>
      </c>
      <c r="BJ14" t="n">
        <v>43432.4266037374</v>
      </c>
      <c r="BK14" t="n">
        <v>80582.2115562787</v>
      </c>
      <c r="BL14" t="n">
        <v>22064.2876300889</v>
      </c>
      <c r="BM14" t="n">
        <v>17697.9085329716</v>
      </c>
      <c r="BN14" t="n">
        <v>38522.0764699538</v>
      </c>
      <c r="BO14" t="n">
        <v>170456.044189293</v>
      </c>
      <c r="BP14" t="n">
        <v>173504.726922405</v>
      </c>
      <c r="BQ14" t="n">
        <v>827562.594677974</v>
      </c>
      <c r="BR14" t="n">
        <v>720497.053839629</v>
      </c>
      <c r="BS14" t="n">
        <v>734414.85847944</v>
      </c>
      <c r="BT14" t="n">
        <v>113.158414168392</v>
      </c>
      <c r="BU14" t="n">
        <v>1.14859954529162</v>
      </c>
      <c r="BV14" t="n">
        <v>0.974562426853013</v>
      </c>
      <c r="BW14" t="n">
        <v>105.818889622434</v>
      </c>
      <c r="BX14" t="n">
        <v>81040.8177439884</v>
      </c>
      <c r="BY14" t="n">
        <v>1.16510848227801</v>
      </c>
      <c r="BZ14" t="n">
        <v>94421.3441642675</v>
      </c>
      <c r="CA14" t="n">
        <v>10292.7760423881</v>
      </c>
      <c r="CB14" t="n">
        <v>15168.2873191384</v>
      </c>
      <c r="CC14" t="n">
        <v>15918.4687393696</v>
      </c>
      <c r="CD14" t="n">
        <v>750.181420231149</v>
      </c>
      <c r="CE14" t="n">
        <v>0.0471264767964102</v>
      </c>
      <c r="CF14" t="n">
        <v>11245080.4966638</v>
      </c>
      <c r="CG14" t="n">
        <v>399650.999028968</v>
      </c>
      <c r="CH14" t="n">
        <v>518547.146148197</v>
      </c>
      <c r="CI14" t="n">
        <v>293142.321320438</v>
      </c>
      <c r="CJ14" t="n">
        <v>15149.2144106646</v>
      </c>
      <c r="CK14" t="n">
        <v>757851.42187293</v>
      </c>
      <c r="CL14" t="n">
        <v>0.0526115509480827</v>
      </c>
      <c r="CM14" t="n">
        <v>19.0072328600768</v>
      </c>
      <c r="CN14" t="n">
        <v>1154596.04112291</v>
      </c>
      <c r="CO14" t="n">
        <v>2819042.23802594</v>
      </c>
      <c r="CP14" t="n">
        <v>3218679.40720661</v>
      </c>
      <c r="CQ14" t="n">
        <v>3973638.27914884</v>
      </c>
      <c r="CR14" t="n">
        <v>9248630.19749839</v>
      </c>
      <c r="CS14" t="n">
        <v>0.00572618118534029</v>
      </c>
      <c r="CT14" t="n">
        <v>0.00300437940107073</v>
      </c>
      <c r="CU14" t="n">
        <v>0.060558436256576</v>
      </c>
      <c r="CV14" t="n">
        <v>1.47833367842998</v>
      </c>
      <c r="CW14" t="n">
        <v>0.0605584362565758</v>
      </c>
      <c r="CX14" t="n">
        <v>0.039440022763365</v>
      </c>
      <c r="CY14" t="n">
        <v>0.0136914930514056</v>
      </c>
      <c r="CZ14" t="n">
        <v>-0.0106871136503349</v>
      </c>
      <c r="DA14" t="n">
        <v>0.6863229676305</v>
      </c>
      <c r="DB14" t="n">
        <v>5.92281446443162</v>
      </c>
      <c r="DC14" t="n">
        <v>0.0603867989922386</v>
      </c>
      <c r="DD14" t="n">
        <v>0.041261478931868</v>
      </c>
      <c r="DE14" t="n">
        <v>0.00694351404376441</v>
      </c>
      <c r="DF14" t="n">
        <v>0.113406500895063</v>
      </c>
      <c r="DG14" t="n">
        <v>212393.187414621</v>
      </c>
      <c r="DH14" t="n">
        <v>117.777498586521</v>
      </c>
      <c r="DI14" t="n">
        <v>4.8024388590231</v>
      </c>
      <c r="DJ14" t="n">
        <v>4.17730123927528</v>
      </c>
      <c r="DK14" t="n">
        <v>0.0411256875275234</v>
      </c>
      <c r="DL14" t="n">
        <v>0.670223574218165</v>
      </c>
      <c r="DM14" t="n">
        <v>1.16908102925429</v>
      </c>
      <c r="DN14" t="n">
        <v>0.0357615042376472</v>
      </c>
      <c r="DO14" t="n">
        <v>0.0465455822795444</v>
      </c>
      <c r="DP14" t="n">
        <v>28606.5</v>
      </c>
      <c r="DQ14" t="n">
        <v>23833.3464943762</v>
      </c>
      <c r="DR14" t="n">
        <v>169647.554401886</v>
      </c>
      <c r="DS14" t="n">
        <v>29952.4631571409</v>
      </c>
      <c r="DT14" t="n">
        <v>12793.1698555937</v>
      </c>
      <c r="DU14" t="n">
        <v>0</v>
      </c>
      <c r="DV14" t="n">
        <v>56.25</v>
      </c>
      <c r="DW14" t="n">
        <v>208288.96</v>
      </c>
      <c r="DX14" t="n">
        <v>2.15587456584291</v>
      </c>
      <c r="DY14" t="n">
        <v>75.5295022413614</v>
      </c>
      <c r="DZ14" t="n">
        <v>1.13495748489578</v>
      </c>
      <c r="EA14" t="n">
        <v>1.20489817214186</v>
      </c>
      <c r="EB14" t="n">
        <v>153676165.156582</v>
      </c>
      <c r="EC14" t="n">
        <v>3.15387992712949</v>
      </c>
      <c r="ED14" t="n">
        <v>0.0435</v>
      </c>
      <c r="EE14" t="n">
        <v>0.0304926484848485</v>
      </c>
      <c r="EF14" t="n">
        <v>0.03050813492075</v>
      </c>
      <c r="EG14" t="n">
        <v>0.0441803333333333</v>
      </c>
      <c r="EH14" t="n">
        <v>722130.653449069</v>
      </c>
      <c r="EI14" t="n">
        <v>380281.976668768</v>
      </c>
      <c r="EJ14" t="n">
        <v>898.390887795605</v>
      </c>
      <c r="EK14" t="n">
        <v>1.55585828313538</v>
      </c>
      <c r="EL14" t="n">
        <v>3.69311265568983</v>
      </c>
    </row>
    <row r="15">
      <c r="A15" s="2" t="n">
        <v>46905</v>
      </c>
      <c r="B15" t="n">
        <v>383225.019462153</v>
      </c>
      <c r="C15" t="n">
        <v>35054.5116889689</v>
      </c>
      <c r="D15" t="n">
        <v>20978.3664492368</v>
      </c>
      <c r="E15" t="n">
        <v>227539.450375994</v>
      </c>
      <c r="F15" t="n">
        <v>47076.9654298198</v>
      </c>
      <c r="G15" t="n">
        <v>11917.199628795</v>
      </c>
      <c r="H15" t="n">
        <v>55345.5339945839</v>
      </c>
      <c r="I15" t="n">
        <v>61108.0395729061</v>
      </c>
      <c r="J15" t="n">
        <v>97206.8380935768</v>
      </c>
      <c r="K15" t="n">
        <v>403.071803865926</v>
      </c>
      <c r="L15" t="n">
        <v>4902.93857915562</v>
      </c>
      <c r="M15" t="n">
        <v>0.667712597679596</v>
      </c>
      <c r="N15" t="n">
        <v>28932.3506937599</v>
      </c>
      <c r="O15" t="n">
        <v>154.554370600243</v>
      </c>
      <c r="P15" t="n">
        <v>1.58151188356093</v>
      </c>
      <c r="Q15" t="n">
        <v>1.23442057223095</v>
      </c>
      <c r="R15" t="n">
        <v>0.922993952719421</v>
      </c>
      <c r="S15" t="n">
        <v>0.0986530829347402</v>
      </c>
      <c r="T15" t="n">
        <v>9641.15832058713</v>
      </c>
      <c r="U15" t="n">
        <v>0.467254350815649</v>
      </c>
      <c r="V15" t="n">
        <v>0.68249011222532</v>
      </c>
      <c r="W15" t="n">
        <v>21868832.8282931</v>
      </c>
      <c r="X15" t="n">
        <v>67173.9131541915</v>
      </c>
      <c r="Y15" t="n">
        <v>4309404.70919222</v>
      </c>
      <c r="Z15" t="n">
        <v>921.9286088985</v>
      </c>
      <c r="AA15" t="n">
        <v>1.07961132546183</v>
      </c>
      <c r="AB15" t="n">
        <v>1.02396527978099</v>
      </c>
      <c r="AC15" t="n">
        <v>1.19587210294233</v>
      </c>
      <c r="AD15" t="n">
        <v>1.21679626231735</v>
      </c>
      <c r="AE15" t="n">
        <v>117.592125753633</v>
      </c>
      <c r="AF15" t="n">
        <v>90811.7097576088</v>
      </c>
      <c r="AG15" t="n">
        <v>1131.67452307297</v>
      </c>
      <c r="AH15" t="n">
        <v>107.080705489079</v>
      </c>
      <c r="AI15" t="n">
        <v>74944.2441248359</v>
      </c>
      <c r="AJ15" t="n">
        <v>86995.3893277386</v>
      </c>
      <c r="AK15" t="n">
        <v>510.093891935024</v>
      </c>
      <c r="AL15" t="n">
        <v>24206.7577885938</v>
      </c>
      <c r="AM15" t="n">
        <v>19113.9861234828</v>
      </c>
      <c r="AN15" t="n">
        <v>0.837108963276439</v>
      </c>
      <c r="AO15" t="n">
        <v>0.928779305659646</v>
      </c>
      <c r="AP15" t="n">
        <v>1.12628829090695</v>
      </c>
      <c r="AQ15" t="n">
        <v>1.13799557559795</v>
      </c>
      <c r="AR15" t="n">
        <v>33184.1024855697</v>
      </c>
      <c r="AS15" t="n">
        <v>190971.674504203</v>
      </c>
      <c r="AT15" t="n">
        <v>0.0431537756231835</v>
      </c>
      <c r="AU15" t="n">
        <v>0.0400087738530239</v>
      </c>
      <c r="AV15" t="n">
        <v>0.251281175295621</v>
      </c>
      <c r="AW15" t="n">
        <v>853.59896903715</v>
      </c>
      <c r="AX15" t="n">
        <v>10374.8262593245</v>
      </c>
      <c r="AY15" t="n">
        <v>18178.4531641861</v>
      </c>
      <c r="AZ15" t="n">
        <v>175728.379866815</v>
      </c>
      <c r="BA15" t="n">
        <v>436108.377159905</v>
      </c>
      <c r="BB15" t="n">
        <v>204133.040622514</v>
      </c>
      <c r="BC15" t="n">
        <v>229358.166599401</v>
      </c>
      <c r="BD15" t="n">
        <v>79923.992557868</v>
      </c>
      <c r="BE15" t="n">
        <v>18.6705936846409</v>
      </c>
      <c r="BF15" t="n">
        <v>42654.1988004971</v>
      </c>
      <c r="BG15" t="n">
        <v>16407.9110190017</v>
      </c>
      <c r="BH15" t="n">
        <v>22648.4820082845</v>
      </c>
      <c r="BI15" t="n">
        <v>76740.3031843838</v>
      </c>
      <c r="BJ15" t="n">
        <v>43781.8969610314</v>
      </c>
      <c r="BK15" t="n">
        <v>81372.7154598947</v>
      </c>
      <c r="BL15" t="n">
        <v>22439.856557208</v>
      </c>
      <c r="BM15" t="n">
        <v>17752.6747601565</v>
      </c>
      <c r="BN15" t="n">
        <v>39021.8915250455</v>
      </c>
      <c r="BO15" t="n">
        <v>172176.698302305</v>
      </c>
      <c r="BP15" t="n">
        <v>176265.700708081</v>
      </c>
      <c r="BQ15" t="n">
        <v>838385.207349841</v>
      </c>
      <c r="BR15" t="n">
        <v>723624.657889543</v>
      </c>
      <c r="BS15" t="n">
        <v>739297.928580887</v>
      </c>
      <c r="BT15" t="n">
        <v>114.016042370517</v>
      </c>
      <c r="BU15" t="n">
        <v>1.15859125479719</v>
      </c>
      <c r="BV15" t="n">
        <v>0.979788799241178</v>
      </c>
      <c r="BW15" t="n">
        <v>106.153328129011</v>
      </c>
      <c r="BX15" t="n">
        <v>81537.7792243988</v>
      </c>
      <c r="BY15" t="n">
        <v>1.18163993191385</v>
      </c>
      <c r="BZ15" t="n">
        <v>96348.2958911247</v>
      </c>
      <c r="CA15" t="n">
        <v>10305.3526075568</v>
      </c>
      <c r="CB15" t="n">
        <v>15208.2911867124</v>
      </c>
      <c r="CC15" t="n">
        <v>15971.1298785009</v>
      </c>
      <c r="CD15" t="n">
        <v>762.838691788489</v>
      </c>
      <c r="CE15" t="n">
        <v>0.0477635975387351</v>
      </c>
      <c r="CF15" t="n">
        <v>11278061.191739</v>
      </c>
      <c r="CG15" t="n">
        <v>404275.913907421</v>
      </c>
      <c r="CH15" t="n">
        <v>524660.30549424</v>
      </c>
      <c r="CI15" t="n">
        <v>297457.449540431</v>
      </c>
      <c r="CJ15" t="n">
        <v>15327.8087050266</v>
      </c>
      <c r="CK15" t="n">
        <v>767762.372965331</v>
      </c>
      <c r="CL15" t="n">
        <v>0.0529079468434619</v>
      </c>
      <c r="CM15" t="n">
        <v>18.9007523379935</v>
      </c>
      <c r="CN15" t="n">
        <v>1156968.89511768</v>
      </c>
      <c r="CO15" t="n">
        <v>2846589.27549154</v>
      </c>
      <c r="CP15" t="n">
        <v>3227980.24357786</v>
      </c>
      <c r="CQ15" t="n">
        <v>4003558.17060922</v>
      </c>
      <c r="CR15" t="n">
        <v>9287850.92533002</v>
      </c>
      <c r="CS15" t="n">
        <v>0.0052774027718521</v>
      </c>
      <c r="CT15" t="n">
        <v>0.00213240100169253</v>
      </c>
      <c r="CU15" t="n">
        <v>0.0607767100834089</v>
      </c>
      <c r="CV15" t="n">
        <v>1.49261506433765</v>
      </c>
      <c r="CW15" t="n">
        <v>0.0607767100834086</v>
      </c>
      <c r="CX15" t="n">
        <v>0.039440022763365</v>
      </c>
      <c r="CY15" t="n">
        <v>0.014150022763365</v>
      </c>
      <c r="CZ15" t="n">
        <v>-0.0120176217616725</v>
      </c>
      <c r="DA15" t="n">
        <v>0.68140351907575</v>
      </c>
      <c r="DB15" t="n">
        <v>5.96507627262823</v>
      </c>
      <c r="DC15" t="n">
        <v>0.0608832668731835</v>
      </c>
      <c r="DD15" t="n">
        <v>0.0416099171503438</v>
      </c>
      <c r="DE15" t="n">
        <v>0.00694889132855488</v>
      </c>
      <c r="DF15" t="n">
        <v>0.11371635804889</v>
      </c>
      <c r="DG15" t="n">
        <v>213708.378348979</v>
      </c>
      <c r="DH15" t="n">
        <v>118.625523626704</v>
      </c>
      <c r="DI15" t="n">
        <v>4.80977049463325</v>
      </c>
      <c r="DJ15" t="n">
        <v>4.18171167105484</v>
      </c>
      <c r="DK15" t="n">
        <v>0.0411256875275234</v>
      </c>
      <c r="DL15" t="n">
        <v>0.670223574218165</v>
      </c>
      <c r="DM15" t="n">
        <v>1.18105716727937</v>
      </c>
      <c r="DN15" t="n">
        <v>0.0357615042376472</v>
      </c>
      <c r="DO15" t="n">
        <v>0.0465455822795444</v>
      </c>
      <c r="DP15" t="n">
        <v>28690.4</v>
      </c>
      <c r="DQ15" t="n">
        <v>23919.168118144</v>
      </c>
      <c r="DR15" t="n">
        <v>170698.053847284</v>
      </c>
      <c r="DS15" t="n">
        <v>30137.9361870694</v>
      </c>
      <c r="DT15" t="n">
        <v>12872.3883146252</v>
      </c>
      <c r="DU15" t="n">
        <v>0</v>
      </c>
      <c r="DV15" t="n">
        <v>56.25</v>
      </c>
      <c r="DW15" t="n">
        <v>208288.96</v>
      </c>
      <c r="DX15" t="n">
        <v>2.16709423898477</v>
      </c>
      <c r="DY15" t="n">
        <v>75.0955125823108</v>
      </c>
      <c r="DZ15" t="n">
        <v>1.12345779495229</v>
      </c>
      <c r="EA15" t="n">
        <v>1.204971192359</v>
      </c>
      <c r="EB15" t="n">
        <v>155190398.888756</v>
      </c>
      <c r="EC15" t="n">
        <v>3.15266544813075</v>
      </c>
      <c r="ED15" t="n">
        <v>0.0435</v>
      </c>
      <c r="EE15" t="n">
        <v>0.0304926484848485</v>
      </c>
      <c r="EF15" t="n">
        <v>0.03050813492075</v>
      </c>
      <c r="EG15" t="n">
        <v>0.0441803333333333</v>
      </c>
      <c r="EH15" t="n">
        <v>725004.456246384</v>
      </c>
      <c r="EI15" t="n">
        <v>382769.648261216</v>
      </c>
      <c r="EJ15" t="n">
        <v>910.703431069369</v>
      </c>
      <c r="EK15" t="n">
        <v>1.54793038167635</v>
      </c>
      <c r="EL15" t="n">
        <v>3.78763728513314</v>
      </c>
    </row>
    <row r="16">
      <c r="A16" s="2" t="n">
        <v>46997</v>
      </c>
      <c r="B16" t="n">
        <v>385286.589187227</v>
      </c>
      <c r="C16" t="n">
        <v>35154.1658436367</v>
      </c>
      <c r="D16" t="n">
        <v>21148.0872750283</v>
      </c>
      <c r="E16" t="n">
        <v>228423.673928933</v>
      </c>
      <c r="F16" t="n">
        <v>47517.5417959096</v>
      </c>
      <c r="G16" t="n">
        <v>11997.050524155</v>
      </c>
      <c r="H16" t="n">
        <v>56016.985358666</v>
      </c>
      <c r="I16" t="n">
        <v>64724.5323250167</v>
      </c>
      <c r="J16" t="n">
        <v>97189.3737741082</v>
      </c>
      <c r="K16" t="n">
        <v>402.285143742172</v>
      </c>
      <c r="L16" t="n">
        <v>4921.83674135766</v>
      </c>
      <c r="M16" t="n">
        <v>0.667523022956013</v>
      </c>
      <c r="N16" t="n">
        <v>29205.6478337574</v>
      </c>
      <c r="O16" t="n">
        <v>156.046231558276</v>
      </c>
      <c r="P16" t="n">
        <v>1.60897635848105</v>
      </c>
      <c r="Q16" t="n">
        <v>1.24986398035011</v>
      </c>
      <c r="R16" t="n">
        <v>0.925294336270662</v>
      </c>
      <c r="S16" t="n">
        <v>0.0988837524977165</v>
      </c>
      <c r="T16" t="n">
        <v>9542.07706589659</v>
      </c>
      <c r="U16" t="n">
        <v>0.465805218686223</v>
      </c>
      <c r="V16" t="n">
        <v>0.677322036665496</v>
      </c>
      <c r="W16" t="n">
        <v>22245659.7949817</v>
      </c>
      <c r="X16" t="n">
        <v>68060.5028547995</v>
      </c>
      <c r="Y16" t="n">
        <v>4304595.15299644</v>
      </c>
      <c r="Z16" t="n">
        <v>937.392605168849</v>
      </c>
      <c r="AA16" t="n">
        <v>1.08435366015064</v>
      </c>
      <c r="AB16" t="n">
        <v>1.0261494009418</v>
      </c>
      <c r="AC16" t="n">
        <v>1.20835843369414</v>
      </c>
      <c r="AD16" t="n">
        <v>1.22941350146684</v>
      </c>
      <c r="AE16" t="n">
        <v>118.603769847207</v>
      </c>
      <c r="AF16" t="n">
        <v>90908.1015297069</v>
      </c>
      <c r="AG16" t="n">
        <v>1156.61265986289</v>
      </c>
      <c r="AH16" t="n">
        <v>108.673347499632</v>
      </c>
      <c r="AI16" t="n">
        <v>75805.4528563608</v>
      </c>
      <c r="AJ16" t="n">
        <v>87262.8296784685</v>
      </c>
      <c r="AK16" t="n">
        <v>510.227170795405</v>
      </c>
      <c r="AL16" t="n">
        <v>24384.744868513</v>
      </c>
      <c r="AM16" t="n">
        <v>19041.6940816602</v>
      </c>
      <c r="AN16" t="n">
        <v>0.839565870806112</v>
      </c>
      <c r="AO16" t="n">
        <v>0.934281791338573</v>
      </c>
      <c r="AP16" t="n">
        <v>1.13279146375173</v>
      </c>
      <c r="AQ16" t="n">
        <v>1.14661770924621</v>
      </c>
      <c r="AR16" t="n">
        <v>33239.8514059715</v>
      </c>
      <c r="AS16" t="n">
        <v>193151.695254191</v>
      </c>
      <c r="AT16" t="n">
        <v>0.0421958882543732</v>
      </c>
      <c r="AU16" t="n">
        <v>0.0400205147356353</v>
      </c>
      <c r="AV16" t="n">
        <v>0.272194182386162</v>
      </c>
      <c r="AW16" t="n">
        <v>884.223552938347</v>
      </c>
      <c r="AX16" t="n">
        <v>10404.3201672663</v>
      </c>
      <c r="AY16" t="n">
        <v>18221.6091273647</v>
      </c>
      <c r="AZ16" t="n">
        <v>175737.528389105</v>
      </c>
      <c r="BA16" t="n">
        <v>441776.426837339</v>
      </c>
      <c r="BB16" t="n">
        <v>206878.76027563</v>
      </c>
      <c r="BC16" t="n">
        <v>230824.42407695</v>
      </c>
      <c r="BD16" t="n">
        <v>85045.3366971474</v>
      </c>
      <c r="BE16" t="n">
        <v>19.2043168902543</v>
      </c>
      <c r="BF16" t="n">
        <v>43219.0061209714</v>
      </c>
      <c r="BG16" t="n">
        <v>16740.305175199</v>
      </c>
      <c r="BH16" t="n">
        <v>22932.005841862</v>
      </c>
      <c r="BI16" t="n">
        <v>77787.7192815679</v>
      </c>
      <c r="BJ16" t="n">
        <v>44034.0492979114</v>
      </c>
      <c r="BK16" t="n">
        <v>81596.8812257599</v>
      </c>
      <c r="BL16" t="n">
        <v>22774.532912312</v>
      </c>
      <c r="BM16" t="n">
        <v>17790.3080567346</v>
      </c>
      <c r="BN16" t="n">
        <v>39423.7168590922</v>
      </c>
      <c r="BO16" t="n">
        <v>173174.999053899</v>
      </c>
      <c r="BP16" t="n">
        <v>178722.169659779</v>
      </c>
      <c r="BQ16" t="n">
        <v>847821.102224599</v>
      </c>
      <c r="BR16" t="n">
        <v>725342.555396066</v>
      </c>
      <c r="BS16" t="n">
        <v>743186.697259693</v>
      </c>
      <c r="BT16" t="n">
        <v>114.885676696578</v>
      </c>
      <c r="BU16" t="n">
        <v>1.16885613470344</v>
      </c>
      <c r="BV16" t="n">
        <v>0.985418428501326</v>
      </c>
      <c r="BW16" t="n">
        <v>106.497834242992</v>
      </c>
      <c r="BX16" t="n">
        <v>81976.4139913425</v>
      </c>
      <c r="BY16" t="n">
        <v>1.19921480115212</v>
      </c>
      <c r="BZ16" t="n">
        <v>98307.3290037918</v>
      </c>
      <c r="CA16" t="n">
        <v>10313.9806201855</v>
      </c>
      <c r="CB16" t="n">
        <v>15235.8173615431</v>
      </c>
      <c r="CC16" t="n">
        <v>16023.1308270069</v>
      </c>
      <c r="CD16" t="n">
        <v>787.313465463794</v>
      </c>
      <c r="CE16" t="n">
        <v>0.0491360521493307</v>
      </c>
      <c r="CF16" t="n">
        <v>11311651.1845183</v>
      </c>
      <c r="CG16" t="n">
        <v>408833.363444755</v>
      </c>
      <c r="CH16" t="n">
        <v>534145.991111439</v>
      </c>
      <c r="CI16" t="n">
        <v>300693.461275599</v>
      </c>
      <c r="CJ16" t="n">
        <v>15604.9304408504</v>
      </c>
      <c r="CK16" t="n">
        <v>776403.41884327</v>
      </c>
      <c r="CL16" t="n">
        <v>0.0534712900841011</v>
      </c>
      <c r="CM16" t="n">
        <v>18.7016247116382</v>
      </c>
      <c r="CN16" t="n">
        <v>1159483.98920104</v>
      </c>
      <c r="CO16" t="n">
        <v>2874633.25285953</v>
      </c>
      <c r="CP16" t="n">
        <v>3237284.8582912</v>
      </c>
      <c r="CQ16" t="n">
        <v>4034117.24206057</v>
      </c>
      <c r="CR16" t="n">
        <v>9327714.61149471</v>
      </c>
      <c r="CS16" t="n">
        <v>0.00363422240700076</v>
      </c>
      <c r="CT16" t="n">
        <v>0.00145884888826284</v>
      </c>
      <c r="CU16" t="n">
        <v>0.0603220866503441</v>
      </c>
      <c r="CV16" t="n">
        <v>1.5070227716785</v>
      </c>
      <c r="CW16" t="n">
        <v>0.0603220866503441</v>
      </c>
      <c r="CX16" t="n">
        <v>0.039440022763365</v>
      </c>
      <c r="CY16" t="n">
        <v>0.0151272823316509</v>
      </c>
      <c r="CZ16" t="n">
        <v>-0.013668433443388</v>
      </c>
      <c r="DA16" t="n">
        <v>0.676292119885437</v>
      </c>
      <c r="DB16" t="n">
        <v>6.00714670138493</v>
      </c>
      <c r="DC16" t="n">
        <v>0.0599253795043732</v>
      </c>
      <c r="DD16" t="n">
        <v>0.0409671599881148</v>
      </c>
      <c r="DE16" t="n">
        <v>0.00694975308062861</v>
      </c>
      <c r="DF16" t="n">
        <v>0.113947959214735</v>
      </c>
      <c r="DG16" t="n">
        <v>214344.876304041</v>
      </c>
      <c r="DH16" t="n">
        <v>119.678683575483</v>
      </c>
      <c r="DI16" t="n">
        <v>4.81876654203827</v>
      </c>
      <c r="DJ16" t="n">
        <v>4.18778651462926</v>
      </c>
      <c r="DK16" t="n">
        <v>0.0411256875275234</v>
      </c>
      <c r="DL16" t="n">
        <v>0.670223574218165</v>
      </c>
      <c r="DM16" t="n">
        <v>1.19315598959956</v>
      </c>
      <c r="DN16" t="n">
        <v>0.0357615042376472</v>
      </c>
      <c r="DO16" t="n">
        <v>0.0465455822795444</v>
      </c>
      <c r="DP16" t="n">
        <v>28775.85</v>
      </c>
      <c r="DQ16" t="n">
        <v>24003.8624526405</v>
      </c>
      <c r="DR16" t="n">
        <v>171206.452081581</v>
      </c>
      <c r="DS16" t="n">
        <v>30227.6974538062</v>
      </c>
      <c r="DT16" t="n">
        <v>12910.7267686546</v>
      </c>
      <c r="DU16" t="n">
        <v>0</v>
      </c>
      <c r="DV16" t="n">
        <v>56.25</v>
      </c>
      <c r="DW16" t="n">
        <v>208288.96</v>
      </c>
      <c r="DX16" t="n">
        <v>2.17837230191767</v>
      </c>
      <c r="DY16" t="n">
        <v>74.6640166114029</v>
      </c>
      <c r="DZ16" t="n">
        <v>1.11207462291414</v>
      </c>
      <c r="EA16" t="n">
        <v>1.20504421700137</v>
      </c>
      <c r="EB16" t="n">
        <v>156719552.981504</v>
      </c>
      <c r="EC16" t="n">
        <v>3.15145143679701</v>
      </c>
      <c r="ED16" t="n">
        <v>0.0435</v>
      </c>
      <c r="EE16" t="n">
        <v>0.0304926484848485</v>
      </c>
      <c r="EF16" t="n">
        <v>0.03050813492075</v>
      </c>
      <c r="EG16" t="n">
        <v>0.0441803333333333</v>
      </c>
      <c r="EH16" t="n">
        <v>727615.592549954</v>
      </c>
      <c r="EI16" t="n">
        <v>385182.041344386</v>
      </c>
      <c r="EJ16" t="n">
        <v>923.898933167313</v>
      </c>
      <c r="EK16" t="n">
        <v>1.47214923752503</v>
      </c>
      <c r="EL16" t="n">
        <v>3.85616658473724</v>
      </c>
    </row>
    <row r="17">
      <c r="A17" s="2" t="n">
        <v>47088</v>
      </c>
      <c r="B17" t="n">
        <v>387559.506482478</v>
      </c>
      <c r="C17" t="n">
        <v>35268.2182655497</v>
      </c>
      <c r="D17" t="n">
        <v>21320.543583857</v>
      </c>
      <c r="E17" t="n">
        <v>229218.321622828</v>
      </c>
      <c r="F17" t="n">
        <v>48134.9371741204</v>
      </c>
      <c r="G17" t="n">
        <v>12075.0323577912</v>
      </c>
      <c r="H17" t="n">
        <v>56732.1544848103</v>
      </c>
      <c r="I17" t="n">
        <v>64866.6195047149</v>
      </c>
      <c r="J17" t="n">
        <v>97556.9520019676</v>
      </c>
      <c r="K17" t="n">
        <v>401.579807889412</v>
      </c>
      <c r="L17" t="n">
        <v>4940.87776822102</v>
      </c>
      <c r="M17" t="n">
        <v>0.667217751277236</v>
      </c>
      <c r="N17" t="n">
        <v>29451.946193766</v>
      </c>
      <c r="O17" t="n">
        <v>157.576832302087</v>
      </c>
      <c r="P17" t="n">
        <v>1.63651850894483</v>
      </c>
      <c r="Q17" t="n">
        <v>1.26543134438976</v>
      </c>
      <c r="R17" t="n">
        <v>0.928068634374208</v>
      </c>
      <c r="S17" t="n">
        <v>0.0987295653492194</v>
      </c>
      <c r="T17" t="n">
        <v>9418.9955157495</v>
      </c>
      <c r="U17" t="n">
        <v>0.464037525734691</v>
      </c>
      <c r="V17" t="n">
        <v>0.671765810306809</v>
      </c>
      <c r="W17" t="n">
        <v>22633308.3292844</v>
      </c>
      <c r="X17" t="n">
        <v>68968.5112576741</v>
      </c>
      <c r="Y17" t="n">
        <v>4300816.10315524</v>
      </c>
      <c r="Z17" t="n">
        <v>953.898899354601</v>
      </c>
      <c r="AA17" t="n">
        <v>1.0891194663508</v>
      </c>
      <c r="AB17" t="n">
        <v>1.02859577912671</v>
      </c>
      <c r="AC17" t="n">
        <v>1.22049335417593</v>
      </c>
      <c r="AD17" t="n">
        <v>1.24202516217886</v>
      </c>
      <c r="AE17" t="n">
        <v>119.621213996818</v>
      </c>
      <c r="AF17" t="n">
        <v>90971.8184085429</v>
      </c>
      <c r="AG17" t="n">
        <v>1181.82224716454</v>
      </c>
      <c r="AH17" t="n">
        <v>110.374482009362</v>
      </c>
      <c r="AI17" t="n">
        <v>76610.0700620036</v>
      </c>
      <c r="AJ17" t="n">
        <v>87987.3706458762</v>
      </c>
      <c r="AK17" t="n">
        <v>510.769173094739</v>
      </c>
      <c r="AL17" t="n">
        <v>24580.2934136209</v>
      </c>
      <c r="AM17" t="n">
        <v>18987.3967586777</v>
      </c>
      <c r="AN17" t="n">
        <v>0.842256440912994</v>
      </c>
      <c r="AO17" t="n">
        <v>0.939180611467439</v>
      </c>
      <c r="AP17" t="n">
        <v>1.13932824536391</v>
      </c>
      <c r="AQ17" t="n">
        <v>1.15547853454575</v>
      </c>
      <c r="AR17" t="n">
        <v>33339.4495789738</v>
      </c>
      <c r="AS17" t="n">
        <v>195168.790269987</v>
      </c>
      <c r="AT17" t="n">
        <v>0.0412376084377758</v>
      </c>
      <c r="AU17" t="n">
        <v>0.0399748120111168</v>
      </c>
      <c r="AV17" t="n">
        <v>0.289055645676737</v>
      </c>
      <c r="AW17" t="n">
        <v>794.647693895415</v>
      </c>
      <c r="AX17" t="n">
        <v>10438.0754245724</v>
      </c>
      <c r="AY17" t="n">
        <v>18281.920956807</v>
      </c>
      <c r="AZ17" t="n">
        <v>176210.719296426</v>
      </c>
      <c r="BA17" t="n">
        <v>447816.691127467</v>
      </c>
      <c r="BB17" t="n">
        <v>209576.833623843</v>
      </c>
      <c r="BC17" t="n">
        <v>232494.235838886</v>
      </c>
      <c r="BD17" t="n">
        <v>86452.9811951603</v>
      </c>
      <c r="BE17" t="n">
        <v>19.3510152009734</v>
      </c>
      <c r="BF17" t="n">
        <v>43804.0145110288</v>
      </c>
      <c r="BG17" t="n">
        <v>17082.1036300749</v>
      </c>
      <c r="BH17" t="n">
        <v>23220.6190503594</v>
      </c>
      <c r="BI17" t="n">
        <v>78800.7939295732</v>
      </c>
      <c r="BJ17" t="n">
        <v>44177.6538078544</v>
      </c>
      <c r="BK17" t="n">
        <v>82167.971179497</v>
      </c>
      <c r="BL17" t="n">
        <v>23134.5158143997</v>
      </c>
      <c r="BM17" t="n">
        <v>17832.5948979898</v>
      </c>
      <c r="BN17" t="n">
        <v>39881.0543262253</v>
      </c>
      <c r="BO17" t="n">
        <v>174605.696218112</v>
      </c>
      <c r="BP17" t="n">
        <v>181130.032658333</v>
      </c>
      <c r="BQ17" t="n">
        <v>857954.373239979</v>
      </c>
      <c r="BR17" t="n">
        <v>727743.371728542</v>
      </c>
      <c r="BS17" t="n">
        <v>747131.417173027</v>
      </c>
      <c r="BT17" t="n">
        <v>115.76655529068</v>
      </c>
      <c r="BU17" t="n">
        <v>1.17892432994055</v>
      </c>
      <c r="BV17" t="n">
        <v>0.990891456066221</v>
      </c>
      <c r="BW17" t="n">
        <v>106.769199967023</v>
      </c>
      <c r="BX17" t="n">
        <v>82460.0166247918</v>
      </c>
      <c r="BY17" t="n">
        <v>1.21798688952297</v>
      </c>
      <c r="BZ17" t="n">
        <v>100435.219158843</v>
      </c>
      <c r="CA17" t="n">
        <v>10323.0254664249</v>
      </c>
      <c r="CB17" t="n">
        <v>15263.9032346459</v>
      </c>
      <c r="CC17" t="n">
        <v>16072.3660068721</v>
      </c>
      <c r="CD17" t="n">
        <v>808.462772226261</v>
      </c>
      <c r="CE17" t="n">
        <v>0.0503014116144994</v>
      </c>
      <c r="CF17" t="n">
        <v>11345241.1772976</v>
      </c>
      <c r="CG17" t="n">
        <v>413041.158643543</v>
      </c>
      <c r="CH17" t="n">
        <v>539841.621821882</v>
      </c>
      <c r="CI17" t="n">
        <v>304760.888785217</v>
      </c>
      <c r="CJ17" t="n">
        <v>15771.3267492235</v>
      </c>
      <c r="CK17" t="n">
        <v>785683.096171144</v>
      </c>
      <c r="CL17" t="n">
        <v>0.0542275630390398</v>
      </c>
      <c r="CM17" t="n">
        <v>18.4408065558852</v>
      </c>
      <c r="CN17" t="n">
        <v>1162128.66745026</v>
      </c>
      <c r="CO17" t="n">
        <v>2903076.38774892</v>
      </c>
      <c r="CP17" t="n">
        <v>3246614.90338701</v>
      </c>
      <c r="CQ17" t="n">
        <v>4065205.05519918</v>
      </c>
      <c r="CR17" t="n">
        <v>9368132.46972913</v>
      </c>
      <c r="CS17" t="n">
        <v>0.00209866337675651</v>
      </c>
      <c r="CT17" t="n">
        <v>0.000835866950097443</v>
      </c>
      <c r="CU17" t="n">
        <v>0.0595906202882001</v>
      </c>
      <c r="CV17" t="n">
        <v>1.52180461006214</v>
      </c>
      <c r="CW17" t="n">
        <v>0.0595906202882003</v>
      </c>
      <c r="CX17" t="n">
        <v>0.039440022763365</v>
      </c>
      <c r="CY17" t="n">
        <v>0.0161030338327086</v>
      </c>
      <c r="CZ17" t="n">
        <v>-0.0152671668826112</v>
      </c>
      <c r="DA17" t="n">
        <v>0.670757278671344</v>
      </c>
      <c r="DB17" t="n">
        <v>6.05354788149254</v>
      </c>
      <c r="DC17" t="n">
        <v>0.0589670996877758</v>
      </c>
      <c r="DD17" t="n">
        <v>0.0403216652621013</v>
      </c>
      <c r="DE17" t="n">
        <v>0.00694639871197403</v>
      </c>
      <c r="DF17" t="n">
        <v>0.114318608956164</v>
      </c>
      <c r="DG17" t="n">
        <v>214981.374259104</v>
      </c>
      <c r="DH17" t="n">
        <v>120.511558474574</v>
      </c>
      <c r="DI17" t="n">
        <v>4.82585890052102</v>
      </c>
      <c r="DJ17" t="n">
        <v>4.19195766928141</v>
      </c>
      <c r="DK17" t="n">
        <v>0.0411256875275234</v>
      </c>
      <c r="DL17" t="n">
        <v>0.670223574218165</v>
      </c>
      <c r="DM17" t="n">
        <v>1.20537875300032</v>
      </c>
      <c r="DN17" t="n">
        <v>0.0357615042376472</v>
      </c>
      <c r="DO17" t="n">
        <v>0.0465455822795444</v>
      </c>
      <c r="DP17" t="n">
        <v>28861.3</v>
      </c>
      <c r="DQ17" t="n">
        <v>24088.63669485</v>
      </c>
      <c r="DR17" t="n">
        <v>171714.850315877</v>
      </c>
      <c r="DS17" t="n">
        <v>30317.458720543</v>
      </c>
      <c r="DT17" t="n">
        <v>12949.065222684</v>
      </c>
      <c r="DU17" t="n">
        <v>0</v>
      </c>
      <c r="DV17" t="n">
        <v>56.25</v>
      </c>
      <c r="DW17" t="n">
        <v>208288.96</v>
      </c>
      <c r="DX17" t="n">
        <v>2.18970905851568</v>
      </c>
      <c r="DY17" t="n">
        <v>74.235</v>
      </c>
      <c r="DZ17" t="n">
        <v>1.10080678819105</v>
      </c>
      <c r="EA17" t="n">
        <v>1.20511724606925</v>
      </c>
      <c r="EB17" t="n">
        <v>158263774.451203</v>
      </c>
      <c r="EC17" t="n">
        <v>3.15023789294817</v>
      </c>
      <c r="ED17" t="n">
        <v>0.0435</v>
      </c>
      <c r="EE17" t="n">
        <v>0.0304926484848485</v>
      </c>
      <c r="EF17" t="n">
        <v>0.03050813492075</v>
      </c>
      <c r="EG17" t="n">
        <v>0.0441803333333333</v>
      </c>
      <c r="EH17" t="n">
        <v>730133.738892087</v>
      </c>
      <c r="EI17" t="n">
        <v>387568.798639193</v>
      </c>
      <c r="EJ17" t="n">
        <v>938.060057969673</v>
      </c>
      <c r="EK17" t="n">
        <v>1.40678431464143</v>
      </c>
      <c r="EL17" t="n">
        <v>3.91389450610193</v>
      </c>
    </row>
    <row r="18">
      <c r="A18" s="2" t="n">
        <v>47178</v>
      </c>
      <c r="B18" t="n">
        <v>389965.747326384</v>
      </c>
      <c r="C18" t="n">
        <v>35394.1279254907</v>
      </c>
      <c r="D18" t="n">
        <v>21489.5221484788</v>
      </c>
      <c r="E18" t="n">
        <v>230035.794874629</v>
      </c>
      <c r="F18" t="n">
        <v>48810.1941669047</v>
      </c>
      <c r="G18" t="n">
        <v>12141.9953648637</v>
      </c>
      <c r="H18" t="n">
        <v>57465.9573186097</v>
      </c>
      <c r="I18" t="n">
        <v>65324.9430125405</v>
      </c>
      <c r="J18" t="n">
        <v>97817.3685379948</v>
      </c>
      <c r="K18" t="n">
        <v>400.927335706867</v>
      </c>
      <c r="L18" t="n">
        <v>4960.32142880809</v>
      </c>
      <c r="M18" t="n">
        <v>0.666906448324875</v>
      </c>
      <c r="N18" t="n">
        <v>29700.1874502068</v>
      </c>
      <c r="O18" t="n">
        <v>159.136470584545</v>
      </c>
      <c r="P18" t="n">
        <v>1.6646804187067</v>
      </c>
      <c r="Q18" t="n">
        <v>1.28116968068092</v>
      </c>
      <c r="R18" t="n">
        <v>0.931442886199729</v>
      </c>
      <c r="S18" t="n">
        <v>0.0985214311493543</v>
      </c>
      <c r="T18" t="n">
        <v>9306.41151264112</v>
      </c>
      <c r="U18" t="n">
        <v>0.462045617168537</v>
      </c>
      <c r="V18" t="n">
        <v>0.665904075897701</v>
      </c>
      <c r="W18" t="n">
        <v>23030482.3281521</v>
      </c>
      <c r="X18" t="n">
        <v>69899.0782604495</v>
      </c>
      <c r="Y18" t="n">
        <v>4298243.88466705</v>
      </c>
      <c r="Z18" t="n">
        <v>970.622570648049</v>
      </c>
      <c r="AA18" t="n">
        <v>1.09408711117212</v>
      </c>
      <c r="AB18" t="n">
        <v>1.03116611591865</v>
      </c>
      <c r="AC18" t="n">
        <v>1.23267897590193</v>
      </c>
      <c r="AD18" t="n">
        <v>1.25466299878352</v>
      </c>
      <c r="AE18" t="n">
        <v>120.63312677916</v>
      </c>
      <c r="AF18" t="n">
        <v>91092.160617271</v>
      </c>
      <c r="AG18" t="n">
        <v>1207.33103651846</v>
      </c>
      <c r="AH18" t="n">
        <v>112.161100579275</v>
      </c>
      <c r="AI18" t="n">
        <v>77398.498786071</v>
      </c>
      <c r="AJ18" t="n">
        <v>88889.2344774807</v>
      </c>
      <c r="AK18" t="n">
        <v>511.776471844321</v>
      </c>
      <c r="AL18" t="n">
        <v>24791.1444501323</v>
      </c>
      <c r="AM18" t="n">
        <v>18934.4259323526</v>
      </c>
      <c r="AN18" t="n">
        <v>0.845942026587395</v>
      </c>
      <c r="AO18" t="n">
        <v>0.944477109918389</v>
      </c>
      <c r="AP18" t="n">
        <v>1.14589937934045</v>
      </c>
      <c r="AQ18" t="n">
        <v>1.16452661133101</v>
      </c>
      <c r="AR18" t="n">
        <v>33446.6709811397</v>
      </c>
      <c r="AS18" t="n">
        <v>197252.816759317</v>
      </c>
      <c r="AT18" t="n">
        <v>0.0402336856360304</v>
      </c>
      <c r="AU18" t="n">
        <v>0.0398728010217496</v>
      </c>
      <c r="AV18" t="n">
        <v>0.303285074248233</v>
      </c>
      <c r="AW18" t="n">
        <v>817.47325180113</v>
      </c>
      <c r="AX18" t="n">
        <v>10475.3399814959</v>
      </c>
      <c r="AY18" t="n">
        <v>18344.1984732434</v>
      </c>
      <c r="AZ18" t="n">
        <v>176587.66392473</v>
      </c>
      <c r="BA18" t="n">
        <v>454125.490786218</v>
      </c>
      <c r="BB18" t="n">
        <v>212295.977649331</v>
      </c>
      <c r="BC18" t="n">
        <v>234301.451917781</v>
      </c>
      <c r="BD18" t="n">
        <v>88066.5342794419</v>
      </c>
      <c r="BE18" t="n">
        <v>19.5191723685351</v>
      </c>
      <c r="BF18" t="n">
        <v>44407.7026823235</v>
      </c>
      <c r="BG18" t="n">
        <v>17438.0933464917</v>
      </c>
      <c r="BH18" t="n">
        <v>23511.4092078983</v>
      </c>
      <c r="BI18" t="n">
        <v>79810.7085905454</v>
      </c>
      <c r="BJ18" t="n">
        <v>44439.750849293</v>
      </c>
      <c r="BK18" t="n">
        <v>82747.8229764775</v>
      </c>
      <c r="BL18" t="n">
        <v>23502.0309003126</v>
      </c>
      <c r="BM18" t="n">
        <v>17883.1318825521</v>
      </c>
      <c r="BN18" t="n">
        <v>40347.7650080868</v>
      </c>
      <c r="BO18" t="n">
        <v>176070.310767429</v>
      </c>
      <c r="BP18" t="n">
        <v>183729.732953325</v>
      </c>
      <c r="BQ18" t="n">
        <v>868369.710926206</v>
      </c>
      <c r="BR18" t="n">
        <v>730222.43561767</v>
      </c>
      <c r="BS18" t="n">
        <v>751317.562811569</v>
      </c>
      <c r="BT18" t="n">
        <v>116.659276870325</v>
      </c>
      <c r="BU18" t="n">
        <v>1.18918518832127</v>
      </c>
      <c r="BV18" t="n">
        <v>0.997070275772366</v>
      </c>
      <c r="BW18" t="n">
        <v>107.045777099699</v>
      </c>
      <c r="BX18" t="n">
        <v>82971.9861589482</v>
      </c>
      <c r="BY18" t="n">
        <v>1.23770229796808</v>
      </c>
      <c r="BZ18" t="n">
        <v>102694.617935906</v>
      </c>
      <c r="CA18" t="n">
        <v>10333.6412262857</v>
      </c>
      <c r="CB18" t="n">
        <v>15293.9626550938</v>
      </c>
      <c r="CC18" t="n">
        <v>16121.4569229011</v>
      </c>
      <c r="CD18" t="n">
        <v>827.494267807338</v>
      </c>
      <c r="CE18" t="n">
        <v>0.0513287476286303</v>
      </c>
      <c r="CF18" t="n">
        <v>11378831.1700768</v>
      </c>
      <c r="CG18" t="n">
        <v>417342.817328157</v>
      </c>
      <c r="CH18" t="n">
        <v>546140.605711689</v>
      </c>
      <c r="CI18" t="n">
        <v>308962.596657174</v>
      </c>
      <c r="CJ18" t="n">
        <v>15955.3498572954</v>
      </c>
      <c r="CK18" t="n">
        <v>795221.079793839</v>
      </c>
      <c r="CL18" t="n">
        <v>0.054991816249385</v>
      </c>
      <c r="CM18" t="n">
        <v>18.1845239565293</v>
      </c>
      <c r="CN18" t="n">
        <v>1164903.59740365</v>
      </c>
      <c r="CO18" t="n">
        <v>2931855.51213386</v>
      </c>
      <c r="CP18" t="n">
        <v>3255984.57427202</v>
      </c>
      <c r="CQ18" t="n">
        <v>4096759.10953751</v>
      </c>
      <c r="CR18" t="n">
        <v>9409056.19495247</v>
      </c>
      <c r="CS18" t="n">
        <v>0.000639646705666644</v>
      </c>
      <c r="CT18" t="n">
        <v>0.000278762091385852</v>
      </c>
      <c r="CU18" t="n">
        <v>0.0589273922189906</v>
      </c>
      <c r="CV18" t="n">
        <v>1.5368668796458</v>
      </c>
      <c r="CW18" t="n">
        <v>0.0589273922189906</v>
      </c>
      <c r="CX18" t="n">
        <v>0.039440022763365</v>
      </c>
      <c r="CY18" t="n">
        <v>0.0170772798001701</v>
      </c>
      <c r="CZ18" t="n">
        <v>-0.0167985177087842</v>
      </c>
      <c r="DA18" t="n">
        <v>0.664832703735418</v>
      </c>
      <c r="DB18" t="n">
        <v>6.0993093982965</v>
      </c>
      <c r="DC18" t="n">
        <v>0.0579631768860304</v>
      </c>
      <c r="DD18" t="n">
        <v>0.0396431398290115</v>
      </c>
      <c r="DE18" t="n">
        <v>0.00693891254366365</v>
      </c>
      <c r="DF18" t="n">
        <v>0.114686126242545</v>
      </c>
      <c r="DG18" t="n">
        <v>215617.872214166</v>
      </c>
      <c r="DH18" t="n">
        <v>121.353247226564</v>
      </c>
      <c r="DI18" t="n">
        <v>4.83297612606538</v>
      </c>
      <c r="DJ18" t="n">
        <v>4.19615369099518</v>
      </c>
      <c r="DK18" t="n">
        <v>0.0411256875275234</v>
      </c>
      <c r="DL18" t="n">
        <v>0.670223574218165</v>
      </c>
      <c r="DM18" t="n">
        <v>1.21772672714172</v>
      </c>
      <c r="DN18" t="n">
        <v>0.0357615042376472</v>
      </c>
      <c r="DO18" t="n">
        <v>0.0465455822795444</v>
      </c>
      <c r="DP18" t="n">
        <v>28946.75</v>
      </c>
      <c r="DQ18" t="n">
        <v>24173.4908447725</v>
      </c>
      <c r="DR18" t="n">
        <v>172223.248550173</v>
      </c>
      <c r="DS18" t="n">
        <v>30407.2199872798</v>
      </c>
      <c r="DT18" t="n">
        <v>12987.4036767134</v>
      </c>
      <c r="DU18" t="n">
        <v>0</v>
      </c>
      <c r="DV18" t="n">
        <v>56.25</v>
      </c>
      <c r="DW18" t="n">
        <v>208288.96</v>
      </c>
      <c r="DX18" t="n">
        <v>2.20113715164015</v>
      </c>
      <c r="DY18" t="n">
        <v>74.1536162664648</v>
      </c>
      <c r="DZ18" t="n">
        <v>1.09227040691832</v>
      </c>
      <c r="EA18" t="n">
        <v>1.20496274583581</v>
      </c>
      <c r="EB18" t="n">
        <v>159694352.216244</v>
      </c>
      <c r="EC18" t="n">
        <v>3.15120884017177</v>
      </c>
      <c r="ED18" t="n">
        <v>0.0435</v>
      </c>
      <c r="EE18" t="n">
        <v>0.0304926484848485</v>
      </c>
      <c r="EF18" t="n">
        <v>0.03050813492075</v>
      </c>
      <c r="EG18" t="n">
        <v>0.0441803333333333</v>
      </c>
      <c r="EH18" t="n">
        <v>732590.615354985</v>
      </c>
      <c r="EI18" t="n">
        <v>389959.255774167</v>
      </c>
      <c r="EJ18" t="n">
        <v>953.089161518997</v>
      </c>
      <c r="EK18" t="n">
        <v>1.34981562050989</v>
      </c>
      <c r="EL18" t="n">
        <v>3.95940389303637</v>
      </c>
    </row>
    <row r="19">
      <c r="A19" s="2" t="n">
        <v>47270</v>
      </c>
      <c r="B19" t="n">
        <v>392138.162423992</v>
      </c>
      <c r="C19" t="n">
        <v>35531.1899503492</v>
      </c>
      <c r="D19" t="n">
        <v>21656.7696055366</v>
      </c>
      <c r="E19" t="n">
        <v>230842.325925371</v>
      </c>
      <c r="F19" t="n">
        <v>49440.7497204985</v>
      </c>
      <c r="G19" t="n">
        <v>12212.6547176664</v>
      </c>
      <c r="H19" t="n">
        <v>58186.2372475568</v>
      </c>
      <c r="I19" t="n">
        <v>66010.8810735744</v>
      </c>
      <c r="J19" t="n">
        <v>97988.4136351069</v>
      </c>
      <c r="K19" t="n">
        <v>400.282082718859</v>
      </c>
      <c r="L19" t="n">
        <v>4979.75630938891</v>
      </c>
      <c r="M19" t="n">
        <v>0.666600132266028</v>
      </c>
      <c r="N19" t="n">
        <v>29950.7168561539</v>
      </c>
      <c r="O19" t="n">
        <v>160.722654139261</v>
      </c>
      <c r="P19" t="n">
        <v>1.69337779514248</v>
      </c>
      <c r="Q19" t="n">
        <v>1.29706724982212</v>
      </c>
      <c r="R19" t="n">
        <v>0.935240719596882</v>
      </c>
      <c r="S19" t="n">
        <v>0.0981062160883133</v>
      </c>
      <c r="T19" t="n">
        <v>9180.65113736608</v>
      </c>
      <c r="U19" t="n">
        <v>0.459875060025637</v>
      </c>
      <c r="V19" t="n">
        <v>0.659815859387203</v>
      </c>
      <c r="W19" t="n">
        <v>23426157.9930108</v>
      </c>
      <c r="X19" t="n">
        <v>70848.0002259983</v>
      </c>
      <c r="Y19" t="n">
        <v>4295621.44953669</v>
      </c>
      <c r="Z19" t="n">
        <v>987.235591931319</v>
      </c>
      <c r="AA19" t="n">
        <v>1.09914861055262</v>
      </c>
      <c r="AB19" t="n">
        <v>1.03394820502679</v>
      </c>
      <c r="AC19" t="n">
        <v>1.24486628908728</v>
      </c>
      <c r="AD19" t="n">
        <v>1.26736627751341</v>
      </c>
      <c r="AE19" t="n">
        <v>121.650794674924</v>
      </c>
      <c r="AF19" t="n">
        <v>91289.0791448684</v>
      </c>
      <c r="AG19" t="n">
        <v>1233.16834296606</v>
      </c>
      <c r="AH19" t="n">
        <v>114.034237537525</v>
      </c>
      <c r="AI19" t="n">
        <v>78143.0614581617</v>
      </c>
      <c r="AJ19" t="n">
        <v>89851.0221814698</v>
      </c>
      <c r="AK19" t="n">
        <v>512.282167637847</v>
      </c>
      <c r="AL19" t="n">
        <v>25001.1677794393</v>
      </c>
      <c r="AM19" t="n">
        <v>18872.6460238084</v>
      </c>
      <c r="AN19" t="n">
        <v>0.849812322402379</v>
      </c>
      <c r="AO19" t="n">
        <v>0.950233304442623</v>
      </c>
      <c r="AP19" t="n">
        <v>1.15250122875168</v>
      </c>
      <c r="AQ19" t="n">
        <v>1.17375757617294</v>
      </c>
      <c r="AR19" t="n">
        <v>33534.5862995695</v>
      </c>
      <c r="AS19" t="n">
        <v>199238.226311651</v>
      </c>
      <c r="AT19" t="n">
        <v>0.0389598901470152</v>
      </c>
      <c r="AU19" t="n">
        <v>0.0397022833597256</v>
      </c>
      <c r="AV19" t="n">
        <v>0.317194677645741</v>
      </c>
      <c r="AW19" t="n">
        <v>806.531050742196</v>
      </c>
      <c r="AX19" t="n">
        <v>10515.9052219213</v>
      </c>
      <c r="AY19" t="n">
        <v>18398.2916515311</v>
      </c>
      <c r="AZ19" t="n">
        <v>176838.937610016</v>
      </c>
      <c r="BA19" t="n">
        <v>460275.139553232</v>
      </c>
      <c r="BB19" t="n">
        <v>215027.804140517</v>
      </c>
      <c r="BC19" t="n">
        <v>236129.888610029</v>
      </c>
      <c r="BD19" t="n">
        <v>89909.0383256113</v>
      </c>
      <c r="BE19" t="n">
        <v>19.7111897645806</v>
      </c>
      <c r="BF19" t="n">
        <v>45031.031942996</v>
      </c>
      <c r="BG19" t="n">
        <v>17807.4003986244</v>
      </c>
      <c r="BH19" t="n">
        <v>23804.0082209837</v>
      </c>
      <c r="BI19" t="n">
        <v>80795.8773482129</v>
      </c>
      <c r="BJ19" t="n">
        <v>44677.7279214309</v>
      </c>
      <c r="BK19" t="n">
        <v>83271.7613597751</v>
      </c>
      <c r="BL19" t="n">
        <v>23863.8215538767</v>
      </c>
      <c r="BM19" t="n">
        <v>17933.4167947794</v>
      </c>
      <c r="BN19" t="n">
        <v>40795.0907243745</v>
      </c>
      <c r="BO19" t="n">
        <v>177453.650432806</v>
      </c>
      <c r="BP19" t="n">
        <v>186335.702146915</v>
      </c>
      <c r="BQ19" t="n">
        <v>878536.937811887</v>
      </c>
      <c r="BR19" t="n">
        <v>732375.707827881</v>
      </c>
      <c r="BS19" t="n">
        <v>755204.970936998</v>
      </c>
      <c r="BT19" t="n">
        <v>117.567329643683</v>
      </c>
      <c r="BU19" t="n">
        <v>1.1995713705795</v>
      </c>
      <c r="BV19" t="n">
        <v>1.00347611691801</v>
      </c>
      <c r="BW19" t="n">
        <v>107.296025065134</v>
      </c>
      <c r="BX19" t="n">
        <v>83434.2052042003</v>
      </c>
      <c r="BY19" t="n">
        <v>1.25837244034063</v>
      </c>
      <c r="BZ19" t="n">
        <v>104991.304410691</v>
      </c>
      <c r="CA19" t="n">
        <v>10343.9841095696</v>
      </c>
      <c r="CB19" t="n">
        <v>15323.7404189585</v>
      </c>
      <c r="CC19" t="n">
        <v>16170.6692485107</v>
      </c>
      <c r="CD19" t="n">
        <v>846.928829552193</v>
      </c>
      <c r="CE19" t="n">
        <v>0.0523743787735628</v>
      </c>
      <c r="CF19" t="n">
        <v>11412421.1628561</v>
      </c>
      <c r="CG19" t="n">
        <v>421682.653180985</v>
      </c>
      <c r="CH19" t="n">
        <v>552722.784259743</v>
      </c>
      <c r="CI19" t="n">
        <v>312917.344671068</v>
      </c>
      <c r="CJ19" t="n">
        <v>16147.6464205963</v>
      </c>
      <c r="CK19" t="n">
        <v>804531.852660291</v>
      </c>
      <c r="CL19" t="n">
        <v>0.0558001997867899</v>
      </c>
      <c r="CM19" t="n">
        <v>17.9210827886093</v>
      </c>
      <c r="CN19" t="n">
        <v>1167803.22271945</v>
      </c>
      <c r="CO19" t="n">
        <v>2960948.90178617</v>
      </c>
      <c r="CP19" t="n">
        <v>3265405.41208567</v>
      </c>
      <c r="CQ19" t="n">
        <v>4128752.12450562</v>
      </c>
      <c r="CR19" t="n">
        <v>9450470.04773423</v>
      </c>
      <c r="CS19" t="n">
        <v>-0.000950230253087714</v>
      </c>
      <c r="CT19" t="n">
        <v>-0.000207837040377239</v>
      </c>
      <c r="CU19" t="n">
        <v>0.0581960956882104</v>
      </c>
      <c r="CV19" t="n">
        <v>1.55218551126637</v>
      </c>
      <c r="CW19" t="n">
        <v>0.0581960956882106</v>
      </c>
      <c r="CX19" t="n">
        <v>0.039440022763365</v>
      </c>
      <c r="CY19" t="n">
        <v>0.018050022763365</v>
      </c>
      <c r="CZ19" t="n">
        <v>-0.0182578598037422</v>
      </c>
      <c r="DA19" t="n">
        <v>0.6586439549397</v>
      </c>
      <c r="DB19" t="n">
        <v>6.14247939855393</v>
      </c>
      <c r="DC19" t="n">
        <v>0.0566893813970152</v>
      </c>
      <c r="DD19" t="n">
        <v>0.0387800111838156</v>
      </c>
      <c r="DE19" t="n">
        <v>0.00692640193254547</v>
      </c>
      <c r="DF19" t="n">
        <v>0.115035171539612</v>
      </c>
      <c r="DG19" t="n">
        <v>216254.370169228</v>
      </c>
      <c r="DH19" t="n">
        <v>122.254663647708</v>
      </c>
      <c r="DI19" t="n">
        <v>4.84053391497566</v>
      </c>
      <c r="DJ19" t="n">
        <v>4.20079027607486</v>
      </c>
      <c r="DK19" t="n">
        <v>0.0411256875275234</v>
      </c>
      <c r="DL19" t="n">
        <v>0.670223574218165</v>
      </c>
      <c r="DM19" t="n">
        <v>1.23020119469029</v>
      </c>
      <c r="DN19" t="n">
        <v>0.0357615042376472</v>
      </c>
      <c r="DO19" t="n">
        <v>0.0465455822795444</v>
      </c>
      <c r="DP19" t="n">
        <v>29032.2</v>
      </c>
      <c r="DQ19" t="n">
        <v>24258.424902408</v>
      </c>
      <c r="DR19" t="n">
        <v>172731.646784469</v>
      </c>
      <c r="DS19" t="n">
        <v>30496.9812540166</v>
      </c>
      <c r="DT19" t="n">
        <v>13025.7421307428</v>
      </c>
      <c r="DU19" t="n">
        <v>0</v>
      </c>
      <c r="DV19" t="n">
        <v>56.25</v>
      </c>
      <c r="DW19" t="n">
        <v>208288.96</v>
      </c>
      <c r="DX19" t="n">
        <v>2.21262488799071</v>
      </c>
      <c r="DY19" t="n">
        <v>74.0723217538103</v>
      </c>
      <c r="DZ19" t="n">
        <v>1.08380022237149</v>
      </c>
      <c r="EA19" t="n">
        <v>1.20480826540984</v>
      </c>
      <c r="EB19" t="n">
        <v>161137861.258508</v>
      </c>
      <c r="EC19" t="n">
        <v>3.15218008665484</v>
      </c>
      <c r="ED19" t="n">
        <v>0.0435</v>
      </c>
      <c r="EE19" t="n">
        <v>0.0304926484848485</v>
      </c>
      <c r="EF19" t="n">
        <v>0.03050813492075</v>
      </c>
      <c r="EG19" t="n">
        <v>0.0441803333333333</v>
      </c>
      <c r="EH19" t="n">
        <v>734933.666400781</v>
      </c>
      <c r="EI19" t="n">
        <v>392306.128328108</v>
      </c>
      <c r="EJ19" t="n">
        <v>968.827852246203</v>
      </c>
      <c r="EK19" t="n">
        <v>1.20933550880651</v>
      </c>
      <c r="EL19" t="n">
        <v>3.99101204001029</v>
      </c>
    </row>
    <row r="20">
      <c r="A20" s="2" t="n">
        <v>47362</v>
      </c>
      <c r="B20" t="n">
        <v>394499.946717204</v>
      </c>
      <c r="C20" t="n">
        <v>35671.919738828</v>
      </c>
      <c r="D20" t="n">
        <v>21827.5457615274</v>
      </c>
      <c r="E20" t="n">
        <v>231626.946523474</v>
      </c>
      <c r="F20" t="n">
        <v>50148.3899028379</v>
      </c>
      <c r="G20" t="n">
        <v>12283.5443235232</v>
      </c>
      <c r="H20" t="n">
        <v>58937.1949199984</v>
      </c>
      <c r="I20" t="n">
        <v>69866.5600452681</v>
      </c>
      <c r="J20" t="n">
        <v>98242.3805130307</v>
      </c>
      <c r="K20" t="n">
        <v>399.716409835782</v>
      </c>
      <c r="L20" t="n">
        <v>4999.7542721574</v>
      </c>
      <c r="M20" t="n">
        <v>0.666291403995035</v>
      </c>
      <c r="N20" t="n">
        <v>30194.8033159306</v>
      </c>
      <c r="O20" t="n">
        <v>162.344023630184</v>
      </c>
      <c r="P20" t="n">
        <v>1.72248778526062</v>
      </c>
      <c r="Q20" t="n">
        <v>1.31328182281563</v>
      </c>
      <c r="R20" t="n">
        <v>0.939611197175206</v>
      </c>
      <c r="S20" t="n">
        <v>0.0978351051352578</v>
      </c>
      <c r="T20" t="n">
        <v>9058.59914795786</v>
      </c>
      <c r="U20" t="n">
        <v>0.457406630556416</v>
      </c>
      <c r="V20" t="n">
        <v>0.65334644802569</v>
      </c>
      <c r="W20" t="n">
        <v>23822877.8583745</v>
      </c>
      <c r="X20" t="n">
        <v>71821.0769943441</v>
      </c>
      <c r="Y20" t="n">
        <v>4294611.12038655</v>
      </c>
      <c r="Z20" t="n">
        <v>1003.71631950365</v>
      </c>
      <c r="AA20" t="n">
        <v>1.10426097190062</v>
      </c>
      <c r="AB20" t="n">
        <v>1.03698755856254</v>
      </c>
      <c r="AC20" t="n">
        <v>1.25691459755498</v>
      </c>
      <c r="AD20" t="n">
        <v>1.28018720834827</v>
      </c>
      <c r="AE20" t="n">
        <v>122.671541785675</v>
      </c>
      <c r="AF20" t="n">
        <v>91580.4899035718</v>
      </c>
      <c r="AG20" t="n">
        <v>1259.64869565987</v>
      </c>
      <c r="AH20" t="n">
        <v>115.995560423517</v>
      </c>
      <c r="AI20" t="n">
        <v>78899.396193908</v>
      </c>
      <c r="AJ20" t="n">
        <v>91009.37101212</v>
      </c>
      <c r="AK20" t="n">
        <v>512.788618342397</v>
      </c>
      <c r="AL20" t="n">
        <v>25228.6964921409</v>
      </c>
      <c r="AM20" t="n">
        <v>18819.0044039655</v>
      </c>
      <c r="AN20" t="n">
        <v>0.85411836230082</v>
      </c>
      <c r="AO20" t="n">
        <v>0.956070843287974</v>
      </c>
      <c r="AP20" t="n">
        <v>1.1592200499186</v>
      </c>
      <c r="AQ20" t="n">
        <v>1.18324169037719</v>
      </c>
      <c r="AR20" t="n">
        <v>33645.4734661299</v>
      </c>
      <c r="AS20" t="n">
        <v>201213.221845813</v>
      </c>
      <c r="AT20" t="n">
        <v>0.0380505979918193</v>
      </c>
      <c r="AU20" t="n">
        <v>0.0394893833854741</v>
      </c>
      <c r="AV20" t="n">
        <v>0.327062191083994</v>
      </c>
      <c r="AW20" t="n">
        <v>784.620598103036</v>
      </c>
      <c r="AX20" t="n">
        <v>10557.5559833963</v>
      </c>
      <c r="AY20" t="n">
        <v>18460.9119198758</v>
      </c>
      <c r="AZ20" t="n">
        <v>177212.770303002</v>
      </c>
      <c r="BA20" t="n">
        <v>466788.784300077</v>
      </c>
      <c r="BB20" t="n">
        <v>217755.980542398</v>
      </c>
      <c r="BC20" t="n">
        <v>238178.315542072</v>
      </c>
      <c r="BD20" t="n">
        <v>94711.2566874</v>
      </c>
      <c r="BE20" t="n">
        <v>20.2116551323444</v>
      </c>
      <c r="BF20" t="n">
        <v>45666.7353468738</v>
      </c>
      <c r="BG20" t="n">
        <v>18185.2612236053</v>
      </c>
      <c r="BH20" t="n">
        <v>24103.3068968295</v>
      </c>
      <c r="BI20" t="n">
        <v>81817.6914665228</v>
      </c>
      <c r="BJ20" t="n">
        <v>44918.0284401465</v>
      </c>
      <c r="BK20" t="n">
        <v>83910.6211523238</v>
      </c>
      <c r="BL20" t="n">
        <v>24244.3800569733</v>
      </c>
      <c r="BM20" t="n">
        <v>17992.3014103394</v>
      </c>
      <c r="BN20" t="n">
        <v>41273.4210419918</v>
      </c>
      <c r="BO20" t="n">
        <v>179010.283661628</v>
      </c>
      <c r="BP20" t="n">
        <v>189062.196266024</v>
      </c>
      <c r="BQ20" t="n">
        <v>889183.875612056</v>
      </c>
      <c r="BR20" t="n">
        <v>734868.415549606</v>
      </c>
      <c r="BS20" t="n">
        <v>759298.842114352</v>
      </c>
      <c r="BT20" t="n">
        <v>118.490110804677</v>
      </c>
      <c r="BU20" t="n">
        <v>1.20999059217413</v>
      </c>
      <c r="BV20" t="n">
        <v>1.01014324958384</v>
      </c>
      <c r="BW20" t="n">
        <v>107.506514675503</v>
      </c>
      <c r="BX20" t="n">
        <v>83936.7158350193</v>
      </c>
      <c r="BY20" t="n">
        <v>1.28001571800563</v>
      </c>
      <c r="BZ20" t="n">
        <v>107440.315586597</v>
      </c>
      <c r="CA20" t="n">
        <v>10356.1864206741</v>
      </c>
      <c r="CB20" t="n">
        <v>15355.9406928315</v>
      </c>
      <c r="CC20" t="n">
        <v>16217.7925665288</v>
      </c>
      <c r="CD20" t="n">
        <v>861.851873697318</v>
      </c>
      <c r="CE20" t="n">
        <v>0.0531423618887184</v>
      </c>
      <c r="CF20" t="n">
        <v>11446433.7330752</v>
      </c>
      <c r="CG20" t="n">
        <v>426012.516300012</v>
      </c>
      <c r="CH20" t="n">
        <v>563012.667404791</v>
      </c>
      <c r="CI20" t="n">
        <v>317249.475271942</v>
      </c>
      <c r="CJ20" t="n">
        <v>16448.2625693552</v>
      </c>
      <c r="CK20" t="n">
        <v>814281.927158995</v>
      </c>
      <c r="CL20" t="n">
        <v>0.0566079379346417</v>
      </c>
      <c r="CM20" t="n">
        <v>17.6653670224586</v>
      </c>
      <c r="CN20" t="n">
        <v>1170823.82236242</v>
      </c>
      <c r="CO20" t="n">
        <v>2990307.51283458</v>
      </c>
      <c r="CP20" t="n">
        <v>3274888.16102955</v>
      </c>
      <c r="CQ20" t="n">
        <v>4161131.335197</v>
      </c>
      <c r="CR20" t="n">
        <v>9492332.00736949</v>
      </c>
      <c r="CS20" t="n">
        <v>-0.0023079035177487</v>
      </c>
      <c r="CT20" t="n">
        <v>-0.000869118124093862</v>
      </c>
      <c r="CU20" t="n">
        <v>0.0574766036256898</v>
      </c>
      <c r="CV20" t="n">
        <v>1.56784395248424</v>
      </c>
      <c r="CW20" t="n">
        <v>0.0574766036256902</v>
      </c>
      <c r="CX20" t="n">
        <v>0.039440022763365</v>
      </c>
      <c r="CY20" t="n">
        <v>0.0181450537893905</v>
      </c>
      <c r="CZ20" t="n">
        <v>-0.0190141719134843</v>
      </c>
      <c r="DA20" t="n">
        <v>0.652028567098564</v>
      </c>
      <c r="DB20" t="n">
        <v>6.18265025751791</v>
      </c>
      <c r="DC20" t="n">
        <v>0.0557800892418193</v>
      </c>
      <c r="DD20" t="n">
        <v>0.0381558671810545</v>
      </c>
      <c r="DE20" t="n">
        <v>0.00691078703465905</v>
      </c>
      <c r="DF20" t="n">
        <v>0.115449355711887</v>
      </c>
      <c r="DG20" t="n">
        <v>216898.875559068</v>
      </c>
      <c r="DH20" t="n">
        <v>123.091030248375</v>
      </c>
      <c r="DI20" t="n">
        <v>4.84750900769732</v>
      </c>
      <c r="DJ20" t="n">
        <v>4.20484416496592</v>
      </c>
      <c r="DK20" t="n">
        <v>0.0411256875275234</v>
      </c>
      <c r="DL20" t="n">
        <v>0.670223574218165</v>
      </c>
      <c r="DM20" t="n">
        <v>1.24280345145228</v>
      </c>
      <c r="DN20" t="n">
        <v>0.0357615042376472</v>
      </c>
      <c r="DO20" t="n">
        <v>0.0465455822795444</v>
      </c>
      <c r="DP20" t="n">
        <v>29118.725</v>
      </c>
      <c r="DQ20" t="n">
        <v>24340.3899094122</v>
      </c>
      <c r="DR20" t="n">
        <v>173246.440900589</v>
      </c>
      <c r="DS20" t="n">
        <v>30587.8717584566</v>
      </c>
      <c r="DT20" t="n">
        <v>13064.5629000218</v>
      </c>
      <c r="DU20" t="n">
        <v>0</v>
      </c>
      <c r="DV20" t="n">
        <v>56.25</v>
      </c>
      <c r="DW20" t="n">
        <v>208288.96</v>
      </c>
      <c r="DX20" t="n">
        <v>2.22417257884541</v>
      </c>
      <c r="DY20" t="n">
        <v>73.9911163642239</v>
      </c>
      <c r="DZ20" t="n">
        <v>1.07539572121753</v>
      </c>
      <c r="EA20" t="n">
        <v>1.2046538047888</v>
      </c>
      <c r="EB20" t="n">
        <v>162594418.466384</v>
      </c>
      <c r="EC20" t="n">
        <v>3.1531516324896</v>
      </c>
      <c r="ED20" t="n">
        <v>0.0435</v>
      </c>
      <c r="EE20" t="n">
        <v>0.0304926484848485</v>
      </c>
      <c r="EF20" t="n">
        <v>0.03050813492075</v>
      </c>
      <c r="EG20" t="n">
        <v>0.0441803333333333</v>
      </c>
      <c r="EH20" t="n">
        <v>737249.554218296</v>
      </c>
      <c r="EI20" t="n">
        <v>394652.236998217</v>
      </c>
      <c r="EJ20" t="n">
        <v>985.126829533387</v>
      </c>
      <c r="EK20" t="n">
        <v>1.31329122807891</v>
      </c>
      <c r="EL20" t="n">
        <v>4.0358501509568</v>
      </c>
    </row>
    <row r="21">
      <c r="A21" s="2" t="n">
        <v>47453</v>
      </c>
      <c r="B21" t="n">
        <v>397007.649615734</v>
      </c>
      <c r="C21" t="n">
        <v>35813.0816486236</v>
      </c>
      <c r="D21" t="n">
        <v>21990.8697692624</v>
      </c>
      <c r="E21" t="n">
        <v>232424.079942378</v>
      </c>
      <c r="F21" t="n">
        <v>50855.4576632681</v>
      </c>
      <c r="G21" t="n">
        <v>12355.7035279413</v>
      </c>
      <c r="H21" t="n">
        <v>59701.9042998598</v>
      </c>
      <c r="I21" t="n">
        <v>69907.2569473755</v>
      </c>
      <c r="J21" t="n">
        <v>98414.4374252926</v>
      </c>
      <c r="K21" t="n">
        <v>399.179538310102</v>
      </c>
      <c r="L21" t="n">
        <v>5020.30414425029</v>
      </c>
      <c r="M21" t="n">
        <v>0.666038352304754</v>
      </c>
      <c r="N21" t="n">
        <v>30445.1718185761</v>
      </c>
      <c r="O21" t="n">
        <v>163.992614415639</v>
      </c>
      <c r="P21" t="n">
        <v>1.75217336185795</v>
      </c>
      <c r="Q21" t="n">
        <v>1.32950959076378</v>
      </c>
      <c r="R21" t="n">
        <v>0.944024225079315</v>
      </c>
      <c r="S21" t="n">
        <v>0.0976908337121004</v>
      </c>
      <c r="T21" t="n">
        <v>8941.68480499156</v>
      </c>
      <c r="U21" t="n">
        <v>0.455115326212922</v>
      </c>
      <c r="V21" t="n">
        <v>0.647168630172173</v>
      </c>
      <c r="W21" t="n">
        <v>24215824.5793548</v>
      </c>
      <c r="X21" t="n">
        <v>72819.9088679905</v>
      </c>
      <c r="Y21" t="n">
        <v>4294806.02268564</v>
      </c>
      <c r="Z21" t="n">
        <v>1019.61945398057</v>
      </c>
      <c r="AA21" t="n">
        <v>1.10949815288784</v>
      </c>
      <c r="AB21" t="n">
        <v>1.04016545602383</v>
      </c>
      <c r="AC21" t="n">
        <v>1.268983983309</v>
      </c>
      <c r="AD21" t="n">
        <v>1.29316394561737</v>
      </c>
      <c r="AE21" t="n">
        <v>123.69396663556</v>
      </c>
      <c r="AF21" t="n">
        <v>91970.4342704222</v>
      </c>
      <c r="AG21" t="n">
        <v>1286.35795251667</v>
      </c>
      <c r="AH21" t="n">
        <v>118.03735043582</v>
      </c>
      <c r="AI21" t="n">
        <v>79673.2126928831</v>
      </c>
      <c r="AJ21" t="n">
        <v>92197.3663367266</v>
      </c>
      <c r="AK21" t="n">
        <v>514.852637215921</v>
      </c>
      <c r="AL21" t="n">
        <v>25466.635304203</v>
      </c>
      <c r="AM21" t="n">
        <v>18766.1863358148</v>
      </c>
      <c r="AN21" t="n">
        <v>0.85791043835328</v>
      </c>
      <c r="AO21" t="n">
        <v>0.962003547407624</v>
      </c>
      <c r="AP21" t="n">
        <v>1.1660212380671</v>
      </c>
      <c r="AQ21" t="n">
        <v>1.19293176207983</v>
      </c>
      <c r="AR21" t="n">
        <v>33760.267612047</v>
      </c>
      <c r="AS21" t="n">
        <v>203267.736144959</v>
      </c>
      <c r="AT21" t="n">
        <v>0.0372262855693882</v>
      </c>
      <c r="AU21" t="n">
        <v>0.039241954473648</v>
      </c>
      <c r="AV21" t="n">
        <v>0.335476821770691</v>
      </c>
      <c r="AW21" t="n">
        <v>797.133418903511</v>
      </c>
      <c r="AX21" t="n">
        <v>10599.3346366424</v>
      </c>
      <c r="AY21" t="n">
        <v>18524.4143459552</v>
      </c>
      <c r="AZ21" t="n">
        <v>177510.30571911</v>
      </c>
      <c r="BA21" t="n">
        <v>473603.035519639</v>
      </c>
      <c r="BB21" t="n">
        <v>220500.224156196</v>
      </c>
      <c r="BC21" t="n">
        <v>240350.135065694</v>
      </c>
      <c r="BD21" t="n">
        <v>95598.021827143</v>
      </c>
      <c r="BE21" t="n">
        <v>20.3040697641556</v>
      </c>
      <c r="BF21" t="n">
        <v>46312.1859694512</v>
      </c>
      <c r="BG21" t="n">
        <v>18571.8718037431</v>
      </c>
      <c r="BH21" t="n">
        <v>24398.8293893938</v>
      </c>
      <c r="BI21" t="n">
        <v>82873.3228121094</v>
      </c>
      <c r="BJ21" t="n">
        <v>45199.8859195022</v>
      </c>
      <c r="BK21" t="n">
        <v>84430.7731518242</v>
      </c>
      <c r="BL21" t="n">
        <v>24628.3865362297</v>
      </c>
      <c r="BM21" t="n">
        <v>18053.1378263663</v>
      </c>
      <c r="BN21" t="n">
        <v>41759.4141561212</v>
      </c>
      <c r="BO21" t="n">
        <v>180461.271670541</v>
      </c>
      <c r="BP21" t="n">
        <v>191889.667097871</v>
      </c>
      <c r="BQ21" t="n">
        <v>900030.960142704</v>
      </c>
      <c r="BR21" t="n">
        <v>737396.239040768</v>
      </c>
      <c r="BS21" t="n">
        <v>763583.643369631</v>
      </c>
      <c r="BT21" t="n">
        <v>119.426421108754</v>
      </c>
      <c r="BU21" t="n">
        <v>1.22055267694884</v>
      </c>
      <c r="BV21" t="n">
        <v>1.01662419508252</v>
      </c>
      <c r="BW21" t="n">
        <v>107.69047743421</v>
      </c>
      <c r="BX21" t="n">
        <v>84470.2731836175</v>
      </c>
      <c r="BY21" t="n">
        <v>1.30254695367597</v>
      </c>
      <c r="BZ21" t="n">
        <v>110026.497011498</v>
      </c>
      <c r="CA21" t="n">
        <v>10370.58547086</v>
      </c>
      <c r="CB21" t="n">
        <v>15390.8896151102</v>
      </c>
      <c r="CC21" t="n">
        <v>16266.2632932788</v>
      </c>
      <c r="CD21" t="n">
        <v>875.373678168524</v>
      </c>
      <c r="CE21" t="n">
        <v>0.0538152855276456</v>
      </c>
      <c r="CF21" t="n">
        <v>11480446.3032944</v>
      </c>
      <c r="CG21" t="n">
        <v>430522.526751479</v>
      </c>
      <c r="CH21" t="n">
        <v>569092.55899314</v>
      </c>
      <c r="CI21" t="n">
        <v>321576.939988591</v>
      </c>
      <c r="CJ21" t="n">
        <v>16625.8849551878</v>
      </c>
      <c r="CK21" t="n">
        <v>824215.28868064</v>
      </c>
      <c r="CL21" t="n">
        <v>0.0575789293007188</v>
      </c>
      <c r="CM21" t="n">
        <v>17.3674643162827</v>
      </c>
      <c r="CN21" t="n">
        <v>1173966.99448524</v>
      </c>
      <c r="CO21" t="n">
        <v>3019938.74756788</v>
      </c>
      <c r="CP21" t="n">
        <v>3284435.99499648</v>
      </c>
      <c r="CQ21" t="n">
        <v>4193905.74205312</v>
      </c>
      <c r="CR21" t="n">
        <v>9534654.24819255</v>
      </c>
      <c r="CS21" t="n">
        <v>-0.00348897707311135</v>
      </c>
      <c r="CT21" t="n">
        <v>-0.00147330816885155</v>
      </c>
      <c r="CU21" t="n">
        <v>0.0569755710696008</v>
      </c>
      <c r="CV21" t="n">
        <v>1.58376528445138</v>
      </c>
      <c r="CW21" t="n">
        <v>0.056975571069601</v>
      </c>
      <c r="CX21" t="n">
        <v>0.039440022763365</v>
      </c>
      <c r="CY21" t="n">
        <v>0.0182400641286471</v>
      </c>
      <c r="CZ21" t="n">
        <v>-0.0197133722974987</v>
      </c>
      <c r="DA21" t="n">
        <v>0.645635062881314</v>
      </c>
      <c r="DB21" t="n">
        <v>6.21747179050603</v>
      </c>
      <c r="DC21" t="n">
        <v>0.0549557768193882</v>
      </c>
      <c r="DD21" t="n">
        <v>0.0375883960879013</v>
      </c>
      <c r="DE21" t="n">
        <v>0.00689264695896402</v>
      </c>
      <c r="DF21" t="n">
        <v>0.11599733797743</v>
      </c>
      <c r="DG21" t="n">
        <v>217543.380948907</v>
      </c>
      <c r="DH21" t="n">
        <v>123.967713622736</v>
      </c>
      <c r="DI21" t="n">
        <v>4.85476320425364</v>
      </c>
      <c r="DJ21" t="n">
        <v>4.20917715769164</v>
      </c>
      <c r="DK21" t="n">
        <v>0.0411256875275234</v>
      </c>
      <c r="DL21" t="n">
        <v>0.670223574218165</v>
      </c>
      <c r="DM21" t="n">
        <v>1.25553480650826</v>
      </c>
      <c r="DN21" t="n">
        <v>0.0357615042376472</v>
      </c>
      <c r="DO21" t="n">
        <v>0.0465455822795444</v>
      </c>
      <c r="DP21" t="n">
        <v>29205.25</v>
      </c>
      <c r="DQ21" t="n">
        <v>24422.4123685837</v>
      </c>
      <c r="DR21" t="n">
        <v>173761.23501671</v>
      </c>
      <c r="DS21" t="n">
        <v>30678.7622628966</v>
      </c>
      <c r="DT21" t="n">
        <v>13103.3836693008</v>
      </c>
      <c r="DU21" t="n">
        <v>0</v>
      </c>
      <c r="DV21" t="n">
        <v>56.25</v>
      </c>
      <c r="DW21" t="n">
        <v>208288.96</v>
      </c>
      <c r="DX21" t="n">
        <v>2.23578053710685</v>
      </c>
      <c r="DY21" t="n">
        <v>73.91</v>
      </c>
      <c r="DZ21" t="n">
        <v>1.06705639410413</v>
      </c>
      <c r="EA21" t="n">
        <v>1.20449936397015</v>
      </c>
      <c r="EB21" t="n">
        <v>164064141.784839</v>
      </c>
      <c r="EC21" t="n">
        <v>3.15412347776834</v>
      </c>
      <c r="ED21" t="n">
        <v>0.0435</v>
      </c>
      <c r="EE21" t="n">
        <v>0.0304926484848485</v>
      </c>
      <c r="EF21" t="n">
        <v>0.03050813492075</v>
      </c>
      <c r="EG21" t="n">
        <v>0.0441803333333333</v>
      </c>
      <c r="EH21" t="n">
        <v>739554.721686049</v>
      </c>
      <c r="EI21" t="n">
        <v>397027.350265193</v>
      </c>
      <c r="EJ21" t="n">
        <v>1001.76194718848</v>
      </c>
      <c r="EK21" t="n">
        <v>1.3264108870271</v>
      </c>
      <c r="EL21" t="n">
        <v>4.07152626424996</v>
      </c>
    </row>
    <row r="22">
      <c r="A22" s="2" t="n">
        <v>47543</v>
      </c>
      <c r="B22" t="n">
        <v>399640.389362996</v>
      </c>
      <c r="C22" t="n">
        <v>35949.8041896375</v>
      </c>
      <c r="D22" t="n">
        <v>22157.0773518067</v>
      </c>
      <c r="E22" t="n">
        <v>233222.281831216</v>
      </c>
      <c r="F22" t="n">
        <v>51617.3859187116</v>
      </c>
      <c r="G22" t="n">
        <v>12434.5987535773</v>
      </c>
      <c r="H22" t="n">
        <v>60488.3277019033</v>
      </c>
      <c r="I22" t="n">
        <v>70254.8396036214</v>
      </c>
      <c r="J22" t="n">
        <v>98612.9611370775</v>
      </c>
      <c r="K22" t="n">
        <v>398.684949808303</v>
      </c>
      <c r="L22" t="n">
        <v>5041.46890934498</v>
      </c>
      <c r="M22" t="n">
        <v>0.665807546604921</v>
      </c>
      <c r="N22" t="n">
        <v>30695.6289155004</v>
      </c>
      <c r="O22" t="n">
        <v>165.671211131185</v>
      </c>
      <c r="P22" t="n">
        <v>1.78251509744814</v>
      </c>
      <c r="Q22" t="n">
        <v>1.34549935882035</v>
      </c>
      <c r="R22" t="n">
        <v>0.94842850904063</v>
      </c>
      <c r="S22" t="n">
        <v>0.0976978092622922</v>
      </c>
      <c r="T22" t="n">
        <v>8835.13281499759</v>
      </c>
      <c r="U22" t="n">
        <v>0.453022949758002</v>
      </c>
      <c r="V22" t="n">
        <v>0.641305497067919</v>
      </c>
      <c r="W22" t="n">
        <v>24608860.033053</v>
      </c>
      <c r="X22" t="n">
        <v>73847.7539382077</v>
      </c>
      <c r="Y22" t="n">
        <v>4296456.30038377</v>
      </c>
      <c r="Z22" t="n">
        <v>1035.09581411118</v>
      </c>
      <c r="AA22" t="n">
        <v>1.11480625413498</v>
      </c>
      <c r="AB22" t="n">
        <v>1.04347747132119</v>
      </c>
      <c r="AC22" t="n">
        <v>1.28100035223173</v>
      </c>
      <c r="AD22" t="n">
        <v>1.3063355078191</v>
      </c>
      <c r="AE22" t="n">
        <v>124.721427162522</v>
      </c>
      <c r="AF22" t="n">
        <v>92461.2201284071</v>
      </c>
      <c r="AG22" t="n">
        <v>1313.30049501131</v>
      </c>
      <c r="AH22" t="n">
        <v>120.161981791925</v>
      </c>
      <c r="AI22" t="n">
        <v>80458.2705385181</v>
      </c>
      <c r="AJ22" t="n">
        <v>93441.6988867782</v>
      </c>
      <c r="AK22" t="n">
        <v>516.86935563383</v>
      </c>
      <c r="AL22" t="n">
        <v>25717.00732629</v>
      </c>
      <c r="AM22" t="n">
        <v>18716.3854531047</v>
      </c>
      <c r="AN22" t="n">
        <v>0.861909066331416</v>
      </c>
      <c r="AO22" t="n">
        <v>0.967866391838913</v>
      </c>
      <c r="AP22" t="n">
        <v>1.17293359801364</v>
      </c>
      <c r="AQ22" t="n">
        <v>1.20285310092193</v>
      </c>
      <c r="AR22" t="n">
        <v>33883.8324898349</v>
      </c>
      <c r="AS22" t="n">
        <v>205375.68136011</v>
      </c>
      <c r="AT22" t="n">
        <v>0.0366280631554444</v>
      </c>
      <c r="AU22" t="n">
        <v>0.0389756692177546</v>
      </c>
      <c r="AV22" t="n">
        <v>0.34174080093666</v>
      </c>
      <c r="AW22" t="n">
        <v>798.201888838346</v>
      </c>
      <c r="AX22" t="n">
        <v>10639.7994025287</v>
      </c>
      <c r="AY22" t="n">
        <v>18590.6685631423</v>
      </c>
      <c r="AZ22" t="n">
        <v>177848.847643159</v>
      </c>
      <c r="BA22" t="n">
        <v>480708.682117337</v>
      </c>
      <c r="BB22" t="n">
        <v>223247.654704703</v>
      </c>
      <c r="BC22" t="n">
        <v>242718.539828889</v>
      </c>
      <c r="BD22" t="n">
        <v>96604.9881976817</v>
      </c>
      <c r="BE22" t="n">
        <v>20.4090112218301</v>
      </c>
      <c r="BF22" t="n">
        <v>46962.5057120675</v>
      </c>
      <c r="BG22" t="n">
        <v>18965.603068827</v>
      </c>
      <c r="BH22" t="n">
        <v>24700.8484051467</v>
      </c>
      <c r="BI22" t="n">
        <v>83956.3918602527</v>
      </c>
      <c r="BJ22" t="n">
        <v>45476.8305380416</v>
      </c>
      <c r="BK22" t="n">
        <v>84995.4052618347</v>
      </c>
      <c r="BL22" t="n">
        <v>25013.7326317496</v>
      </c>
      <c r="BM22" t="n">
        <v>18114.9604567628</v>
      </c>
      <c r="BN22" t="n">
        <v>42260.3994586802</v>
      </c>
      <c r="BO22" t="n">
        <v>181974.057809027</v>
      </c>
      <c r="BP22" t="n">
        <v>194784.151265572</v>
      </c>
      <c r="BQ22" t="n">
        <v>911208.42294983</v>
      </c>
      <c r="BR22" t="n">
        <v>740033.602317422</v>
      </c>
      <c r="BS22" t="n">
        <v>767990.409130249</v>
      </c>
      <c r="BT22" t="n">
        <v>120.376875056395</v>
      </c>
      <c r="BU22" t="n">
        <v>1.23130681229015</v>
      </c>
      <c r="BV22" t="n">
        <v>1.0231950345506</v>
      </c>
      <c r="BW22" t="n">
        <v>107.883200979018</v>
      </c>
      <c r="BX22" t="n">
        <v>85030.4342935807</v>
      </c>
      <c r="BY22" t="n">
        <v>1.32599234693802</v>
      </c>
      <c r="BZ22" t="n">
        <v>112749.705130104</v>
      </c>
      <c r="CA22" t="n">
        <v>10387.4405349998</v>
      </c>
      <c r="CB22" t="n">
        <v>15428.9094443448</v>
      </c>
      <c r="CC22" t="n">
        <v>16315.2758856946</v>
      </c>
      <c r="CD22" t="n">
        <v>886.366441349728</v>
      </c>
      <c r="CE22" t="n">
        <v>0.0543273905354968</v>
      </c>
      <c r="CF22" t="n">
        <v>11514458.8735135</v>
      </c>
      <c r="CG22" t="n">
        <v>435136.479566976</v>
      </c>
      <c r="CH22" t="n">
        <v>575588.848029207</v>
      </c>
      <c r="CI22" t="n">
        <v>326064.446120434</v>
      </c>
      <c r="CJ22" t="n">
        <v>16815.6722796616</v>
      </c>
      <c r="CK22" t="n">
        <v>834451.198490712</v>
      </c>
      <c r="CL22" t="n">
        <v>0.0585015943117966</v>
      </c>
      <c r="CM22" t="n">
        <v>17.0935512401643</v>
      </c>
      <c r="CN22" t="n">
        <v>1177223.33088961</v>
      </c>
      <c r="CO22" t="n">
        <v>3049855.59601471</v>
      </c>
      <c r="CP22" t="n">
        <v>3294048.82691853</v>
      </c>
      <c r="CQ22" t="n">
        <v>4227078.92690432</v>
      </c>
      <c r="CR22" t="n">
        <v>9577440.26496578</v>
      </c>
      <c r="CS22" t="n">
        <v>-0.00443568874653434</v>
      </c>
      <c r="CT22" t="n">
        <v>-0.00208808268422419</v>
      </c>
      <c r="CU22" t="n">
        <v>0.0566340573603134</v>
      </c>
      <c r="CV22" t="n">
        <v>1.59997639989795</v>
      </c>
      <c r="CW22" t="n">
        <v>0.0566340573603137</v>
      </c>
      <c r="CX22" t="n">
        <v>0.039440022763365</v>
      </c>
      <c r="CY22" t="n">
        <v>0.018335053785263</v>
      </c>
      <c r="CZ22" t="n">
        <v>-0.0204231364694872</v>
      </c>
      <c r="DA22" t="n">
        <v>0.639526515667961</v>
      </c>
      <c r="DB22" t="n">
        <v>6.24789187598533</v>
      </c>
      <c r="DC22" t="n">
        <v>0.0543575544054444</v>
      </c>
      <c r="DD22" t="n">
        <v>0.0371732906046891</v>
      </c>
      <c r="DE22" t="n">
        <v>0.00687313321893105</v>
      </c>
      <c r="DF22" t="n">
        <v>0.11655214957454</v>
      </c>
      <c r="DG22" t="n">
        <v>218187.886338746</v>
      </c>
      <c r="DH22" t="n">
        <v>124.849751567589</v>
      </c>
      <c r="DI22" t="n">
        <v>4.86201027726929</v>
      </c>
      <c r="DJ22" t="n">
        <v>4.2135030268767</v>
      </c>
      <c r="DK22" t="n">
        <v>0.0411256875275234</v>
      </c>
      <c r="DL22" t="n">
        <v>0.670223574218165</v>
      </c>
      <c r="DM22" t="n">
        <v>1.26839658234909</v>
      </c>
      <c r="DN22" t="n">
        <v>0.0357615042376472</v>
      </c>
      <c r="DO22" t="n">
        <v>0.0465455822795444</v>
      </c>
      <c r="DP22" t="n">
        <v>29291.775</v>
      </c>
      <c r="DQ22" t="n">
        <v>24504.4922799227</v>
      </c>
      <c r="DR22" t="n">
        <v>174276.02913283</v>
      </c>
      <c r="DS22" t="n">
        <v>30769.6527673366</v>
      </c>
      <c r="DT22" t="n">
        <v>13142.2044385798</v>
      </c>
      <c r="DU22" t="n">
        <v>0</v>
      </c>
      <c r="DV22" t="n">
        <v>56.25</v>
      </c>
      <c r="DW22" t="n">
        <v>208288.96</v>
      </c>
      <c r="DX22" t="n">
        <v>2.24747659101981</v>
      </c>
      <c r="DY22" t="n">
        <v>73.8549385009494</v>
      </c>
      <c r="DZ22" t="n">
        <v>1.06103140913822</v>
      </c>
      <c r="EA22" t="n">
        <v>1.20449936397015</v>
      </c>
      <c r="EB22" t="n">
        <v>165420447.064754</v>
      </c>
      <c r="EC22" t="n">
        <v>3.15533702248047</v>
      </c>
      <c r="ED22" t="n">
        <v>0.0435</v>
      </c>
      <c r="EE22" t="n">
        <v>0.0304926484848485</v>
      </c>
      <c r="EF22" t="n">
        <v>0.03050813492075</v>
      </c>
      <c r="EG22" t="n">
        <v>0.0441803333333333</v>
      </c>
      <c r="EH22" t="n">
        <v>741878.264730802</v>
      </c>
      <c r="EI22" t="n">
        <v>399453.69175763</v>
      </c>
      <c r="EJ22" t="n">
        <v>1018.56383597234</v>
      </c>
      <c r="EK22" t="n">
        <v>1.34358603915712</v>
      </c>
      <c r="EL22" t="n">
        <v>4.10637519019788</v>
      </c>
    </row>
    <row r="23">
      <c r="A23" s="2" t="n">
        <v>47635</v>
      </c>
      <c r="B23" t="n">
        <v>401964.683180162</v>
      </c>
      <c r="C23" t="n">
        <v>36079.5387027848</v>
      </c>
      <c r="D23" t="n">
        <v>22311.5993008938</v>
      </c>
      <c r="E23" t="n">
        <v>234032.479362135</v>
      </c>
      <c r="F23" t="n">
        <v>52302.9751488997</v>
      </c>
      <c r="G23" t="n">
        <v>12516.4376318015</v>
      </c>
      <c r="H23" t="n">
        <v>61255.7199701601</v>
      </c>
      <c r="I23" t="n">
        <v>70829.7711403572</v>
      </c>
      <c r="J23" t="n">
        <v>98634.7186388515</v>
      </c>
      <c r="K23" t="n">
        <v>398.171175420104</v>
      </c>
      <c r="L23" t="n">
        <v>5062.52788642114</v>
      </c>
      <c r="M23" t="n">
        <v>0.665608533774498</v>
      </c>
      <c r="N23" t="n">
        <v>30953.8946615979</v>
      </c>
      <c r="O23" t="n">
        <v>167.373570608187</v>
      </c>
      <c r="P23" t="n">
        <v>1.81352577272856</v>
      </c>
      <c r="Q23" t="n">
        <v>1.36125432753876</v>
      </c>
      <c r="R23" t="n">
        <v>0.952857234358061</v>
      </c>
      <c r="S23" t="n">
        <v>0.0976454085859445</v>
      </c>
      <c r="T23" t="n">
        <v>8721.34086715392</v>
      </c>
      <c r="U23" t="n">
        <v>0.451080650985496</v>
      </c>
      <c r="V23" t="n">
        <v>0.635681731086501</v>
      </c>
      <c r="W23" t="n">
        <v>24997643.2495256</v>
      </c>
      <c r="X23" t="n">
        <v>74897.8637626704</v>
      </c>
      <c r="Y23" t="n">
        <v>4297578.8342013</v>
      </c>
      <c r="Z23" t="n">
        <v>1050.19296391351</v>
      </c>
      <c r="AA23" t="n">
        <v>1.12021193664251</v>
      </c>
      <c r="AB23" t="n">
        <v>1.04686927780028</v>
      </c>
      <c r="AC23" t="n">
        <v>1.29314755800315</v>
      </c>
      <c r="AD23" t="n">
        <v>1.3197325433372</v>
      </c>
      <c r="AE23" t="n">
        <v>125.757515171316</v>
      </c>
      <c r="AF23" t="n">
        <v>92985.9606995107</v>
      </c>
      <c r="AG23" t="n">
        <v>1340.50262798411</v>
      </c>
      <c r="AH23" t="n">
        <v>122.364042549627</v>
      </c>
      <c r="AI23" t="n">
        <v>81228.1501542709</v>
      </c>
      <c r="AJ23" t="n">
        <v>94562.4328268759</v>
      </c>
      <c r="AK23" t="n">
        <v>518.885489664652</v>
      </c>
      <c r="AL23" t="n">
        <v>25958.6282442759</v>
      </c>
      <c r="AM23" t="n">
        <v>18655.7804949082</v>
      </c>
      <c r="AN23" t="n">
        <v>0.865563603618881</v>
      </c>
      <c r="AO23" t="n">
        <v>0.974053157724655</v>
      </c>
      <c r="AP23" t="n">
        <v>1.17992684465041</v>
      </c>
      <c r="AQ23" t="n">
        <v>1.2129670626429</v>
      </c>
      <c r="AR23" t="n">
        <v>33981.2881049783</v>
      </c>
      <c r="AS23" t="n">
        <v>207359.773849114</v>
      </c>
      <c r="AT23" t="n">
        <v>0.0358676227803518</v>
      </c>
      <c r="AU23" t="n">
        <v>0.0386821947614887</v>
      </c>
      <c r="AV23" t="n">
        <v>0.348996980142187</v>
      </c>
      <c r="AW23" t="n">
        <v>810.197530918755</v>
      </c>
      <c r="AX23" t="n">
        <v>10678.1959731523</v>
      </c>
      <c r="AY23" t="n">
        <v>18646.0157495502</v>
      </c>
      <c r="AZ23" t="n">
        <v>177962.802988288</v>
      </c>
      <c r="BA23" t="n">
        <v>487569.921546814</v>
      </c>
      <c r="BB23" t="n">
        <v>226030.32624574</v>
      </c>
      <c r="BC23" t="n">
        <v>245019.721694648</v>
      </c>
      <c r="BD23" t="n">
        <v>97946.1406789173</v>
      </c>
      <c r="BE23" t="n">
        <v>20.5487800368197</v>
      </c>
      <c r="BF23" t="n">
        <v>47615.3413746592</v>
      </c>
      <c r="BG23" t="n">
        <v>19365.1836035579</v>
      </c>
      <c r="BH23" t="n">
        <v>24993.7198624459</v>
      </c>
      <c r="BI23" t="n">
        <v>85035.2540930951</v>
      </c>
      <c r="BJ23" t="n">
        <v>45769.2579186893</v>
      </c>
      <c r="BK23" t="n">
        <v>85374.6225069787</v>
      </c>
      <c r="BL23" t="n">
        <v>25381.9696304311</v>
      </c>
      <c r="BM23" t="n">
        <v>18171.7219008833</v>
      </c>
      <c r="BN23" t="n">
        <v>42734.0235440265</v>
      </c>
      <c r="BO23" t="n">
        <v>183251.89758232</v>
      </c>
      <c r="BP23" t="n">
        <v>197584.26062698</v>
      </c>
      <c r="BQ23" t="n">
        <v>922046.641600341</v>
      </c>
      <c r="BR23" t="n">
        <v>742236.792487413</v>
      </c>
      <c r="BS23" t="n">
        <v>772063.737546997</v>
      </c>
      <c r="BT23" t="n">
        <v>121.343133116576</v>
      </c>
      <c r="BU23" t="n">
        <v>1.24225401337479</v>
      </c>
      <c r="BV23" t="n">
        <v>1.02972022526741</v>
      </c>
      <c r="BW23" t="n">
        <v>108.066579980487</v>
      </c>
      <c r="BX23" t="n">
        <v>85524.9681744391</v>
      </c>
      <c r="BY23" t="n">
        <v>1.35029217678988</v>
      </c>
      <c r="BZ23" t="n">
        <v>115483.695446148</v>
      </c>
      <c r="CA23" t="n">
        <v>10403.5612431661</v>
      </c>
      <c r="CB23" t="n">
        <v>15466.0891295873</v>
      </c>
      <c r="CC23" t="n">
        <v>16365.0705074194</v>
      </c>
      <c r="CD23" t="n">
        <v>898.98137783212</v>
      </c>
      <c r="CE23" t="n">
        <v>0.0549329319119823</v>
      </c>
      <c r="CF23" t="n">
        <v>11548471.4437326</v>
      </c>
      <c r="CG23" t="n">
        <v>439855.003643464</v>
      </c>
      <c r="CH23" t="n">
        <v>582283.338459096</v>
      </c>
      <c r="CI23" t="n">
        <v>330174.122730655</v>
      </c>
      <c r="CJ23" t="n">
        <v>17011.2500041672</v>
      </c>
      <c r="CK23" t="n">
        <v>844376.440965036</v>
      </c>
      <c r="CL23" t="n">
        <v>0.0594960680437184</v>
      </c>
      <c r="CM23" t="n">
        <v>16.8078334061536</v>
      </c>
      <c r="CN23" t="n">
        <v>1180593.90923923</v>
      </c>
      <c r="CO23" t="n">
        <v>3080064.59376404</v>
      </c>
      <c r="CP23" t="n">
        <v>3303721.6989322</v>
      </c>
      <c r="CQ23" t="n">
        <v>4260658.50300327</v>
      </c>
      <c r="CR23" t="n">
        <v>9620692.71307841</v>
      </c>
      <c r="CS23" t="n">
        <v>-0.00551370273685213</v>
      </c>
      <c r="CT23" t="n">
        <v>-0.0026991307557153</v>
      </c>
      <c r="CU23" t="n">
        <v>0.0562640830687405</v>
      </c>
      <c r="CV23" t="n">
        <v>1.61641700517117</v>
      </c>
      <c r="CW23" t="n">
        <v>0.0562640830687408</v>
      </c>
      <c r="CX23" t="n">
        <v>0.039440022763365</v>
      </c>
      <c r="CY23" t="n">
        <v>0.018430022763365</v>
      </c>
      <c r="CZ23" t="n">
        <v>-0.0211291535190803</v>
      </c>
      <c r="DA23" t="n">
        <v>0.633630098466739</v>
      </c>
      <c r="DB23" t="n">
        <v>6.27454478086006</v>
      </c>
      <c r="DC23" t="n">
        <v>0.0535971140303518</v>
      </c>
      <c r="DD23" t="n">
        <v>0.0366459310933621</v>
      </c>
      <c r="DE23" t="n">
        <v>0.00685163755593843</v>
      </c>
      <c r="DF23" t="n">
        <v>0.117128253722988</v>
      </c>
      <c r="DG23" t="n">
        <v>218832.391728586</v>
      </c>
      <c r="DH23" t="n">
        <v>125.828983004221</v>
      </c>
      <c r="DI23" t="n">
        <v>4.86998016149464</v>
      </c>
      <c r="DJ23" t="n">
        <v>4.21855170727145</v>
      </c>
      <c r="DK23" t="n">
        <v>0.0411256875275234</v>
      </c>
      <c r="DL23" t="n">
        <v>0.670223574218165</v>
      </c>
      <c r="DM23" t="n">
        <v>1.28139011501333</v>
      </c>
      <c r="DN23" t="n">
        <v>0.0357615042376472</v>
      </c>
      <c r="DO23" t="n">
        <v>0.0465455822795444</v>
      </c>
      <c r="DP23" t="n">
        <v>29378.3</v>
      </c>
      <c r="DQ23" t="n">
        <v>24586.629643429</v>
      </c>
      <c r="DR23" t="n">
        <v>174790.82324895</v>
      </c>
      <c r="DS23" t="n">
        <v>30860.5432717767</v>
      </c>
      <c r="DT23" t="n">
        <v>13181.0252078589</v>
      </c>
      <c r="DU23" t="n">
        <v>0</v>
      </c>
      <c r="DV23" t="n">
        <v>56.25</v>
      </c>
      <c r="DW23" t="n">
        <v>208288.96</v>
      </c>
      <c r="DX23" t="n">
        <v>2.25923383057906</v>
      </c>
      <c r="DY23" t="n">
        <v>73.7999180216347</v>
      </c>
      <c r="DZ23" t="n">
        <v>1.05504044340882</v>
      </c>
      <c r="EA23" t="n">
        <v>1.20449936397015</v>
      </c>
      <c r="EB23" t="n">
        <v>166787964.813112</v>
      </c>
      <c r="EC23" t="n">
        <v>3.15655103410227</v>
      </c>
      <c r="ED23" t="n">
        <v>0.0435</v>
      </c>
      <c r="EE23" t="n">
        <v>0.0304926484848485</v>
      </c>
      <c r="EF23" t="n">
        <v>0.03050813492075</v>
      </c>
      <c r="EG23" t="n">
        <v>0.0441803333333333</v>
      </c>
      <c r="EH23" t="n">
        <v>744136.436694559</v>
      </c>
      <c r="EI23" t="n">
        <v>401863.740188254</v>
      </c>
      <c r="EJ23" t="n">
        <v>1035.39336649344</v>
      </c>
      <c r="EK23" t="n">
        <v>1.34645163051339</v>
      </c>
      <c r="EL23" t="n">
        <v>4.1381325517204</v>
      </c>
    </row>
    <row r="24">
      <c r="A24" s="2" t="n">
        <v>47727</v>
      </c>
      <c r="B24" t="n">
        <v>404400.090999042</v>
      </c>
      <c r="C24" t="n">
        <v>36200.4974877072</v>
      </c>
      <c r="D24" t="n">
        <v>22465.1725193686</v>
      </c>
      <c r="E24" t="n">
        <v>234815.965238389</v>
      </c>
      <c r="F24" t="n">
        <v>53059.5581440848</v>
      </c>
      <c r="G24" t="n">
        <v>12604.3113947986</v>
      </c>
      <c r="H24" t="n">
        <v>62054.848356446</v>
      </c>
      <c r="I24" t="n">
        <v>74788.1274289592</v>
      </c>
      <c r="J24" t="n">
        <v>98878.4977084404</v>
      </c>
      <c r="K24" t="n">
        <v>397.694022332656</v>
      </c>
      <c r="L24" t="n">
        <v>5084.2508952196</v>
      </c>
      <c r="M24" t="n">
        <v>0.665410392447194</v>
      </c>
      <c r="N24" t="n">
        <v>31207.2458541218</v>
      </c>
      <c r="O24" t="n">
        <v>169.105848721641</v>
      </c>
      <c r="P24" t="n">
        <v>1.84488033337422</v>
      </c>
      <c r="Q24" t="n">
        <v>1.37681447855378</v>
      </c>
      <c r="R24" t="n">
        <v>0.957386778100926</v>
      </c>
      <c r="S24" t="n">
        <v>0.0976662170510562</v>
      </c>
      <c r="T24" t="n">
        <v>8606.68949342215</v>
      </c>
      <c r="U24" t="n">
        <v>0.44920433285217</v>
      </c>
      <c r="V24" t="n">
        <v>0.630208093239336</v>
      </c>
      <c r="W24" t="n">
        <v>25390351.4082282</v>
      </c>
      <c r="X24" t="n">
        <v>75973.9079437047</v>
      </c>
      <c r="Y24" t="n">
        <v>4299867.49720499</v>
      </c>
      <c r="Z24" t="n">
        <v>1065.47266269023</v>
      </c>
      <c r="AA24" t="n">
        <v>1.12566714658158</v>
      </c>
      <c r="AB24" t="n">
        <v>1.05038260780647</v>
      </c>
      <c r="AC24" t="n">
        <v>1.30518044413705</v>
      </c>
      <c r="AD24" t="n">
        <v>1.33339760641961</v>
      </c>
      <c r="AE24" t="n">
        <v>126.800390003016</v>
      </c>
      <c r="AF24" t="n">
        <v>93570.8526774893</v>
      </c>
      <c r="AG24" t="n">
        <v>1368.28913413543</v>
      </c>
      <c r="AH24" t="n">
        <v>124.649949002547</v>
      </c>
      <c r="AI24" t="n">
        <v>81983.1769226488</v>
      </c>
      <c r="AJ24" t="n">
        <v>95790.8123513437</v>
      </c>
      <c r="AK24" t="n">
        <v>521.076892525081</v>
      </c>
      <c r="AL24" t="n">
        <v>26209.3874260901</v>
      </c>
      <c r="AM24" t="n">
        <v>18604.5377633814</v>
      </c>
      <c r="AN24" t="n">
        <v>0.869005850673865</v>
      </c>
      <c r="AO24" t="n">
        <v>0.979999250403828</v>
      </c>
      <c r="AP24" t="n">
        <v>1.18704441082811</v>
      </c>
      <c r="AQ24" t="n">
        <v>1.22331915482581</v>
      </c>
      <c r="AR24" t="n">
        <v>34103.3512502398</v>
      </c>
      <c r="AS24" t="n">
        <v>209292.220680569</v>
      </c>
      <c r="AT24" t="n">
        <v>0.0353014520628964</v>
      </c>
      <c r="AU24" t="n">
        <v>0.0383748323752142</v>
      </c>
      <c r="AV24" t="n">
        <v>0.354384271843419</v>
      </c>
      <c r="AW24" t="n">
        <v>783.48587625401</v>
      </c>
      <c r="AX24" t="n">
        <v>10713.9952559733</v>
      </c>
      <c r="AY24" t="n">
        <v>18710.8350261384</v>
      </c>
      <c r="AZ24" t="n">
        <v>178342.2217482</v>
      </c>
      <c r="BA24" t="n">
        <v>494710.378043861</v>
      </c>
      <c r="BB24" t="n">
        <v>228820.800151111</v>
      </c>
      <c r="BC24" t="n">
        <v>247498.957998909</v>
      </c>
      <c r="BD24" t="n">
        <v>102509.823529529</v>
      </c>
      <c r="BE24" t="n">
        <v>21.0243863179422</v>
      </c>
      <c r="BF24" t="n">
        <v>48269.6567013077</v>
      </c>
      <c r="BG24" t="n">
        <v>19766.0391396099</v>
      </c>
      <c r="BH24" t="n">
        <v>25288.3066473405</v>
      </c>
      <c r="BI24" t="n">
        <v>86113.7023563794</v>
      </c>
      <c r="BJ24" t="n">
        <v>46031.3519488258</v>
      </c>
      <c r="BK24" t="n">
        <v>85925.993014477</v>
      </c>
      <c r="BL24" t="n">
        <v>25761.3485698186</v>
      </c>
      <c r="BM24" t="n">
        <v>18232.4330622235</v>
      </c>
      <c r="BN24" t="n">
        <v>43243.1823894026</v>
      </c>
      <c r="BO24" t="n">
        <v>184752.517035922</v>
      </c>
      <c r="BP24" t="n">
        <v>200373.604838958</v>
      </c>
      <c r="BQ24" t="n">
        <v>933379.147185399</v>
      </c>
      <c r="BR24" t="n">
        <v>744817.03549142</v>
      </c>
      <c r="BS24" t="n">
        <v>776197.008062233</v>
      </c>
      <c r="BT24" t="n">
        <v>122.323401995727</v>
      </c>
      <c r="BU24" t="n">
        <v>1.25316567033077</v>
      </c>
      <c r="BV24" t="n">
        <v>1.03594378955743</v>
      </c>
      <c r="BW24" t="n">
        <v>108.20535788183</v>
      </c>
      <c r="BX24" t="n">
        <v>86043.1434891301</v>
      </c>
      <c r="BY24" t="n">
        <v>1.3755172472921</v>
      </c>
      <c r="BZ24" t="n">
        <v>118353.827880527</v>
      </c>
      <c r="CA24" t="n">
        <v>10421.590464079</v>
      </c>
      <c r="CB24" t="n">
        <v>15505.8413592986</v>
      </c>
      <c r="CC24" t="n">
        <v>16415.0951506971</v>
      </c>
      <c r="CD24" t="n">
        <v>909.25379139852</v>
      </c>
      <c r="CE24" t="n">
        <v>0.0553913156168371</v>
      </c>
      <c r="CF24" t="n">
        <v>11583260.3771553</v>
      </c>
      <c r="CG24" t="n">
        <v>444594.930680372</v>
      </c>
      <c r="CH24" t="n">
        <v>592902.056082705</v>
      </c>
      <c r="CI24" t="n">
        <v>334646.12061174</v>
      </c>
      <c r="CJ24" t="n">
        <v>17321.4729631427</v>
      </c>
      <c r="CK24" t="n">
        <v>854754.333255299</v>
      </c>
      <c r="CL24" t="n">
        <v>0.0605432428953461</v>
      </c>
      <c r="CM24" t="n">
        <v>16.5171198663504</v>
      </c>
      <c r="CN24" t="n">
        <v>1184065.22079189</v>
      </c>
      <c r="CO24" t="n">
        <v>3110545.74914826</v>
      </c>
      <c r="CP24" t="n">
        <v>3313447.14406428</v>
      </c>
      <c r="CQ24" t="n">
        <v>4294610.96994015</v>
      </c>
      <c r="CR24" t="n">
        <v>9664370.62514736</v>
      </c>
      <c r="CS24" t="n">
        <v>-0.00634975837439593</v>
      </c>
      <c r="CT24" t="n">
        <v>-0.00327637806207819</v>
      </c>
      <c r="CU24" t="n">
        <v>0.0560150066137638</v>
      </c>
      <c r="CV24" t="n">
        <v>1.633146550882</v>
      </c>
      <c r="CW24" t="n">
        <v>0.0560150066137641</v>
      </c>
      <c r="CX24" t="n">
        <v>0.039440022763365</v>
      </c>
      <c r="CY24" t="n">
        <v>0.0184162730434113</v>
      </c>
      <c r="CZ24" t="n">
        <v>-0.0216926511054895</v>
      </c>
      <c r="DA24" t="n">
        <v>0.627843942763571</v>
      </c>
      <c r="DB24" t="n">
        <v>6.30062573674828</v>
      </c>
      <c r="DC24" t="n">
        <v>0.0530309433128964</v>
      </c>
      <c r="DD24" t="n">
        <v>0.036251527352767</v>
      </c>
      <c r="DE24" t="n">
        <v>0.00682913651217085</v>
      </c>
      <c r="DF24" t="n">
        <v>0.117778989032094</v>
      </c>
      <c r="DG24" t="n">
        <v>219491.608452085</v>
      </c>
      <c r="DH24" t="n">
        <v>126.744327942295</v>
      </c>
      <c r="DI24" t="n">
        <v>4.8773855495616</v>
      </c>
      <c r="DJ24" t="n">
        <v>4.22303589150781</v>
      </c>
      <c r="DK24" t="n">
        <v>0.0411256875275234</v>
      </c>
      <c r="DL24" t="n">
        <v>0.670223574218165</v>
      </c>
      <c r="DM24" t="n">
        <v>1.29451675422598</v>
      </c>
      <c r="DN24" t="n">
        <v>0.0357615042376472</v>
      </c>
      <c r="DO24" t="n">
        <v>0.0465455822795444</v>
      </c>
      <c r="DP24" t="n">
        <v>29466.8</v>
      </c>
      <c r="DQ24" t="n">
        <v>24669.129513182</v>
      </c>
      <c r="DR24" t="n">
        <v>175317.367938654</v>
      </c>
      <c r="DS24" t="n">
        <v>30953.5084222296</v>
      </c>
      <c r="DT24" t="n">
        <v>13220.7320912012</v>
      </c>
      <c r="DU24" t="n">
        <v>0</v>
      </c>
      <c r="DV24" t="n">
        <v>57.125</v>
      </c>
      <c r="DW24" t="n">
        <v>208288.96</v>
      </c>
      <c r="DX24" t="n">
        <v>2.27105257586549</v>
      </c>
      <c r="DY24" t="n">
        <v>73.7449385314969</v>
      </c>
      <c r="DZ24" t="n">
        <v>1.04908330483105</v>
      </c>
      <c r="EA24" t="n">
        <v>1.20449936397015</v>
      </c>
      <c r="EB24" t="n">
        <v>168166787.722502</v>
      </c>
      <c r="EC24" t="n">
        <v>3.15776551281339</v>
      </c>
      <c r="ED24" t="n">
        <v>0.0435</v>
      </c>
      <c r="EE24" t="n">
        <v>0.0304926484848485</v>
      </c>
      <c r="EF24" t="n">
        <v>0.03050813492075</v>
      </c>
      <c r="EG24" t="n">
        <v>0.0441803333333333</v>
      </c>
      <c r="EH24" t="n">
        <v>746416.739440958</v>
      </c>
      <c r="EI24" t="n">
        <v>404281.130970917</v>
      </c>
      <c r="EJ24" t="n">
        <v>1052.24288261937</v>
      </c>
      <c r="EK24" t="n">
        <v>1.35379609890747</v>
      </c>
      <c r="EL24" t="n">
        <v>4.16512104372924</v>
      </c>
    </row>
    <row r="25">
      <c r="A25" s="2" t="n">
        <v>47818</v>
      </c>
      <c r="B25" t="n">
        <v>406965.455956533</v>
      </c>
      <c r="C25" t="n">
        <v>36316.3194038087</v>
      </c>
      <c r="D25" t="n">
        <v>22608.0805677709</v>
      </c>
      <c r="E25" t="n">
        <v>235619.604445167</v>
      </c>
      <c r="F25" t="n">
        <v>53810.8962484533</v>
      </c>
      <c r="G25" t="n">
        <v>12695.5005160576</v>
      </c>
      <c r="H25" t="n">
        <v>62864.7342250931</v>
      </c>
      <c r="I25" t="n">
        <v>74675.3391416386</v>
      </c>
      <c r="J25" t="n">
        <v>98967.7045406895</v>
      </c>
      <c r="K25" t="n">
        <v>397.231692345516</v>
      </c>
      <c r="L25" t="n">
        <v>5106.30238412151</v>
      </c>
      <c r="M25" t="n">
        <v>0.665236990375656</v>
      </c>
      <c r="N25" t="n">
        <v>31465.2810845261</v>
      </c>
      <c r="O25" t="n">
        <v>170.862718561576</v>
      </c>
      <c r="P25" t="n">
        <v>1.87695267009354</v>
      </c>
      <c r="Q25" t="n">
        <v>1.39215976927953</v>
      </c>
      <c r="R25" t="n">
        <v>0.961929901072848</v>
      </c>
      <c r="S25" t="n">
        <v>0.0977722931411635</v>
      </c>
      <c r="T25" t="n">
        <v>8498.01567940936</v>
      </c>
      <c r="U25" t="n">
        <v>0.447473949239206</v>
      </c>
      <c r="V25" t="n">
        <v>0.624960435442497</v>
      </c>
      <c r="W25" t="n">
        <v>25789956.9676695</v>
      </c>
      <c r="X25" t="n">
        <v>77077.5371085569</v>
      </c>
      <c r="Y25" t="n">
        <v>4302777.21951789</v>
      </c>
      <c r="Z25" t="n">
        <v>1080.95456889894</v>
      </c>
      <c r="AA25" t="n">
        <v>1.13123870181709</v>
      </c>
      <c r="AB25" t="n">
        <v>1.05395712926372</v>
      </c>
      <c r="AC25" t="n">
        <v>1.31729608863494</v>
      </c>
      <c r="AD25" t="n">
        <v>1.34734964087921</v>
      </c>
      <c r="AE25" t="n">
        <v>127.847165761561</v>
      </c>
      <c r="AF25" t="n">
        <v>94209.0127430367</v>
      </c>
      <c r="AG25" t="n">
        <v>1396.22562855366</v>
      </c>
      <c r="AH25" t="n">
        <v>127.008068850091</v>
      </c>
      <c r="AI25" t="n">
        <v>82741.0012157929</v>
      </c>
      <c r="AJ25" t="n">
        <v>96988.6277807494</v>
      </c>
      <c r="AK25" t="n">
        <v>523.28778786829</v>
      </c>
      <c r="AL25" t="n">
        <v>26472.0693579511</v>
      </c>
      <c r="AM25" t="n">
        <v>18552.0806446498</v>
      </c>
      <c r="AN25" t="n">
        <v>0.872118528805507</v>
      </c>
      <c r="AO25" t="n">
        <v>0.98604855316282</v>
      </c>
      <c r="AP25" t="n">
        <v>1.19427515835451</v>
      </c>
      <c r="AQ25" t="n">
        <v>1.23387474574142</v>
      </c>
      <c r="AR25" t="n">
        <v>34223.8870337062</v>
      </c>
      <c r="AS25" t="n">
        <v>211281.499635101</v>
      </c>
      <c r="AT25" t="n">
        <v>0.0348068036628682</v>
      </c>
      <c r="AU25" t="n">
        <v>0.0380587378879923</v>
      </c>
      <c r="AV25" t="n">
        <v>0.359016773560073</v>
      </c>
      <c r="AW25" t="n">
        <v>803.639206777792</v>
      </c>
      <c r="AX25" t="n">
        <v>10748.274217473</v>
      </c>
      <c r="AY25" t="n">
        <v>18774.3182245147</v>
      </c>
      <c r="AZ25" t="n">
        <v>178562.99044356</v>
      </c>
      <c r="BA25" t="n">
        <v>502144.399013221</v>
      </c>
      <c r="BB25" t="n">
        <v>231638.4983156</v>
      </c>
      <c r="BC25" t="n">
        <v>250052.213090592</v>
      </c>
      <c r="BD25" t="n">
        <v>102959.21072146</v>
      </c>
      <c r="BE25" t="n">
        <v>21.0712194082632</v>
      </c>
      <c r="BF25" t="n">
        <v>48930.7799067762</v>
      </c>
      <c r="BG25" t="n">
        <v>20174.0019913834</v>
      </c>
      <c r="BH25" t="n">
        <v>25575.1357120613</v>
      </c>
      <c r="BI25" t="n">
        <v>87205.467281503</v>
      </c>
      <c r="BJ25" t="n">
        <v>46345.0071305176</v>
      </c>
      <c r="BK25" t="n">
        <v>86311.5688832842</v>
      </c>
      <c r="BL25" t="n">
        <v>26136.8505278209</v>
      </c>
      <c r="BM25" t="n">
        <v>18293.2522778169</v>
      </c>
      <c r="BN25" t="n">
        <v>43754.2695860318</v>
      </c>
      <c r="BO25" t="n">
        <v>186085.501274954</v>
      </c>
      <c r="BP25" t="n">
        <v>203237.992042516</v>
      </c>
      <c r="BQ25" t="n">
        <v>944860.798583501</v>
      </c>
      <c r="BR25" t="n">
        <v>747344.093599486</v>
      </c>
      <c r="BS25" t="n">
        <v>780492.575974606</v>
      </c>
      <c r="BT25" t="n">
        <v>123.317860813715</v>
      </c>
      <c r="BU25" t="n">
        <v>1.26429150723768</v>
      </c>
      <c r="BV25" t="n">
        <v>1.04212805135436</v>
      </c>
      <c r="BW25" t="n">
        <v>108.337213573678</v>
      </c>
      <c r="BX25" t="n">
        <v>86588.9694423194</v>
      </c>
      <c r="BY25" t="n">
        <v>1.40153919553544</v>
      </c>
      <c r="BZ25" t="n">
        <v>121357.834574431</v>
      </c>
      <c r="CA25" t="n">
        <v>10440.780446956</v>
      </c>
      <c r="CB25" t="n">
        <v>15547.0828310776</v>
      </c>
      <c r="CC25" t="n">
        <v>16465.7331408948</v>
      </c>
      <c r="CD25" t="n">
        <v>918.650309817251</v>
      </c>
      <c r="CE25" t="n">
        <v>0.0557916386745464</v>
      </c>
      <c r="CF25" t="n">
        <v>11618049.3105779</v>
      </c>
      <c r="CG25" t="n">
        <v>449463.320457984</v>
      </c>
      <c r="CH25" t="n">
        <v>598943.866827641</v>
      </c>
      <c r="CI25" t="n">
        <v>339112.523434144</v>
      </c>
      <c r="CJ25" t="n">
        <v>17497.9828274502</v>
      </c>
      <c r="CK25" t="n">
        <v>865268.807801948</v>
      </c>
      <c r="CL25" t="n">
        <v>0.0615776444301242</v>
      </c>
      <c r="CM25" t="n">
        <v>16.2396598514703</v>
      </c>
      <c r="CN25" t="n">
        <v>1187634.70928492</v>
      </c>
      <c r="CO25" t="n">
        <v>3141279.72526401</v>
      </c>
      <c r="CP25" t="n">
        <v>3323215.9672059</v>
      </c>
      <c r="CQ25" t="n">
        <v>4328914.43454893</v>
      </c>
      <c r="CR25" t="n">
        <v>9708442.91289777</v>
      </c>
      <c r="CS25" t="n">
        <v>-0.00708596187671154</v>
      </c>
      <c r="CT25" t="n">
        <v>-0.00383402765158743</v>
      </c>
      <c r="CU25" t="n">
        <v>0.0558795276015838</v>
      </c>
      <c r="CV25" t="n">
        <v>1.65011359218263</v>
      </c>
      <c r="CW25" t="n">
        <v>0.0558795276015838</v>
      </c>
      <c r="CX25" t="n">
        <v>0.039440022763365</v>
      </c>
      <c r="CY25" t="n">
        <v>0.0184025231367616</v>
      </c>
      <c r="CZ25" t="n">
        <v>-0.0222365507883491</v>
      </c>
      <c r="DA25" t="n">
        <v>0.622256994972239</v>
      </c>
      <c r="DB25" t="n">
        <v>6.32645072019839</v>
      </c>
      <c r="DC25" t="n">
        <v>0.0525362949128682</v>
      </c>
      <c r="DD25" t="n">
        <v>0.0359053813071977</v>
      </c>
      <c r="DE25" t="n">
        <v>0.0068060088603382</v>
      </c>
      <c r="DF25" t="n">
        <v>0.118433734794739</v>
      </c>
      <c r="DG25" t="n">
        <v>220150.825175584</v>
      </c>
      <c r="DH25" t="n">
        <v>127.698935348631</v>
      </c>
      <c r="DI25" t="n">
        <v>4.88504628775916</v>
      </c>
      <c r="DJ25" t="n">
        <v>4.22777542587478</v>
      </c>
      <c r="DK25" t="n">
        <v>0.0411256875275234</v>
      </c>
      <c r="DL25" t="n">
        <v>0.670223574218165</v>
      </c>
      <c r="DM25" t="n">
        <v>1.30777786353872</v>
      </c>
      <c r="DN25" t="n">
        <v>0.0357615042376472</v>
      </c>
      <c r="DO25" t="n">
        <v>0.0465455822795444</v>
      </c>
      <c r="DP25" t="n">
        <v>29555.3</v>
      </c>
      <c r="DQ25" t="n">
        <v>24751.68004653</v>
      </c>
      <c r="DR25" t="n">
        <v>175843.912628358</v>
      </c>
      <c r="DS25" t="n">
        <v>31046.4735726826</v>
      </c>
      <c r="DT25" t="n">
        <v>13260.4389745435</v>
      </c>
      <c r="DU25" t="n">
        <v>0</v>
      </c>
      <c r="DV25" t="n">
        <v>57.125</v>
      </c>
      <c r="DW25" t="n">
        <v>208288.96</v>
      </c>
      <c r="DX25" t="n">
        <v>2.28293314863443</v>
      </c>
      <c r="DY25" t="n">
        <v>73.69</v>
      </c>
      <c r="DZ25" t="n">
        <v>1.04315980240464</v>
      </c>
      <c r="EA25" t="n">
        <v>1.20449936397015</v>
      </c>
      <c r="EB25" t="n">
        <v>169557009.251796</v>
      </c>
      <c r="EC25" t="n">
        <v>3.15898045879354</v>
      </c>
      <c r="ED25" t="n">
        <v>0.0435</v>
      </c>
      <c r="EE25" t="n">
        <v>0.0304926484848485</v>
      </c>
      <c r="EF25" t="n">
        <v>0.03050813492075</v>
      </c>
      <c r="EG25" t="n">
        <v>0.0441803333333333</v>
      </c>
      <c r="EH25" t="n">
        <v>748710.772478536</v>
      </c>
      <c r="EI25" t="n">
        <v>406730.85799641</v>
      </c>
      <c r="EJ25" t="n">
        <v>1069.11384009213</v>
      </c>
      <c r="EK25" t="n">
        <v>1.34905143693971</v>
      </c>
      <c r="EL25" t="n">
        <v>4.18927655395798</v>
      </c>
    </row>
    <row r="26">
      <c r="A26" s="2" t="n">
        <v>47908</v>
      </c>
      <c r="B26" t="n">
        <v>409615.998178214</v>
      </c>
      <c r="C26" t="n">
        <v>36432.8706619855</v>
      </c>
      <c r="D26" t="n">
        <v>22746.2378170969</v>
      </c>
      <c r="E26" t="n">
        <v>236419.738525587</v>
      </c>
      <c r="F26" t="n">
        <v>54583.4720999408</v>
      </c>
      <c r="G26" t="n">
        <v>12794.6245041568</v>
      </c>
      <c r="H26" t="n">
        <v>63692.2244701404</v>
      </c>
      <c r="I26" t="n">
        <v>74909.711783379</v>
      </c>
      <c r="J26" t="n">
        <v>99107.9079986741</v>
      </c>
      <c r="K26" t="n">
        <v>396.788023375459</v>
      </c>
      <c r="L26" t="n">
        <v>5128.73040278161</v>
      </c>
      <c r="M26" t="n">
        <v>0.66508415430425</v>
      </c>
      <c r="N26" t="n">
        <v>31724.9215719912</v>
      </c>
      <c r="O26" t="n">
        <v>172.643889469942</v>
      </c>
      <c r="P26" t="n">
        <v>1.90963432400322</v>
      </c>
      <c r="Q26" t="n">
        <v>1.40727124878449</v>
      </c>
      <c r="R26" t="n">
        <v>0.966451989343148</v>
      </c>
      <c r="S26" t="n">
        <v>0.0979501630505427</v>
      </c>
      <c r="T26" t="n">
        <v>8391.79466031704</v>
      </c>
      <c r="U26" t="n">
        <v>0.445859117246841</v>
      </c>
      <c r="V26" t="n">
        <v>0.619896037845934</v>
      </c>
      <c r="W26" t="n">
        <v>26197661.0133199</v>
      </c>
      <c r="X26" t="n">
        <v>78210.4727755169</v>
      </c>
      <c r="Y26" t="n">
        <v>4306431.36047115</v>
      </c>
      <c r="Z26" t="n">
        <v>1096.83781632898</v>
      </c>
      <c r="AA26" t="n">
        <v>1.13686606010741</v>
      </c>
      <c r="AB26" t="n">
        <v>1.05761925056031</v>
      </c>
      <c r="AC26" t="n">
        <v>1.32940663648113</v>
      </c>
      <c r="AD26" t="n">
        <v>1.36160778210755</v>
      </c>
      <c r="AE26" t="n">
        <v>128.901120581768</v>
      </c>
      <c r="AF26" t="n">
        <v>94911.5869429372</v>
      </c>
      <c r="AG26" t="n">
        <v>1424.33031133956</v>
      </c>
      <c r="AH26" t="n">
        <v>129.435987892841</v>
      </c>
      <c r="AI26" t="n">
        <v>83497.74137455</v>
      </c>
      <c r="AJ26" t="n">
        <v>98178.2216417943</v>
      </c>
      <c r="AK26" t="n">
        <v>525.175604587912</v>
      </c>
      <c r="AL26" t="n">
        <v>26746.7638824356</v>
      </c>
      <c r="AM26" t="n">
        <v>18501.7592907186</v>
      </c>
      <c r="AN26" t="n">
        <v>0.875037360006742</v>
      </c>
      <c r="AO26" t="n">
        <v>0.992051052365427</v>
      </c>
      <c r="AP26" t="n">
        <v>1.20162625616129</v>
      </c>
      <c r="AQ26" t="n">
        <v>1.24463289666594</v>
      </c>
      <c r="AR26" t="n">
        <v>34350.8816774211</v>
      </c>
      <c r="AS26" t="n">
        <v>213307.019049413</v>
      </c>
      <c r="AT26" t="n">
        <v>0.034407247832626</v>
      </c>
      <c r="AU26" t="n">
        <v>0.0377401166362365</v>
      </c>
      <c r="AV26" t="n">
        <v>0.362696510994774</v>
      </c>
      <c r="AW26" t="n">
        <v>800.134080419637</v>
      </c>
      <c r="AX26" t="n">
        <v>10782.7690369878</v>
      </c>
      <c r="AY26" t="n">
        <v>18839.8624028065</v>
      </c>
      <c r="AZ26" t="n">
        <v>178845.41136962</v>
      </c>
      <c r="BA26" t="n">
        <v>509821.546861773</v>
      </c>
      <c r="BB26" t="n">
        <v>234468.056437844</v>
      </c>
      <c r="BC26" t="n">
        <v>252728.671899611</v>
      </c>
      <c r="BD26" t="n">
        <v>103649.256461403</v>
      </c>
      <c r="BE26" t="n">
        <v>21.1431328384733</v>
      </c>
      <c r="BF26" t="n">
        <v>49607.2802178774</v>
      </c>
      <c r="BG26" t="n">
        <v>20591.1458608311</v>
      </c>
      <c r="BH26" t="n">
        <v>25859.4257693892</v>
      </c>
      <c r="BI26" t="n">
        <v>88308.8178136326</v>
      </c>
      <c r="BJ26" t="n">
        <v>46639.2019974705</v>
      </c>
      <c r="BK26" t="n">
        <v>86723.1221709508</v>
      </c>
      <c r="BL26" t="n">
        <v>26512.7966905254</v>
      </c>
      <c r="BM26" t="n">
        <v>18354.6897749692</v>
      </c>
      <c r="BN26" t="n">
        <v>44278.671411913</v>
      </c>
      <c r="BO26" t="n">
        <v>187458.840048358</v>
      </c>
      <c r="BP26" t="n">
        <v>206150.992901162</v>
      </c>
      <c r="BQ26" t="n">
        <v>956603.322106014</v>
      </c>
      <c r="BR26" t="n">
        <v>749953.192564525</v>
      </c>
      <c r="BS26" t="n">
        <v>784844.773163106</v>
      </c>
      <c r="BT26" t="n">
        <v>124.326760971113</v>
      </c>
      <c r="BU26" t="n">
        <v>1.27555069169975</v>
      </c>
      <c r="BV26" t="n">
        <v>1.04816130653158</v>
      </c>
      <c r="BW26" t="n">
        <v>108.454565574847</v>
      </c>
      <c r="BX26" t="n">
        <v>87152.9183379308</v>
      </c>
      <c r="BY26" t="n">
        <v>1.42833138073131</v>
      </c>
      <c r="BZ26" t="n">
        <v>124483.24818438</v>
      </c>
      <c r="CA26" t="n">
        <v>10461.3315824647</v>
      </c>
      <c r="CB26" t="n">
        <v>15590.0619852463</v>
      </c>
      <c r="CC26" t="n">
        <v>16516.8869385691</v>
      </c>
      <c r="CD26" t="n">
        <v>926.824953322797</v>
      </c>
      <c r="CE26" t="n">
        <v>0.0561137749640081</v>
      </c>
      <c r="CF26" t="n">
        <v>11652838.2440006</v>
      </c>
      <c r="CG26" t="n">
        <v>454424.90679806</v>
      </c>
      <c r="CH26" t="n">
        <v>605403.66404355</v>
      </c>
      <c r="CI26" t="n">
        <v>343691.095618911</v>
      </c>
      <c r="CJ26" t="n">
        <v>17686.7040532831</v>
      </c>
      <c r="CK26" t="n">
        <v>876022.179456422</v>
      </c>
      <c r="CL26" t="n">
        <v>0.0625820370785944</v>
      </c>
      <c r="CM26" t="n">
        <v>15.9790260381607</v>
      </c>
      <c r="CN26" t="n">
        <v>1191290.14280986</v>
      </c>
      <c r="CO26" t="n">
        <v>3172265.15417395</v>
      </c>
      <c r="CP26" t="n">
        <v>3333022.68545785</v>
      </c>
      <c r="CQ26" t="n">
        <v>4363555.29698381</v>
      </c>
      <c r="CR26" t="n">
        <v>9752890.4935846</v>
      </c>
      <c r="CS26" t="n">
        <v>-0.00768019929320785</v>
      </c>
      <c r="CT26" t="n">
        <v>-0.00434733048959739</v>
      </c>
      <c r="CU26" t="n">
        <v>0.0558627159247088</v>
      </c>
      <c r="CV26" t="n">
        <v>1.66731532203123</v>
      </c>
      <c r="CW26" t="n">
        <v>0.0558627159247088</v>
      </c>
      <c r="CX26" t="n">
        <v>0.039440022763365</v>
      </c>
      <c r="CY26" t="n">
        <v>0.0183887730434136</v>
      </c>
      <c r="CZ26" t="n">
        <v>-0.022736103533011</v>
      </c>
      <c r="DA26" t="n">
        <v>0.616846357274332</v>
      </c>
      <c r="DB26" t="n">
        <v>6.35318064077758</v>
      </c>
      <c r="DC26" t="n">
        <v>0.052136739082626</v>
      </c>
      <c r="DD26" t="n">
        <v>0.0356242657424689</v>
      </c>
      <c r="DE26" t="n">
        <v>0.00678270930604009</v>
      </c>
      <c r="DF26" t="n">
        <v>0.119084595321035</v>
      </c>
      <c r="DG26" t="n">
        <v>220810.041899084</v>
      </c>
      <c r="DH26" t="n">
        <v>128.659421763857</v>
      </c>
      <c r="DI26" t="n">
        <v>4.89269683739159</v>
      </c>
      <c r="DJ26" t="n">
        <v>4.23250477167661</v>
      </c>
      <c r="DK26" t="n">
        <v>0.0411256875275234</v>
      </c>
      <c r="DL26" t="n">
        <v>0.670223574218165</v>
      </c>
      <c r="DM26" t="n">
        <v>1.32117482047153</v>
      </c>
      <c r="DN26" t="n">
        <v>0.0357615042376472</v>
      </c>
      <c r="DO26" t="n">
        <v>0.0465455822795444</v>
      </c>
      <c r="DP26" t="n">
        <v>29643.8</v>
      </c>
      <c r="DQ26" t="n">
        <v>24834.281243473</v>
      </c>
      <c r="DR26" t="n">
        <v>176370.457318062</v>
      </c>
      <c r="DS26" t="n">
        <v>31139.4387231356</v>
      </c>
      <c r="DT26" t="n">
        <v>13300.1458578858</v>
      </c>
      <c r="DU26" t="n">
        <v>0</v>
      </c>
      <c r="DV26" t="n">
        <v>57.125</v>
      </c>
      <c r="DW26" t="n">
        <v>208288.96</v>
      </c>
      <c r="DX26" t="n">
        <v>2.2947578707023</v>
      </c>
      <c r="DY26" t="n">
        <v>73.5938118310111</v>
      </c>
      <c r="DZ26" t="n">
        <v>1.03747956574746</v>
      </c>
      <c r="EA26" t="n">
        <v>1.20449936397015</v>
      </c>
      <c r="EB26" t="n">
        <v>170935146.341831</v>
      </c>
      <c r="EC26" t="n">
        <v>3.16067903168604</v>
      </c>
      <c r="ED26" t="n">
        <v>0.0435</v>
      </c>
      <c r="EE26" t="n">
        <v>0.0304926484848485</v>
      </c>
      <c r="EF26" t="n">
        <v>0.03050813492075</v>
      </c>
      <c r="EG26" t="n">
        <v>0.0441803333333333</v>
      </c>
      <c r="EH26" t="n">
        <v>751037.444703485</v>
      </c>
      <c r="EI26" t="n">
        <v>409226.103703932</v>
      </c>
      <c r="EJ26" t="n">
        <v>1086.05138086266</v>
      </c>
      <c r="EK26" t="n">
        <v>1.34042430182084</v>
      </c>
      <c r="EL26" t="n">
        <v>4.20874471258339</v>
      </c>
    </row>
    <row r="27">
      <c r="A27" s="2" t="n">
        <v>48000</v>
      </c>
      <c r="B27" t="n">
        <v>411959.347860762</v>
      </c>
      <c r="C27" t="n">
        <v>36553.7921506159</v>
      </c>
      <c r="D27" t="n">
        <v>22874.6606851883</v>
      </c>
      <c r="E27" t="n">
        <v>237230.337421959</v>
      </c>
      <c r="F27" t="n">
        <v>55308.7666857493</v>
      </c>
      <c r="G27" t="n">
        <v>12896.7513366194</v>
      </c>
      <c r="H27" t="n">
        <v>64510.7245641176</v>
      </c>
      <c r="I27" t="n">
        <v>75399.1802904287</v>
      </c>
      <c r="J27" t="n">
        <v>99225.6463965293</v>
      </c>
      <c r="K27" t="n">
        <v>396.330144659091</v>
      </c>
      <c r="L27" t="n">
        <v>5151.07731757978</v>
      </c>
      <c r="M27" t="n">
        <v>0.664950070207739</v>
      </c>
      <c r="N27" t="n">
        <v>31990.2084202718</v>
      </c>
      <c r="O27" t="n">
        <v>174.445010733921</v>
      </c>
      <c r="P27" t="n">
        <v>1.94290620903572</v>
      </c>
      <c r="Q27" t="n">
        <v>1.42215563422065</v>
      </c>
      <c r="R27" t="n">
        <v>0.971013560249386</v>
      </c>
      <c r="S27" t="n">
        <v>0.0980591397272237</v>
      </c>
      <c r="T27" t="n">
        <v>8283.18627374769</v>
      </c>
      <c r="U27" t="n">
        <v>0.444354214201988</v>
      </c>
      <c r="V27" t="n">
        <v>0.615016711892257</v>
      </c>
      <c r="W27" t="n">
        <v>26613118.4578114</v>
      </c>
      <c r="X27" t="n">
        <v>79365.9588997795</v>
      </c>
      <c r="Y27" t="n">
        <v>4309647.68967049</v>
      </c>
      <c r="Z27" t="n">
        <v>1113.14577599349</v>
      </c>
      <c r="AA27" t="n">
        <v>1.14257528952259</v>
      </c>
      <c r="AB27" t="n">
        <v>1.06135526889388</v>
      </c>
      <c r="AC27" t="n">
        <v>1.34163442191745</v>
      </c>
      <c r="AD27" t="n">
        <v>1.3761833274616</v>
      </c>
      <c r="AE27" t="n">
        <v>129.963839513922</v>
      </c>
      <c r="AF27" t="n">
        <v>95631.9719085933</v>
      </c>
      <c r="AG27" t="n">
        <v>1452.63378238602</v>
      </c>
      <c r="AH27" t="n">
        <v>131.928087322456</v>
      </c>
      <c r="AI27" t="n">
        <v>84230.9296425018</v>
      </c>
      <c r="AJ27" t="n">
        <v>99292.638753396</v>
      </c>
      <c r="AK27" t="n">
        <v>526.80384172775</v>
      </c>
      <c r="AL27" t="n">
        <v>27014.5455080403</v>
      </c>
      <c r="AM27" t="n">
        <v>18445.3161058119</v>
      </c>
      <c r="AN27" t="n">
        <v>0.877692939954206</v>
      </c>
      <c r="AO27" t="n">
        <v>0.998264632684784</v>
      </c>
      <c r="AP27" t="n">
        <v>1.20907743320148</v>
      </c>
      <c r="AQ27" t="n">
        <v>1.25556408692575</v>
      </c>
      <c r="AR27" t="n">
        <v>34462.9381104223</v>
      </c>
      <c r="AS27" t="n">
        <v>215210.403853717</v>
      </c>
      <c r="AT27" t="n">
        <v>0.0338718779667116</v>
      </c>
      <c r="AU27" t="n">
        <v>0.037411107026872</v>
      </c>
      <c r="AV27" t="n">
        <v>0.367105805908409</v>
      </c>
      <c r="AW27" t="n">
        <v>810.598896372016</v>
      </c>
      <c r="AX27" t="n">
        <v>10818.5572814994</v>
      </c>
      <c r="AY27" t="n">
        <v>18899.1644724672</v>
      </c>
      <c r="AZ27" t="n">
        <v>179078.065085231</v>
      </c>
      <c r="BA27" t="n">
        <v>517241.362979036</v>
      </c>
      <c r="BB27" t="n">
        <v>237331.107027619</v>
      </c>
      <c r="BC27" t="n">
        <v>255362.76000312</v>
      </c>
      <c r="BD27" t="n">
        <v>104674.526719554</v>
      </c>
      <c r="BE27" t="n">
        <v>21.249981844109</v>
      </c>
      <c r="BF27" t="n">
        <v>50304.7193131741</v>
      </c>
      <c r="BG27" t="n">
        <v>21019.4421150337</v>
      </c>
      <c r="BH27" t="n">
        <v>26136.02205511</v>
      </c>
      <c r="BI27" t="n">
        <v>89398.9401260839</v>
      </c>
      <c r="BJ27" t="n">
        <v>46952.0400573735</v>
      </c>
      <c r="BK27" t="n">
        <v>87089.6493046262</v>
      </c>
      <c r="BL27" t="n">
        <v>26877.5532365819</v>
      </c>
      <c r="BM27" t="n">
        <v>18413.3067071231</v>
      </c>
      <c r="BN27" t="n">
        <v>44789.3575776117</v>
      </c>
      <c r="BO27" t="n">
        <v>188759.426825943</v>
      </c>
      <c r="BP27" t="n">
        <v>208972.220448706</v>
      </c>
      <c r="BQ27" t="n">
        <v>968170.840050667</v>
      </c>
      <c r="BR27" t="n">
        <v>752313.813644962</v>
      </c>
      <c r="BS27" t="n">
        <v>788876.125051657</v>
      </c>
      <c r="BT27" t="n">
        <v>125.35089775334</v>
      </c>
      <c r="BU27" t="n">
        <v>1.28692417115352</v>
      </c>
      <c r="BV27" t="n">
        <v>1.05406224227464</v>
      </c>
      <c r="BW27" t="n">
        <v>108.552782929615</v>
      </c>
      <c r="BX27" t="n">
        <v>87651.5066851356</v>
      </c>
      <c r="BY27" t="n">
        <v>1.45583179910157</v>
      </c>
      <c r="BZ27" t="n">
        <v>127605.850671384</v>
      </c>
      <c r="CA27" t="n">
        <v>10481.239763653</v>
      </c>
      <c r="CB27" t="n">
        <v>15632.3170812327</v>
      </c>
      <c r="CC27" t="n">
        <v>16568.5164168737</v>
      </c>
      <c r="CD27" t="n">
        <v>936.19933564092</v>
      </c>
      <c r="CE27" t="n">
        <v>0.0565047126318032</v>
      </c>
      <c r="CF27" t="n">
        <v>11687627.1774232</v>
      </c>
      <c r="CG27" t="n">
        <v>459466.818139012</v>
      </c>
      <c r="CH27" t="n">
        <v>612139.033346587</v>
      </c>
      <c r="CI27" t="n">
        <v>348044.402569808</v>
      </c>
      <c r="CJ27" t="n">
        <v>17883.4760429944</v>
      </c>
      <c r="CK27" t="n">
        <v>886615.287431907</v>
      </c>
      <c r="CL27" t="n">
        <v>0.0635991784221218</v>
      </c>
      <c r="CM27" t="n">
        <v>15.7234735543717</v>
      </c>
      <c r="CN27" t="n">
        <v>1195025.39902987</v>
      </c>
      <c r="CO27" t="n">
        <v>3203496.80881967</v>
      </c>
      <c r="CP27" t="n">
        <v>3342867.72586941</v>
      </c>
      <c r="CQ27" t="n">
        <v>4398522.20784954</v>
      </c>
      <c r="CR27" t="n">
        <v>9797702.44486189</v>
      </c>
      <c r="CS27" t="n">
        <v>-0.00837756500112988</v>
      </c>
      <c r="CT27" t="n">
        <v>-0.0048383359409695</v>
      </c>
      <c r="CU27" t="n">
        <v>0.0558096967593822</v>
      </c>
      <c r="CV27" t="n">
        <v>1.6847097232434</v>
      </c>
      <c r="CW27" t="n">
        <v>0.0558096967593822</v>
      </c>
      <c r="CX27" t="n">
        <v>0.039440022763365</v>
      </c>
      <c r="CY27" t="n">
        <v>0.018375022763365</v>
      </c>
      <c r="CZ27" t="n">
        <v>-0.0232133587043345</v>
      </c>
      <c r="DA27" t="n">
        <v>0.611573178140308</v>
      </c>
      <c r="DB27" t="n">
        <v>6.38106972111319</v>
      </c>
      <c r="DC27" t="n">
        <v>0.0516013692167116</v>
      </c>
      <c r="DD27" t="n">
        <v>0.0352500901607339</v>
      </c>
      <c r="DE27" t="n">
        <v>0.00675866375945921</v>
      </c>
      <c r="DF27" t="n">
        <v>0.119719215556464</v>
      </c>
      <c r="DG27" t="n">
        <v>221469.258622583</v>
      </c>
      <c r="DH27" t="n">
        <v>129.678728268029</v>
      </c>
      <c r="DI27" t="n">
        <v>4.90074534023174</v>
      </c>
      <c r="DJ27" t="n">
        <v>4.23763207068616</v>
      </c>
      <c r="DK27" t="n">
        <v>0.0411256875275234</v>
      </c>
      <c r="DL27" t="n">
        <v>0.670223574218165</v>
      </c>
      <c r="DM27" t="n">
        <v>1.3347090166558</v>
      </c>
      <c r="DN27" t="n">
        <v>0.0357615042376472</v>
      </c>
      <c r="DO27" t="n">
        <v>0.0465455822795444</v>
      </c>
      <c r="DP27" t="n">
        <v>29732.3</v>
      </c>
      <c r="DQ27" t="n">
        <v>24916.933104011</v>
      </c>
      <c r="DR27" t="n">
        <v>176897.002007766</v>
      </c>
      <c r="DS27" t="n">
        <v>31232.4038735885</v>
      </c>
      <c r="DT27" t="n">
        <v>13339.8527412281</v>
      </c>
      <c r="DU27" t="n">
        <v>0</v>
      </c>
      <c r="DV27" t="n">
        <v>57.125</v>
      </c>
      <c r="DW27" t="n">
        <v>208288.96</v>
      </c>
      <c r="DX27" t="n">
        <v>2.30664384031571</v>
      </c>
      <c r="DY27" t="n">
        <v>73.4977492172379</v>
      </c>
      <c r="DZ27" t="n">
        <v>1.03183025923963</v>
      </c>
      <c r="EA27" t="n">
        <v>1.20449936397015</v>
      </c>
      <c r="EB27" t="n">
        <v>172324484.749035</v>
      </c>
      <c r="EC27" t="n">
        <v>3.16237851789531</v>
      </c>
      <c r="ED27" t="n">
        <v>0.0435</v>
      </c>
      <c r="EE27" t="n">
        <v>0.0304926484848485</v>
      </c>
      <c r="EF27" t="n">
        <v>0.03050813492075</v>
      </c>
      <c r="EG27" t="n">
        <v>0.0441803333333333</v>
      </c>
      <c r="EH27" t="n">
        <v>753346.689397095</v>
      </c>
      <c r="EI27" t="n">
        <v>411699.600993397</v>
      </c>
      <c r="EJ27" t="n">
        <v>1103.10376339605</v>
      </c>
      <c r="EK27" t="n">
        <v>1.35765583969207</v>
      </c>
      <c r="EL27" t="n">
        <v>4.22494429678415</v>
      </c>
    </row>
    <row r="28">
      <c r="A28" s="2" t="n">
        <v>48092</v>
      </c>
      <c r="B28" t="n">
        <v>414412.191562681</v>
      </c>
      <c r="C28" t="n">
        <v>36679.50693219</v>
      </c>
      <c r="D28" t="n">
        <v>22996.4536764251</v>
      </c>
      <c r="E28" t="n">
        <v>238026.012426142</v>
      </c>
      <c r="F28" t="n">
        <v>56081.1412463667</v>
      </c>
      <c r="G28" t="n">
        <v>13005.2362753904</v>
      </c>
      <c r="H28" t="n">
        <v>65351.0176557289</v>
      </c>
      <c r="I28" t="n">
        <v>79508.2529281062</v>
      </c>
      <c r="J28" t="n">
        <v>99362.0695518088</v>
      </c>
      <c r="K28" t="n">
        <v>395.902816252657</v>
      </c>
      <c r="L28" t="n">
        <v>5173.67542886691</v>
      </c>
      <c r="M28" t="n">
        <v>0.664819027278877</v>
      </c>
      <c r="N28" t="n">
        <v>32252.1297770844</v>
      </c>
      <c r="O28" t="n">
        <v>176.271231134439</v>
      </c>
      <c r="P28" t="n">
        <v>1.9767730687647</v>
      </c>
      <c r="Q28" t="n">
        <v>1.4368135350431</v>
      </c>
      <c r="R28" t="n">
        <v>0.975578922943468</v>
      </c>
      <c r="S28" t="n">
        <v>0.0982391459254798</v>
      </c>
      <c r="T28" t="n">
        <v>8176.69823534279</v>
      </c>
      <c r="U28" t="n">
        <v>0.44294770937274</v>
      </c>
      <c r="V28" t="n">
        <v>0.610304681149055</v>
      </c>
      <c r="W28" t="n">
        <v>27040067.5675847</v>
      </c>
      <c r="X28" t="n">
        <v>80547.3378857568</v>
      </c>
      <c r="Y28" t="n">
        <v>4313290.17396257</v>
      </c>
      <c r="Z28" t="n">
        <v>1130.12475332132</v>
      </c>
      <c r="AA28" t="n">
        <v>1.14833591700513</v>
      </c>
      <c r="AB28" t="n">
        <v>1.06517911022929</v>
      </c>
      <c r="AC28" t="n">
        <v>1.35382968243124</v>
      </c>
      <c r="AD28" t="n">
        <v>1.39109298095731</v>
      </c>
      <c r="AE28" t="n">
        <v>131.034190096948</v>
      </c>
      <c r="AF28" t="n">
        <v>96401.7265218809</v>
      </c>
      <c r="AG28" t="n">
        <v>1481.49596314052</v>
      </c>
      <c r="AH28" t="n">
        <v>134.485947876774</v>
      </c>
      <c r="AI28" t="n">
        <v>84951.5782500139</v>
      </c>
      <c r="AJ28" t="n">
        <v>100461.265336148</v>
      </c>
      <c r="AK28" t="n">
        <v>528.564995350865</v>
      </c>
      <c r="AL28" t="n">
        <v>27292.4600684129</v>
      </c>
      <c r="AM28" t="n">
        <v>18392.7399168096</v>
      </c>
      <c r="AN28" t="n">
        <v>0.880110500973939</v>
      </c>
      <c r="AO28" t="n">
        <v>1.0043002590208</v>
      </c>
      <c r="AP28" t="n">
        <v>1.21666910340132</v>
      </c>
      <c r="AQ28" t="n">
        <v>1.26670322631651</v>
      </c>
      <c r="AR28" t="n">
        <v>34585.6017477884</v>
      </c>
      <c r="AS28" t="n">
        <v>217085.276526202</v>
      </c>
      <c r="AT28" t="n">
        <v>0.0335087364384881</v>
      </c>
      <c r="AU28" t="n">
        <v>0.0370825857295585</v>
      </c>
      <c r="AV28" t="n">
        <v>0.369951907746462</v>
      </c>
      <c r="AW28" t="n">
        <v>795.67500418314</v>
      </c>
      <c r="AX28" t="n">
        <v>10855.7641617045</v>
      </c>
      <c r="AY28" t="n">
        <v>18962.1626360804</v>
      </c>
      <c r="AZ28" t="n">
        <v>179347.573852487</v>
      </c>
      <c r="BA28" t="n">
        <v>524937.2606136</v>
      </c>
      <c r="BB28" t="n">
        <v>240212.742003948</v>
      </c>
      <c r="BC28" t="n">
        <v>258131.58176778</v>
      </c>
      <c r="BD28" t="n">
        <v>109210.444768202</v>
      </c>
      <c r="BE28" t="n">
        <v>21.722694603784</v>
      </c>
      <c r="BF28" t="n">
        <v>51024.6046383446</v>
      </c>
      <c r="BG28" t="n">
        <v>21459.3822357184</v>
      </c>
      <c r="BH28" t="n">
        <v>26407.6537203836</v>
      </c>
      <c r="BI28" t="n">
        <v>90488.645675902</v>
      </c>
      <c r="BJ28" t="n">
        <v>47245.6748828207</v>
      </c>
      <c r="BK28" t="n">
        <v>87449.6008110498</v>
      </c>
      <c r="BL28" t="n">
        <v>27245.0919292089</v>
      </c>
      <c r="BM28" t="n">
        <v>18471.833462554</v>
      </c>
      <c r="BN28" t="n">
        <v>45318.9631403704</v>
      </c>
      <c r="BO28" t="n">
        <v>190075.049343183</v>
      </c>
      <c r="BP28" t="n">
        <v>211783.820260318</v>
      </c>
      <c r="BQ28" t="n">
        <v>980067.192853584</v>
      </c>
      <c r="BR28" t="n">
        <v>754821.564116441</v>
      </c>
      <c r="BS28" t="n">
        <v>792989.239401457</v>
      </c>
      <c r="BT28" t="n">
        <v>126.389955799944</v>
      </c>
      <c r="BU28" t="n">
        <v>1.29840909430572</v>
      </c>
      <c r="BV28" t="n">
        <v>1.05981388685815</v>
      </c>
      <c r="BW28" t="n">
        <v>108.634356681316</v>
      </c>
      <c r="BX28" t="n">
        <v>88173.3917867914</v>
      </c>
      <c r="BY28" t="n">
        <v>1.48405789415244</v>
      </c>
      <c r="BZ28" t="n">
        <v>130854.418135384</v>
      </c>
      <c r="CA28" t="n">
        <v>10501.4212060025</v>
      </c>
      <c r="CB28" t="n">
        <v>15675.0966348694</v>
      </c>
      <c r="CC28" t="n">
        <v>16618.353810244</v>
      </c>
      <c r="CD28" t="n">
        <v>943.257175374587</v>
      </c>
      <c r="CE28" t="n">
        <v>0.056759960073081</v>
      </c>
      <c r="CF28" t="n">
        <v>11722976.2716382</v>
      </c>
      <c r="CG28" t="n">
        <v>464496.400933377</v>
      </c>
      <c r="CH28" t="n">
        <v>622980.26588073</v>
      </c>
      <c r="CI28" t="n">
        <v>352653.284689287</v>
      </c>
      <c r="CJ28" t="n">
        <v>18200.1997148063</v>
      </c>
      <c r="CK28" t="n">
        <v>897509.530290117</v>
      </c>
      <c r="CL28" t="n">
        <v>0.064642839950508</v>
      </c>
      <c r="CM28" t="n">
        <v>15.4696173739524</v>
      </c>
      <c r="CN28" t="n">
        <v>1198829.46972812</v>
      </c>
      <c r="CO28" t="n">
        <v>3234947.08050708</v>
      </c>
      <c r="CP28" t="n">
        <v>3352755.15297162</v>
      </c>
      <c r="CQ28" t="n">
        <v>4433776.5502352</v>
      </c>
      <c r="CR28" t="n">
        <v>9842844.21434976</v>
      </c>
      <c r="CS28" t="n">
        <v>-0.00886343736250514</v>
      </c>
      <c r="CT28" t="n">
        <v>-0.00528958807143474</v>
      </c>
      <c r="CU28" t="n">
        <v>0.0558669721244865</v>
      </c>
      <c r="CV28" t="n">
        <v>1.70234652037846</v>
      </c>
      <c r="CW28" t="n">
        <v>0.0558669721244865</v>
      </c>
      <c r="CX28" t="n">
        <v>0.039440022763365</v>
      </c>
      <c r="CY28" t="n">
        <v>0.0183950249028683</v>
      </c>
      <c r="CZ28" t="n">
        <v>-0.023684612974303</v>
      </c>
      <c r="DA28" t="n">
        <v>0.606468040957946</v>
      </c>
      <c r="DB28" t="n">
        <v>6.41128303267703</v>
      </c>
      <c r="DC28" t="n">
        <v>0.0512382276884881</v>
      </c>
      <c r="DD28" t="n">
        <v>0.0349934391691437</v>
      </c>
      <c r="DE28" t="n">
        <v>0.00673466775793687</v>
      </c>
      <c r="DF28" t="n">
        <v>0.120405251607932</v>
      </c>
      <c r="DG28" t="n">
        <v>222139.089852647</v>
      </c>
      <c r="DH28" t="n">
        <v>130.662715627114</v>
      </c>
      <c r="DI28" t="n">
        <v>4.90846178649377</v>
      </c>
      <c r="DJ28" t="n">
        <v>4.24242731311759</v>
      </c>
      <c r="DK28" t="n">
        <v>0.0411256875275234</v>
      </c>
      <c r="DL28" t="n">
        <v>0.670223574218165</v>
      </c>
      <c r="DM28" t="n">
        <v>1.34838185797886</v>
      </c>
      <c r="DN28" t="n">
        <v>0.0357615042376472</v>
      </c>
      <c r="DO28" t="n">
        <v>0.0465455822795444</v>
      </c>
      <c r="DP28" t="n">
        <v>29822.225</v>
      </c>
      <c r="DQ28" t="n">
        <v>24996.8083468721</v>
      </c>
      <c r="DR28" t="n">
        <v>177432.024959423</v>
      </c>
      <c r="DS28" t="n">
        <v>31326.8659205318</v>
      </c>
      <c r="DT28" t="n">
        <v>13380.1989726921</v>
      </c>
      <c r="DU28" t="n">
        <v>0</v>
      </c>
      <c r="DV28" t="n">
        <v>57.45</v>
      </c>
      <c r="DW28" t="n">
        <v>208288.96</v>
      </c>
      <c r="DX28" t="n">
        <v>2.31859137471356</v>
      </c>
      <c r="DY28" t="n">
        <v>73.4018119947924</v>
      </c>
      <c r="DZ28" t="n">
        <v>1.02621171445962</v>
      </c>
      <c r="EA28" t="n">
        <v>1.20449936397015</v>
      </c>
      <c r="EB28" t="n">
        <v>173725115.516243</v>
      </c>
      <c r="EC28" t="n">
        <v>3.16407891791246</v>
      </c>
      <c r="ED28" t="n">
        <v>0.0435</v>
      </c>
      <c r="EE28" t="n">
        <v>0.0304926484848485</v>
      </c>
      <c r="EF28" t="n">
        <v>0.03050813492075</v>
      </c>
      <c r="EG28" t="n">
        <v>0.0441803333333333</v>
      </c>
      <c r="EH28" t="n">
        <v>755672.657885087</v>
      </c>
      <c r="EI28" t="n">
        <v>414174.762174661</v>
      </c>
      <c r="EJ28" t="n">
        <v>1120.3658922136</v>
      </c>
      <c r="EK28" t="n">
        <v>1.34321962955912</v>
      </c>
      <c r="EL28" t="n">
        <v>4.23721738009932</v>
      </c>
    </row>
    <row r="29">
      <c r="A29" s="2" t="n">
        <v>48183</v>
      </c>
      <c r="B29" t="n">
        <v>416985.117433998</v>
      </c>
      <c r="C29" t="n">
        <v>36811.8020927772</v>
      </c>
      <c r="D29" t="n">
        <v>23109.6365217343</v>
      </c>
      <c r="E29" t="n">
        <v>238829.450371759</v>
      </c>
      <c r="F29" t="n">
        <v>56868.9816333939</v>
      </c>
      <c r="G29" t="n">
        <v>13117.6357108316</v>
      </c>
      <c r="H29" t="n">
        <v>66210.4883717366</v>
      </c>
      <c r="I29" t="n">
        <v>79287.4964942205</v>
      </c>
      <c r="J29" t="n">
        <v>99494.6742883345</v>
      </c>
      <c r="K29" t="n">
        <v>395.484912817797</v>
      </c>
      <c r="L29" t="n">
        <v>5196.55548409692</v>
      </c>
      <c r="M29" t="n">
        <v>0.664711316800488</v>
      </c>
      <c r="N29" t="n">
        <v>32519.3882701198</v>
      </c>
      <c r="O29" t="n">
        <v>178.117027511235</v>
      </c>
      <c r="P29" t="n">
        <v>2.01130027979837</v>
      </c>
      <c r="Q29" t="n">
        <v>1.45127573974674</v>
      </c>
      <c r="R29" t="n">
        <v>0.980189425263893</v>
      </c>
      <c r="S29" t="n">
        <v>0.0984789141742989</v>
      </c>
      <c r="T29" t="n">
        <v>8073.81919691597</v>
      </c>
      <c r="U29" t="n">
        <v>0.441613164893716</v>
      </c>
      <c r="V29" t="n">
        <v>0.60571656939694</v>
      </c>
      <c r="W29" t="n">
        <v>27476159.4851228</v>
      </c>
      <c r="X29" t="n">
        <v>81755.928365534</v>
      </c>
      <c r="Y29" t="n">
        <v>4317400.2905611</v>
      </c>
      <c r="Z29" t="n">
        <v>1147.52110954138</v>
      </c>
      <c r="AA29" t="n">
        <v>1.15418941711401</v>
      </c>
      <c r="AB29" t="n">
        <v>1.06906526273679</v>
      </c>
      <c r="AC29" t="n">
        <v>1.36609523987892</v>
      </c>
      <c r="AD29" t="n">
        <v>1.4063371163009</v>
      </c>
      <c r="AE29" t="n">
        <v>132.109971672968</v>
      </c>
      <c r="AF29" t="n">
        <v>97212.3410624881</v>
      </c>
      <c r="AG29" t="n">
        <v>1510.45718327164</v>
      </c>
      <c r="AH29" t="n">
        <v>137.100433053184</v>
      </c>
      <c r="AI29" t="n">
        <v>85673.3519552342</v>
      </c>
      <c r="AJ29" t="n">
        <v>101627.394904062</v>
      </c>
      <c r="AK29" t="n">
        <v>530.253415692391</v>
      </c>
      <c r="AL29" t="n">
        <v>27582.0929657864</v>
      </c>
      <c r="AM29" t="n">
        <v>18342.2090929975</v>
      </c>
      <c r="AN29" t="n">
        <v>0.882357320470673</v>
      </c>
      <c r="AO29" t="n">
        <v>1.01039330466207</v>
      </c>
      <c r="AP29" t="n">
        <v>1.22437728361343</v>
      </c>
      <c r="AQ29" t="n">
        <v>1.27801179447857</v>
      </c>
      <c r="AR29" t="n">
        <v>34715.251817542</v>
      </c>
      <c r="AS29" t="n">
        <v>219023.253946966</v>
      </c>
      <c r="AT29" t="n">
        <v>0.0331784646630146</v>
      </c>
      <c r="AU29" t="n">
        <v>0.036756463633404</v>
      </c>
      <c r="AV29" t="n">
        <v>0.372316201256774</v>
      </c>
      <c r="AW29" t="n">
        <v>803.437945617246</v>
      </c>
      <c r="AX29" t="n">
        <v>10894.9185883363</v>
      </c>
      <c r="AY29" t="n">
        <v>19027.3748625939</v>
      </c>
      <c r="AZ29" t="n">
        <v>179624.510061468</v>
      </c>
      <c r="BA29" t="n">
        <v>532911.898745196</v>
      </c>
      <c r="BB29" t="n">
        <v>243119.93700663</v>
      </c>
      <c r="BC29" t="n">
        <v>260991.539744237</v>
      </c>
      <c r="BD29" t="n">
        <v>109354.782680453</v>
      </c>
      <c r="BE29" t="n">
        <v>21.7377368448682</v>
      </c>
      <c r="BF29" t="n">
        <v>51769.8036009957</v>
      </c>
      <c r="BG29" t="n">
        <v>21912.9528051014</v>
      </c>
      <c r="BH29" t="n">
        <v>26672.8979067372</v>
      </c>
      <c r="BI29" t="n">
        <v>91590.4036616749</v>
      </c>
      <c r="BJ29" t="n">
        <v>47566.6162563159</v>
      </c>
      <c r="BK29" t="n">
        <v>87789.8542061572</v>
      </c>
      <c r="BL29" t="n">
        <v>27613.9675291495</v>
      </c>
      <c r="BM29" t="n">
        <v>18532.8452602764</v>
      </c>
      <c r="BN29" t="n">
        <v>45862.3093423544</v>
      </c>
      <c r="BO29" t="n">
        <v>191388.536337938</v>
      </c>
      <c r="BP29" t="n">
        <v>214684.277405704</v>
      </c>
      <c r="BQ29" t="n">
        <v>992248.768914884</v>
      </c>
      <c r="BR29" t="n">
        <v>757417.449176414</v>
      </c>
      <c r="BS29" t="n">
        <v>797246.165768964</v>
      </c>
      <c r="BT29" t="n">
        <v>127.44250470223</v>
      </c>
      <c r="BU29" t="n">
        <v>1.3100421175301</v>
      </c>
      <c r="BV29" t="n">
        <v>1.06549232213602</v>
      </c>
      <c r="BW29" t="n">
        <v>108.70269507847</v>
      </c>
      <c r="BX29" t="n">
        <v>88720.8264557246</v>
      </c>
      <c r="BY29" t="n">
        <v>1.51290884420672</v>
      </c>
      <c r="BZ29" t="n">
        <v>134226.523010195</v>
      </c>
      <c r="CA29" t="n">
        <v>10522.535247881</v>
      </c>
      <c r="CB29" t="n">
        <v>15719.0907319779</v>
      </c>
      <c r="CC29" t="n">
        <v>16668.7734662503</v>
      </c>
      <c r="CD29" t="n">
        <v>949.682734272394</v>
      </c>
      <c r="CE29" t="n">
        <v>0.0569737575336586</v>
      </c>
      <c r="CF29" t="n">
        <v>11758325.3658533</v>
      </c>
      <c r="CG29" t="n">
        <v>469659.937396918</v>
      </c>
      <c r="CH29" t="n">
        <v>629002.796283941</v>
      </c>
      <c r="CI29" t="n">
        <v>357362.734937755</v>
      </c>
      <c r="CJ29" t="n">
        <v>18376.146309153</v>
      </c>
      <c r="CK29" t="n">
        <v>908664.970130051</v>
      </c>
      <c r="CL29" t="n">
        <v>0.0656756613889666</v>
      </c>
      <c r="CM29" t="n">
        <v>15.2263407608103</v>
      </c>
      <c r="CN29" t="n">
        <v>1202694.62686474</v>
      </c>
      <c r="CO29" t="n">
        <v>3266599.82765197</v>
      </c>
      <c r="CP29" t="n">
        <v>3362689.42193487</v>
      </c>
      <c r="CQ29" t="n">
        <v>4469294.45451671</v>
      </c>
      <c r="CR29" t="n">
        <v>9888296.38759452</v>
      </c>
      <c r="CS29" t="n">
        <v>-0.00927847978180091</v>
      </c>
      <c r="CT29" t="n">
        <v>-0.00570048081141151</v>
      </c>
      <c r="CU29" t="n">
        <v>0.0560219697294834</v>
      </c>
      <c r="CV29" t="n">
        <v>1.72017237329356</v>
      </c>
      <c r="CW29" t="n">
        <v>0.0560219697294834</v>
      </c>
      <c r="CX29" t="n">
        <v>0.039440022763365</v>
      </c>
      <c r="CY29" t="n">
        <v>0.0184150256159903</v>
      </c>
      <c r="CZ29" t="n">
        <v>-0.0241155064274018</v>
      </c>
      <c r="DA29" t="n">
        <v>0.6014759409156</v>
      </c>
      <c r="DB29" t="n">
        <v>6.44251212573708</v>
      </c>
      <c r="DC29" t="n">
        <v>0.0509079559130146</v>
      </c>
      <c r="DD29" t="n">
        <v>0.0347594451042599</v>
      </c>
      <c r="DE29" t="n">
        <v>0.0067108606952992</v>
      </c>
      <c r="DF29" t="n">
        <v>0.121089653091526</v>
      </c>
      <c r="DG29" t="n">
        <v>222808.921082711</v>
      </c>
      <c r="DH29" t="n">
        <v>131.66242048782</v>
      </c>
      <c r="DI29" t="n">
        <v>4.91624090346017</v>
      </c>
      <c r="DJ29" t="n">
        <v>4.2472852262534</v>
      </c>
      <c r="DK29" t="n">
        <v>0.0411256875275234</v>
      </c>
      <c r="DL29" t="n">
        <v>0.670223574218165</v>
      </c>
      <c r="DM29" t="n">
        <v>1.36219476473004</v>
      </c>
      <c r="DN29" t="n">
        <v>0.0357615042376472</v>
      </c>
      <c r="DO29" t="n">
        <v>0.0465455822795444</v>
      </c>
      <c r="DP29" t="n">
        <v>29912.15</v>
      </c>
      <c r="DQ29" t="n">
        <v>25076.7108140773</v>
      </c>
      <c r="DR29" t="n">
        <v>177967.04791108</v>
      </c>
      <c r="DS29" t="n">
        <v>31421.3279674751</v>
      </c>
      <c r="DT29" t="n">
        <v>13420.545204156</v>
      </c>
      <c r="DU29" t="n">
        <v>0</v>
      </c>
      <c r="DV29" t="n">
        <v>57.45</v>
      </c>
      <c r="DW29" t="n">
        <v>208288.96</v>
      </c>
      <c r="DX29" t="n">
        <v>2.33060079277792</v>
      </c>
      <c r="DY29" t="n">
        <v>73.306</v>
      </c>
      <c r="DZ29" t="n">
        <v>1.02062376390299</v>
      </c>
      <c r="EA29" t="n">
        <v>1.20449936397015</v>
      </c>
      <c r="EB29" t="n">
        <v>175137130.426272</v>
      </c>
      <c r="EC29" t="n">
        <v>3.16578023222883</v>
      </c>
      <c r="ED29" t="n">
        <v>0.0435</v>
      </c>
      <c r="EE29" t="n">
        <v>0.0304926484848485</v>
      </c>
      <c r="EF29" t="n">
        <v>0.03050813492075</v>
      </c>
      <c r="EG29" t="n">
        <v>0.0441803333333333</v>
      </c>
      <c r="EH29" t="n">
        <v>758033.735401099</v>
      </c>
      <c r="EI29" t="n">
        <v>416674.837908711</v>
      </c>
      <c r="EJ29" t="n">
        <v>1137.87308006664</v>
      </c>
      <c r="EK29" t="n">
        <v>1.34788722667367</v>
      </c>
      <c r="EL29" t="n">
        <v>4.24569444448155</v>
      </c>
    </row>
    <row r="30">
      <c r="A30" s="2" t="n">
        <v>48274</v>
      </c>
      <c r="B30" t="n">
        <v>419651.577591424</v>
      </c>
      <c r="C30" t="n">
        <v>36951.6906663377</v>
      </c>
      <c r="D30" t="n">
        <v>23227.2454783156</v>
      </c>
      <c r="E30" t="n">
        <v>239638.213593437</v>
      </c>
      <c r="F30" t="n">
        <v>57778.1972563447</v>
      </c>
      <c r="G30" t="n">
        <v>13236.9698701711</v>
      </c>
      <c r="H30" t="n">
        <v>67102.1424411683</v>
      </c>
      <c r="I30" t="n">
        <v>79439.9995627196</v>
      </c>
      <c r="J30" t="n">
        <v>99637.7376428401</v>
      </c>
      <c r="K30" t="n">
        <v>395.087116058021</v>
      </c>
      <c r="L30" t="n">
        <v>5219.85179329514</v>
      </c>
      <c r="M30" t="n">
        <v>0.664620426467481</v>
      </c>
      <c r="N30" t="n">
        <v>32788.0081386361</v>
      </c>
      <c r="O30" t="n">
        <v>179.983842018673</v>
      </c>
      <c r="P30" t="n">
        <v>2.04697993402551</v>
      </c>
      <c r="Q30" t="n">
        <v>1.46553370679108</v>
      </c>
      <c r="R30" t="n">
        <v>0.984640941740893</v>
      </c>
      <c r="S30" t="n">
        <v>0.0987990594954949</v>
      </c>
      <c r="T30" t="n">
        <v>7988.0127081505</v>
      </c>
      <c r="U30" t="n">
        <v>0.440430602906308</v>
      </c>
      <c r="V30" t="n">
        <v>0.601285255993642</v>
      </c>
      <c r="W30" t="n">
        <v>27928049.8698631</v>
      </c>
      <c r="X30" t="n">
        <v>82993.9067867217</v>
      </c>
      <c r="Y30" t="n">
        <v>4322329.29731038</v>
      </c>
      <c r="Z30" t="n">
        <v>1165.31972576293</v>
      </c>
      <c r="AA30" t="n">
        <v>1.16008165664661</v>
      </c>
      <c r="AB30" t="n">
        <v>1.0729981760895</v>
      </c>
      <c r="AC30" t="n">
        <v>1.37839705890182</v>
      </c>
      <c r="AD30" t="n">
        <v>1.42191413016429</v>
      </c>
      <c r="AE30" t="n">
        <v>133.193114252378</v>
      </c>
      <c r="AF30" t="n">
        <v>98081.1461907541</v>
      </c>
      <c r="AG30" t="n">
        <v>1539.5311465515</v>
      </c>
      <c r="AH30" t="n">
        <v>139.771489942403</v>
      </c>
      <c r="AI30" t="n">
        <v>86402.2716778116</v>
      </c>
      <c r="AJ30" t="n">
        <v>102832.853916819</v>
      </c>
      <c r="AK30" t="n">
        <v>531.999409022247</v>
      </c>
      <c r="AL30" t="n">
        <v>27884.4403930497</v>
      </c>
      <c r="AM30" t="n">
        <v>18293.9799344118</v>
      </c>
      <c r="AN30" t="n">
        <v>0.886371969067078</v>
      </c>
      <c r="AO30" t="n">
        <v>1.01636709394023</v>
      </c>
      <c r="AP30" t="n">
        <v>1.23221368107277</v>
      </c>
      <c r="AQ30" t="n">
        <v>1.28949841389347</v>
      </c>
      <c r="AR30" t="n">
        <v>34852.4436969289</v>
      </c>
      <c r="AS30" t="n">
        <v>221029.491178497</v>
      </c>
      <c r="AT30" t="n">
        <v>0.0329654766230769</v>
      </c>
      <c r="AU30" t="n">
        <v>0.0364395152093922</v>
      </c>
      <c r="AV30" t="n">
        <v>0.373651407397587</v>
      </c>
      <c r="AW30" t="n">
        <v>808.763221677626</v>
      </c>
      <c r="AX30" t="n">
        <v>10936.3203816128</v>
      </c>
      <c r="AY30" t="n">
        <v>19094.2505184976</v>
      </c>
      <c r="AZ30" t="n">
        <v>179923.411792678</v>
      </c>
      <c r="BA30" t="n">
        <v>541140.044265366</v>
      </c>
      <c r="BB30" t="n">
        <v>246046.72948508</v>
      </c>
      <c r="BC30" t="n">
        <v>264082.896151488</v>
      </c>
      <c r="BD30" t="n">
        <v>109663.730058761</v>
      </c>
      <c r="BE30" t="n">
        <v>21.7699339362239</v>
      </c>
      <c r="BF30" t="n">
        <v>52542.1310919256</v>
      </c>
      <c r="BG30" t="n">
        <v>22386.4283732357</v>
      </c>
      <c r="BH30" t="n">
        <v>26945.5014138219</v>
      </c>
      <c r="BI30" t="n">
        <v>92709.4790061258</v>
      </c>
      <c r="BJ30" t="n">
        <v>47888.1752208523</v>
      </c>
      <c r="BK30" t="n">
        <v>88316.0977078731</v>
      </c>
      <c r="BL30" t="n">
        <v>27983.2677407713</v>
      </c>
      <c r="BM30" t="n">
        <v>18593.3992225389</v>
      </c>
      <c r="BN30" t="n">
        <v>46421.0551529964</v>
      </c>
      <c r="BO30" t="n">
        <v>192903.37982418</v>
      </c>
      <c r="BP30" t="n">
        <v>217634.686346506</v>
      </c>
      <c r="BQ30" t="n">
        <v>1004927.18233408</v>
      </c>
      <c r="BR30" t="n">
        <v>760079.549861313</v>
      </c>
      <c r="BS30" t="n">
        <v>801615.600178139</v>
      </c>
      <c r="BT30" t="n">
        <v>128.508939704708</v>
      </c>
      <c r="BU30" t="n">
        <v>1.32213420503565</v>
      </c>
      <c r="BV30" t="n">
        <v>1.07214162905302</v>
      </c>
      <c r="BW30" t="n">
        <v>108.886557891593</v>
      </c>
      <c r="BX30" t="n">
        <v>89288.1621686485</v>
      </c>
      <c r="BY30" t="n">
        <v>1.54238406540834</v>
      </c>
      <c r="BZ30" t="n">
        <v>137716.638558519</v>
      </c>
      <c r="CA30" t="n">
        <v>10545.155212065</v>
      </c>
      <c r="CB30" t="n">
        <v>15765.0070053601</v>
      </c>
      <c r="CC30" t="n">
        <v>16719.6171413386</v>
      </c>
      <c r="CD30" t="n">
        <v>954.610135978532</v>
      </c>
      <c r="CE30" t="n">
        <v>0.057095210230159</v>
      </c>
      <c r="CF30" t="n">
        <v>11793674.4600683</v>
      </c>
      <c r="CG30" t="n">
        <v>474922.7020513</v>
      </c>
      <c r="CH30" t="n">
        <v>635540.960426342</v>
      </c>
      <c r="CI30" t="n">
        <v>362370.685010799</v>
      </c>
      <c r="CJ30" t="n">
        <v>18567.1570035152</v>
      </c>
      <c r="CK30" t="n">
        <v>920275.395369932</v>
      </c>
      <c r="CL30" t="n">
        <v>0.066599719912742</v>
      </c>
      <c r="CM30" t="n">
        <v>15.0150781611422</v>
      </c>
      <c r="CN30" t="n">
        <v>1206611.28545726</v>
      </c>
      <c r="CO30" t="n">
        <v>3298452.83937625</v>
      </c>
      <c r="CP30" t="n">
        <v>3372676.73947632</v>
      </c>
      <c r="CQ30" t="n">
        <v>4505064.12483351</v>
      </c>
      <c r="CR30" t="n">
        <v>9934053.37545277</v>
      </c>
      <c r="CS30" t="n">
        <v>-0.00954950940548691</v>
      </c>
      <c r="CT30" t="n">
        <v>-0.00607547081917163</v>
      </c>
      <c r="CU30" t="n">
        <v>0.0562840734669311</v>
      </c>
      <c r="CV30" t="n">
        <v>1.7382012096526</v>
      </c>
      <c r="CW30" t="n">
        <v>0.0562840734669313</v>
      </c>
      <c r="CX30" t="n">
        <v>0.039440022763365</v>
      </c>
      <c r="CY30" t="n">
        <v>0.0184350249027997</v>
      </c>
      <c r="CZ30" t="n">
        <v>-0.0245104957219713</v>
      </c>
      <c r="DA30" t="n">
        <v>0.596723868058342</v>
      </c>
      <c r="DB30" t="n">
        <v>6.47457967722472</v>
      </c>
      <c r="DC30" t="n">
        <v>0.0506949678730769</v>
      </c>
      <c r="DD30" t="n">
        <v>0.0346055913605472</v>
      </c>
      <c r="DE30" t="n">
        <v>0.00668773638974082</v>
      </c>
      <c r="DF30" t="n">
        <v>0.12171726865628</v>
      </c>
      <c r="DG30" t="n">
        <v>223478.752312775</v>
      </c>
      <c r="DH30" t="n">
        <v>132.671459474521</v>
      </c>
      <c r="DI30" t="n">
        <v>4.92403272369351</v>
      </c>
      <c r="DJ30" t="n">
        <v>4.25215584265614</v>
      </c>
      <c r="DK30" t="n">
        <v>0.0411256875275234</v>
      </c>
      <c r="DL30" t="n">
        <v>0.670223574218165</v>
      </c>
      <c r="DM30" t="n">
        <v>1.37614917174823</v>
      </c>
      <c r="DN30" t="n">
        <v>0.0357615042376472</v>
      </c>
      <c r="DO30" t="n">
        <v>0.0465455822795444</v>
      </c>
      <c r="DP30" t="n">
        <v>30002.075</v>
      </c>
      <c r="DQ30" t="n">
        <v>25156.6405056266</v>
      </c>
      <c r="DR30" t="n">
        <v>178502.070862737</v>
      </c>
      <c r="DS30" t="n">
        <v>31515.7900144184</v>
      </c>
      <c r="DT30" t="n">
        <v>13460.8914356199</v>
      </c>
      <c r="DU30" t="n">
        <v>0</v>
      </c>
      <c r="DV30" t="n">
        <v>57.45</v>
      </c>
      <c r="DW30" t="n">
        <v>208288.96</v>
      </c>
      <c r="DX30" t="n">
        <v>2.34216740503693</v>
      </c>
      <c r="DY30" t="n">
        <v>73.306</v>
      </c>
      <c r="DZ30" t="n">
        <v>1.02062376390299</v>
      </c>
      <c r="EA30" t="n">
        <v>1.20449936397015</v>
      </c>
      <c r="EB30" t="n">
        <v>176343282.108263</v>
      </c>
      <c r="EC30" t="n">
        <v>3.16578023222883</v>
      </c>
      <c r="ED30" t="n">
        <v>0.0435</v>
      </c>
      <c r="EE30" t="n">
        <v>0.0304926484848485</v>
      </c>
      <c r="EF30" t="n">
        <v>0.03050813492075</v>
      </c>
      <c r="EG30" t="n">
        <v>0.0441803333333333</v>
      </c>
      <c r="EH30" t="n">
        <v>760441.409197898</v>
      </c>
      <c r="EI30" t="n">
        <v>419215.218722201</v>
      </c>
      <c r="EJ30" t="n">
        <v>1155.65437717808</v>
      </c>
      <c r="EK30" t="n">
        <v>1.35026524284272</v>
      </c>
      <c r="EL30" t="n">
        <v>4.25149860285639</v>
      </c>
    </row>
    <row r="31">
      <c r="A31" s="2" t="n">
        <v>48366</v>
      </c>
      <c r="B31" t="n">
        <v>421897.027618259</v>
      </c>
      <c r="C31" t="n">
        <v>37097.8105289152</v>
      </c>
      <c r="D31" t="n">
        <v>23333.7031718516</v>
      </c>
      <c r="E31" t="n">
        <v>240456.366652958</v>
      </c>
      <c r="F31" t="n">
        <v>58566.7767009319</v>
      </c>
      <c r="G31" t="n">
        <v>13357.4272238896</v>
      </c>
      <c r="H31" t="n">
        <v>67957.4794294877</v>
      </c>
      <c r="I31" t="n">
        <v>79890.1273222074</v>
      </c>
      <c r="J31" t="n">
        <v>99441.8748440859</v>
      </c>
      <c r="K31" t="n">
        <v>394.635648464128</v>
      </c>
      <c r="L31" t="n">
        <v>5242.47486609817</v>
      </c>
      <c r="M31" t="n">
        <v>0.664545398530548</v>
      </c>
      <c r="N31" t="n">
        <v>33067.1832640128</v>
      </c>
      <c r="O31" t="n">
        <v>181.864649262461</v>
      </c>
      <c r="P31" t="n">
        <v>2.0836614209203</v>
      </c>
      <c r="Q31" t="n">
        <v>1.47954916139285</v>
      </c>
      <c r="R31" t="n">
        <v>0.989163718906416</v>
      </c>
      <c r="S31" t="n">
        <v>0.098866879993975</v>
      </c>
      <c r="T31" t="n">
        <v>7885.96489239687</v>
      </c>
      <c r="U31" t="n">
        <v>0.439376301705943</v>
      </c>
      <c r="V31" t="n">
        <v>0.597028629951455</v>
      </c>
      <c r="W31" t="n">
        <v>28380284.2363902</v>
      </c>
      <c r="X31" t="n">
        <v>84251.3335228644</v>
      </c>
      <c r="Y31" t="n">
        <v>4325338.64450708</v>
      </c>
      <c r="Z31" t="n">
        <v>1183.32277458189</v>
      </c>
      <c r="AA31" t="n">
        <v>1.16609160958119</v>
      </c>
      <c r="AB31" t="n">
        <v>1.07699323581195</v>
      </c>
      <c r="AC31" t="n">
        <v>1.3909635657131</v>
      </c>
      <c r="AD31" t="n">
        <v>1.43781618592898</v>
      </c>
      <c r="AE31" t="n">
        <v>134.290068884476</v>
      </c>
      <c r="AF31" t="n">
        <v>98921.7478459713</v>
      </c>
      <c r="AG31" t="n">
        <v>1568.7738616506</v>
      </c>
      <c r="AH31" t="n">
        <v>142.493884849287</v>
      </c>
      <c r="AI31" t="n">
        <v>87099.5518741696</v>
      </c>
      <c r="AJ31" t="n">
        <v>103891.415535912</v>
      </c>
      <c r="AK31" t="n">
        <v>533.926146094623</v>
      </c>
      <c r="AL31" t="n">
        <v>28173.5541858387</v>
      </c>
      <c r="AM31" t="n">
        <v>18228.9178305757</v>
      </c>
      <c r="AN31" t="n">
        <v>0.890366723533065</v>
      </c>
      <c r="AO31" t="n">
        <v>1.02288511317818</v>
      </c>
      <c r="AP31" t="n">
        <v>1.24013200379274</v>
      </c>
      <c r="AQ31" t="n">
        <v>1.30111370645323</v>
      </c>
      <c r="AR31" t="n">
        <v>34946.5753618215</v>
      </c>
      <c r="AS31" t="n">
        <v>222880.597031027</v>
      </c>
      <c r="AT31" t="n">
        <v>0.0323164957080062</v>
      </c>
      <c r="AU31" t="n">
        <v>0.0361053493239272</v>
      </c>
      <c r="AV31" t="n">
        <v>0.377735409172592</v>
      </c>
      <c r="AW31" t="n">
        <v>818.153059521515</v>
      </c>
      <c r="AX31" t="n">
        <v>10979.5664037149</v>
      </c>
      <c r="AY31" t="n">
        <v>19143.2079055816</v>
      </c>
      <c r="AZ31" t="n">
        <v>179805.575942065</v>
      </c>
      <c r="BA31" t="n">
        <v>548936.00591631</v>
      </c>
      <c r="BB31" t="n">
        <v>249034.07440698</v>
      </c>
      <c r="BC31" t="n">
        <v>266976.985386119</v>
      </c>
      <c r="BD31" t="n">
        <v>110531.985638005</v>
      </c>
      <c r="BE31" t="n">
        <v>21.8604195857805</v>
      </c>
      <c r="BF31" t="n">
        <v>53339.8324410007</v>
      </c>
      <c r="BG31" t="n">
        <v>22877.6989338534</v>
      </c>
      <c r="BH31" t="n">
        <v>27209.2354891541</v>
      </c>
      <c r="BI31" t="n">
        <v>93805.6272916064</v>
      </c>
      <c r="BJ31" t="n">
        <v>48217.8577960146</v>
      </c>
      <c r="BK31" t="n">
        <v>88539.7362869139</v>
      </c>
      <c r="BL31" t="n">
        <v>28323.3172030723</v>
      </c>
      <c r="BM31" t="n">
        <v>18646.0886782442</v>
      </c>
      <c r="BN31" t="n">
        <v>46929.7801261554</v>
      </c>
      <c r="BO31" t="n">
        <v>194028.482294386</v>
      </c>
      <c r="BP31" t="n">
        <v>220465.400231293</v>
      </c>
      <c r="BQ31" t="n">
        <v>1016983.41433801</v>
      </c>
      <c r="BR31" t="n">
        <v>762028.38303164</v>
      </c>
      <c r="BS31" t="n">
        <v>805533.37498954</v>
      </c>
      <c r="BT31" t="n">
        <v>129.592726983242</v>
      </c>
      <c r="BU31" t="n">
        <v>1.33457417822526</v>
      </c>
      <c r="BV31" t="n">
        <v>1.07910158668774</v>
      </c>
      <c r="BW31" t="n">
        <v>109.092313644576</v>
      </c>
      <c r="BX31" t="n">
        <v>89765.9206636562</v>
      </c>
      <c r="BY31" t="n">
        <v>1.5724258037189</v>
      </c>
      <c r="BZ31" t="n">
        <v>141150.249946116</v>
      </c>
      <c r="CA31" t="n">
        <v>10564.5692690911</v>
      </c>
      <c r="CB31" t="n">
        <v>15807.0441351893</v>
      </c>
      <c r="CC31" t="n">
        <v>16770.864691039</v>
      </c>
      <c r="CD31" t="n">
        <v>963.820555849754</v>
      </c>
      <c r="CE31" t="n">
        <v>0.0574699333584736</v>
      </c>
      <c r="CF31" t="n">
        <v>11829023.5542834</v>
      </c>
      <c r="CG31" t="n">
        <v>480243.611121078</v>
      </c>
      <c r="CH31" t="n">
        <v>642348.606071525</v>
      </c>
      <c r="CI31" t="n">
        <v>366811.360724946</v>
      </c>
      <c r="CJ31" t="n">
        <v>18766.0405269842</v>
      </c>
      <c r="CK31" t="n">
        <v>931316.049726918</v>
      </c>
      <c r="CL31" t="n">
        <v>0.0677058740915014</v>
      </c>
      <c r="CM31" t="n">
        <v>14.7697672235727</v>
      </c>
      <c r="CN31" t="n">
        <v>1210583.04974057</v>
      </c>
      <c r="CO31" t="n">
        <v>3330509.96214777</v>
      </c>
      <c r="CP31" t="n">
        <v>3382724.27583552</v>
      </c>
      <c r="CQ31" t="n">
        <v>4541093.01188835</v>
      </c>
      <c r="CR31" t="n">
        <v>9980129.7988668</v>
      </c>
      <c r="CS31" t="n">
        <v>-0.0102163259377628</v>
      </c>
      <c r="CT31" t="n">
        <v>-0.00642747232184179</v>
      </c>
      <c r="CU31" t="n">
        <v>0.056334058348206</v>
      </c>
      <c r="CV31" t="n">
        <v>1.756365181427</v>
      </c>
      <c r="CW31" t="n">
        <v>0.0563340583482062</v>
      </c>
      <c r="CX31" t="n">
        <v>0.039440022763365</v>
      </c>
      <c r="CY31" t="n">
        <v>0.018455022763365</v>
      </c>
      <c r="CZ31" t="n">
        <v>-0.0248824950852068</v>
      </c>
      <c r="DA31" t="n">
        <v>0.592044722268957</v>
      </c>
      <c r="DB31" t="n">
        <v>6.50661235914052</v>
      </c>
      <c r="DC31" t="n">
        <v>0.0500459869580062</v>
      </c>
      <c r="DD31" t="n">
        <v>0.0341549377709095</v>
      </c>
      <c r="DE31" t="n">
        <v>0.0066633698693453</v>
      </c>
      <c r="DF31" t="n">
        <v>0.122395415162308</v>
      </c>
      <c r="DG31" t="n">
        <v>224148.583542839</v>
      </c>
      <c r="DH31" t="n">
        <v>133.814776262259</v>
      </c>
      <c r="DI31" t="n">
        <v>4.93277066190744</v>
      </c>
      <c r="DJ31" t="n">
        <v>4.25797257703947</v>
      </c>
      <c r="DK31" t="n">
        <v>0.0411256875275234</v>
      </c>
      <c r="DL31" t="n">
        <v>0.670223574218165</v>
      </c>
      <c r="DM31" t="n">
        <v>1.39024652857085</v>
      </c>
      <c r="DN31" t="n">
        <v>0.0357615042376472</v>
      </c>
      <c r="DO31" t="n">
        <v>0.0465455822795444</v>
      </c>
      <c r="DP31" t="n">
        <v>30092</v>
      </c>
      <c r="DQ31" t="n">
        <v>25236.59742152</v>
      </c>
      <c r="DR31" t="n">
        <v>179037.093814394</v>
      </c>
      <c r="DS31" t="n">
        <v>31610.2520613617</v>
      </c>
      <c r="DT31" t="n">
        <v>13501.2376670838</v>
      </c>
      <c r="DU31" t="n">
        <v>0</v>
      </c>
      <c r="DV31" t="n">
        <v>57.45</v>
      </c>
      <c r="DW31" t="n">
        <v>208288.96</v>
      </c>
      <c r="DX31" t="n">
        <v>2.35379142160112</v>
      </c>
      <c r="DY31" t="n">
        <v>73.306</v>
      </c>
      <c r="DZ31" t="n">
        <v>1.02062376390299</v>
      </c>
      <c r="EA31" t="n">
        <v>1.20449936397015</v>
      </c>
      <c r="EB31" t="n">
        <v>177557740.434747</v>
      </c>
      <c r="EC31" t="n">
        <v>3.16578023222883</v>
      </c>
      <c r="ED31" t="n">
        <v>0.0435</v>
      </c>
      <c r="EE31" t="n">
        <v>0.0304926484848485</v>
      </c>
      <c r="EF31" t="n">
        <v>0.03050813492075</v>
      </c>
      <c r="EG31" t="n">
        <v>0.0441803333333333</v>
      </c>
      <c r="EH31" t="n">
        <v>762748.971047101</v>
      </c>
      <c r="EI31" t="n">
        <v>421706.203221258</v>
      </c>
      <c r="EJ31" t="n">
        <v>1173.69619659216</v>
      </c>
      <c r="EK31" t="n">
        <v>1.29129217229331</v>
      </c>
      <c r="EL31" t="n">
        <v>4.2532821645769</v>
      </c>
    </row>
    <row r="32">
      <c r="A32" s="2" t="n">
        <v>48458</v>
      </c>
      <c r="B32" t="n">
        <v>424310.733978498</v>
      </c>
      <c r="C32" t="n">
        <v>37246.0176435453</v>
      </c>
      <c r="D32" t="n">
        <v>23448.5020371846</v>
      </c>
      <c r="E32" t="n">
        <v>241227.564012829</v>
      </c>
      <c r="F32" t="n">
        <v>59502.5334510178</v>
      </c>
      <c r="G32" t="n">
        <v>13484.4757591765</v>
      </c>
      <c r="H32" t="n">
        <v>68868.2714597698</v>
      </c>
      <c r="I32" t="n">
        <v>84174.6030631329</v>
      </c>
      <c r="J32" t="n">
        <v>99749.8572556952</v>
      </c>
      <c r="K32" t="n">
        <v>394.240882891232</v>
      </c>
      <c r="L32" t="n">
        <v>5265.58551816231</v>
      </c>
      <c r="M32" t="n">
        <v>0.664444473672287</v>
      </c>
      <c r="N32" t="n">
        <v>33334.1134688744</v>
      </c>
      <c r="O32" t="n">
        <v>183.771162325409</v>
      </c>
      <c r="P32" t="n">
        <v>2.12051979605123</v>
      </c>
      <c r="Q32" t="n">
        <v>1.49327112872155</v>
      </c>
      <c r="R32" t="n">
        <v>0.993632679532038</v>
      </c>
      <c r="S32" t="n">
        <v>0.0990617362995782</v>
      </c>
      <c r="T32" t="n">
        <v>7786.94140487371</v>
      </c>
      <c r="U32" t="n">
        <v>0.438431052990266</v>
      </c>
      <c r="V32" t="n">
        <v>0.59298604173966</v>
      </c>
      <c r="W32" t="n">
        <v>28844531.5058325</v>
      </c>
      <c r="X32" t="n">
        <v>85534.1852821807</v>
      </c>
      <c r="Y32" t="n">
        <v>4329746.81378632</v>
      </c>
      <c r="Z32" t="n">
        <v>1202.02516433522</v>
      </c>
      <c r="AA32" t="n">
        <v>1.17208394377316</v>
      </c>
      <c r="AB32" t="n">
        <v>1.08107664312578</v>
      </c>
      <c r="AC32" t="n">
        <v>1.40334215389681</v>
      </c>
      <c r="AD32" t="n">
        <v>1.4540610282503</v>
      </c>
      <c r="AE32" t="n">
        <v>135.394612875239</v>
      </c>
      <c r="AF32" t="n">
        <v>99814.9406411819</v>
      </c>
      <c r="AG32" t="n">
        <v>1598.55065155672</v>
      </c>
      <c r="AH32" t="n">
        <v>145.276945900247</v>
      </c>
      <c r="AI32" t="n">
        <v>87780.1906566611</v>
      </c>
      <c r="AJ32" t="n">
        <v>105181.438306069</v>
      </c>
      <c r="AK32" t="n">
        <v>536.204895216585</v>
      </c>
      <c r="AL32" t="n">
        <v>28476.2714004118</v>
      </c>
      <c r="AM32" t="n">
        <v>18181.1045494505</v>
      </c>
      <c r="AN32" t="n">
        <v>0.894256414826025</v>
      </c>
      <c r="AO32" t="n">
        <v>1.02873237882031</v>
      </c>
      <c r="AP32" t="n">
        <v>1.24820588879902</v>
      </c>
      <c r="AQ32" t="n">
        <v>1.31293556956923</v>
      </c>
      <c r="AR32" t="n">
        <v>35086.8317518215</v>
      </c>
      <c r="AS32" t="n">
        <v>224699.744326115</v>
      </c>
      <c r="AT32" t="n">
        <v>0.0320418190707553</v>
      </c>
      <c r="AU32" t="n">
        <v>0.0357772465460758</v>
      </c>
      <c r="AV32" t="n">
        <v>0.378916004405656</v>
      </c>
      <c r="AW32" t="n">
        <v>771.197359870916</v>
      </c>
      <c r="AX32" t="n">
        <v>11023.4301744707</v>
      </c>
      <c r="AY32" t="n">
        <v>19210.2777682619</v>
      </c>
      <c r="AZ32" t="n">
        <v>180273.071325229</v>
      </c>
      <c r="BA32" t="n">
        <v>557092.655764854</v>
      </c>
      <c r="BB32" t="n">
        <v>251998.198830464</v>
      </c>
      <c r="BC32" t="n">
        <v>270146.492711558</v>
      </c>
      <c r="BD32" t="n">
        <v>114940.457913259</v>
      </c>
      <c r="BE32" t="n">
        <v>22.3198505262948</v>
      </c>
      <c r="BF32" t="n">
        <v>54157.9827130022</v>
      </c>
      <c r="BG32" t="n">
        <v>23375.4019053536</v>
      </c>
      <c r="BH32" t="n">
        <v>27483.6127433164</v>
      </c>
      <c r="BI32" t="n">
        <v>94897.1129431895</v>
      </c>
      <c r="BJ32" t="n">
        <v>48492.7014034583</v>
      </c>
      <c r="BK32" t="n">
        <v>89201.9497288858</v>
      </c>
      <c r="BL32" t="n">
        <v>28686.1531660669</v>
      </c>
      <c r="BM32" t="n">
        <v>18703.490932737</v>
      </c>
      <c r="BN32" t="n">
        <v>47505.6800205651</v>
      </c>
      <c r="BO32" t="n">
        <v>195686.833848255</v>
      </c>
      <c r="BP32" t="n">
        <v>223269.009044921</v>
      </c>
      <c r="BQ32" t="n">
        <v>1029915.49110697</v>
      </c>
      <c r="BR32" t="n">
        <v>764698.214508325</v>
      </c>
      <c r="BS32" t="n">
        <v>809554.85888984</v>
      </c>
      <c r="BT32" t="n">
        <v>130.688261804578</v>
      </c>
      <c r="BU32" t="n">
        <v>1.34682605473502</v>
      </c>
      <c r="BV32" t="n">
        <v>1.08550230164558</v>
      </c>
      <c r="BW32" t="n">
        <v>109.245833395578</v>
      </c>
      <c r="BX32" t="n">
        <v>90279.4786160829</v>
      </c>
      <c r="BY32" t="n">
        <v>1.60313699539201</v>
      </c>
      <c r="BZ32" t="n">
        <v>144730.372094145</v>
      </c>
      <c r="CA32" t="n">
        <v>10585.9255615645</v>
      </c>
      <c r="CB32" t="n">
        <v>15851.5110797268</v>
      </c>
      <c r="CC32" t="n">
        <v>16819.9924610082</v>
      </c>
      <c r="CD32" t="n">
        <v>968.481381281359</v>
      </c>
      <c r="CE32" t="n">
        <v>0.0575791757861954</v>
      </c>
      <c r="CF32" t="n">
        <v>11864235.0651459</v>
      </c>
      <c r="CG32" t="n">
        <v>485482.193798345</v>
      </c>
      <c r="CH32" t="n">
        <v>653624.465343581</v>
      </c>
      <c r="CI32" t="n">
        <v>372008.170355587</v>
      </c>
      <c r="CJ32" t="n">
        <v>19095.4617012124</v>
      </c>
      <c r="CK32" t="n">
        <v>943158.77054363</v>
      </c>
      <c r="CL32" t="n">
        <v>0.0688595004555941</v>
      </c>
      <c r="CM32" t="n">
        <v>14.5223243471666</v>
      </c>
      <c r="CN32" t="n">
        <v>1214597.88905775</v>
      </c>
      <c r="CO32" t="n">
        <v>3362736.19351662</v>
      </c>
      <c r="CP32" t="n">
        <v>3392837.78193041</v>
      </c>
      <c r="CQ32" t="n">
        <v>4577334.08257437</v>
      </c>
      <c r="CR32" t="n">
        <v>10026484.3756477</v>
      </c>
      <c r="CS32" t="n">
        <v>-0.010505856705389</v>
      </c>
      <c r="CT32" t="n">
        <v>-0.00677042923006842</v>
      </c>
      <c r="CU32" t="n">
        <v>0.0565140605234339</v>
      </c>
      <c r="CV32" t="n">
        <v>1.77477740818617</v>
      </c>
      <c r="CW32" t="n">
        <v>0.0565140605234341</v>
      </c>
      <c r="CX32" t="n">
        <v>0.039440022763365</v>
      </c>
      <c r="CY32" t="n">
        <v>0.0185913103635471</v>
      </c>
      <c r="CZ32" t="n">
        <v>-0.0253617395936155</v>
      </c>
      <c r="DA32" t="n">
        <v>0.587563032116155</v>
      </c>
      <c r="DB32" t="n">
        <v>6.54088023999524</v>
      </c>
      <c r="DC32" t="n">
        <v>0.0497713103207553</v>
      </c>
      <c r="DD32" t="n">
        <v>0.0339596626105718</v>
      </c>
      <c r="DE32" t="n">
        <v>0.00663945939424193</v>
      </c>
      <c r="DF32" t="n">
        <v>0.123177915448365</v>
      </c>
      <c r="DG32" t="n">
        <v>224815.807701116</v>
      </c>
      <c r="DH32" t="n">
        <v>134.802160580974</v>
      </c>
      <c r="DI32" t="n">
        <v>4.94027951509709</v>
      </c>
      <c r="DJ32" t="n">
        <v>4.26256022639853</v>
      </c>
      <c r="DK32" t="n">
        <v>0.0411256875275234</v>
      </c>
      <c r="DL32" t="n">
        <v>0.670223574218165</v>
      </c>
      <c r="DM32" t="n">
        <v>1.40448829958451</v>
      </c>
      <c r="DN32" t="n">
        <v>0.0357615042376472</v>
      </c>
      <c r="DO32" t="n">
        <v>0.0465455822795444</v>
      </c>
      <c r="DP32" t="n">
        <v>30181.575</v>
      </c>
      <c r="DQ32" t="n">
        <v>25314.3688110559</v>
      </c>
      <c r="DR32" t="n">
        <v>179570.034385922</v>
      </c>
      <c r="DS32" t="n">
        <v>31704.3464495179</v>
      </c>
      <c r="DT32" t="n">
        <v>13541.4268656758</v>
      </c>
      <c r="DU32" t="n">
        <v>0</v>
      </c>
      <c r="DV32" t="n">
        <v>57.775</v>
      </c>
      <c r="DW32" t="n">
        <v>208288.96</v>
      </c>
      <c r="DX32" t="n">
        <v>2.36547312736412</v>
      </c>
      <c r="DY32" t="n">
        <v>73.306</v>
      </c>
      <c r="DZ32" t="n">
        <v>1.02062376390299</v>
      </c>
      <c r="EA32" t="n">
        <v>1.20449936397015</v>
      </c>
      <c r="EB32" t="n">
        <v>178780562.612743</v>
      </c>
      <c r="EC32" t="n">
        <v>3.16578023222883</v>
      </c>
      <c r="ED32" t="n">
        <v>0.0435</v>
      </c>
      <c r="EE32" t="n">
        <v>0.0304926484848485</v>
      </c>
      <c r="EF32" t="n">
        <v>0.03050813492075</v>
      </c>
      <c r="EG32" t="n">
        <v>0.0441803333333333</v>
      </c>
      <c r="EH32" t="n">
        <v>765113.081086754</v>
      </c>
      <c r="EI32" t="n">
        <v>424185.954588816</v>
      </c>
      <c r="EJ32" t="n">
        <v>1192.08567947825</v>
      </c>
      <c r="EK32" t="n">
        <v>1.30847485835215</v>
      </c>
      <c r="EL32" t="n">
        <v>4.25476757761443</v>
      </c>
    </row>
    <row r="33">
      <c r="A33" s="2" t="n">
        <v>48549</v>
      </c>
      <c r="B33" t="n">
        <v>426797.056058968</v>
      </c>
      <c r="C33" t="n">
        <v>37396.3108298924</v>
      </c>
      <c r="D33" t="n">
        <v>23555.3129816746</v>
      </c>
      <c r="E33" t="n">
        <v>242035.133056084</v>
      </c>
      <c r="F33" t="n">
        <v>60388.1184085695</v>
      </c>
      <c r="G33" t="n">
        <v>13611.4110926597</v>
      </c>
      <c r="H33" t="n">
        <v>69779.0628029079</v>
      </c>
      <c r="I33" t="n">
        <v>83888.7737630049</v>
      </c>
      <c r="J33" t="n">
        <v>99718.4386020316</v>
      </c>
      <c r="K33" t="n">
        <v>393.835257185751</v>
      </c>
      <c r="L33" t="n">
        <v>5288.73527689536</v>
      </c>
      <c r="M33" t="n">
        <v>0.664377342162903</v>
      </c>
      <c r="N33" t="n">
        <v>33613.0175698456</v>
      </c>
      <c r="O33" t="n">
        <v>185.692481268118</v>
      </c>
      <c r="P33" t="n">
        <v>2.15849241271908</v>
      </c>
      <c r="Q33" t="n">
        <v>1.50678304817863</v>
      </c>
      <c r="R33" t="n">
        <v>0.99815052923253</v>
      </c>
      <c r="S33" t="n">
        <v>0.0992810230281761</v>
      </c>
      <c r="T33" t="n">
        <v>7694.38744917021</v>
      </c>
      <c r="U33" t="n">
        <v>0.437539562417749</v>
      </c>
      <c r="V33" t="n">
        <v>0.589005676835356</v>
      </c>
      <c r="W33" t="n">
        <v>29316005.6857359</v>
      </c>
      <c r="X33" t="n">
        <v>86841.7321610009</v>
      </c>
      <c r="Y33" t="n">
        <v>4333965.93974436</v>
      </c>
      <c r="Z33" t="n">
        <v>1220.79252275985</v>
      </c>
      <c r="AA33" t="n">
        <v>1.17823875448042</v>
      </c>
      <c r="AB33" t="n">
        <v>1.08517195866655</v>
      </c>
      <c r="AC33" t="n">
        <v>1.41597480381632</v>
      </c>
      <c r="AD33" t="n">
        <v>1.470623080369</v>
      </c>
      <c r="AE33" t="n">
        <v>136.503824893382</v>
      </c>
      <c r="AF33" t="n">
        <v>100731.516725376</v>
      </c>
      <c r="AG33" t="n">
        <v>1628.3935242393</v>
      </c>
      <c r="AH33" t="n">
        <v>148.103890623618</v>
      </c>
      <c r="AI33" t="n">
        <v>88462.6121147768</v>
      </c>
      <c r="AJ33" t="n">
        <v>106373.830694891</v>
      </c>
      <c r="AK33" t="n">
        <v>538.90633684762</v>
      </c>
      <c r="AL33" t="n">
        <v>28788.431955888</v>
      </c>
      <c r="AM33" t="n">
        <v>18126.3024809304</v>
      </c>
      <c r="AN33" t="n">
        <v>0.898276376349122</v>
      </c>
      <c r="AO33" t="n">
        <v>1.034979013236</v>
      </c>
      <c r="AP33" t="n">
        <v>1.25638190789856</v>
      </c>
      <c r="AQ33" t="n">
        <v>1.32488809967192</v>
      </c>
      <c r="AR33" t="n">
        <v>35211.0645310912</v>
      </c>
      <c r="AS33" t="n">
        <v>226599.470519035</v>
      </c>
      <c r="AT33" t="n">
        <v>0.031663968933807</v>
      </c>
      <c r="AU33" t="n">
        <v>0.0354487018818464</v>
      </c>
      <c r="AV33" t="n">
        <v>0.380652898220171</v>
      </c>
      <c r="AW33" t="n">
        <v>807.569043255004</v>
      </c>
      <c r="AX33" t="n">
        <v>11067.9113445451</v>
      </c>
      <c r="AY33" t="n">
        <v>19269.8604994966</v>
      </c>
      <c r="AZ33" t="n">
        <v>180370.66611355</v>
      </c>
      <c r="BA33" t="n">
        <v>565458.341124567</v>
      </c>
      <c r="BB33" t="n">
        <v>255021.27463211</v>
      </c>
      <c r="BC33" t="n">
        <v>273298.540985401</v>
      </c>
      <c r="BD33" t="n">
        <v>114856.672642394</v>
      </c>
      <c r="BE33" t="n">
        <v>22.3111188062359</v>
      </c>
      <c r="BF33" t="n">
        <v>54995.877827093</v>
      </c>
      <c r="BG33" t="n">
        <v>23890.0026618481</v>
      </c>
      <c r="BH33" t="n">
        <v>27753.7826289248</v>
      </c>
      <c r="BI33" t="n">
        <v>95997.1451641922</v>
      </c>
      <c r="BJ33" t="n">
        <v>48856.9184458458</v>
      </c>
      <c r="BK33" t="n">
        <v>89574.7176826254</v>
      </c>
      <c r="BL33" t="n">
        <v>29035.4991414084</v>
      </c>
      <c r="BM33" t="n">
        <v>18760.3426553306</v>
      </c>
      <c r="BN33" t="n">
        <v>48064.4498706163</v>
      </c>
      <c r="BO33" t="n">
        <v>197024.569349981</v>
      </c>
      <c r="BP33" t="n">
        <v>226180.381422386</v>
      </c>
      <c r="BQ33" t="n">
        <v>1042817.53041218</v>
      </c>
      <c r="BR33" t="n">
        <v>767070.007814263</v>
      </c>
      <c r="BS33" t="n">
        <v>813728.784023485</v>
      </c>
      <c r="BT33" t="n">
        <v>131.797242291757</v>
      </c>
      <c r="BU33" t="n">
        <v>1.35948154338583</v>
      </c>
      <c r="BV33" t="n">
        <v>1.09233155033062</v>
      </c>
      <c r="BW33" t="n">
        <v>109.435552889052</v>
      </c>
      <c r="BX33" t="n">
        <v>90808.48682427</v>
      </c>
      <c r="BY33" t="n">
        <v>1.63433244517161</v>
      </c>
      <c r="BZ33" t="n">
        <v>148411.256313843</v>
      </c>
      <c r="CA33" t="n">
        <v>10607.1544930712</v>
      </c>
      <c r="CB33" t="n">
        <v>15895.8897699666</v>
      </c>
      <c r="CC33" t="n">
        <v>16869.9730667486</v>
      </c>
      <c r="CD33" t="n">
        <v>974.08329678205</v>
      </c>
      <c r="CE33" t="n">
        <v>0.0577406505199526</v>
      </c>
      <c r="CF33" t="n">
        <v>11899446.5760084</v>
      </c>
      <c r="CG33" t="n">
        <v>490914.740584755</v>
      </c>
      <c r="CH33" t="n">
        <v>659788.21694048</v>
      </c>
      <c r="CI33" t="n">
        <v>377003.373142611</v>
      </c>
      <c r="CJ33" t="n">
        <v>19275.5340344788</v>
      </c>
      <c r="CK33" t="n">
        <v>954973.984154529</v>
      </c>
      <c r="CL33" t="n">
        <v>0.0700388874887939</v>
      </c>
      <c r="CM33" t="n">
        <v>14.2777824699171</v>
      </c>
      <c r="CN33" t="n">
        <v>1218663.45717568</v>
      </c>
      <c r="CO33" t="n">
        <v>3395112.10584388</v>
      </c>
      <c r="CP33" t="n">
        <v>3403018.81876636</v>
      </c>
      <c r="CQ33" t="n">
        <v>4613775.56301956</v>
      </c>
      <c r="CR33" t="n">
        <v>10073106.8929289</v>
      </c>
      <c r="CS33" t="n">
        <v>-0.0108667978476268</v>
      </c>
      <c r="CT33" t="n">
        <v>-0.00708206489958743</v>
      </c>
      <c r="CU33" t="n">
        <v>0.0567502562467423</v>
      </c>
      <c r="CV33" t="n">
        <v>1.79333262332598</v>
      </c>
      <c r="CW33" t="n">
        <v>0.0567502562467423</v>
      </c>
      <c r="CX33" t="n">
        <v>0.039440022763365</v>
      </c>
      <c r="CY33" t="n">
        <v>0.0187275728934862</v>
      </c>
      <c r="CZ33" t="n">
        <v>-0.0258096377930736</v>
      </c>
      <c r="DA33" t="n">
        <v>0.583165005532127</v>
      </c>
      <c r="DB33" t="n">
        <v>6.5742700750343</v>
      </c>
      <c r="DC33" t="n">
        <v>0.049393460183807</v>
      </c>
      <c r="DD33" t="n">
        <v>0.0336946601662624</v>
      </c>
      <c r="DE33" t="n">
        <v>0.00661553055600615</v>
      </c>
      <c r="DF33" t="n">
        <v>0.123959965598022</v>
      </c>
      <c r="DG33" t="n">
        <v>225483.031859392</v>
      </c>
      <c r="DH33" t="n">
        <v>135.889122224532</v>
      </c>
      <c r="DI33" t="n">
        <v>4.94846776798476</v>
      </c>
      <c r="DJ33" t="n">
        <v>4.2678272754556</v>
      </c>
      <c r="DK33" t="n">
        <v>0.0411256875275234</v>
      </c>
      <c r="DL33" t="n">
        <v>0.670223574218165</v>
      </c>
      <c r="DM33" t="n">
        <v>1.41887596417708</v>
      </c>
      <c r="DN33" t="n">
        <v>0.0357615042376472</v>
      </c>
      <c r="DO33" t="n">
        <v>0.0465455822795444</v>
      </c>
      <c r="DP33" t="n">
        <v>30271.15</v>
      </c>
      <c r="DQ33" t="n">
        <v>25392.1559272745</v>
      </c>
      <c r="DR33" t="n">
        <v>180102.97495745</v>
      </c>
      <c r="DS33" t="n">
        <v>31798.4408376741</v>
      </c>
      <c r="DT33" t="n">
        <v>13581.6160642677</v>
      </c>
      <c r="DU33" t="n">
        <v>0</v>
      </c>
      <c r="DV33" t="n">
        <v>57.775</v>
      </c>
      <c r="DW33" t="n">
        <v>208288.96</v>
      </c>
      <c r="DX33" t="n">
        <v>2.37721280863348</v>
      </c>
      <c r="DY33" t="n">
        <v>73.306</v>
      </c>
      <c r="DZ33" t="n">
        <v>1.02062376390299</v>
      </c>
      <c r="EA33" t="n">
        <v>1.20449936397015</v>
      </c>
      <c r="EB33" t="n">
        <v>180011806.243249</v>
      </c>
      <c r="EC33" t="n">
        <v>3.16578023222883</v>
      </c>
      <c r="ED33" t="n">
        <v>0.0435</v>
      </c>
      <c r="EE33" t="n">
        <v>0.0304926484848485</v>
      </c>
      <c r="EF33" t="n">
        <v>0.03050813492075</v>
      </c>
      <c r="EG33" t="n">
        <v>0.0441803333333333</v>
      </c>
      <c r="EH33" t="n">
        <v>767469.458579902</v>
      </c>
      <c r="EI33" t="n">
        <v>426669.812935501</v>
      </c>
      <c r="EJ33" t="n">
        <v>1210.77312401393</v>
      </c>
      <c r="EK33" t="n">
        <v>1.27440404869799</v>
      </c>
      <c r="EL33" t="n">
        <v>4.25307667814339</v>
      </c>
    </row>
    <row r="34">
      <c r="A34" s="2" t="n">
        <v>48639</v>
      </c>
      <c r="B34" t="n">
        <v>429339.299485114</v>
      </c>
      <c r="C34" t="n">
        <v>37548.8421094986</v>
      </c>
      <c r="D34" t="n">
        <v>23660.6734673021</v>
      </c>
      <c r="E34" t="n">
        <v>242821.869813414</v>
      </c>
      <c r="F34" t="n">
        <v>61302.1198596766</v>
      </c>
      <c r="G34" t="n">
        <v>13746.1220154405</v>
      </c>
      <c r="H34" t="n">
        <v>70708.3104639316</v>
      </c>
      <c r="I34" t="n">
        <v>84016.3445404606</v>
      </c>
      <c r="J34" t="n">
        <v>99793.9487304131</v>
      </c>
      <c r="K34" t="n">
        <v>393.437566804653</v>
      </c>
      <c r="L34" t="n">
        <v>5312.06221432446</v>
      </c>
      <c r="M34" t="n">
        <v>0.664311411165227</v>
      </c>
      <c r="N34" t="n">
        <v>33891.3194903069</v>
      </c>
      <c r="O34" t="n">
        <v>187.633166581616</v>
      </c>
      <c r="P34" t="n">
        <v>2.1971591046232</v>
      </c>
      <c r="Q34" t="n">
        <v>1.52014553423441</v>
      </c>
      <c r="R34" t="n">
        <v>1.00268807402378</v>
      </c>
      <c r="S34" t="n">
        <v>0.099494299752661</v>
      </c>
      <c r="T34" t="n">
        <v>7601.05737150004</v>
      </c>
      <c r="U34" t="n">
        <v>0.436694146994883</v>
      </c>
      <c r="V34" t="n">
        <v>0.585111033272365</v>
      </c>
      <c r="W34" t="n">
        <v>29793771.7095969</v>
      </c>
      <c r="X34" t="n">
        <v>88176.1230454822</v>
      </c>
      <c r="Y34" t="n">
        <v>4338444.14607527</v>
      </c>
      <c r="Z34" t="n">
        <v>1239.82951092138</v>
      </c>
      <c r="AA34" t="n">
        <v>1.18440636120514</v>
      </c>
      <c r="AB34" t="n">
        <v>1.08935658756273</v>
      </c>
      <c r="AC34" t="n">
        <v>1.428608343781</v>
      </c>
      <c r="AD34" t="n">
        <v>1.48749812423269</v>
      </c>
      <c r="AE34" t="n">
        <v>137.624563719929</v>
      </c>
      <c r="AF34" t="n">
        <v>101693.254470249</v>
      </c>
      <c r="AG34" t="n">
        <v>1658.33423194009</v>
      </c>
      <c r="AH34" t="n">
        <v>150.98272441661</v>
      </c>
      <c r="AI34" t="n">
        <v>89135.3485791958</v>
      </c>
      <c r="AJ34" t="n">
        <v>107596.969580154</v>
      </c>
      <c r="AK34" t="n">
        <v>541.343541826546</v>
      </c>
      <c r="AL34" t="n">
        <v>29112.1658088118</v>
      </c>
      <c r="AM34" t="n">
        <v>18073.5153329716</v>
      </c>
      <c r="AN34" t="n">
        <v>0.902373515304635</v>
      </c>
      <c r="AO34" t="n">
        <v>1.04117199748319</v>
      </c>
      <c r="AP34" t="n">
        <v>1.26467782803192</v>
      </c>
      <c r="AQ34" t="n">
        <v>1.33700014334171</v>
      </c>
      <c r="AR34" t="n">
        <v>35341.8493139714</v>
      </c>
      <c r="AS34" t="n">
        <v>228525.412991428</v>
      </c>
      <c r="AT34" t="n">
        <v>0.0313199306877496</v>
      </c>
      <c r="AU34" t="n">
        <v>0.0351217440118345</v>
      </c>
      <c r="AV34" t="n">
        <v>0.381983540347966</v>
      </c>
      <c r="AW34" t="n">
        <v>786.736757330073</v>
      </c>
      <c r="AX34" t="n">
        <v>11113.0549066369</v>
      </c>
      <c r="AY34" t="n">
        <v>19331.4986036686</v>
      </c>
      <c r="AZ34" t="n">
        <v>180585.811981025</v>
      </c>
      <c r="BA34" t="n">
        <v>574026.705557602</v>
      </c>
      <c r="BB34" t="n">
        <v>258057.976111218</v>
      </c>
      <c r="BC34" t="n">
        <v>276561.97261811</v>
      </c>
      <c r="BD34" t="n">
        <v>115093.694673497</v>
      </c>
      <c r="BE34" t="n">
        <v>22.3358201648638</v>
      </c>
      <c r="BF34" t="n">
        <v>55853.8322049887</v>
      </c>
      <c r="BG34" t="n">
        <v>24417.1497682948</v>
      </c>
      <c r="BH34" t="n">
        <v>28023.8521650704</v>
      </c>
      <c r="BI34" t="n">
        <v>97100.178212607</v>
      </c>
      <c r="BJ34" t="n">
        <v>49165.7906840267</v>
      </c>
      <c r="BK34" t="n">
        <v>90051.4163219933</v>
      </c>
      <c r="BL34" t="n">
        <v>29386.6912724256</v>
      </c>
      <c r="BM34" t="n">
        <v>18817.6380607731</v>
      </c>
      <c r="BN34" t="n">
        <v>48639.0659289078</v>
      </c>
      <c r="BO34" t="n">
        <v>198484.3715841</v>
      </c>
      <c r="BP34" t="n">
        <v>229139.706217865</v>
      </c>
      <c r="BQ34" t="n">
        <v>1055990.15007004</v>
      </c>
      <c r="BR34" t="n">
        <v>769523.618731056</v>
      </c>
      <c r="BS34" t="n">
        <v>817893.189935655</v>
      </c>
      <c r="BT34" t="n">
        <v>132.920473884198</v>
      </c>
      <c r="BU34" t="n">
        <v>1.37226475059627</v>
      </c>
      <c r="BV34" t="n">
        <v>1.09911387504216</v>
      </c>
      <c r="BW34" t="n">
        <v>109.616729620751</v>
      </c>
      <c r="BX34" t="n">
        <v>91349.3932700618</v>
      </c>
      <c r="BY34" t="n">
        <v>1.66610049294087</v>
      </c>
      <c r="BZ34" t="n">
        <v>152197.269157099</v>
      </c>
      <c r="CA34" t="n">
        <v>10628.8475582161</v>
      </c>
      <c r="CB34" t="n">
        <v>15940.9097725406</v>
      </c>
      <c r="CC34" t="n">
        <v>16919.9842529357</v>
      </c>
      <c r="CD34" t="n">
        <v>979.07448039508</v>
      </c>
      <c r="CE34" t="n">
        <v>0.0578649710819601</v>
      </c>
      <c r="CF34" t="n">
        <v>11934658.0868709</v>
      </c>
      <c r="CG34" t="n">
        <v>496381.182071347</v>
      </c>
      <c r="CH34" t="n">
        <v>666444.019396263</v>
      </c>
      <c r="CI34" t="n">
        <v>382168.684794638</v>
      </c>
      <c r="CJ34" t="n">
        <v>19469.9815003006</v>
      </c>
      <c r="CK34" t="n">
        <v>967036.985312031</v>
      </c>
      <c r="CL34" t="n">
        <v>0.0712195047831502</v>
      </c>
      <c r="CM34" t="n">
        <v>14.0410973516989</v>
      </c>
      <c r="CN34" t="n">
        <v>1222770.95662743</v>
      </c>
      <c r="CO34" t="n">
        <v>3427637.01566896</v>
      </c>
      <c r="CP34" t="n">
        <v>3413268.93371612</v>
      </c>
      <c r="CQ34" t="n">
        <v>4650407.97229639</v>
      </c>
      <c r="CR34" t="n">
        <v>10119989.4171554</v>
      </c>
      <c r="CS34" t="n">
        <v>-0.0111801319687018</v>
      </c>
      <c r="CT34" t="n">
        <v>-0.00737831864461682</v>
      </c>
      <c r="CU34" t="n">
        <v>0.0569942370962096</v>
      </c>
      <c r="CV34" t="n">
        <v>1.81207486997236</v>
      </c>
      <c r="CW34" t="n">
        <v>0.0569942370962094</v>
      </c>
      <c r="CX34" t="n">
        <v>0.039440022763365</v>
      </c>
      <c r="CY34" t="n">
        <v>0.0188638103583651</v>
      </c>
      <c r="CZ34" t="n">
        <v>-0.0262421290029819</v>
      </c>
      <c r="DA34" t="n">
        <v>0.578874719719018</v>
      </c>
      <c r="DB34" t="n">
        <v>6.60773110377628</v>
      </c>
      <c r="DC34" t="n">
        <v>0.0490494219377496</v>
      </c>
      <c r="DD34" t="n">
        <v>0.0334532299013437</v>
      </c>
      <c r="DE34" t="n">
        <v>0.00659173103695008</v>
      </c>
      <c r="DF34" t="n">
        <v>0.124749373542497</v>
      </c>
      <c r="DG34" t="n">
        <v>226150.256017668</v>
      </c>
      <c r="DH34" t="n">
        <v>136.964172260697</v>
      </c>
      <c r="DI34" t="n">
        <v>4.95650507164124</v>
      </c>
      <c r="DJ34" t="n">
        <v>4.27294337528148</v>
      </c>
      <c r="DK34" t="n">
        <v>0.0411256875275234</v>
      </c>
      <c r="DL34" t="n">
        <v>0.670223574218165</v>
      </c>
      <c r="DM34" t="n">
        <v>1.43341101689134</v>
      </c>
      <c r="DN34" t="n">
        <v>0.0357615042376472</v>
      </c>
      <c r="DO34" t="n">
        <v>0.0465455822795444</v>
      </c>
      <c r="DP34" t="n">
        <v>30360.725</v>
      </c>
      <c r="DQ34" t="n">
        <v>25469.9587701759</v>
      </c>
      <c r="DR34" t="n">
        <v>180635.915528978</v>
      </c>
      <c r="DS34" t="n">
        <v>31892.5352258304</v>
      </c>
      <c r="DT34" t="n">
        <v>13621.8052628597</v>
      </c>
      <c r="DU34" t="n">
        <v>0</v>
      </c>
      <c r="DV34" t="n">
        <v>57.775</v>
      </c>
      <c r="DW34" t="n">
        <v>208288.96</v>
      </c>
      <c r="DX34" t="n">
        <v>2.38901075313767</v>
      </c>
      <c r="DY34" t="n">
        <v>73.306</v>
      </c>
      <c r="DZ34" t="n">
        <v>1.02062376390299</v>
      </c>
      <c r="EA34" t="n">
        <v>1.20449936397015</v>
      </c>
      <c r="EB34" t="n">
        <v>181251529.323957</v>
      </c>
      <c r="EC34" t="n">
        <v>3.16578023222883</v>
      </c>
      <c r="ED34" t="n">
        <v>0.0435</v>
      </c>
      <c r="EE34" t="n">
        <v>0.0304926484848485</v>
      </c>
      <c r="EF34" t="n">
        <v>0.03050813492075</v>
      </c>
      <c r="EG34" t="n">
        <v>0.0441803333333333</v>
      </c>
      <c r="EH34" t="n">
        <v>769836.407955573</v>
      </c>
      <c r="EI34" t="n">
        <v>429168.225026281</v>
      </c>
      <c r="EJ34" t="n">
        <v>1229.75463436567</v>
      </c>
      <c r="EK34" t="n">
        <v>1.24251058609139</v>
      </c>
      <c r="EL34" t="n">
        <v>4.25000626564513</v>
      </c>
    </row>
    <row r="35">
      <c r="A35" s="2" t="n">
        <v>48731</v>
      </c>
      <c r="B35" t="n">
        <v>431523.753924793</v>
      </c>
      <c r="C35" t="n">
        <v>37701.6683463219</v>
      </c>
      <c r="D35" t="n">
        <v>23760.9055348431</v>
      </c>
      <c r="E35" t="n">
        <v>243616.550719639</v>
      </c>
      <c r="F35" t="n">
        <v>62166.2502603088</v>
      </c>
      <c r="G35" t="n">
        <v>13880.2266792659</v>
      </c>
      <c r="H35" t="n">
        <v>71626.9816757671</v>
      </c>
      <c r="I35" t="n">
        <v>84449.3365916128</v>
      </c>
      <c r="J35" t="n">
        <v>99854.2827738553</v>
      </c>
      <c r="K35" t="n">
        <v>393.01859548963</v>
      </c>
      <c r="L35" t="n">
        <v>5335.13986541733</v>
      </c>
      <c r="M35" t="n">
        <v>0.664251796560401</v>
      </c>
      <c r="N35" t="n">
        <v>34175.472286895</v>
      </c>
      <c r="O35" t="n">
        <v>189.589002922267</v>
      </c>
      <c r="P35" t="n">
        <v>2.23655444596714</v>
      </c>
      <c r="Q35" t="n">
        <v>1.53334070202726</v>
      </c>
      <c r="R35" t="n">
        <v>1.00724458038105</v>
      </c>
      <c r="S35" t="n">
        <v>0.0996024858025612</v>
      </c>
      <c r="T35" t="n">
        <v>7506.0653208905</v>
      </c>
      <c r="U35" t="n">
        <v>0.435901766709099</v>
      </c>
      <c r="V35" t="n">
        <v>0.581308922683997</v>
      </c>
      <c r="W35" t="n">
        <v>30276982.1196016</v>
      </c>
      <c r="X35" t="n">
        <v>89529.0695876377</v>
      </c>
      <c r="Y35" t="n">
        <v>4342113.84274527</v>
      </c>
      <c r="Z35" t="n">
        <v>1259.011983268</v>
      </c>
      <c r="AA35" t="n">
        <v>1.19065662751616</v>
      </c>
      <c r="AB35" t="n">
        <v>1.0935987235666</v>
      </c>
      <c r="AC35" t="n">
        <v>1.4414293577805</v>
      </c>
      <c r="AD35" t="n">
        <v>1.50467538546839</v>
      </c>
      <c r="AE35" t="n">
        <v>138.755705280034</v>
      </c>
      <c r="AF35" t="n">
        <v>102640.143204397</v>
      </c>
      <c r="AG35" t="n">
        <v>1688.41877178638</v>
      </c>
      <c r="AH35" t="n">
        <v>153.908309813012</v>
      </c>
      <c r="AI35" t="n">
        <v>89778.9032933125</v>
      </c>
      <c r="AJ35" t="n">
        <v>108766.101193407</v>
      </c>
      <c r="AK35" t="n">
        <v>543.709621257493</v>
      </c>
      <c r="AL35" t="n">
        <v>29426.1988997172</v>
      </c>
      <c r="AM35" t="n">
        <v>18014.4451771031</v>
      </c>
      <c r="AN35" t="n">
        <v>0.90652280342006</v>
      </c>
      <c r="AO35" t="n">
        <v>1.04757886001876</v>
      </c>
      <c r="AP35" t="n">
        <v>1.27306874053755</v>
      </c>
      <c r="AQ35" t="n">
        <v>1.34924101447976</v>
      </c>
      <c r="AR35" t="n">
        <v>35456.6320728339</v>
      </c>
      <c r="AS35" t="n">
        <v>230315.057495527</v>
      </c>
      <c r="AT35" t="n">
        <v>0.0308018919201996</v>
      </c>
      <c r="AU35" t="n">
        <v>0.034785978941704</v>
      </c>
      <c r="AV35" t="n">
        <v>0.384404028588655</v>
      </c>
      <c r="AW35" t="n">
        <v>794.680906225403</v>
      </c>
      <c r="AX35" t="n">
        <v>11158.285765049</v>
      </c>
      <c r="AY35" t="n">
        <v>19386.3310794932</v>
      </c>
      <c r="AZ35" t="n">
        <v>180756.691103285</v>
      </c>
      <c r="BA35" t="n">
        <v>582229.548118653</v>
      </c>
      <c r="BB35" t="n">
        <v>261142.10789878</v>
      </c>
      <c r="BC35" t="n">
        <v>279739.800719456</v>
      </c>
      <c r="BD35" t="n">
        <v>115772.920792407</v>
      </c>
      <c r="BE35" t="n">
        <v>22.4066060233538</v>
      </c>
      <c r="BF35" t="n">
        <v>56728.7723518035</v>
      </c>
      <c r="BG35" t="n">
        <v>24956.1136371921</v>
      </c>
      <c r="BH35" t="n">
        <v>28291.0796508464</v>
      </c>
      <c r="BI35" t="n">
        <v>98182.0931114132</v>
      </c>
      <c r="BJ35" t="n">
        <v>49508.8661566387</v>
      </c>
      <c r="BK35" t="n">
        <v>90520.1843536547</v>
      </c>
      <c r="BL35" t="n">
        <v>29725.850507163</v>
      </c>
      <c r="BM35" t="n">
        <v>18871.5519425001</v>
      </c>
      <c r="BN35" t="n">
        <v>49198.0999012075</v>
      </c>
      <c r="BO35" t="n">
        <v>199905.246704525</v>
      </c>
      <c r="BP35" t="n">
        <v>231983.59344252</v>
      </c>
      <c r="BQ35" t="n">
        <v>1068960.23418733</v>
      </c>
      <c r="BR35" t="n">
        <v>771706.319940407</v>
      </c>
      <c r="BS35" t="n">
        <v>821694.657020473</v>
      </c>
      <c r="BT35" t="n">
        <v>134.057554163009</v>
      </c>
      <c r="BU35" t="n">
        <v>1.38519044463052</v>
      </c>
      <c r="BV35" t="n">
        <v>1.10593552849614</v>
      </c>
      <c r="BW35" t="n">
        <v>109.798111604408</v>
      </c>
      <c r="BX35" t="n">
        <v>91814.1738944539</v>
      </c>
      <c r="BY35" t="n">
        <v>1.69838444655158</v>
      </c>
      <c r="BZ35" t="n">
        <v>155935.764915323</v>
      </c>
      <c r="CA35" t="n">
        <v>10649.1783274906</v>
      </c>
      <c r="CB35" t="n">
        <v>15984.318192908</v>
      </c>
      <c r="CC35" t="n">
        <v>16970.1569960607</v>
      </c>
      <c r="CD35" t="n">
        <v>985.838803152728</v>
      </c>
      <c r="CE35" t="n">
        <v>0.0580924928341363</v>
      </c>
      <c r="CF35" t="n">
        <v>11969869.5977334</v>
      </c>
      <c r="CG35" t="n">
        <v>501905.978711226</v>
      </c>
      <c r="CH35" t="n">
        <v>673468.812772963</v>
      </c>
      <c r="CI35" t="n">
        <v>387107.46228431</v>
      </c>
      <c r="CJ35" t="n">
        <v>19675.2089359248</v>
      </c>
      <c r="CK35" t="n">
        <v>978914.511862061</v>
      </c>
      <c r="CL35" t="n">
        <v>0.07243603646031</v>
      </c>
      <c r="CM35" t="n">
        <v>13.8052832383772</v>
      </c>
      <c r="CN35" t="n">
        <v>1226918.26780075</v>
      </c>
      <c r="CO35" t="n">
        <v>3460298.78312263</v>
      </c>
      <c r="CP35" t="n">
        <v>3423589.81383044</v>
      </c>
      <c r="CQ35" t="n">
        <v>4687217.05092338</v>
      </c>
      <c r="CR35" t="n">
        <v>10167119.3758968</v>
      </c>
      <c r="CS35" t="n">
        <v>-0.0116711983209856</v>
      </c>
      <c r="CT35" t="n">
        <v>-0.00768711129948122</v>
      </c>
      <c r="CU35" t="n">
        <v>0.057129395561376</v>
      </c>
      <c r="CV35" t="n">
        <v>1.83096343827423</v>
      </c>
      <c r="CW35" t="n">
        <v>0.0571293955613758</v>
      </c>
      <c r="CX35" t="n">
        <v>0.039440022763365</v>
      </c>
      <c r="CY35" t="n">
        <v>0.019000022763365</v>
      </c>
      <c r="CZ35" t="n">
        <v>-0.0266871340628462</v>
      </c>
      <c r="DA35" t="n">
        <v>0.574685971992702</v>
      </c>
      <c r="DB35" t="n">
        <v>6.64074373440424</v>
      </c>
      <c r="DC35" t="n">
        <v>0.0485313831701996</v>
      </c>
      <c r="DD35" t="n">
        <v>0.0330930480647857</v>
      </c>
      <c r="DE35" t="n">
        <v>0.00656730470923246</v>
      </c>
      <c r="DF35" t="n">
        <v>0.125532268164649</v>
      </c>
      <c r="DG35" t="n">
        <v>226817.480175945</v>
      </c>
      <c r="DH35" t="n">
        <v>138.096901322459</v>
      </c>
      <c r="DI35" t="n">
        <v>4.96489852242816</v>
      </c>
      <c r="DJ35" t="n">
        <v>4.2784156222378</v>
      </c>
      <c r="DK35" t="n">
        <v>0.0411256875275234</v>
      </c>
      <c r="DL35" t="n">
        <v>0.670223574218165</v>
      </c>
      <c r="DM35" t="n">
        <v>1.4480949675803</v>
      </c>
      <c r="DN35" t="n">
        <v>0.0357615042376472</v>
      </c>
      <c r="DO35" t="n">
        <v>0.0465455822795444</v>
      </c>
      <c r="DP35" t="n">
        <v>30450.3</v>
      </c>
      <c r="DQ35" t="n">
        <v>25547.77733976</v>
      </c>
      <c r="DR35" t="n">
        <v>181168.856100506</v>
      </c>
      <c r="DS35" t="n">
        <v>31986.6296139866</v>
      </c>
      <c r="DT35" t="n">
        <v>13661.9944614517</v>
      </c>
      <c r="DU35" t="n">
        <v>0</v>
      </c>
      <c r="DV35" t="n">
        <v>57.775</v>
      </c>
      <c r="DW35" t="n">
        <v>208288.96</v>
      </c>
      <c r="DX35" t="n">
        <v>2.40086725003314</v>
      </c>
      <c r="DY35" t="n">
        <v>73.306</v>
      </c>
      <c r="DZ35" t="n">
        <v>1.02062376390299</v>
      </c>
      <c r="EA35" t="n">
        <v>1.20449936397015</v>
      </c>
      <c r="EB35" t="n">
        <v>182499790.251982</v>
      </c>
      <c r="EC35" t="n">
        <v>3.16578023222883</v>
      </c>
      <c r="ED35" t="n">
        <v>0.0435</v>
      </c>
      <c r="EE35" t="n">
        <v>0.0304926484848485</v>
      </c>
      <c r="EF35" t="n">
        <v>0.03050813492075</v>
      </c>
      <c r="EG35" t="n">
        <v>0.0441803333333333</v>
      </c>
      <c r="EH35" t="n">
        <v>772159.413468397</v>
      </c>
      <c r="EI35" t="n">
        <v>431607.494969584</v>
      </c>
      <c r="EJ35" t="n">
        <v>1249.00165165417</v>
      </c>
      <c r="EK35" t="n">
        <v>1.27002315455287</v>
      </c>
      <c r="EL35" t="n">
        <v>4.24730902411852</v>
      </c>
    </row>
    <row r="36">
      <c r="A36" s="2" t="n">
        <v>48823</v>
      </c>
      <c r="B36" t="n">
        <v>433762.591269522</v>
      </c>
      <c r="C36" t="n">
        <v>37851.939929297</v>
      </c>
      <c r="D36" t="n">
        <v>23858.2602089614</v>
      </c>
      <c r="E36" t="n">
        <v>244388.361612099</v>
      </c>
      <c r="F36" t="n">
        <v>63069.5419734471</v>
      </c>
      <c r="G36" t="n">
        <v>14017.5705076065</v>
      </c>
      <c r="H36" t="n">
        <v>72563.6781065452</v>
      </c>
      <c r="I36" t="n">
        <v>88950.1574380425</v>
      </c>
      <c r="J36" t="n">
        <v>99932.304694322</v>
      </c>
      <c r="K36" t="n">
        <v>392.606919124149</v>
      </c>
      <c r="L36" t="n">
        <v>5358.16865232597</v>
      </c>
      <c r="M36" t="n">
        <v>0.664183282483687</v>
      </c>
      <c r="N36" t="n">
        <v>34457.1411408913</v>
      </c>
      <c r="O36" t="n">
        <v>191.564225941957</v>
      </c>
      <c r="P36" t="n">
        <v>2.27667755112158</v>
      </c>
      <c r="Q36" t="n">
        <v>1.54639749099859</v>
      </c>
      <c r="R36" t="n">
        <v>1.01184371600584</v>
      </c>
      <c r="S36" t="n">
        <v>0.0996731709849711</v>
      </c>
      <c r="T36" t="n">
        <v>7410.24533169358</v>
      </c>
      <c r="U36" t="n">
        <v>0.435131797792731</v>
      </c>
      <c r="V36" t="n">
        <v>0.577558178280118</v>
      </c>
      <c r="W36" t="n">
        <v>30768472.1106072</v>
      </c>
      <c r="X36" t="n">
        <v>90902.7775616014</v>
      </c>
      <c r="Y36" t="n">
        <v>4345699.91667158</v>
      </c>
      <c r="Z36" t="n">
        <v>1278.58523286072</v>
      </c>
      <c r="AA36" t="n">
        <v>1.1969779242755</v>
      </c>
      <c r="AB36" t="n">
        <v>1.0979218136738</v>
      </c>
      <c r="AC36" t="n">
        <v>1.4542773261342</v>
      </c>
      <c r="AD36" t="n">
        <v>1.52215405090848</v>
      </c>
      <c r="AE36" t="n">
        <v>139.897130326077</v>
      </c>
      <c r="AF36" t="n">
        <v>103605.634038061</v>
      </c>
      <c r="AG36" t="n">
        <v>1719.05873159951</v>
      </c>
      <c r="AH36" t="n">
        <v>156.885506931204</v>
      </c>
      <c r="AI36" t="n">
        <v>90395.0773751637</v>
      </c>
      <c r="AJ36" t="n">
        <v>110016.138208175</v>
      </c>
      <c r="AK36" t="n">
        <v>546.398876346123</v>
      </c>
      <c r="AL36" t="n">
        <v>29746.9399681251</v>
      </c>
      <c r="AM36" t="n">
        <v>17957.2881099772</v>
      </c>
      <c r="AN36" t="n">
        <v>0.910783062625052</v>
      </c>
      <c r="AO36" t="n">
        <v>1.05389409529003</v>
      </c>
      <c r="AP36" t="n">
        <v>1.28157638364128</v>
      </c>
      <c r="AQ36" t="n">
        <v>1.36163717073852</v>
      </c>
      <c r="AR36" t="n">
        <v>35577.6325245324</v>
      </c>
      <c r="AS36" t="n">
        <v>232046.430568979</v>
      </c>
      <c r="AT36" t="n">
        <v>0.0302974573383214</v>
      </c>
      <c r="AU36" t="n">
        <v>0.0344427988776399</v>
      </c>
      <c r="AV36" t="n">
        <v>0.38645099774147</v>
      </c>
      <c r="AW36" t="n">
        <v>771.810892459122</v>
      </c>
      <c r="AX36" t="n">
        <v>11202.7605413321</v>
      </c>
      <c r="AY36" t="n">
        <v>19443.0007941291</v>
      </c>
      <c r="AZ36" t="n">
        <v>180955.226122961</v>
      </c>
      <c r="BA36" t="n">
        <v>590627.268168602</v>
      </c>
      <c r="BB36" t="n">
        <v>264241.558348481</v>
      </c>
      <c r="BC36" t="n">
        <v>283003.364593785</v>
      </c>
      <c r="BD36" t="n">
        <v>120453.786990161</v>
      </c>
      <c r="BE36" t="n">
        <v>22.8944246202239</v>
      </c>
      <c r="BF36" t="n">
        <v>57616.4836981241</v>
      </c>
      <c r="BG36" t="n">
        <v>25505.0734350414</v>
      </c>
      <c r="BH36" t="n">
        <v>28557.8107817473</v>
      </c>
      <c r="BI36" t="n">
        <v>99246.7263081</v>
      </c>
      <c r="BJ36" t="n">
        <v>49823.2144248994</v>
      </c>
      <c r="BK36" t="n">
        <v>91016.6505246745</v>
      </c>
      <c r="BL36" t="n">
        <v>30066.6076455248</v>
      </c>
      <c r="BM36" t="n">
        <v>18925.0799065268</v>
      </c>
      <c r="BN36" t="n">
        <v>49772.0869397778</v>
      </c>
      <c r="BO36" t="n">
        <v>201369.985016504</v>
      </c>
      <c r="BP36" t="n">
        <v>234794.722592805</v>
      </c>
      <c r="BQ36" t="n">
        <v>1082193.39758869</v>
      </c>
      <c r="BR36" t="n">
        <v>773962.155556675</v>
      </c>
      <c r="BS36" t="n">
        <v>825483.329005499</v>
      </c>
      <c r="BT36" t="n">
        <v>135.208846787889</v>
      </c>
      <c r="BU36" t="n">
        <v>1.39825103226566</v>
      </c>
      <c r="BV36" t="n">
        <v>1.11281663056071</v>
      </c>
      <c r="BW36" t="n">
        <v>109.979101807684</v>
      </c>
      <c r="BX36" t="n">
        <v>92290.525426486</v>
      </c>
      <c r="BY36" t="n">
        <v>1.73123793760739</v>
      </c>
      <c r="BZ36" t="n">
        <v>159776.858900052</v>
      </c>
      <c r="CA36" t="n">
        <v>10669.1489382249</v>
      </c>
      <c r="CB36" t="n">
        <v>16027.3175905509</v>
      </c>
      <c r="CC36" t="n">
        <v>17019.3103975017</v>
      </c>
      <c r="CD36" t="n">
        <v>991.99280695077</v>
      </c>
      <c r="CE36" t="n">
        <v>0.0582863054708569</v>
      </c>
      <c r="CF36" t="n">
        <v>12004933.6978611</v>
      </c>
      <c r="CG36" t="n">
        <v>507403.913342059</v>
      </c>
      <c r="CH36" t="n">
        <v>685157.761051054</v>
      </c>
      <c r="CI36" t="n">
        <v>392264.451370121</v>
      </c>
      <c r="CJ36" t="n">
        <v>20016.6983935669</v>
      </c>
      <c r="CK36" t="n">
        <v>991032.956755647</v>
      </c>
      <c r="CL36" t="n">
        <v>0.0737355987404598</v>
      </c>
      <c r="CM36" t="n">
        <v>13.5619702976832</v>
      </c>
      <c r="CN36" t="n">
        <v>1231099.62694963</v>
      </c>
      <c r="CO36" t="n">
        <v>3493065.97159494</v>
      </c>
      <c r="CP36" t="n">
        <v>3433981.18956629</v>
      </c>
      <c r="CQ36" t="n">
        <v>4724165.59854457</v>
      </c>
      <c r="CR36" t="n">
        <v>10214459.2992538</v>
      </c>
      <c r="CS36" t="n">
        <v>-0.0121088893263919</v>
      </c>
      <c r="CT36" t="n">
        <v>-0.00796354778707344</v>
      </c>
      <c r="CU36" t="n">
        <v>0.0572668243202577</v>
      </c>
      <c r="CV36" t="n">
        <v>1.85003923421042</v>
      </c>
      <c r="CW36" t="n">
        <v>0.0572668243202575</v>
      </c>
      <c r="CX36" t="n">
        <v>0.039440022763365</v>
      </c>
      <c r="CY36" t="n">
        <v>0.0191100583388133</v>
      </c>
      <c r="CZ36" t="n">
        <v>-0.0270736061258868</v>
      </c>
      <c r="DA36" t="n">
        <v>0.570570477223907</v>
      </c>
      <c r="DB36" t="n">
        <v>6.6744467897055</v>
      </c>
      <c r="DC36" t="n">
        <v>0.0480269485883214</v>
      </c>
      <c r="DD36" t="n">
        <v>0.0327434748095662</v>
      </c>
      <c r="DE36" t="n">
        <v>0.00654235390021953</v>
      </c>
      <c r="DF36" t="n">
        <v>0.126378211759938</v>
      </c>
      <c r="DG36" t="n">
        <v>227481.911043019</v>
      </c>
      <c r="DH36" t="n">
        <v>139.2027157043</v>
      </c>
      <c r="DI36" t="n">
        <v>4.97303136110094</v>
      </c>
      <c r="DJ36" t="n">
        <v>4.28362725707999</v>
      </c>
      <c r="DK36" t="n">
        <v>0.0411256875275234</v>
      </c>
      <c r="DL36" t="n">
        <v>0.670223574218165</v>
      </c>
      <c r="DM36" t="n">
        <v>1.46292934156396</v>
      </c>
      <c r="DN36" t="n">
        <v>0.0357615042376472</v>
      </c>
      <c r="DO36" t="n">
        <v>0.0465455822795444</v>
      </c>
      <c r="DP36" t="n">
        <v>30539.5</v>
      </c>
      <c r="DQ36" t="n">
        <v>25624.41850969</v>
      </c>
      <c r="DR36" t="n">
        <v>181699.565550468</v>
      </c>
      <c r="DS36" t="n">
        <v>32080.3300820137</v>
      </c>
      <c r="DT36" t="n">
        <v>13702.0154105379</v>
      </c>
      <c r="DU36" t="n">
        <v>0</v>
      </c>
      <c r="DV36" t="n">
        <v>58.1</v>
      </c>
      <c r="DW36" t="n">
        <v>208288.96</v>
      </c>
      <c r="DX36" t="n">
        <v>2.4127825899114</v>
      </c>
      <c r="DY36" t="n">
        <v>73.306</v>
      </c>
      <c r="DZ36" t="n">
        <v>1.02062376390299</v>
      </c>
      <c r="EA36" t="n">
        <v>1.20449936397015</v>
      </c>
      <c r="EB36" t="n">
        <v>183756647.826614</v>
      </c>
      <c r="EC36" t="n">
        <v>3.16578023222883</v>
      </c>
      <c r="ED36" t="n">
        <v>0.0435</v>
      </c>
      <c r="EE36" t="n">
        <v>0.0304926484848485</v>
      </c>
      <c r="EF36" t="n">
        <v>0.03050813492075</v>
      </c>
      <c r="EG36" t="n">
        <v>0.0441803333333333</v>
      </c>
      <c r="EH36" t="n">
        <v>774458.819684104</v>
      </c>
      <c r="EI36" t="n">
        <v>434004.695053498</v>
      </c>
      <c r="EJ36" t="n">
        <v>1268.53785685126</v>
      </c>
      <c r="EK36" t="n">
        <v>1.21145059221908</v>
      </c>
      <c r="EL36" t="n">
        <v>4.24063466647133</v>
      </c>
    </row>
    <row r="37">
      <c r="A37" s="2" t="n">
        <v>48914</v>
      </c>
      <c r="B37" t="n">
        <v>436126.757022053</v>
      </c>
      <c r="C37" t="n">
        <v>37999.6605326076</v>
      </c>
      <c r="D37" t="n">
        <v>23950.7721276459</v>
      </c>
      <c r="E37" t="n">
        <v>245158.225820376</v>
      </c>
      <c r="F37" t="n">
        <v>64003.4522838035</v>
      </c>
      <c r="G37" t="n">
        <v>14155.9587443076</v>
      </c>
      <c r="H37" t="n">
        <v>73521.8336257523</v>
      </c>
      <c r="I37" t="n">
        <v>88627.8342182537</v>
      </c>
      <c r="J37" t="n">
        <v>100018.644956908</v>
      </c>
      <c r="K37" t="n">
        <v>392.204130847479</v>
      </c>
      <c r="L37" t="n">
        <v>5381.38036737143</v>
      </c>
      <c r="M37" t="n">
        <v>0.664113706317781</v>
      </c>
      <c r="N37" t="n">
        <v>34740.9514164987</v>
      </c>
      <c r="O37" t="n">
        <v>193.556806747399</v>
      </c>
      <c r="P37" t="n">
        <v>2.31759677329316</v>
      </c>
      <c r="Q37" t="n">
        <v>1.55930498004837</v>
      </c>
      <c r="R37" t="n">
        <v>1.01644616492409</v>
      </c>
      <c r="S37" t="n">
        <v>0.0997777621301646</v>
      </c>
      <c r="T37" t="n">
        <v>7318.18777374327</v>
      </c>
      <c r="U37" t="n">
        <v>0.434419864006827</v>
      </c>
      <c r="V37" t="n">
        <v>0.573902120875949</v>
      </c>
      <c r="W37" t="n">
        <v>31268729.6332791</v>
      </c>
      <c r="X37" t="n">
        <v>92299.665440404</v>
      </c>
      <c r="Y37" t="n">
        <v>4349566.56352865</v>
      </c>
      <c r="Z37" t="n">
        <v>1298.44424554933</v>
      </c>
      <c r="AA37" t="n">
        <v>1.20337333444629</v>
      </c>
      <c r="AB37" t="n">
        <v>1.10229334606484</v>
      </c>
      <c r="AC37" t="n">
        <v>1.46721817235366</v>
      </c>
      <c r="AD37" t="n">
        <v>1.53992374609794</v>
      </c>
      <c r="AE37" t="n">
        <v>141.045829574139</v>
      </c>
      <c r="AF37" t="n">
        <v>104593.329155279</v>
      </c>
      <c r="AG37" t="n">
        <v>1749.74710332343</v>
      </c>
      <c r="AH37" t="n">
        <v>159.908349272797</v>
      </c>
      <c r="AI37" t="n">
        <v>91003.3209150515</v>
      </c>
      <c r="AJ37" t="n">
        <v>111321.521985453</v>
      </c>
      <c r="AK37" t="n">
        <v>548.869458385956</v>
      </c>
      <c r="AL37" t="n">
        <v>30080.5686788324</v>
      </c>
      <c r="AM37" t="n">
        <v>17902.3172726039</v>
      </c>
      <c r="AN37" t="n">
        <v>0.915067589758307</v>
      </c>
      <c r="AO37" t="n">
        <v>1.06018406936819</v>
      </c>
      <c r="AP37" t="n">
        <v>1.29019469413608</v>
      </c>
      <c r="AQ37" t="n">
        <v>1.37417272814721</v>
      </c>
      <c r="AR37" t="n">
        <v>35706.1676437239</v>
      </c>
      <c r="AS37" t="n">
        <v>233837.87519387</v>
      </c>
      <c r="AT37" t="n">
        <v>0.0298453101962261</v>
      </c>
      <c r="AU37" t="n">
        <v>0.0340957903180811</v>
      </c>
      <c r="AV37" t="n">
        <v>0.388042848813339</v>
      </c>
      <c r="AW37" t="n">
        <v>769.864208277286</v>
      </c>
      <c r="AX37" t="n">
        <v>11246.4803229073</v>
      </c>
      <c r="AY37" t="n">
        <v>19501.9417568611</v>
      </c>
      <c r="AZ37" t="n">
        <v>181174.071630097</v>
      </c>
      <c r="BA37" t="n">
        <v>599313.496132723</v>
      </c>
      <c r="BB37" t="n">
        <v>267371.571033635</v>
      </c>
      <c r="BC37" t="n">
        <v>286355.142487974</v>
      </c>
      <c r="BD37" t="n">
        <v>120257.237795906</v>
      </c>
      <c r="BE37" t="n">
        <v>22.873941156671</v>
      </c>
      <c r="BF37" t="n">
        <v>58516.5795978232</v>
      </c>
      <c r="BG37" t="n">
        <v>26064.8065072751</v>
      </c>
      <c r="BH37" t="n">
        <v>28821.7205178085</v>
      </c>
      <c r="BI37" t="n">
        <v>100312.354144959</v>
      </c>
      <c r="BJ37" t="n">
        <v>50163.1822128114</v>
      </c>
      <c r="BK37" t="n">
        <v>91523.8203716098</v>
      </c>
      <c r="BL37" t="n">
        <v>30409.4749020869</v>
      </c>
      <c r="BM37" t="n">
        <v>18979.7515771897</v>
      </c>
      <c r="BN37" t="n">
        <v>50362.060362223</v>
      </c>
      <c r="BO37" t="n">
        <v>202864.667213109</v>
      </c>
      <c r="BP37" t="n">
        <v>237683.611454807</v>
      </c>
      <c r="BQ37" t="n">
        <v>1095744.76590534</v>
      </c>
      <c r="BR37" t="n">
        <v>776308.402170766</v>
      </c>
      <c r="BS37" t="n">
        <v>829402.175457893</v>
      </c>
      <c r="BT37" t="n">
        <v>136.372358524423</v>
      </c>
      <c r="BU37" t="n">
        <v>1.41148124606796</v>
      </c>
      <c r="BV37" t="n">
        <v>1.11972240502106</v>
      </c>
      <c r="BW37" t="n">
        <v>110.160522382873</v>
      </c>
      <c r="BX37" t="n">
        <v>92793.5427541393</v>
      </c>
      <c r="BY37" t="n">
        <v>1.76459512555634</v>
      </c>
      <c r="BZ37" t="n">
        <v>163743.033227058</v>
      </c>
      <c r="CA37" t="n">
        <v>10689.6087808746</v>
      </c>
      <c r="CB37" t="n">
        <v>16070.989148246</v>
      </c>
      <c r="CC37" t="n">
        <v>17068.4329926917</v>
      </c>
      <c r="CD37" t="n">
        <v>997.443844445683</v>
      </c>
      <c r="CE37" t="n">
        <v>0.0584379224736217</v>
      </c>
      <c r="CF37" t="n">
        <v>12039997.7979888</v>
      </c>
      <c r="CG37" t="n">
        <v>512977.177275303</v>
      </c>
      <c r="CH37" t="n">
        <v>691487.578349949</v>
      </c>
      <c r="CI37" t="n">
        <v>397599.537550127</v>
      </c>
      <c r="CJ37" t="n">
        <v>20201.6222913331</v>
      </c>
      <c r="CK37" t="n">
        <v>1003442.80202069</v>
      </c>
      <c r="CL37" t="n">
        <v>0.07500073451999</v>
      </c>
      <c r="CM37" t="n">
        <v>13.3332027532806</v>
      </c>
      <c r="CN37" t="n">
        <v>1235311.61333237</v>
      </c>
      <c r="CO37" t="n">
        <v>3525909.46354204</v>
      </c>
      <c r="CP37" t="n">
        <v>3444439.94391971</v>
      </c>
      <c r="CQ37" t="n">
        <v>4761221.07687441</v>
      </c>
      <c r="CR37" t="n">
        <v>10261973.5319371</v>
      </c>
      <c r="CS37" t="n">
        <v>-0.0125060301788627</v>
      </c>
      <c r="CT37" t="n">
        <v>-0.00825555005700774</v>
      </c>
      <c r="CU37" t="n">
        <v>0.0574264217550758</v>
      </c>
      <c r="CV37" t="n">
        <v>1.86928266366221</v>
      </c>
      <c r="CW37" t="n">
        <v>0.0574264217550758</v>
      </c>
      <c r="CX37" t="n">
        <v>0.039440022763365</v>
      </c>
      <c r="CY37" t="n">
        <v>0.0192200701938874</v>
      </c>
      <c r="CZ37" t="n">
        <v>-0.0274756202508951</v>
      </c>
      <c r="DA37" t="n">
        <v>0.566561327558492</v>
      </c>
      <c r="DB37" t="n">
        <v>6.70833677910312</v>
      </c>
      <c r="DC37" t="n">
        <v>0.0475748014462261</v>
      </c>
      <c r="DD37" t="n">
        <v>0.0324295891592159</v>
      </c>
      <c r="DE37" t="n">
        <v>0.00651714010523554</v>
      </c>
      <c r="DF37" t="n">
        <v>0.127209036529544</v>
      </c>
      <c r="DG37" t="n">
        <v>228146.341910095</v>
      </c>
      <c r="DH37" t="n">
        <v>140.306366316198</v>
      </c>
      <c r="DI37" t="n">
        <v>4.98108567038236</v>
      </c>
      <c r="DJ37" t="n">
        <v>4.28876036253081</v>
      </c>
      <c r="DK37" t="n">
        <v>0.0411256875275234</v>
      </c>
      <c r="DL37" t="n">
        <v>0.670223574218165</v>
      </c>
      <c r="DM37" t="n">
        <v>1.47791567978783</v>
      </c>
      <c r="DN37" t="n">
        <v>0.0357615042376472</v>
      </c>
      <c r="DO37" t="n">
        <v>0.0465455822795444</v>
      </c>
      <c r="DP37" t="n">
        <v>30628.7</v>
      </c>
      <c r="DQ37" t="n">
        <v>25701.070208788</v>
      </c>
      <c r="DR37" t="n">
        <v>182230.275000429</v>
      </c>
      <c r="DS37" t="n">
        <v>32174.0305500409</v>
      </c>
      <c r="DT37" t="n">
        <v>13742.0363596242</v>
      </c>
      <c r="DU37" t="n">
        <v>0</v>
      </c>
      <c r="DV37" t="n">
        <v>58.1</v>
      </c>
      <c r="DW37" t="n">
        <v>208288.96</v>
      </c>
      <c r="DX37" t="n">
        <v>2.42475706480615</v>
      </c>
      <c r="DY37" t="n">
        <v>73.306</v>
      </c>
      <c r="DZ37" t="n">
        <v>1.02062376390299</v>
      </c>
      <c r="EA37" t="n">
        <v>1.20449936397015</v>
      </c>
      <c r="EB37" t="n">
        <v>185022161.252085</v>
      </c>
      <c r="EC37" t="n">
        <v>3.16578023222883</v>
      </c>
      <c r="ED37" t="n">
        <v>0.0435</v>
      </c>
      <c r="EE37" t="n">
        <v>0.0304926484848485</v>
      </c>
      <c r="EF37" t="n">
        <v>0.03050813492075</v>
      </c>
      <c r="EG37" t="n">
        <v>0.0441803333333333</v>
      </c>
      <c r="EH37" t="n">
        <v>776756.518146818</v>
      </c>
      <c r="EI37" t="n">
        <v>436389.858173995</v>
      </c>
      <c r="EJ37" t="n">
        <v>1288.36339113962</v>
      </c>
      <c r="EK37" t="n">
        <v>1.20437434163629</v>
      </c>
      <c r="EL37" t="n">
        <v>4.23513403750888</v>
      </c>
    </row>
    <row r="38">
      <c r="A38" s="2" t="n">
        <v>49004</v>
      </c>
      <c r="B38" t="n">
        <v>438545.626632895</v>
      </c>
      <c r="C38" t="n">
        <v>38146.7779455885</v>
      </c>
      <c r="D38" t="n">
        <v>24040.1692553948</v>
      </c>
      <c r="E38" t="n">
        <v>245926.948518955</v>
      </c>
      <c r="F38" t="n">
        <v>64949.568150215</v>
      </c>
      <c r="G38" t="n">
        <v>14297.6401286272</v>
      </c>
      <c r="H38" t="n">
        <v>74495.1370691638</v>
      </c>
      <c r="I38" t="n">
        <v>88746.0210108127</v>
      </c>
      <c r="J38" t="n">
        <v>100115.450642598</v>
      </c>
      <c r="K38" t="n">
        <v>391.807050642379</v>
      </c>
      <c r="L38" t="n">
        <v>5404.77670019524</v>
      </c>
      <c r="M38" t="n">
        <v>0.664053548040736</v>
      </c>
      <c r="N38" t="n">
        <v>35027.5025774107</v>
      </c>
      <c r="O38" t="n">
        <v>195.566545414743</v>
      </c>
      <c r="P38" t="n">
        <v>2.35933814916934</v>
      </c>
      <c r="Q38" t="n">
        <v>1.57206378878284</v>
      </c>
      <c r="R38" t="n">
        <v>1.02107073931204</v>
      </c>
      <c r="S38" t="n">
        <v>0.0999127843636709</v>
      </c>
      <c r="T38" t="n">
        <v>7229.45097095018</v>
      </c>
      <c r="U38" t="n">
        <v>0.433743995822863</v>
      </c>
      <c r="V38" t="n">
        <v>0.570309757147697</v>
      </c>
      <c r="W38" t="n">
        <v>31776955.3793852</v>
      </c>
      <c r="X38" t="n">
        <v>93721.0298823445</v>
      </c>
      <c r="Y38" t="n">
        <v>4353679.55837228</v>
      </c>
      <c r="Z38" t="n">
        <v>1318.52776433085</v>
      </c>
      <c r="AA38" t="n">
        <v>1.20983393785792</v>
      </c>
      <c r="AB38" t="n">
        <v>1.10672102608385</v>
      </c>
      <c r="AC38" t="n">
        <v>1.48025140981849</v>
      </c>
      <c r="AD38" t="n">
        <v>1.55797121330904</v>
      </c>
      <c r="AE38" t="n">
        <v>142.203311649403</v>
      </c>
      <c r="AF38" t="n">
        <v>105618.982885134</v>
      </c>
      <c r="AG38" t="n">
        <v>1780.52265056831</v>
      </c>
      <c r="AH38" t="n">
        <v>162.97592832358</v>
      </c>
      <c r="AI38" t="n">
        <v>91607.958584003</v>
      </c>
      <c r="AJ38" t="n">
        <v>112628.598402999</v>
      </c>
      <c r="AK38" t="n">
        <v>551.242143968383</v>
      </c>
      <c r="AL38" t="n">
        <v>30425.1583041517</v>
      </c>
      <c r="AM38" t="n">
        <v>17847.6247372801</v>
      </c>
      <c r="AN38" t="n">
        <v>0.919419856184966</v>
      </c>
      <c r="AO38" t="n">
        <v>1.06652917656634</v>
      </c>
      <c r="AP38" t="n">
        <v>1.29892158025907</v>
      </c>
      <c r="AQ38" t="n">
        <v>1.3868441410216</v>
      </c>
      <c r="AR38" t="n">
        <v>35836.9072758362</v>
      </c>
      <c r="AS38" t="n">
        <v>235680.298798063</v>
      </c>
      <c r="AT38" t="n">
        <v>0.0294238936850207</v>
      </c>
      <c r="AU38" t="n">
        <v>0.0337470257973778</v>
      </c>
      <c r="AV38" t="n">
        <v>0.389342416536399</v>
      </c>
      <c r="AW38" t="n">
        <v>768.722698579426</v>
      </c>
      <c r="AX38" t="n">
        <v>11290.0215826727</v>
      </c>
      <c r="AY38" t="n">
        <v>19561.139786213</v>
      </c>
      <c r="AZ38" t="n">
        <v>181406.122441927</v>
      </c>
      <c r="BA38" t="n">
        <v>608194.433482052</v>
      </c>
      <c r="BB38" t="n">
        <v>270532.204892507</v>
      </c>
      <c r="BC38" t="n">
        <v>289786.486537291</v>
      </c>
      <c r="BD38" t="n">
        <v>120456.008353985</v>
      </c>
      <c r="BE38" t="n">
        <v>22.8946561206638</v>
      </c>
      <c r="BF38" t="n">
        <v>59431.581919719</v>
      </c>
      <c r="BG38" t="n">
        <v>26636.978624945</v>
      </c>
      <c r="BH38" t="n">
        <v>29084.6126370251</v>
      </c>
      <c r="BI38" t="n">
        <v>101384.452977354</v>
      </c>
      <c r="BJ38" t="n">
        <v>50507.7040468255</v>
      </c>
      <c r="BK38" t="n">
        <v>92048.1332317103</v>
      </c>
      <c r="BL38" t="n">
        <v>30751.3595252246</v>
      </c>
      <c r="BM38" t="n">
        <v>19035.0125147165</v>
      </c>
      <c r="BN38" t="n">
        <v>50961.2689389651</v>
      </c>
      <c r="BO38" t="n">
        <v>204385.334210617</v>
      </c>
      <c r="BP38" t="n">
        <v>240646.256935022</v>
      </c>
      <c r="BQ38" t="n">
        <v>1109511.04585602</v>
      </c>
      <c r="BR38" t="n">
        <v>778664.881765491</v>
      </c>
      <c r="BS38" t="n">
        <v>833369.028674055</v>
      </c>
      <c r="BT38" t="n">
        <v>137.548529934846</v>
      </c>
      <c r="BU38" t="n">
        <v>1.4248890072167</v>
      </c>
      <c r="BV38" t="n">
        <v>1.12667274653889</v>
      </c>
      <c r="BW38" t="n">
        <v>110.342281211388</v>
      </c>
      <c r="BX38" t="n">
        <v>93308.1992778137</v>
      </c>
      <c r="BY38" t="n">
        <v>1.79844598490727</v>
      </c>
      <c r="BZ38" t="n">
        <v>167809.756350111</v>
      </c>
      <c r="CA38" t="n">
        <v>10710.5607044485</v>
      </c>
      <c r="CB38" t="n">
        <v>16115.3374046438</v>
      </c>
      <c r="CC38" t="n">
        <v>17117.7946852705</v>
      </c>
      <c r="CD38" t="n">
        <v>1002.45728062672</v>
      </c>
      <c r="CE38" t="n">
        <v>0.0585622868161174</v>
      </c>
      <c r="CF38" t="n">
        <v>12075061.8981165</v>
      </c>
      <c r="CG38" t="n">
        <v>518635.576138988</v>
      </c>
      <c r="CH38" t="n">
        <v>698373.668883225</v>
      </c>
      <c r="CI38" t="n">
        <v>403019.98565733</v>
      </c>
      <c r="CJ38" t="n">
        <v>20402.7975609585</v>
      </c>
      <c r="CK38" t="n">
        <v>1016049.45546494</v>
      </c>
      <c r="CL38" t="n">
        <v>0.0762495168973989</v>
      </c>
      <c r="CM38" t="n">
        <v>13.1148371909765</v>
      </c>
      <c r="CN38" t="n">
        <v>1239548.89543454</v>
      </c>
      <c r="CO38" t="n">
        <v>3558820.07124961</v>
      </c>
      <c r="CP38" t="n">
        <v>3454962.98842559</v>
      </c>
      <c r="CQ38" t="n">
        <v>4798368.96668416</v>
      </c>
      <c r="CR38" t="n">
        <v>10309644.4662527</v>
      </c>
      <c r="CS38" t="n">
        <v>-0.012857430974478</v>
      </c>
      <c r="CT38" t="n">
        <v>-0.00853429886212086</v>
      </c>
      <c r="CU38" t="n">
        <v>0.0576314597041722</v>
      </c>
      <c r="CV38" t="n">
        <v>1.88869179585698</v>
      </c>
      <c r="CW38" t="n">
        <v>0.057631459704172</v>
      </c>
      <c r="CX38" t="n">
        <v>0.039440022763365</v>
      </c>
      <c r="CY38" t="n">
        <v>0.0193300583337005</v>
      </c>
      <c r="CZ38" t="n">
        <v>-0.0278643571958214</v>
      </c>
      <c r="DA38" t="n">
        <v>0.562634982183901</v>
      </c>
      <c r="DB38" t="n">
        <v>6.74209262905685</v>
      </c>
      <c r="DC38" t="n">
        <v>0.0471533849350207</v>
      </c>
      <c r="DD38" t="n">
        <v>0.0321371889921615</v>
      </c>
      <c r="DE38" t="n">
        <v>0.00649181428773063</v>
      </c>
      <c r="DF38" t="n">
        <v>0.128033928007344</v>
      </c>
      <c r="DG38" t="n">
        <v>228810.772777169</v>
      </c>
      <c r="DH38" t="n">
        <v>141.424722706615</v>
      </c>
      <c r="DI38" t="n">
        <v>4.98918209219964</v>
      </c>
      <c r="DJ38" t="n">
        <v>4.29393558051749</v>
      </c>
      <c r="DK38" t="n">
        <v>0.0411256875275234</v>
      </c>
      <c r="DL38" t="n">
        <v>0.670223574218165</v>
      </c>
      <c r="DM38" t="n">
        <v>1.49305553898293</v>
      </c>
      <c r="DN38" t="n">
        <v>0.0357615042376472</v>
      </c>
      <c r="DO38" t="n">
        <v>0.0465455822795444</v>
      </c>
      <c r="DP38" t="n">
        <v>30717.9</v>
      </c>
      <c r="DQ38" t="n">
        <v>25777.732437054</v>
      </c>
      <c r="DR38" t="n">
        <v>182760.984450391</v>
      </c>
      <c r="DS38" t="n">
        <v>32267.7310180681</v>
      </c>
      <c r="DT38" t="n">
        <v>13782.0573087104</v>
      </c>
      <c r="DU38" t="n">
        <v>0</v>
      </c>
      <c r="DV38" t="n">
        <v>58.1</v>
      </c>
      <c r="DW38" t="n">
        <v>208288.96</v>
      </c>
      <c r="DX38" t="n">
        <v>2.43679096820042</v>
      </c>
      <c r="DY38" t="n">
        <v>73.306</v>
      </c>
      <c r="DZ38" t="n">
        <v>1.02062376390299</v>
      </c>
      <c r="EA38" t="n">
        <v>1.20449936397015</v>
      </c>
      <c r="EB38" t="n">
        <v>186296390.140366</v>
      </c>
      <c r="EC38" t="n">
        <v>3.16578023222883</v>
      </c>
      <c r="ED38" t="n">
        <v>0.0435</v>
      </c>
      <c r="EE38" t="n">
        <v>0.0304926484848485</v>
      </c>
      <c r="EF38" t="n">
        <v>0.03050813492075</v>
      </c>
      <c r="EG38" t="n">
        <v>0.0441803333333333</v>
      </c>
      <c r="EH38" t="n">
        <v>779055.988837153</v>
      </c>
      <c r="EI38" t="n">
        <v>438775.900265625</v>
      </c>
      <c r="EJ38" t="n">
        <v>1308.46600220348</v>
      </c>
      <c r="EK38" t="n">
        <v>1.18791195122894</v>
      </c>
      <c r="EL38" t="n">
        <v>4.22813246594986</v>
      </c>
    </row>
    <row r="39">
      <c r="A39" s="2" t="n">
        <v>49096</v>
      </c>
      <c r="B39" t="n">
        <v>440600.802885627</v>
      </c>
      <c r="C39" t="n">
        <v>38293.2241983535</v>
      </c>
      <c r="D39" t="n">
        <v>24124.9377050275</v>
      </c>
      <c r="E39" t="n">
        <v>246695.062810519</v>
      </c>
      <c r="F39" t="n">
        <v>65841.7317338902</v>
      </c>
      <c r="G39" t="n">
        <v>14440.109535305</v>
      </c>
      <c r="H39" t="n">
        <v>75455.0071899766</v>
      </c>
      <c r="I39" t="n">
        <v>89190.2777276251</v>
      </c>
      <c r="J39" t="n">
        <v>100221.726778864</v>
      </c>
      <c r="K39" t="n">
        <v>391.38882009434</v>
      </c>
      <c r="L39" t="n">
        <v>5427.90026916542</v>
      </c>
      <c r="M39" t="n">
        <v>0.663997367781704</v>
      </c>
      <c r="N39" t="n">
        <v>35319.4545284497</v>
      </c>
      <c r="O39" t="n">
        <v>197.5908076549</v>
      </c>
      <c r="P39" t="n">
        <v>2.40183111382898</v>
      </c>
      <c r="Q39" t="n">
        <v>1.58468536720291</v>
      </c>
      <c r="R39" t="n">
        <v>1.02570978563444</v>
      </c>
      <c r="S39" t="n">
        <v>0.0999412270662378</v>
      </c>
      <c r="T39" t="n">
        <v>7138.64690283301</v>
      </c>
      <c r="U39" t="n">
        <v>0.433106214127765</v>
      </c>
      <c r="V39" t="n">
        <v>0.566788979726544</v>
      </c>
      <c r="W39" t="n">
        <v>32290978.1061875</v>
      </c>
      <c r="X39" t="n">
        <v>95158.6056825127</v>
      </c>
      <c r="Y39" t="n">
        <v>4356951.90219798</v>
      </c>
      <c r="Z39" t="n">
        <v>1338.78860910254</v>
      </c>
      <c r="AA39" t="n">
        <v>1.2163642940216</v>
      </c>
      <c r="AB39" t="n">
        <v>1.11120659471889</v>
      </c>
      <c r="AC39" t="n">
        <v>1.49345849545797</v>
      </c>
      <c r="AD39" t="n">
        <v>1.57628524437582</v>
      </c>
      <c r="AE39" t="n">
        <v>143.372779445177</v>
      </c>
      <c r="AF39" t="n">
        <v>106641.49325389</v>
      </c>
      <c r="AG39" t="n">
        <v>1811.43111015716</v>
      </c>
      <c r="AH39" t="n">
        <v>166.087242912802</v>
      </c>
      <c r="AI39" t="n">
        <v>92178.223559188</v>
      </c>
      <c r="AJ39" t="n">
        <v>113889.096508401</v>
      </c>
      <c r="AK39" t="n">
        <v>553.40146077532</v>
      </c>
      <c r="AL39" t="n">
        <v>30758.8396312674</v>
      </c>
      <c r="AM39" t="n">
        <v>17786.4622151555</v>
      </c>
      <c r="AN39" t="n">
        <v>0.923815864227954</v>
      </c>
      <c r="AO39" t="n">
        <v>1.07308970183942</v>
      </c>
      <c r="AP39" t="n">
        <v>1.30773592712637</v>
      </c>
      <c r="AQ39" t="n">
        <v>1.3996314617108</v>
      </c>
      <c r="AR39" t="n">
        <v>35950.3089824004</v>
      </c>
      <c r="AS39" t="n">
        <v>237384.591438805</v>
      </c>
      <c r="AT39" t="n">
        <v>0.028827092896547</v>
      </c>
      <c r="AU39" t="n">
        <v>0.0333862526158328</v>
      </c>
      <c r="AV39" t="n">
        <v>0.391725085182346</v>
      </c>
      <c r="AW39" t="n">
        <v>768.114291563659</v>
      </c>
      <c r="AX39" t="n">
        <v>11333.3642040804</v>
      </c>
      <c r="AY39" t="n">
        <v>19613.1422177826</v>
      </c>
      <c r="AZ39" t="n">
        <v>181616.640194202</v>
      </c>
      <c r="BA39" t="n">
        <v>616678.746398273</v>
      </c>
      <c r="BB39" t="n">
        <v>273738.537402364</v>
      </c>
      <c r="BC39" t="n">
        <v>293137.181344329</v>
      </c>
      <c r="BD39" t="n">
        <v>121111.054380337</v>
      </c>
      <c r="BE39" t="n">
        <v>22.962922039825</v>
      </c>
      <c r="BF39" t="n">
        <v>60361.0442634397</v>
      </c>
      <c r="BG39" t="n">
        <v>27220.8267697159</v>
      </c>
      <c r="BH39" t="n">
        <v>29344.7128198907</v>
      </c>
      <c r="BI39" t="n">
        <v>102429.048914077</v>
      </c>
      <c r="BJ39" t="n">
        <v>50856.5971011667</v>
      </c>
      <c r="BK39" t="n">
        <v>92586.4211386336</v>
      </c>
      <c r="BL39" t="n">
        <v>31080.6594773899</v>
      </c>
      <c r="BM39" t="n">
        <v>19086.4694352393</v>
      </c>
      <c r="BN39" t="n">
        <v>51542.9572071966</v>
      </c>
      <c r="BO39" t="n">
        <v>205886.067258459</v>
      </c>
      <c r="BP39" t="n">
        <v>243487.698397615</v>
      </c>
      <c r="BQ39" t="n">
        <v>1123027.88252977</v>
      </c>
      <c r="BR39" t="n">
        <v>780734.928147005</v>
      </c>
      <c r="BS39" t="n">
        <v>836932.848496535</v>
      </c>
      <c r="BT39" t="n">
        <v>138.738436673247</v>
      </c>
      <c r="BU39" t="n">
        <v>1.43842401011946</v>
      </c>
      <c r="BV39" t="n">
        <v>1.13362997486522</v>
      </c>
      <c r="BW39" t="n">
        <v>110.521513077311</v>
      </c>
      <c r="BX39" t="n">
        <v>93745.4737224669</v>
      </c>
      <c r="BY39" t="n">
        <v>1.83277946770026</v>
      </c>
      <c r="BZ39" t="n">
        <v>171814.779428371</v>
      </c>
      <c r="CA39" t="n">
        <v>10730.0647539709</v>
      </c>
      <c r="CB39" t="n">
        <v>16157.9650231363</v>
      </c>
      <c r="CC39" t="n">
        <v>17167.2569947017</v>
      </c>
      <c r="CD39" t="n">
        <v>1009.29197156532</v>
      </c>
      <c r="CE39" t="n">
        <v>0.0587916806736391</v>
      </c>
      <c r="CF39" t="n">
        <v>12110125.9982441</v>
      </c>
      <c r="CG39" t="n">
        <v>524341.677536224</v>
      </c>
      <c r="CH39" t="n">
        <v>705635.25146751</v>
      </c>
      <c r="CI39" t="n">
        <v>408186.409679616</v>
      </c>
      <c r="CJ39" t="n">
        <v>20614.9427291409</v>
      </c>
      <c r="CK39" t="n">
        <v>1028427.67792002</v>
      </c>
      <c r="CL39" t="n">
        <v>0.0775218985205304</v>
      </c>
      <c r="CM39" t="n">
        <v>12.8995808808161</v>
      </c>
      <c r="CN39" t="n">
        <v>1243807.95478819</v>
      </c>
      <c r="CO39" t="n">
        <v>3591793.08305071</v>
      </c>
      <c r="CP39" t="n">
        <v>3465549.20704509</v>
      </c>
      <c r="CQ39" t="n">
        <v>4835601.0378389</v>
      </c>
      <c r="CR39" t="n">
        <v>10357462.7560269</v>
      </c>
      <c r="CS39" t="n">
        <v>-0.0133789665757601</v>
      </c>
      <c r="CT39" t="n">
        <v>-0.00881980685647424</v>
      </c>
      <c r="CU39" t="n">
        <v>0.0577351675939308</v>
      </c>
      <c r="CV39" t="n">
        <v>1.90824119004165</v>
      </c>
      <c r="CW39" t="n">
        <v>0.0577351675939308</v>
      </c>
      <c r="CX39" t="n">
        <v>0.039440022763365</v>
      </c>
      <c r="CY39" t="n">
        <v>0.019440022763365</v>
      </c>
      <c r="CZ39" t="n">
        <v>-0.0282598296198392</v>
      </c>
      <c r="DA39" t="n">
        <v>0.558793823927436</v>
      </c>
      <c r="DB39" t="n">
        <v>6.77556119635276</v>
      </c>
      <c r="DC39" t="n">
        <v>0.046556584146547</v>
      </c>
      <c r="DD39" t="n">
        <v>0.031725680620697</v>
      </c>
      <c r="DE39" t="n">
        <v>0.00646563287254342</v>
      </c>
      <c r="DF39" t="n">
        <v>0.128843303229032</v>
      </c>
      <c r="DG39" t="n">
        <v>229475.203644245</v>
      </c>
      <c r="DH39" t="n">
        <v>142.601597073532</v>
      </c>
      <c r="DI39" t="n">
        <v>4.99762642310436</v>
      </c>
      <c r="DJ39" t="n">
        <v>4.29945870759162</v>
      </c>
      <c r="DK39" t="n">
        <v>0.0411256875275234</v>
      </c>
      <c r="DL39" t="n">
        <v>0.670223574218165</v>
      </c>
      <c r="DM39" t="n">
        <v>1.50835049182754</v>
      </c>
      <c r="DN39" t="n">
        <v>0.0357615042376472</v>
      </c>
      <c r="DO39" t="n">
        <v>0.0465455822795444</v>
      </c>
      <c r="DP39" t="n">
        <v>30807.1</v>
      </c>
      <c r="DQ39" t="n">
        <v>25854.405194488</v>
      </c>
      <c r="DR39" t="n">
        <v>183291.693900353</v>
      </c>
      <c r="DS39" t="n">
        <v>32361.4314860952</v>
      </c>
      <c r="DT39" t="n">
        <v>13822.0782577967</v>
      </c>
      <c r="DU39" t="n">
        <v>0</v>
      </c>
      <c r="DV39" t="n">
        <v>58.1</v>
      </c>
      <c r="DW39" t="n">
        <v>208288.96</v>
      </c>
      <c r="DX39" t="n">
        <v>2.4488845950338</v>
      </c>
      <c r="DY39" t="n">
        <v>73.306</v>
      </c>
      <c r="DZ39" t="n">
        <v>1.02062376390299</v>
      </c>
      <c r="EA39" t="n">
        <v>1.20449936397015</v>
      </c>
      <c r="EB39" t="n">
        <v>187579394.513965</v>
      </c>
      <c r="EC39" t="n">
        <v>3.16578023222883</v>
      </c>
      <c r="ED39" t="n">
        <v>0.0435</v>
      </c>
      <c r="EE39" t="n">
        <v>0.0304926484848485</v>
      </c>
      <c r="EF39" t="n">
        <v>0.03050813492075</v>
      </c>
      <c r="EG39" t="n">
        <v>0.0441803333333333</v>
      </c>
      <c r="EH39" t="n">
        <v>781300.704676881</v>
      </c>
      <c r="EI39" t="n">
        <v>441090.437871742</v>
      </c>
      <c r="EJ39" t="n">
        <v>1328.82525763473</v>
      </c>
      <c r="EK39" t="n">
        <v>1.16995390257983</v>
      </c>
      <c r="EL39" t="n">
        <v>4.2206059472307</v>
      </c>
    </row>
    <row r="40">
      <c r="A40" s="2" t="n">
        <v>49188</v>
      </c>
      <c r="B40" t="n">
        <v>442735.201293351</v>
      </c>
      <c r="C40" t="n">
        <v>38436.3411118436</v>
      </c>
      <c r="D40" t="n">
        <v>24206.4449317528</v>
      </c>
      <c r="E40" t="n">
        <v>247441.202021653</v>
      </c>
      <c r="F40" t="n">
        <v>66783.0301259472</v>
      </c>
      <c r="G40" t="n">
        <v>14584.7684894103</v>
      </c>
      <c r="H40" t="n">
        <v>76435.1861516561</v>
      </c>
      <c r="I40" t="n">
        <v>93931.5385790613</v>
      </c>
      <c r="J40" t="n">
        <v>100337.33942311</v>
      </c>
      <c r="K40" t="n">
        <v>390.985509694299</v>
      </c>
      <c r="L40" t="n">
        <v>5450.9706866138</v>
      </c>
      <c r="M40" t="n">
        <v>0.663929700983508</v>
      </c>
      <c r="N40" t="n">
        <v>35607.9043000492</v>
      </c>
      <c r="O40" t="n">
        <v>199.63545215004</v>
      </c>
      <c r="P40" t="n">
        <v>2.44510173447364</v>
      </c>
      <c r="Q40" t="n">
        <v>1.59720597779538</v>
      </c>
      <c r="R40" t="n">
        <v>1.03039868814385</v>
      </c>
      <c r="S40" t="n">
        <v>0.0999881522384554</v>
      </c>
      <c r="T40" t="n">
        <v>7049.01526537391</v>
      </c>
      <c r="U40" t="n">
        <v>0.432472669139717</v>
      </c>
      <c r="V40" t="n">
        <v>0.563293485865119</v>
      </c>
      <c r="W40" t="n">
        <v>32814607.9978494</v>
      </c>
      <c r="X40" t="n">
        <v>96615.7082138927</v>
      </c>
      <c r="Y40" t="n">
        <v>4360218.75510897</v>
      </c>
      <c r="Z40" t="n">
        <v>1359.480311206</v>
      </c>
      <c r="AA40" t="n">
        <v>1.22294607765443</v>
      </c>
      <c r="AB40" t="n">
        <v>1.11577006949385</v>
      </c>
      <c r="AC40" t="n">
        <v>1.50669853215208</v>
      </c>
      <c r="AD40" t="n">
        <v>1.59486619587132</v>
      </c>
      <c r="AE40" t="n">
        <v>144.552688034742</v>
      </c>
      <c r="AF40" t="n">
        <v>107687.108699132</v>
      </c>
      <c r="AG40" t="n">
        <v>1842.90778354032</v>
      </c>
      <c r="AH40" t="n">
        <v>169.247805135764</v>
      </c>
      <c r="AI40" t="n">
        <v>92726.5918878012</v>
      </c>
      <c r="AJ40" t="n">
        <v>115236.049328139</v>
      </c>
      <c r="AK40" t="n">
        <v>555.672052933294</v>
      </c>
      <c r="AL40" t="n">
        <v>31100.6621048232</v>
      </c>
      <c r="AM40" t="n">
        <v>17727.6543981656</v>
      </c>
      <c r="AN40" t="n">
        <v>0.928330278854563</v>
      </c>
      <c r="AO40" t="n">
        <v>1.07953686969672</v>
      </c>
      <c r="AP40" t="n">
        <v>1.31667076172821</v>
      </c>
      <c r="AQ40" t="n">
        <v>1.41257199843045</v>
      </c>
      <c r="AR40" t="n">
        <v>36071.1383179198</v>
      </c>
      <c r="AS40" t="n">
        <v>239042.490357285</v>
      </c>
      <c r="AT40" t="n">
        <v>0.0283314820045847</v>
      </c>
      <c r="AU40" t="n">
        <v>0.0330202553183329</v>
      </c>
      <c r="AV40" t="n">
        <v>0.393343717926379</v>
      </c>
      <c r="AW40" t="n">
        <v>746.139211134257</v>
      </c>
      <c r="AX40" t="n">
        <v>11375.7214654054</v>
      </c>
      <c r="AY40" t="n">
        <v>19667.4970262108</v>
      </c>
      <c r="AZ40" t="n">
        <v>181848.629165407</v>
      </c>
      <c r="BA40" t="n">
        <v>625395.348688659</v>
      </c>
      <c r="BB40" t="n">
        <v>276961.807785503</v>
      </c>
      <c r="BC40" t="n">
        <v>296590.755570969</v>
      </c>
      <c r="BD40" t="n">
        <v>125981.385589625</v>
      </c>
      <c r="BE40" t="n">
        <v>23.4704858189281</v>
      </c>
      <c r="BF40" t="n">
        <v>61300.8211322584</v>
      </c>
      <c r="BG40" t="n">
        <v>27814.7962859518</v>
      </c>
      <c r="BH40" t="n">
        <v>29603.1768832451</v>
      </c>
      <c r="BI40" t="n">
        <v>103461.554904649</v>
      </c>
      <c r="BJ40" t="n">
        <v>51186.4203870408</v>
      </c>
      <c r="BK40" t="n">
        <v>93146.190286181</v>
      </c>
      <c r="BL40" t="n">
        <v>31413.0438185368</v>
      </c>
      <c r="BM40" t="n">
        <v>19137.6565360609</v>
      </c>
      <c r="BN40" t="n">
        <v>52141.800043283</v>
      </c>
      <c r="BO40" t="n">
        <v>207428.250684062</v>
      </c>
      <c r="BP40" t="n">
        <v>246309.068474785</v>
      </c>
      <c r="BQ40" t="n">
        <v>1136843.10827658</v>
      </c>
      <c r="BR40" t="n">
        <v>782898.61498712</v>
      </c>
      <c r="BS40" t="n">
        <v>840522.446096775</v>
      </c>
      <c r="BT40" t="n">
        <v>139.942146533109</v>
      </c>
      <c r="BU40" t="n">
        <v>1.45209490702619</v>
      </c>
      <c r="BV40" t="n">
        <v>1.1406643626408</v>
      </c>
      <c r="BW40" t="n">
        <v>110.701263090269</v>
      </c>
      <c r="BX40" t="n">
        <v>94199.6040566245</v>
      </c>
      <c r="BY40" t="n">
        <v>1.86765640013073</v>
      </c>
      <c r="BZ40" t="n">
        <v>175932.493406136</v>
      </c>
      <c r="CA40" t="n">
        <v>10749.1867856967</v>
      </c>
      <c r="CB40" t="n">
        <v>16200.1574723105</v>
      </c>
      <c r="CC40" t="n">
        <v>17214.9540259108</v>
      </c>
      <c r="CD40" t="n">
        <v>1014.7965536002</v>
      </c>
      <c r="CE40" t="n">
        <v>0.0589485440137796</v>
      </c>
      <c r="CF40" t="n">
        <v>12145052.5150193</v>
      </c>
      <c r="CG40" t="n">
        <v>530004.281447625</v>
      </c>
      <c r="CH40" t="n">
        <v>717803.770708408</v>
      </c>
      <c r="CI40" t="n">
        <v>413614.155823806</v>
      </c>
      <c r="CJ40" t="n">
        <v>20970.4427225551</v>
      </c>
      <c r="CK40" t="n">
        <v>1041079.15412623</v>
      </c>
      <c r="CL40" t="n">
        <v>0.0788297417460365</v>
      </c>
      <c r="CM40" t="n">
        <v>12.6855673740715</v>
      </c>
      <c r="CN40" t="n">
        <v>1248083.81518698</v>
      </c>
      <c r="CO40" t="n">
        <v>3624793.09808476</v>
      </c>
      <c r="CP40" t="n">
        <v>3476197.42467225</v>
      </c>
      <c r="CQ40" t="n">
        <v>4872876.91327174</v>
      </c>
      <c r="CR40" t="n">
        <v>10405386.8490869</v>
      </c>
      <c r="CS40" t="n">
        <v>-0.0138017825357816</v>
      </c>
      <c r="CT40" t="n">
        <v>-0.00911300922203338</v>
      </c>
      <c r="CU40" t="n">
        <v>0.0578548876980891</v>
      </c>
      <c r="CV40" t="n">
        <v>1.92798742667546</v>
      </c>
      <c r="CW40" t="n">
        <v>0.0578548876980889</v>
      </c>
      <c r="CX40" t="n">
        <v>0.039440022763365</v>
      </c>
      <c r="CY40" t="n">
        <v>0.0194400227633649</v>
      </c>
      <c r="CZ40" t="n">
        <v>-0.0285530319853983</v>
      </c>
      <c r="DA40" t="n">
        <v>0.555000941559017</v>
      </c>
      <c r="DB40" t="n">
        <v>6.80981407142179</v>
      </c>
      <c r="DC40" t="n">
        <v>0.0460609732545847</v>
      </c>
      <c r="DD40" t="n">
        <v>0.0313832888771595</v>
      </c>
      <c r="DE40" t="n">
        <v>0.00643908940504001</v>
      </c>
      <c r="DF40" t="n">
        <v>0.129697323134428</v>
      </c>
      <c r="DG40" t="n">
        <v>230137.027439532</v>
      </c>
      <c r="DH40" t="n">
        <v>143.743253953504</v>
      </c>
      <c r="DI40" t="n">
        <v>5.0057576689005</v>
      </c>
      <c r="DJ40" t="n">
        <v>4.30466874955715</v>
      </c>
      <c r="DK40" t="n">
        <v>0.0411256875275234</v>
      </c>
      <c r="DL40" t="n">
        <v>0.670223574218165</v>
      </c>
      <c r="DM40" t="n">
        <v>1.52380212711056</v>
      </c>
      <c r="DN40" t="n">
        <v>0.0357615042376472</v>
      </c>
      <c r="DO40" t="n">
        <v>0.0465455822795444</v>
      </c>
      <c r="DP40" t="n">
        <v>30895.95</v>
      </c>
      <c r="DQ40" t="n">
        <v>25928.8807239825</v>
      </c>
      <c r="DR40" t="n">
        <v>183820.320970185</v>
      </c>
      <c r="DS40" t="n">
        <v>32454.7642953353</v>
      </c>
      <c r="DT40" t="n">
        <v>13861.942174011</v>
      </c>
      <c r="DU40" t="n">
        <v>0</v>
      </c>
      <c r="DV40" t="n">
        <v>58.425</v>
      </c>
      <c r="DW40" t="n">
        <v>208288.96</v>
      </c>
      <c r="DX40" t="n">
        <v>2.46103824170963</v>
      </c>
      <c r="DY40" t="n">
        <v>73.306</v>
      </c>
      <c r="DZ40" t="n">
        <v>1.02062376390299</v>
      </c>
      <c r="EA40" t="n">
        <v>1.20449936397015</v>
      </c>
      <c r="EB40" t="n">
        <v>188871234.808762</v>
      </c>
      <c r="EC40" t="n">
        <v>3.16578023222883</v>
      </c>
      <c r="ED40" t="n">
        <v>0.0435</v>
      </c>
      <c r="EE40" t="n">
        <v>0.0304926484848485</v>
      </c>
      <c r="EF40" t="n">
        <v>0.03050813492075</v>
      </c>
      <c r="EG40" t="n">
        <v>0.0441803333333333</v>
      </c>
      <c r="EH40" t="n">
        <v>783516.522897854</v>
      </c>
      <c r="EI40" t="n">
        <v>443357.902677344</v>
      </c>
      <c r="EJ40" t="n">
        <v>1349.4738971621</v>
      </c>
      <c r="EK40" t="n">
        <v>1.15463777734937</v>
      </c>
      <c r="EL40" t="n">
        <v>4.21332645403663</v>
      </c>
    </row>
    <row r="41">
      <c r="A41" s="2" t="n">
        <v>49279</v>
      </c>
      <c r="B41" t="n">
        <v>444989.242311865</v>
      </c>
      <c r="C41" t="n">
        <v>38576.8419370913</v>
      </c>
      <c r="D41" t="n">
        <v>24283.070848257</v>
      </c>
      <c r="E41" t="n">
        <v>248184.650049497</v>
      </c>
      <c r="F41" t="n">
        <v>67750.0201230931</v>
      </c>
      <c r="G41" t="n">
        <v>14730.0921503507</v>
      </c>
      <c r="H41" t="n">
        <v>77436.0823110977</v>
      </c>
      <c r="I41" t="n">
        <v>93574.3368964266</v>
      </c>
      <c r="J41" t="n">
        <v>100461.918268458</v>
      </c>
      <c r="K41" t="n">
        <v>390.587652905191</v>
      </c>
      <c r="L41" t="n">
        <v>5474.21650645468</v>
      </c>
      <c r="M41" t="n">
        <v>0.663870129243993</v>
      </c>
      <c r="N41" t="n">
        <v>35900.2014163381</v>
      </c>
      <c r="O41" t="n">
        <v>201.696649212123</v>
      </c>
      <c r="P41" t="n">
        <v>2.48922448818627</v>
      </c>
      <c r="Q41" t="n">
        <v>1.60959203705621</v>
      </c>
      <c r="R41" t="n">
        <v>1.03506948564491</v>
      </c>
      <c r="S41" t="n">
        <v>0.100082388386446</v>
      </c>
      <c r="T41" t="n">
        <v>6962.97160319057</v>
      </c>
      <c r="U41" t="n">
        <v>0.431902791706315</v>
      </c>
      <c r="V41" t="n">
        <v>0.559897307924753</v>
      </c>
      <c r="W41" t="n">
        <v>33346598.0011229</v>
      </c>
      <c r="X41" t="n">
        <v>98094.4740428065</v>
      </c>
      <c r="Y41" t="n">
        <v>4363714.55510646</v>
      </c>
      <c r="Z41" t="n">
        <v>1380.40657242693</v>
      </c>
      <c r="AA41" t="n">
        <v>1.22961063731964</v>
      </c>
      <c r="AB41" t="n">
        <v>1.12037260813663</v>
      </c>
      <c r="AC41" t="n">
        <v>1.52005264457485</v>
      </c>
      <c r="AD41" t="n">
        <v>1.61370409649675</v>
      </c>
      <c r="AE41" t="n">
        <v>145.740313972899</v>
      </c>
      <c r="AF41" t="n">
        <v>108758.835028031</v>
      </c>
      <c r="AG41" t="n">
        <v>1874.41462519991</v>
      </c>
      <c r="AH41" t="n">
        <v>172.450613355303</v>
      </c>
      <c r="AI41" t="n">
        <v>93270.7186078854</v>
      </c>
      <c r="AJ41" t="n">
        <v>116616.795402126</v>
      </c>
      <c r="AK41" t="n">
        <v>558.04635315764</v>
      </c>
      <c r="AL41" t="n">
        <v>31453.6146127391</v>
      </c>
      <c r="AM41" t="n">
        <v>17670.6207902754</v>
      </c>
      <c r="AN41" t="n">
        <v>0.932819826281538</v>
      </c>
      <c r="AO41" t="n">
        <v>1.08598008217187</v>
      </c>
      <c r="AP41" t="n">
        <v>1.32570748278523</v>
      </c>
      <c r="AQ41" t="n">
        <v>1.42563795079282</v>
      </c>
      <c r="AR41" t="n">
        <v>36198.356479645</v>
      </c>
      <c r="AS41" t="n">
        <v>240771.092050741</v>
      </c>
      <c r="AT41" t="n">
        <v>0.0278738520404098</v>
      </c>
      <c r="AU41" t="n">
        <v>0.0326516282761051</v>
      </c>
      <c r="AV41" t="n">
        <v>0.39468308312046</v>
      </c>
      <c r="AW41" t="n">
        <v>743.448027843668</v>
      </c>
      <c r="AX41" t="n">
        <v>11417.3044623152</v>
      </c>
      <c r="AY41" t="n">
        <v>19723.7288346182</v>
      </c>
      <c r="AZ41" t="n">
        <v>182099.624372997</v>
      </c>
      <c r="BA41" t="n">
        <v>634393.552179991</v>
      </c>
      <c r="BB41" t="n">
        <v>280220.105992821</v>
      </c>
      <c r="BC41" t="n">
        <v>300128.644225311</v>
      </c>
      <c r="BD41" t="n">
        <v>125706.997853989</v>
      </c>
      <c r="BE41" t="n">
        <v>23.4418903764306</v>
      </c>
      <c r="BF41" t="n">
        <v>62251.6078637918</v>
      </c>
      <c r="BG41" t="n">
        <v>28420.2338566734</v>
      </c>
      <c r="BH41" t="n">
        <v>29858.7222218032</v>
      </c>
      <c r="BI41" t="n">
        <v>104497.957251858</v>
      </c>
      <c r="BJ41" t="n">
        <v>51540.0895200468</v>
      </c>
      <c r="BK41" t="n">
        <v>93712.8691470933</v>
      </c>
      <c r="BL41" t="n">
        <v>31747.1568732574</v>
      </c>
      <c r="BM41" t="n">
        <v>19189.9422178513</v>
      </c>
      <c r="BN41" t="n">
        <v>52755.5983864638</v>
      </c>
      <c r="BO41" t="n">
        <v>208995.126624666</v>
      </c>
      <c r="BP41" t="n">
        <v>249214.810407123</v>
      </c>
      <c r="BQ41" t="n">
        <v>1150962.58510453</v>
      </c>
      <c r="BR41" t="n">
        <v>785137.018987833</v>
      </c>
      <c r="BS41" t="n">
        <v>844238.455185269</v>
      </c>
      <c r="BT41" t="n">
        <v>141.157600751576</v>
      </c>
      <c r="BU41" t="n">
        <v>1.46593847869945</v>
      </c>
      <c r="BV41" t="n">
        <v>1.14769663772935</v>
      </c>
      <c r="BW41" t="n">
        <v>110.881119929283</v>
      </c>
      <c r="BX41" t="n">
        <v>94679.190434331</v>
      </c>
      <c r="BY41" t="n">
        <v>1.90299951884837</v>
      </c>
      <c r="BZ41" t="n">
        <v>180174.453841485</v>
      </c>
      <c r="CA41" t="n">
        <v>10768.7629488607</v>
      </c>
      <c r="CB41" t="n">
        <v>16242.9794553154</v>
      </c>
      <c r="CC41" t="n">
        <v>17262.8511311221</v>
      </c>
      <c r="CD41" t="n">
        <v>1019.87167580669</v>
      </c>
      <c r="CE41" t="n">
        <v>0.0590789775674804</v>
      </c>
      <c r="CF41" t="n">
        <v>12179979.0317945</v>
      </c>
      <c r="CG41" t="n">
        <v>535767.428986706</v>
      </c>
      <c r="CH41" t="n">
        <v>724299.927249053</v>
      </c>
      <c r="CI41" t="n">
        <v>419189.476699764</v>
      </c>
      <c r="CJ41" t="n">
        <v>21160.2261762111</v>
      </c>
      <c r="CK41" t="n">
        <v>1054009.2522952</v>
      </c>
      <c r="CL41" t="n">
        <v>0.0801448555243184</v>
      </c>
      <c r="CM41" t="n">
        <v>12.4774072329143</v>
      </c>
      <c r="CN41" t="n">
        <v>1252372.94729167</v>
      </c>
      <c r="CO41" t="n">
        <v>3657797.77480122</v>
      </c>
      <c r="CP41" t="n">
        <v>3486903.81739598</v>
      </c>
      <c r="CQ41" t="n">
        <v>4910170.72209289</v>
      </c>
      <c r="CR41" t="n">
        <v>10453387.0506318</v>
      </c>
      <c r="CS41" t="n">
        <v>-0.0141801712797172</v>
      </c>
      <c r="CT41" t="n">
        <v>-0.00940239504402188</v>
      </c>
      <c r="CU41" t="n">
        <v>0.0580283650663191</v>
      </c>
      <c r="CV41" t="n">
        <v>1.94789352039176</v>
      </c>
      <c r="CW41" t="n">
        <v>0.0580283650663191</v>
      </c>
      <c r="CX41" t="n">
        <v>0.039440022763365</v>
      </c>
      <c r="CY41" t="n">
        <v>0.019440022763365</v>
      </c>
      <c r="CZ41" t="n">
        <v>-0.0288424178073869</v>
      </c>
      <c r="DA41" t="n">
        <v>0.551315466243099</v>
      </c>
      <c r="DB41" t="n">
        <v>6.84397374879128</v>
      </c>
      <c r="DC41" t="n">
        <v>0.0456033432904098</v>
      </c>
      <c r="DD41" t="n">
        <v>0.031067210993769</v>
      </c>
      <c r="DE41" t="n">
        <v>0.00641237259042295</v>
      </c>
      <c r="DF41" t="n">
        <v>0.13056383978007</v>
      </c>
      <c r="DG41" t="n">
        <v>230798.851234819</v>
      </c>
      <c r="DH41" t="n">
        <v>144.892021394268</v>
      </c>
      <c r="DI41" t="n">
        <v>5.01387490814307</v>
      </c>
      <c r="DJ41" t="n">
        <v>4.30986478496913</v>
      </c>
      <c r="DK41" t="n">
        <v>0.0411256875275234</v>
      </c>
      <c r="DL41" t="n">
        <v>0.670223574218165</v>
      </c>
      <c r="DM41" t="n">
        <v>1.53941204989652</v>
      </c>
      <c r="DN41" t="n">
        <v>0.0357615042376472</v>
      </c>
      <c r="DO41" t="n">
        <v>0.0465455822795444</v>
      </c>
      <c r="DP41" t="n">
        <v>30984.8</v>
      </c>
      <c r="DQ41" t="n">
        <v>26003.355732816</v>
      </c>
      <c r="DR41" t="n">
        <v>184348.948040018</v>
      </c>
      <c r="DS41" t="n">
        <v>32548.0971045753</v>
      </c>
      <c r="DT41" t="n">
        <v>13901.8060902253</v>
      </c>
      <c r="DU41" t="n">
        <v>0</v>
      </c>
      <c r="DV41" t="n">
        <v>58.425</v>
      </c>
      <c r="DW41" t="n">
        <v>208288.96</v>
      </c>
      <c r="DX41" t="n">
        <v>2.47325220610227</v>
      </c>
      <c r="DY41" t="n">
        <v>73.306</v>
      </c>
      <c r="DZ41" t="n">
        <v>1.02062376390299</v>
      </c>
      <c r="EA41" t="n">
        <v>1.20449936397015</v>
      </c>
      <c r="EB41" t="n">
        <v>190171971.876851</v>
      </c>
      <c r="EC41" t="n">
        <v>3.16578023222883</v>
      </c>
      <c r="ED41" t="n">
        <v>0.0435</v>
      </c>
      <c r="EE41" t="n">
        <v>0.0304926484848485</v>
      </c>
      <c r="EF41" t="n">
        <v>0.03050813492075</v>
      </c>
      <c r="EG41" t="n">
        <v>0.0441803333333333</v>
      </c>
      <c r="EH41" t="n">
        <v>785723.05880045</v>
      </c>
      <c r="EI41" t="n">
        <v>445608.756074048</v>
      </c>
      <c r="EJ41" t="n">
        <v>1370.40188786898</v>
      </c>
      <c r="EK41" t="n">
        <v>1.13725637805542</v>
      </c>
      <c r="EL41" t="n">
        <v>4.2054023320127</v>
      </c>
    </row>
    <row r="42">
      <c r="A42" s="2" t="n">
        <v>49369</v>
      </c>
      <c r="B42" t="n">
        <v>447299.079208729</v>
      </c>
      <c r="C42" t="n">
        <v>38716.0188949908</v>
      </c>
      <c r="D42" t="n">
        <v>24356.2222583554</v>
      </c>
      <c r="E42" t="n">
        <v>248925.639495012</v>
      </c>
      <c r="F42" t="n">
        <v>68730.7854541053</v>
      </c>
      <c r="G42" t="n">
        <v>14878.6322923223</v>
      </c>
      <c r="H42" t="n">
        <v>78451.8187974913</v>
      </c>
      <c r="I42" t="n">
        <v>93681.3350958249</v>
      </c>
      <c r="J42" t="n">
        <v>100595.161540914</v>
      </c>
      <c r="K42" t="n">
        <v>390.195310214076</v>
      </c>
      <c r="L42" t="n">
        <v>5497.63152166142</v>
      </c>
      <c r="M42" t="n">
        <v>0.663816482751688</v>
      </c>
      <c r="N42" t="n">
        <v>36194.7399206416</v>
      </c>
      <c r="O42" t="n">
        <v>203.775143984748</v>
      </c>
      <c r="P42" t="n">
        <v>2.53422804694946</v>
      </c>
      <c r="Q42" t="n">
        <v>1.62180840285546</v>
      </c>
      <c r="R42" t="n">
        <v>1.03971748375132</v>
      </c>
      <c r="S42" t="n">
        <v>0.100212741667388</v>
      </c>
      <c r="T42" t="n">
        <v>6880.27194512795</v>
      </c>
      <c r="U42" t="n">
        <v>0.431388216412351</v>
      </c>
      <c r="V42" t="n">
        <v>0.556587636505664</v>
      </c>
      <c r="W42" t="n">
        <v>33887119.8156476</v>
      </c>
      <c r="X42" t="n">
        <v>99596.6092805983</v>
      </c>
      <c r="Y42" t="n">
        <v>4367427.53627281</v>
      </c>
      <c r="Z42" t="n">
        <v>1401.56584077791</v>
      </c>
      <c r="AA42" t="n">
        <v>1.23633200825258</v>
      </c>
      <c r="AB42" t="n">
        <v>1.12502209049403</v>
      </c>
      <c r="AC42" t="n">
        <v>1.53350561060206</v>
      </c>
      <c r="AD42" t="n">
        <v>1.63278886247416</v>
      </c>
      <c r="AE42" t="n">
        <v>146.937580813976</v>
      </c>
      <c r="AF42" t="n">
        <v>109869.189009949</v>
      </c>
      <c r="AG42" t="n">
        <v>1905.99179115472</v>
      </c>
      <c r="AH42" t="n">
        <v>175.696852331855</v>
      </c>
      <c r="AI42" t="n">
        <v>93811.938168146</v>
      </c>
      <c r="AJ42" t="n">
        <v>118002.061441934</v>
      </c>
      <c r="AK42" t="n">
        <v>560.180402336102</v>
      </c>
      <c r="AL42" t="n">
        <v>31816.9628561072</v>
      </c>
      <c r="AM42" t="n">
        <v>17613.771467147</v>
      </c>
      <c r="AN42" t="n">
        <v>0.937298370239131</v>
      </c>
      <c r="AO42" t="n">
        <v>1.09244182815724</v>
      </c>
      <c r="AP42" t="n">
        <v>1.33484733340516</v>
      </c>
      <c r="AQ42" t="n">
        <v>1.43883229218947</v>
      </c>
      <c r="AR42" t="n">
        <v>36327.1276224051</v>
      </c>
      <c r="AS42" t="n">
        <v>242555.705540014</v>
      </c>
      <c r="AT42" t="n">
        <v>0.027460043974676</v>
      </c>
      <c r="AU42" t="n">
        <v>0.0322831380570998</v>
      </c>
      <c r="AV42" t="n">
        <v>0.395740081215979</v>
      </c>
      <c r="AW42" t="n">
        <v>740.989445515414</v>
      </c>
      <c r="AX42" t="n">
        <v>11458.4956439331</v>
      </c>
      <c r="AY42" t="n">
        <v>19780.020440552</v>
      </c>
      <c r="AZ42" t="n">
        <v>182361.081071018</v>
      </c>
      <c r="BA42" t="n">
        <v>643588.360080165</v>
      </c>
      <c r="BB42" t="n">
        <v>283510.79870546</v>
      </c>
      <c r="BC42" t="n">
        <v>303747.388409975</v>
      </c>
      <c r="BD42" t="n">
        <v>125851.761845287</v>
      </c>
      <c r="BE42" t="n">
        <v>23.4569770215362</v>
      </c>
      <c r="BF42" t="n">
        <v>63215.0844510803</v>
      </c>
      <c r="BG42" t="n">
        <v>29038.4410367035</v>
      </c>
      <c r="BH42" t="n">
        <v>30112.3771781188</v>
      </c>
      <c r="BI42" t="n">
        <v>105540.501805297</v>
      </c>
      <c r="BJ42" t="n">
        <v>51897.350241876</v>
      </c>
      <c r="BK42" t="n">
        <v>94287.6809662404</v>
      </c>
      <c r="BL42" t="n">
        <v>32079.4033591401</v>
      </c>
      <c r="BM42" t="n">
        <v>19242.020702314</v>
      </c>
      <c r="BN42" t="n">
        <v>53378.2025075677</v>
      </c>
      <c r="BO42" t="n">
        <v>210576.867535262</v>
      </c>
      <c r="BP42" t="n">
        <v>252189.40783359</v>
      </c>
      <c r="BQ42" t="n">
        <v>1165290.37320037</v>
      </c>
      <c r="BR42" t="n">
        <v>787377.803387387</v>
      </c>
      <c r="BS42" t="n">
        <v>848002.397375372</v>
      </c>
      <c r="BT42" t="n">
        <v>142.385291301724</v>
      </c>
      <c r="BU42" t="n">
        <v>1.47996343016509</v>
      </c>
      <c r="BV42" t="n">
        <v>1.15472482559618</v>
      </c>
      <c r="BW42" t="n">
        <v>111.061403087107</v>
      </c>
      <c r="BX42" t="n">
        <v>95170.6483542892</v>
      </c>
      <c r="BY42" t="n">
        <v>1.93882189773268</v>
      </c>
      <c r="BZ42" t="n">
        <v>184518.937050712</v>
      </c>
      <c r="CA42" t="n">
        <v>10788.7630742362</v>
      </c>
      <c r="CB42" t="n">
        <v>16286.3945958976</v>
      </c>
      <c r="CC42" t="n">
        <v>17310.8935350923</v>
      </c>
      <c r="CD42" t="n">
        <v>1024.49893919467</v>
      </c>
      <c r="CE42" t="n">
        <v>0.0591823211067704</v>
      </c>
      <c r="CF42" t="n">
        <v>12214905.5485696</v>
      </c>
      <c r="CG42" t="n">
        <v>541606.840675734</v>
      </c>
      <c r="CH42" t="n">
        <v>731371.655072253</v>
      </c>
      <c r="CI42" t="n">
        <v>424852.897540731</v>
      </c>
      <c r="CJ42" t="n">
        <v>21366.8247889762</v>
      </c>
      <c r="CK42" t="n">
        <v>1067130.11427055</v>
      </c>
      <c r="CL42" t="n">
        <v>0.0814183518912761</v>
      </c>
      <c r="CM42" t="n">
        <v>12.2822432138564</v>
      </c>
      <c r="CN42" t="n">
        <v>1256670.25799799</v>
      </c>
      <c r="CO42" t="n">
        <v>3690802.79478591</v>
      </c>
      <c r="CP42" t="n">
        <v>3497665.30505992</v>
      </c>
      <c r="CQ42" t="n">
        <v>4947473.0527839</v>
      </c>
      <c r="CR42" t="n">
        <v>10501450.8689868</v>
      </c>
      <c r="CS42" t="n">
        <v>-0.014513385338587</v>
      </c>
      <c r="CT42" t="n">
        <v>-0.00969029125616313</v>
      </c>
      <c r="CU42" t="n">
        <v>0.0582393123541252</v>
      </c>
      <c r="CV42" t="n">
        <v>1.96796666744492</v>
      </c>
      <c r="CW42" t="n">
        <v>0.0582393123541252</v>
      </c>
      <c r="CX42" t="n">
        <v>0.039440022763365</v>
      </c>
      <c r="CY42" t="n">
        <v>0.019440022763365</v>
      </c>
      <c r="CZ42" t="n">
        <v>-0.0291303140195281</v>
      </c>
      <c r="DA42" t="n">
        <v>0.547736232352222</v>
      </c>
      <c r="DB42" t="n">
        <v>6.87800196516026</v>
      </c>
      <c r="DC42" t="n">
        <v>0.045189535224676</v>
      </c>
      <c r="DD42" t="n">
        <v>0.0307813206240078</v>
      </c>
      <c r="DE42" t="n">
        <v>0.00638568311638787</v>
      </c>
      <c r="DF42" t="n">
        <v>0.131408513411336</v>
      </c>
      <c r="DG42" t="n">
        <v>231460.675030106</v>
      </c>
      <c r="DH42" t="n">
        <v>146.05438180456</v>
      </c>
      <c r="DI42" t="n">
        <v>5.02202235747355</v>
      </c>
      <c r="DJ42" t="n">
        <v>4.31509103046901</v>
      </c>
      <c r="DK42" t="n">
        <v>0.0411256875275234</v>
      </c>
      <c r="DL42" t="n">
        <v>0.670223574218165</v>
      </c>
      <c r="DM42" t="n">
        <v>1.55518188169235</v>
      </c>
      <c r="DN42" t="n">
        <v>0.0357615042376472</v>
      </c>
      <c r="DO42" t="n">
        <v>0.0465455822795444</v>
      </c>
      <c r="DP42" t="n">
        <v>31073.65</v>
      </c>
      <c r="DQ42" t="n">
        <v>26077.8302209885</v>
      </c>
      <c r="DR42" t="n">
        <v>184877.575109851</v>
      </c>
      <c r="DS42" t="n">
        <v>32641.4299138154</v>
      </c>
      <c r="DT42" t="n">
        <v>13941.6700064396</v>
      </c>
      <c r="DU42" t="n">
        <v>0</v>
      </c>
      <c r="DV42" t="n">
        <v>58.425</v>
      </c>
      <c r="DW42" t="n">
        <v>208288.96</v>
      </c>
      <c r="DX42" t="n">
        <v>2.48552678756443</v>
      </c>
      <c r="DY42" t="n">
        <v>73.306</v>
      </c>
      <c r="DZ42" t="n">
        <v>1.02062376390299</v>
      </c>
      <c r="EA42" t="n">
        <v>1.20449936397015</v>
      </c>
      <c r="EB42" t="n">
        <v>191481666.98941</v>
      </c>
      <c r="EC42" t="n">
        <v>3.16578023222883</v>
      </c>
      <c r="ED42" t="n">
        <v>0.0435</v>
      </c>
      <c r="EE42" t="n">
        <v>0.0304926484848485</v>
      </c>
      <c r="EF42" t="n">
        <v>0.03050813492075</v>
      </c>
      <c r="EG42" t="n">
        <v>0.0441803333333333</v>
      </c>
      <c r="EH42" t="n">
        <v>787923.363759878</v>
      </c>
      <c r="EI42" t="n">
        <v>447857.591046165</v>
      </c>
      <c r="EJ42" t="n">
        <v>1391.59989650948</v>
      </c>
      <c r="EK42" t="n">
        <v>1.11895654034651</v>
      </c>
      <c r="EL42" t="n">
        <v>4.1973429313263</v>
      </c>
    </row>
    <row r="43">
      <c r="A43" s="2" t="n">
        <v>49461</v>
      </c>
      <c r="B43" t="n">
        <v>449231.029738122</v>
      </c>
      <c r="C43" t="n">
        <v>38853.7442422061</v>
      </c>
      <c r="D43" t="n">
        <v>24424.3433278167</v>
      </c>
      <c r="E43" t="n">
        <v>249664.57840557</v>
      </c>
      <c r="F43" t="n">
        <v>69652.1485196953</v>
      </c>
      <c r="G43" t="n">
        <v>15027.5417276112</v>
      </c>
      <c r="H43" t="n">
        <v>79451.5941759837</v>
      </c>
      <c r="I43" t="n">
        <v>94131.885303926</v>
      </c>
      <c r="J43" t="n">
        <v>100736.746419614</v>
      </c>
      <c r="K43" t="n">
        <v>389.780547345611</v>
      </c>
      <c r="L43" t="n">
        <v>5520.73892535172</v>
      </c>
      <c r="M43" t="n">
        <v>0.663766940061039</v>
      </c>
      <c r="N43" t="n">
        <v>36495.0599140213</v>
      </c>
      <c r="O43" t="n">
        <v>205.867878654872</v>
      </c>
      <c r="P43" t="n">
        <v>2.58002336849884</v>
      </c>
      <c r="Q43" t="n">
        <v>1.63386426008711</v>
      </c>
      <c r="R43" t="n">
        <v>1.04435139902278</v>
      </c>
      <c r="S43" t="n">
        <v>0.100238540846462</v>
      </c>
      <c r="T43" t="n">
        <v>6795.52247934878</v>
      </c>
      <c r="U43" t="n">
        <v>0.430920578494034</v>
      </c>
      <c r="V43" t="n">
        <v>0.553359103514115</v>
      </c>
      <c r="W43" t="n">
        <v>34433733.8797174</v>
      </c>
      <c r="X43" t="n">
        <v>101113.226262937</v>
      </c>
      <c r="Y43" t="n">
        <v>4370234.67825562</v>
      </c>
      <c r="Z43" t="n">
        <v>1422.90952749649</v>
      </c>
      <c r="AA43" t="n">
        <v>1.24312144604769</v>
      </c>
      <c r="AB43" t="n">
        <v>1.12971457738496</v>
      </c>
      <c r="AC43" t="n">
        <v>1.54715112407037</v>
      </c>
      <c r="AD43" t="n">
        <v>1.65211200399975</v>
      </c>
      <c r="AE43" t="n">
        <v>148.147502957364</v>
      </c>
      <c r="AF43" t="n">
        <v>110971.903066265</v>
      </c>
      <c r="AG43" t="n">
        <v>1937.68769077996</v>
      </c>
      <c r="AH43" t="n">
        <v>178.985084592165</v>
      </c>
      <c r="AI43" t="n">
        <v>94320.4653537274</v>
      </c>
      <c r="AJ43" t="n">
        <v>119317.365142675</v>
      </c>
      <c r="AK43" t="n">
        <v>562.084789842702</v>
      </c>
      <c r="AL43" t="n">
        <v>32167.3091869789</v>
      </c>
      <c r="AM43" t="n">
        <v>17550.3325272688</v>
      </c>
      <c r="AN43" t="n">
        <v>0.941767002306104</v>
      </c>
      <c r="AO43" t="n">
        <v>1.0991124260758</v>
      </c>
      <c r="AP43" t="n">
        <v>1.34406706876748</v>
      </c>
      <c r="AQ43" t="n">
        <v>1.45213252066627</v>
      </c>
      <c r="AR43" t="n">
        <v>36437.4147433023</v>
      </c>
      <c r="AS43" t="n">
        <v>244199.800970039</v>
      </c>
      <c r="AT43" t="n">
        <v>0.0268676427024733</v>
      </c>
      <c r="AU43" t="n">
        <v>0.0319042158945342</v>
      </c>
      <c r="AV43" t="n">
        <v>0.397945195877769</v>
      </c>
      <c r="AW43" t="n">
        <v>738.938910558063</v>
      </c>
      <c r="AX43" t="n">
        <v>11499.2572030027</v>
      </c>
      <c r="AY43" t="n">
        <v>19828.754186474</v>
      </c>
      <c r="AZ43" t="n">
        <v>182598.247876659</v>
      </c>
      <c r="BA43" t="n">
        <v>652342.988242931</v>
      </c>
      <c r="BB43" t="n">
        <v>286851.414111915</v>
      </c>
      <c r="BC43" t="n">
        <v>307270.496676534</v>
      </c>
      <c r="BD43" t="n">
        <v>126488.884061405</v>
      </c>
      <c r="BE43" t="n">
        <v>23.5233750026729</v>
      </c>
      <c r="BF43" t="n">
        <v>64190.7372628849</v>
      </c>
      <c r="BG43" t="n">
        <v>29668.3523041256</v>
      </c>
      <c r="BH43" t="n">
        <v>30362.4249964407</v>
      </c>
      <c r="BI43" t="n">
        <v>106555.203619937</v>
      </c>
      <c r="BJ43" t="n">
        <v>52258.2346484814</v>
      </c>
      <c r="BK43" t="n">
        <v>94870.5436976698</v>
      </c>
      <c r="BL43" t="n">
        <v>32397.4927873327</v>
      </c>
      <c r="BM43" t="n">
        <v>19289.7885624835</v>
      </c>
      <c r="BN43" t="n">
        <v>53981.1200844209</v>
      </c>
      <c r="BO43" t="n">
        <v>212128.505131907</v>
      </c>
      <c r="BP43" t="n">
        <v>255030.403784146</v>
      </c>
      <c r="BQ43" t="n">
        <v>1179327.45653448</v>
      </c>
      <c r="BR43" t="n">
        <v>789317.734090142</v>
      </c>
      <c r="BS43" t="n">
        <v>851349.255250819</v>
      </c>
      <c r="BT43" t="n">
        <v>143.626165046771</v>
      </c>
      <c r="BU43" t="n">
        <v>1.49410989507943</v>
      </c>
      <c r="BV43" t="n">
        <v>1.16172256633697</v>
      </c>
      <c r="BW43" t="n">
        <v>111.2386661639</v>
      </c>
      <c r="BX43" t="n">
        <v>95581.7043859628</v>
      </c>
      <c r="BY43" t="n">
        <v>1.97510767420794</v>
      </c>
      <c r="BZ43" t="n">
        <v>188784.15784659</v>
      </c>
      <c r="CA43" t="n">
        <v>10807.1851265562</v>
      </c>
      <c r="CB43" t="n">
        <v>16327.9240519079</v>
      </c>
      <c r="CC43" t="n">
        <v>17359.0349267461</v>
      </c>
      <c r="CD43" t="n">
        <v>1031.11087483824</v>
      </c>
      <c r="CE43" t="n">
        <v>0.0593990851128706</v>
      </c>
      <c r="CF43" t="n">
        <v>12249832.0653448</v>
      </c>
      <c r="CG43" t="n">
        <v>547493.26410005</v>
      </c>
      <c r="CH43" t="n">
        <v>738816.492239392</v>
      </c>
      <c r="CI43" t="n">
        <v>430230.807645205</v>
      </c>
      <c r="CJ43" t="n">
        <v>21584.3236901566</v>
      </c>
      <c r="CK43" t="n">
        <v>1079984.75950477</v>
      </c>
      <c r="CL43" t="n">
        <v>0.0827139916836192</v>
      </c>
      <c r="CM43" t="n">
        <v>12.0898529939771</v>
      </c>
      <c r="CN43" t="n">
        <v>1260972.14228285</v>
      </c>
      <c r="CO43" t="n">
        <v>3723805.24522335</v>
      </c>
      <c r="CP43" t="n">
        <v>3508480.12429927</v>
      </c>
      <c r="CQ43" t="n">
        <v>4984777.38750619</v>
      </c>
      <c r="CR43" t="n">
        <v>10549570.0229484</v>
      </c>
      <c r="CS43" t="n">
        <v>-0.0150223171504577</v>
      </c>
      <c r="CT43" t="n">
        <v>-0.0099857439583968</v>
      </c>
      <c r="CU43" t="n">
        <v>0.0583485809935309</v>
      </c>
      <c r="CV43" t="n">
        <v>1.98817733688221</v>
      </c>
      <c r="CW43" t="n">
        <v>0.0583485809935309</v>
      </c>
      <c r="CX43" t="n">
        <v>0.039440022763365</v>
      </c>
      <c r="CY43" t="n">
        <v>0.019440022763365</v>
      </c>
      <c r="CZ43" t="n">
        <v>-0.0294257667217618</v>
      </c>
      <c r="DA43" t="n">
        <v>0.544249381264213</v>
      </c>
      <c r="DB43" t="n">
        <v>6.91176077003217</v>
      </c>
      <c r="DC43" t="n">
        <v>0.0445971339524733</v>
      </c>
      <c r="DD43" t="n">
        <v>0.0303741479649511</v>
      </c>
      <c r="DE43" t="n">
        <v>0.00635825623202654</v>
      </c>
      <c r="DF43" t="n">
        <v>0.132236017526536</v>
      </c>
      <c r="DG43" t="n">
        <v>232122.498825393</v>
      </c>
      <c r="DH43" t="n">
        <v>147.278901652745</v>
      </c>
      <c r="DI43" t="n">
        <v>5.03052861018696</v>
      </c>
      <c r="DJ43" t="n">
        <v>4.32067607935183</v>
      </c>
      <c r="DK43" t="n">
        <v>0.0411256875275234</v>
      </c>
      <c r="DL43" t="n">
        <v>0.670223574218165</v>
      </c>
      <c r="DM43" t="n">
        <v>1.57111326061579</v>
      </c>
      <c r="DN43" t="n">
        <v>0.0357615042376472</v>
      </c>
      <c r="DO43" t="n">
        <v>0.0465455822795444</v>
      </c>
      <c r="DP43" t="n">
        <v>31162.5</v>
      </c>
      <c r="DQ43" t="n">
        <v>26152.3041885</v>
      </c>
      <c r="DR43" t="n">
        <v>185406.202179684</v>
      </c>
      <c r="DS43" t="n">
        <v>32734.7627230555</v>
      </c>
      <c r="DT43" t="n">
        <v>13981.5339226539</v>
      </c>
      <c r="DU43" t="n">
        <v>0</v>
      </c>
      <c r="DV43" t="n">
        <v>58.425</v>
      </c>
      <c r="DW43" t="n">
        <v>208288.96</v>
      </c>
      <c r="DX43" t="n">
        <v>2.49786228693448</v>
      </c>
      <c r="DY43" t="n">
        <v>73.306</v>
      </c>
      <c r="DZ43" t="n">
        <v>1.02062376390299</v>
      </c>
      <c r="EA43" t="n">
        <v>1.20449936397015</v>
      </c>
      <c r="EB43" t="n">
        <v>192800381.839582</v>
      </c>
      <c r="EC43" t="n">
        <v>3.16578023222883</v>
      </c>
      <c r="ED43" t="n">
        <v>0.0435</v>
      </c>
      <c r="EE43" t="n">
        <v>0.0304926484848485</v>
      </c>
      <c r="EF43" t="n">
        <v>0.03050813492075</v>
      </c>
      <c r="EG43" t="n">
        <v>0.0441803333333333</v>
      </c>
      <c r="EH43" t="n">
        <v>790059.254184477</v>
      </c>
      <c r="EI43" t="n">
        <v>450030.388511368</v>
      </c>
      <c r="EJ43" t="n">
        <v>1413.04988960056</v>
      </c>
      <c r="EK43" t="n">
        <v>1.0993239361671</v>
      </c>
      <c r="EL43" t="n">
        <v>4.1889959852931</v>
      </c>
    </row>
    <row r="44">
      <c r="A44" s="2" t="n">
        <v>49553</v>
      </c>
      <c r="B44" t="n">
        <v>451202.674220276</v>
      </c>
      <c r="C44" t="n">
        <v>38987.4463766039</v>
      </c>
      <c r="D44" t="n">
        <v>24488.1814903867</v>
      </c>
      <c r="E44" t="n">
        <v>250379.381495854</v>
      </c>
      <c r="F44" t="n">
        <v>70612.0852671995</v>
      </c>
      <c r="G44" t="n">
        <v>15176.8412988513</v>
      </c>
      <c r="H44" t="n">
        <v>80468.1462118401</v>
      </c>
      <c r="I44" t="n">
        <v>99116.289635384</v>
      </c>
      <c r="J44" t="n">
        <v>100886.359325767</v>
      </c>
      <c r="K44" t="n">
        <v>389.364126536894</v>
      </c>
      <c r="L44" t="n">
        <v>5543.77731902267</v>
      </c>
      <c r="M44" t="n">
        <v>0.66370251168202</v>
      </c>
      <c r="N44" t="n">
        <v>36793.2799728489</v>
      </c>
      <c r="O44" t="n">
        <v>207.978095625839</v>
      </c>
      <c r="P44" t="n">
        <v>2.62662833568531</v>
      </c>
      <c r="Q44" t="n">
        <v>1.6457761991258</v>
      </c>
      <c r="R44" t="n">
        <v>1.04897585934295</v>
      </c>
      <c r="S44" t="n">
        <v>0.100194122798601</v>
      </c>
      <c r="T44" t="n">
        <v>6709.11505359205</v>
      </c>
      <c r="U44" t="n">
        <v>0.430487483140115</v>
      </c>
      <c r="V44" t="n">
        <v>0.550194415360644</v>
      </c>
      <c r="W44" t="n">
        <v>34989834.1157571</v>
      </c>
      <c r="X44" t="n">
        <v>102646.350977574</v>
      </c>
      <c r="Y44" t="n">
        <v>4372829.06753184</v>
      </c>
      <c r="Z44" t="n">
        <v>1444.71445141527</v>
      </c>
      <c r="AA44" t="n">
        <v>1.24995998041829</v>
      </c>
      <c r="AB44" t="n">
        <v>1.13446563454493</v>
      </c>
      <c r="AC44" t="n">
        <v>1.56086008417941</v>
      </c>
      <c r="AD44" t="n">
        <v>1.67167762146864</v>
      </c>
      <c r="AE44" t="n">
        <v>149.369236801929</v>
      </c>
      <c r="AF44" t="n">
        <v>112075.965041847</v>
      </c>
      <c r="AG44" t="n">
        <v>1969.96585103485</v>
      </c>
      <c r="AH44" t="n">
        <v>182.321340053349</v>
      </c>
      <c r="AI44" t="n">
        <v>94802.9257325318</v>
      </c>
      <c r="AJ44" t="n">
        <v>120725.200372505</v>
      </c>
      <c r="AK44" t="n">
        <v>564.060149242804</v>
      </c>
      <c r="AL44" t="n">
        <v>32522.6296990683</v>
      </c>
      <c r="AM44" t="n">
        <v>17488.417993788</v>
      </c>
      <c r="AN44" t="n">
        <v>0.946250178565614</v>
      </c>
      <c r="AO44" t="n">
        <v>1.10567225249111</v>
      </c>
      <c r="AP44" t="n">
        <v>1.35337856584013</v>
      </c>
      <c r="AQ44" t="n">
        <v>1.46555845423074</v>
      </c>
      <c r="AR44" t="n">
        <v>36552.5413396687</v>
      </c>
      <c r="AS44" t="n">
        <v>245782.288378742</v>
      </c>
      <c r="AT44" t="n">
        <v>0.0262382499435169</v>
      </c>
      <c r="AU44" t="n">
        <v>0.0315133708805065</v>
      </c>
      <c r="AV44" t="n">
        <v>0.400235213734171</v>
      </c>
      <c r="AW44" t="n">
        <v>714.803090283822</v>
      </c>
      <c r="AX44" t="n">
        <v>11538.8280413354</v>
      </c>
      <c r="AY44" t="n">
        <v>19878.9164813187</v>
      </c>
      <c r="AZ44" t="n">
        <v>182851.235140542</v>
      </c>
      <c r="BA44" t="n">
        <v>661263.894433652</v>
      </c>
      <c r="BB44" t="n">
        <v>290215.002930262</v>
      </c>
      <c r="BC44" t="n">
        <v>310855.667518806</v>
      </c>
      <c r="BD44" t="n">
        <v>131624.17002761</v>
      </c>
      <c r="BE44" t="n">
        <v>24.0585511621117</v>
      </c>
      <c r="BF44" t="n">
        <v>65174.4416259772</v>
      </c>
      <c r="BG44" t="n">
        <v>30308.2126939719</v>
      </c>
      <c r="BH44" t="n">
        <v>30609.2468562032</v>
      </c>
      <c r="BI44" t="n">
        <v>107550.660288189</v>
      </c>
      <c r="BJ44" t="n">
        <v>52598.0325605558</v>
      </c>
      <c r="BK44" t="n">
        <v>95463.7355268416</v>
      </c>
      <c r="BL44" t="n">
        <v>32716.2476093639</v>
      </c>
      <c r="BM44" t="n">
        <v>19336.4585156976</v>
      </c>
      <c r="BN44" t="n">
        <v>54598.2520307729</v>
      </c>
      <c r="BO44" t="n">
        <v>213704.253682676</v>
      </c>
      <c r="BP44" t="n">
        <v>257819.687163366</v>
      </c>
      <c r="BQ44" t="n">
        <v>1193604.05790812</v>
      </c>
      <c r="BR44" t="n">
        <v>791314.530709224</v>
      </c>
      <c r="BS44" t="n">
        <v>854675.552879575</v>
      </c>
      <c r="BT44" t="n">
        <v>144.879960036916</v>
      </c>
      <c r="BU44" t="n">
        <v>1.50838129674132</v>
      </c>
      <c r="BV44" t="n">
        <v>1.16873289654521</v>
      </c>
      <c r="BW44" t="n">
        <v>111.416567515413</v>
      </c>
      <c r="BX44" t="n">
        <v>96001.2059955405</v>
      </c>
      <c r="BY44" t="n">
        <v>2.0119233886543</v>
      </c>
      <c r="BZ44" t="n">
        <v>193147.071681447</v>
      </c>
      <c r="CA44" t="n">
        <v>10825.1658421862</v>
      </c>
      <c r="CB44" t="n">
        <v>16368.9431612089</v>
      </c>
      <c r="CC44" t="n">
        <v>17406.8415242889</v>
      </c>
      <c r="CD44" t="n">
        <v>1037.89836308007</v>
      </c>
      <c r="CE44" t="n">
        <v>0.0596258822805663</v>
      </c>
      <c r="CF44" t="n">
        <v>12284620.9987674</v>
      </c>
      <c r="CG44" t="n">
        <v>553353.770577182</v>
      </c>
      <c r="CH44" t="n">
        <v>751489.113903979</v>
      </c>
      <c r="CI44" t="n">
        <v>435810.511499206</v>
      </c>
      <c r="CJ44" t="n">
        <v>21954.5508993277</v>
      </c>
      <c r="CK44" t="n">
        <v>1093058.74656039</v>
      </c>
      <c r="CL44" t="n">
        <v>0.0840737034224517</v>
      </c>
      <c r="CM44" t="n">
        <v>11.8943255654532</v>
      </c>
      <c r="CN44" t="n">
        <v>1265273.496819</v>
      </c>
      <c r="CO44" t="n">
        <v>3756772.47607458</v>
      </c>
      <c r="CP44" t="n">
        <v>3519346.39807244</v>
      </c>
      <c r="CQ44" t="n">
        <v>5022045.97289358</v>
      </c>
      <c r="CR44" t="n">
        <v>10597704.882109</v>
      </c>
      <c r="CS44" t="n">
        <v>-0.0155511385941899</v>
      </c>
      <c r="CT44" t="n">
        <v>-0.0102760176572002</v>
      </c>
      <c r="CU44" t="n">
        <v>0.0584047342608946</v>
      </c>
      <c r="CV44" t="n">
        <v>2.00855684234461</v>
      </c>
      <c r="CW44" t="n">
        <v>0.0584047342608948</v>
      </c>
      <c r="CX44" t="n">
        <v>0.039440022763365</v>
      </c>
      <c r="CY44" t="n">
        <v>0.0194400227633649</v>
      </c>
      <c r="CZ44" t="n">
        <v>-0.0297160404205651</v>
      </c>
      <c r="DA44" t="n">
        <v>0.540846346614583</v>
      </c>
      <c r="DB44" t="n">
        <v>6.94647408453227</v>
      </c>
      <c r="DC44" t="n">
        <v>0.0439677411935169</v>
      </c>
      <c r="DD44" t="n">
        <v>0.0299426402375155</v>
      </c>
      <c r="DE44" t="n">
        <v>0.00632998565576162</v>
      </c>
      <c r="DF44" t="n">
        <v>0.133103286368779</v>
      </c>
      <c r="DG44" t="n">
        <v>232781.715548892</v>
      </c>
      <c r="DH44" t="n">
        <v>148.47979154814</v>
      </c>
      <c r="DI44" t="n">
        <v>5.03880659979733</v>
      </c>
      <c r="DJ44" t="n">
        <v>4.3260328651316</v>
      </c>
      <c r="DK44" t="n">
        <v>0.0411256875275234</v>
      </c>
      <c r="DL44" t="n">
        <v>0.670223574218165</v>
      </c>
      <c r="DM44" t="n">
        <v>1.58720784156556</v>
      </c>
      <c r="DN44" t="n">
        <v>0.0357615042376472</v>
      </c>
      <c r="DO44" t="n">
        <v>0.0465455822795444</v>
      </c>
      <c r="DP44" t="n">
        <v>31251</v>
      </c>
      <c r="DQ44" t="n">
        <v>26226.8730612075</v>
      </c>
      <c r="DR44" t="n">
        <v>185932.746869388</v>
      </c>
      <c r="DS44" t="n">
        <v>32827.7278735084</v>
      </c>
      <c r="DT44" t="n">
        <v>14021.2408059962</v>
      </c>
      <c r="DU44" t="n">
        <v>0</v>
      </c>
      <c r="DV44" t="n">
        <v>58.75</v>
      </c>
      <c r="DW44" t="n">
        <v>208288.96</v>
      </c>
      <c r="DX44" t="n">
        <v>2.51025900654382</v>
      </c>
      <c r="DY44" t="n">
        <v>73.306</v>
      </c>
      <c r="DZ44" t="n">
        <v>1.02062376390299</v>
      </c>
      <c r="EA44" t="n">
        <v>1.20449936397015</v>
      </c>
      <c r="EB44" t="n">
        <v>194128178.545387</v>
      </c>
      <c r="EC44" t="n">
        <v>3.16578023222883</v>
      </c>
      <c r="ED44" t="n">
        <v>0.0435</v>
      </c>
      <c r="EE44" t="n">
        <v>0.0304926484848485</v>
      </c>
      <c r="EF44" t="n">
        <v>0.03050813492075</v>
      </c>
      <c r="EG44" t="n">
        <v>0.0441803333333333</v>
      </c>
      <c r="EH44" t="n">
        <v>792150.673352923</v>
      </c>
      <c r="EI44" t="n">
        <v>452144.975504288</v>
      </c>
      <c r="EJ44" t="n">
        <v>1434.79145782473</v>
      </c>
      <c r="EK44" t="n">
        <v>1.07496878407978</v>
      </c>
      <c r="EL44" t="n">
        <v>4.17893885377068</v>
      </c>
    </row>
    <row r="45">
      <c r="A45" s="2" t="n">
        <v>49644</v>
      </c>
      <c r="B45" t="n">
        <v>453313.543242989</v>
      </c>
      <c r="C45" t="n">
        <v>39118.0955184822</v>
      </c>
      <c r="D45" t="n">
        <v>24547.286294371</v>
      </c>
      <c r="E45" t="n">
        <v>251087.368777416</v>
      </c>
      <c r="F45" t="n">
        <v>71611.6082906549</v>
      </c>
      <c r="G45" t="n">
        <v>15325.7728838558</v>
      </c>
      <c r="H45" t="n">
        <v>81506.979691463</v>
      </c>
      <c r="I45" t="n">
        <v>98732.5599864042</v>
      </c>
      <c r="J45" t="n">
        <v>101043.681524971</v>
      </c>
      <c r="K45" t="n">
        <v>388.956800328056</v>
      </c>
      <c r="L45" t="n">
        <v>5566.98529673819</v>
      </c>
      <c r="M45" t="n">
        <v>0.663631780984103</v>
      </c>
      <c r="N45" t="n">
        <v>37091.7480064019</v>
      </c>
      <c r="O45" t="n">
        <v>210.105482637316</v>
      </c>
      <c r="P45" t="n">
        <v>2.67413690916815</v>
      </c>
      <c r="Q45" t="n">
        <v>1.6575593271529</v>
      </c>
      <c r="R45" t="n">
        <v>1.05359684040998</v>
      </c>
      <c r="S45" t="n">
        <v>0.100174947650871</v>
      </c>
      <c r="T45" t="n">
        <v>6626.25330855329</v>
      </c>
      <c r="U45" t="n">
        <v>0.430088861662996</v>
      </c>
      <c r="V45" t="n">
        <v>0.547088106574116</v>
      </c>
      <c r="W45" t="n">
        <v>35557519.1183937</v>
      </c>
      <c r="X45" t="n">
        <v>104199.568928271</v>
      </c>
      <c r="Y45" t="n">
        <v>4375683.0505821</v>
      </c>
      <c r="Z45" t="n">
        <v>1466.94874023311</v>
      </c>
      <c r="AA45" t="n">
        <v>1.25687410996282</v>
      </c>
      <c r="AB45" t="n">
        <v>1.1392487136665</v>
      </c>
      <c r="AC45" t="n">
        <v>1.57467069334036</v>
      </c>
      <c r="AD45" t="n">
        <v>1.69148115277547</v>
      </c>
      <c r="AE45" t="n">
        <v>150.599204783125</v>
      </c>
      <c r="AF45" t="n">
        <v>113199.758161282</v>
      </c>
      <c r="AG45" t="n">
        <v>2002.25910087736</v>
      </c>
      <c r="AH45" t="n">
        <v>185.700612133445</v>
      </c>
      <c r="AI45" t="n">
        <v>95281.3189651248</v>
      </c>
      <c r="AJ45" t="n">
        <v>122206.889268421</v>
      </c>
      <c r="AK45" t="n">
        <v>566.062428061262</v>
      </c>
      <c r="AL45" t="n">
        <v>32890.0481314147</v>
      </c>
      <c r="AM45" t="n">
        <v>17428.6248065064</v>
      </c>
      <c r="AN45" t="n">
        <v>0.950751105254048</v>
      </c>
      <c r="AO45" t="n">
        <v>1.11217852509383</v>
      </c>
      <c r="AP45" t="n">
        <v>1.36278681341047</v>
      </c>
      <c r="AQ45" t="n">
        <v>1.47910619882002</v>
      </c>
      <c r="AR45" t="n">
        <v>36674.8489220209</v>
      </c>
      <c r="AS45" t="n">
        <v>247439.243851775</v>
      </c>
      <c r="AT45" t="n">
        <v>0.0256666389164125</v>
      </c>
      <c r="AU45" t="n">
        <v>0.0311148152491951</v>
      </c>
      <c r="AV45" t="n">
        <v>0.40205950783832</v>
      </c>
      <c r="AW45" t="n">
        <v>707.987281561596</v>
      </c>
      <c r="AX45" t="n">
        <v>11577.4953079043</v>
      </c>
      <c r="AY45" t="n">
        <v>19931.3034326911</v>
      </c>
      <c r="AZ45" t="n">
        <v>183123.45868619</v>
      </c>
      <c r="BA45" t="n">
        <v>670498.872498738</v>
      </c>
      <c r="BB45" t="n">
        <v>293611.981919108</v>
      </c>
      <c r="BC45" t="n">
        <v>314534.16715867</v>
      </c>
      <c r="BD45" t="n">
        <v>131334.14849541</v>
      </c>
      <c r="BE45" t="n">
        <v>24.0283264364044</v>
      </c>
      <c r="BF45" t="n">
        <v>66167.521301983</v>
      </c>
      <c r="BG45" t="n">
        <v>30959.8075185878</v>
      </c>
      <c r="BH45" t="n">
        <v>30852.8486132402</v>
      </c>
      <c r="BI45" t="n">
        <v>108549.119009526</v>
      </c>
      <c r="BJ45" t="n">
        <v>52959.5577747558</v>
      </c>
      <c r="BK45" t="n">
        <v>96067.3918888047</v>
      </c>
      <c r="BL45" t="n">
        <v>33037.3179071717</v>
      </c>
      <c r="BM45" t="n">
        <v>19383.742231714</v>
      </c>
      <c r="BN45" t="n">
        <v>55232.030831976</v>
      </c>
      <c r="BO45" t="n">
        <v>215310.042859666</v>
      </c>
      <c r="BP45" t="n">
        <v>260701.205515666</v>
      </c>
      <c r="BQ45" t="n">
        <v>1208208.54597994</v>
      </c>
      <c r="BR45" t="n">
        <v>793399.883550351</v>
      </c>
      <c r="BS45" t="n">
        <v>858145.636243825</v>
      </c>
      <c r="BT45" t="n">
        <v>146.145013977614</v>
      </c>
      <c r="BU45" t="n">
        <v>1.52282417703962</v>
      </c>
      <c r="BV45" t="n">
        <v>1.17576439634986</v>
      </c>
      <c r="BW45" t="n">
        <v>111.595284956657</v>
      </c>
      <c r="BX45" t="n">
        <v>96450.3300443493</v>
      </c>
      <c r="BY45" t="n">
        <v>2.04921379323658</v>
      </c>
      <c r="BZ45" t="n">
        <v>197647.346689101</v>
      </c>
      <c r="CA45" t="n">
        <v>10843.5748345565</v>
      </c>
      <c r="CB45" t="n">
        <v>16410.5601312947</v>
      </c>
      <c r="CC45" t="n">
        <v>17454.4738715937</v>
      </c>
      <c r="CD45" t="n">
        <v>1043.91374029907</v>
      </c>
      <c r="CE45" t="n">
        <v>0.059807798631589</v>
      </c>
      <c r="CF45" t="n">
        <v>12319409.9321901</v>
      </c>
      <c r="CG45" t="n">
        <v>559260.868990944</v>
      </c>
      <c r="CH45" t="n">
        <v>758174.301144078</v>
      </c>
      <c r="CI45" t="n">
        <v>441601.959283501</v>
      </c>
      <c r="CJ45" t="n">
        <v>22149.8568336636</v>
      </c>
      <c r="CK45" t="n">
        <v>1106433.00020855</v>
      </c>
      <c r="CL45" t="n">
        <v>0.085427224360798</v>
      </c>
      <c r="CM45" t="n">
        <v>11.7058702010093</v>
      </c>
      <c r="CN45" t="n">
        <v>1269570.04715346</v>
      </c>
      <c r="CO45" t="n">
        <v>3789679.00080903</v>
      </c>
      <c r="CP45" t="n">
        <v>3530259.69270905</v>
      </c>
      <c r="CQ45" t="n">
        <v>5059249.04796249</v>
      </c>
      <c r="CR45" t="n">
        <v>10645821.2518145</v>
      </c>
      <c r="CS45" t="n">
        <v>-0.016023857470317</v>
      </c>
      <c r="CT45" t="n">
        <v>-0.0105756811375344</v>
      </c>
      <c r="CU45" t="n">
        <v>0.0584844512641416</v>
      </c>
      <c r="CV45" t="n">
        <v>2.02910216816539</v>
      </c>
      <c r="CW45" t="n">
        <v>0.0584844512641413</v>
      </c>
      <c r="CX45" t="n">
        <v>0.039440022763365</v>
      </c>
      <c r="CY45" t="n">
        <v>0.019440022763365</v>
      </c>
      <c r="CZ45" t="n">
        <v>-0.0300157039008994</v>
      </c>
      <c r="DA45" t="n">
        <v>0.537517493045489</v>
      </c>
      <c r="DB45" t="n">
        <v>6.98196316354748</v>
      </c>
      <c r="DC45" t="n">
        <v>0.0433961301664125</v>
      </c>
      <c r="DD45" t="n">
        <v>0.0295507718034726</v>
      </c>
      <c r="DE45" t="n">
        <v>0.00630117753810119</v>
      </c>
      <c r="DF45" t="n">
        <v>0.13397697490291</v>
      </c>
      <c r="DG45" t="n">
        <v>233440.932272392</v>
      </c>
      <c r="DH45" t="n">
        <v>149.670398968673</v>
      </c>
      <c r="DI45" t="n">
        <v>5.04695047468943</v>
      </c>
      <c r="DJ45" t="n">
        <v>4.3312555361931</v>
      </c>
      <c r="DK45" t="n">
        <v>0.0411256875275234</v>
      </c>
      <c r="DL45" t="n">
        <v>0.670223574218165</v>
      </c>
      <c r="DM45" t="n">
        <v>1.60346729639326</v>
      </c>
      <c r="DN45" t="n">
        <v>0.0357615042376472</v>
      </c>
      <c r="DO45" t="n">
        <v>0.0465455822795444</v>
      </c>
      <c r="DP45" t="n">
        <v>31339.5</v>
      </c>
      <c r="DQ45" t="n">
        <v>26301.4436193975</v>
      </c>
      <c r="DR45" t="n">
        <v>186459.291559092</v>
      </c>
      <c r="DS45" t="n">
        <v>32920.6930239614</v>
      </c>
      <c r="DT45" t="n">
        <v>14060.9476893385</v>
      </c>
      <c r="DU45" t="n">
        <v>0</v>
      </c>
      <c r="DV45" t="n">
        <v>58.75</v>
      </c>
      <c r="DW45" t="n">
        <v>208288.96</v>
      </c>
      <c r="DX45" t="n">
        <v>2.52271725022432</v>
      </c>
      <c r="DY45" t="n">
        <v>73.306</v>
      </c>
      <c r="DZ45" t="n">
        <v>1.02062376390299</v>
      </c>
      <c r="EA45" t="n">
        <v>1.20449936397015</v>
      </c>
      <c r="EB45" t="n">
        <v>195465119.652647</v>
      </c>
      <c r="EC45" t="n">
        <v>3.16578023222883</v>
      </c>
      <c r="ED45" t="n">
        <v>0.0435</v>
      </c>
      <c r="EE45" t="n">
        <v>0.0304926484848485</v>
      </c>
      <c r="EF45" t="n">
        <v>0.03050813492075</v>
      </c>
      <c r="EG45" t="n">
        <v>0.0441803333333333</v>
      </c>
      <c r="EH45" t="n">
        <v>794222.185664958</v>
      </c>
      <c r="EI45" t="n">
        <v>454237.753664233</v>
      </c>
      <c r="EJ45" t="n">
        <v>1456.8536519612</v>
      </c>
      <c r="EK45" t="n">
        <v>1.05241051723308</v>
      </c>
      <c r="EL45" t="n">
        <v>4.16904963867295</v>
      </c>
    </row>
    <row r="46">
      <c r="A46" s="2" t="n">
        <v>49735</v>
      </c>
      <c r="B46" t="n">
        <v>455490.167370156</v>
      </c>
      <c r="C46" t="n">
        <v>39248.0252931277</v>
      </c>
      <c r="D46" t="n">
        <v>24602.2722434761</v>
      </c>
      <c r="E46" t="n">
        <v>251791.469920566</v>
      </c>
      <c r="F46" t="n">
        <v>72625.6223994405</v>
      </c>
      <c r="G46" t="n">
        <v>15476.9419357248</v>
      </c>
      <c r="H46" t="n">
        <v>82561.0991118721</v>
      </c>
      <c r="I46" t="n">
        <v>98844.1918633659</v>
      </c>
      <c r="J46" t="n">
        <v>101208.396316879</v>
      </c>
      <c r="K46" t="n">
        <v>388.55544323047</v>
      </c>
      <c r="L46" t="n">
        <v>5590.36726669699</v>
      </c>
      <c r="M46" t="n">
        <v>0.663566060372515</v>
      </c>
      <c r="N46" t="n">
        <v>37392.8238451003</v>
      </c>
      <c r="O46" t="n">
        <v>212.249621951419</v>
      </c>
      <c r="P46" t="n">
        <v>2.72259000132958</v>
      </c>
      <c r="Q46" t="n">
        <v>1.66923223604227</v>
      </c>
      <c r="R46" t="n">
        <v>1.05822573575824</v>
      </c>
      <c r="S46" t="n">
        <v>0.100194552165754</v>
      </c>
      <c r="T46" t="n">
        <v>6546.78240996964</v>
      </c>
      <c r="U46" t="n">
        <v>0.429713884115508</v>
      </c>
      <c r="V46" t="n">
        <v>0.544024363614093</v>
      </c>
      <c r="W46" t="n">
        <v>36135185.0380013</v>
      </c>
      <c r="X46" t="n">
        <v>105774.742713864</v>
      </c>
      <c r="Y46" t="n">
        <v>4378767.18501246</v>
      </c>
      <c r="Z46" t="n">
        <v>1489.49089986907</v>
      </c>
      <c r="AA46" t="n">
        <v>1.263849845911</v>
      </c>
      <c r="AB46" t="n">
        <v>1.14406876484066</v>
      </c>
      <c r="AC46" t="n">
        <v>1.58859829830523</v>
      </c>
      <c r="AD46" t="n">
        <v>1.71151410619951</v>
      </c>
      <c r="AE46" t="n">
        <v>151.838645169042</v>
      </c>
      <c r="AF46" t="n">
        <v>114360.959092182</v>
      </c>
      <c r="AG46" t="n">
        <v>2034.61121085837</v>
      </c>
      <c r="AH46" t="n">
        <v>189.120953199398</v>
      </c>
      <c r="AI46" t="n">
        <v>95759.0957307773</v>
      </c>
      <c r="AJ46" t="n">
        <v>123699.875955167</v>
      </c>
      <c r="AK46" t="n">
        <v>567.839845118634</v>
      </c>
      <c r="AL46" t="n">
        <v>33268.2117962633</v>
      </c>
      <c r="AM46" t="n">
        <v>17369.0119137566</v>
      </c>
      <c r="AN46" t="n">
        <v>0.955293736289481</v>
      </c>
      <c r="AO46" t="n">
        <v>1.1187371683394</v>
      </c>
      <c r="AP46" t="n">
        <v>1.37229016140789</v>
      </c>
      <c r="AQ46" t="n">
        <v>1.49277122141932</v>
      </c>
      <c r="AR46" t="n">
        <v>36798.7366511349</v>
      </c>
      <c r="AS46" t="n">
        <v>249164.846661115</v>
      </c>
      <c r="AT46" t="n">
        <v>0.0251362253583021</v>
      </c>
      <c r="AU46" t="n">
        <v>0.0307114995165188</v>
      </c>
      <c r="AV46" t="n">
        <v>0.403578130792612</v>
      </c>
      <c r="AW46" t="n">
        <v>704.10114314995</v>
      </c>
      <c r="AX46" t="n">
        <v>11615.9496686388</v>
      </c>
      <c r="AY46" t="n">
        <v>19983.7811499792</v>
      </c>
      <c r="AZ46" t="n">
        <v>183404.92603175</v>
      </c>
      <c r="BA46" t="n">
        <v>679942.614164764</v>
      </c>
      <c r="BB46" t="n">
        <v>297045.381272017</v>
      </c>
      <c r="BC46" t="n">
        <v>318292.834335483</v>
      </c>
      <c r="BD46" t="n">
        <v>131498.752390786</v>
      </c>
      <c r="BE46" t="n">
        <v>24.0454807061248</v>
      </c>
      <c r="BF46" t="n">
        <v>67173.548929663</v>
      </c>
      <c r="BG46" t="n">
        <v>31625.4684237836</v>
      </c>
      <c r="BH46" t="n">
        <v>31093.5779839777</v>
      </c>
      <c r="BI46" t="n">
        <v>109554.989352611</v>
      </c>
      <c r="BJ46" t="n">
        <v>53327.2469833973</v>
      </c>
      <c r="BK46" t="n">
        <v>96683.7470614183</v>
      </c>
      <c r="BL46" t="n">
        <v>33357.5716935592</v>
      </c>
      <c r="BM46" t="n">
        <v>19431.3592052494</v>
      </c>
      <c r="BN46" t="n">
        <v>55874.7031704068</v>
      </c>
      <c r="BO46" t="n">
        <v>216936.941130634</v>
      </c>
      <c r="BP46" t="n">
        <v>263672.653183047</v>
      </c>
      <c r="BQ46" t="n">
        <v>1223027.1150578</v>
      </c>
      <c r="BR46" t="n">
        <v>795488.849547528</v>
      </c>
      <c r="BS46" t="n">
        <v>861678.738813229</v>
      </c>
      <c r="BT46" t="n">
        <v>147.421934506026</v>
      </c>
      <c r="BU46" t="n">
        <v>1.53745347163827</v>
      </c>
      <c r="BV46" t="n">
        <v>1.18283050419855</v>
      </c>
      <c r="BW46" t="n">
        <v>111.774876024068</v>
      </c>
      <c r="BX46" t="n">
        <v>96913.4446337478</v>
      </c>
      <c r="BY46" t="n">
        <v>2.08695739574494</v>
      </c>
      <c r="BZ46" t="n">
        <v>202254.230025518</v>
      </c>
      <c r="CA46" t="n">
        <v>10862.4264958481</v>
      </c>
      <c r="CB46" t="n">
        <v>16452.7937625451</v>
      </c>
      <c r="CC46" t="n">
        <v>17502.2289345803</v>
      </c>
      <c r="CD46" t="n">
        <v>1049.43517203526</v>
      </c>
      <c r="CE46" t="n">
        <v>0.0599600825943979</v>
      </c>
      <c r="CF46" t="n">
        <v>12354198.8656127</v>
      </c>
      <c r="CG46" t="n">
        <v>565251.398052965</v>
      </c>
      <c r="CH46" t="n">
        <v>765487.717849953</v>
      </c>
      <c r="CI46" t="n">
        <v>447481.520662981</v>
      </c>
      <c r="CJ46" t="n">
        <v>22363.5163216674</v>
      </c>
      <c r="CK46" t="n">
        <v>1120003.30137731</v>
      </c>
      <c r="CL46" t="n">
        <v>0.0867357137536616</v>
      </c>
      <c r="CM46" t="n">
        <v>11.5292761968859</v>
      </c>
      <c r="CN46" t="n">
        <v>1273857.1365946</v>
      </c>
      <c r="CO46" t="n">
        <v>3822521.75247151</v>
      </c>
      <c r="CP46" t="n">
        <v>3541216.58012679</v>
      </c>
      <c r="CQ46" t="n">
        <v>5096378.8890661</v>
      </c>
      <c r="CR46" t="n">
        <v>10693907.9803358</v>
      </c>
      <c r="CS46" t="n">
        <v>-0.0164511724025633</v>
      </c>
      <c r="CT46" t="n">
        <v>-0.0108758982443466</v>
      </c>
      <c r="CU46" t="n">
        <v>0.0586071544048891</v>
      </c>
      <c r="CV46" t="n">
        <v>2.04980928002408</v>
      </c>
      <c r="CW46" t="n">
        <v>0.0586071544048889</v>
      </c>
      <c r="CX46" t="n">
        <v>0.039440022763365</v>
      </c>
      <c r="CY46" t="n">
        <v>0.0194400227633649</v>
      </c>
      <c r="CZ46" t="n">
        <v>-0.0303159210077115</v>
      </c>
      <c r="DA46" t="n">
        <v>0.534249405996264</v>
      </c>
      <c r="DB46" t="n">
        <v>7.01763746938494</v>
      </c>
      <c r="DC46" t="n">
        <v>0.0428657166083021</v>
      </c>
      <c r="DD46" t="n">
        <v>0.0291872902559274</v>
      </c>
      <c r="DE46" t="n">
        <v>0.00627204610031048</v>
      </c>
      <c r="DF46" t="n">
        <v>0.134825869640726</v>
      </c>
      <c r="DG46" t="n">
        <v>234100.148995891</v>
      </c>
      <c r="DH46" t="n">
        <v>150.876348103964</v>
      </c>
      <c r="DI46" t="n">
        <v>5.05513275694224</v>
      </c>
      <c r="DJ46" t="n">
        <v>4.33651661461531</v>
      </c>
      <c r="DK46" t="n">
        <v>0.0411256875275234</v>
      </c>
      <c r="DL46" t="n">
        <v>0.670223574218165</v>
      </c>
      <c r="DM46" t="n">
        <v>1.61989331407705</v>
      </c>
      <c r="DN46" t="n">
        <v>0.0357615042376472</v>
      </c>
      <c r="DO46" t="n">
        <v>0.0465455822795444</v>
      </c>
      <c r="DP46" t="n">
        <v>31428</v>
      </c>
      <c r="DQ46" t="n">
        <v>26376.01586307</v>
      </c>
      <c r="DR46" t="n">
        <v>186985.836248796</v>
      </c>
      <c r="DS46" t="n">
        <v>33013.6581744143</v>
      </c>
      <c r="DT46" t="n">
        <v>14100.6545726808</v>
      </c>
      <c r="DU46" t="n">
        <v>0</v>
      </c>
      <c r="DV46" t="n">
        <v>58.75</v>
      </c>
      <c r="DW46" t="n">
        <v>208288.96</v>
      </c>
      <c r="DX46" t="n">
        <v>2.53523732331572</v>
      </c>
      <c r="DY46" t="n">
        <v>73.306</v>
      </c>
      <c r="DZ46" t="n">
        <v>1.02062376390299</v>
      </c>
      <c r="EA46" t="n">
        <v>1.20449936397015</v>
      </c>
      <c r="EB46" t="n">
        <v>196409858.955687</v>
      </c>
      <c r="EC46" t="n">
        <v>3.16578023222883</v>
      </c>
      <c r="ED46" t="n">
        <v>0.0435</v>
      </c>
      <c r="EE46" t="n">
        <v>0.0304926484848485</v>
      </c>
      <c r="EF46" t="n">
        <v>0.03050813492075</v>
      </c>
      <c r="EG46" t="n">
        <v>0.0441803333333333</v>
      </c>
      <c r="EH46" t="n">
        <v>796278.817580773</v>
      </c>
      <c r="EI46" t="n">
        <v>456326.68886625</v>
      </c>
      <c r="EJ46" t="n">
        <v>1479.23776071184</v>
      </c>
      <c r="EK46" t="n">
        <v>1.03013396177107</v>
      </c>
      <c r="EL46" t="n">
        <v>4.15873977608654</v>
      </c>
    </row>
    <row r="47">
      <c r="A47" s="2" t="n">
        <v>49827</v>
      </c>
      <c r="B47" t="n">
        <v>457158.263505735</v>
      </c>
      <c r="C47" t="n">
        <v>39377.7615108396</v>
      </c>
      <c r="D47" t="n">
        <v>24652.8202794927</v>
      </c>
      <c r="E47" t="n">
        <v>252491.680787539</v>
      </c>
      <c r="F47" t="n">
        <v>73470.6219587627</v>
      </c>
      <c r="G47" t="n">
        <v>15622.9446303358</v>
      </c>
      <c r="H47" t="n">
        <v>83553.9556010075</v>
      </c>
      <c r="I47" t="n">
        <v>99356.7281868972</v>
      </c>
      <c r="J47" t="n">
        <v>100862.129667991</v>
      </c>
      <c r="K47" t="n">
        <v>388.085878807525</v>
      </c>
      <c r="L47" t="n">
        <v>5612.57250169146</v>
      </c>
      <c r="M47" t="n">
        <v>0.663497320037237</v>
      </c>
      <c r="N47" t="n">
        <v>37705.3025306523</v>
      </c>
      <c r="O47" t="n">
        <v>214.403299503968</v>
      </c>
      <c r="P47" t="n">
        <v>2.77266680842743</v>
      </c>
      <c r="Q47" t="n">
        <v>1.68080180209196</v>
      </c>
      <c r="R47" t="n">
        <v>1.0628131826804</v>
      </c>
      <c r="S47" t="n">
        <v>0.0998486082610161</v>
      </c>
      <c r="T47" t="n">
        <v>6457.09806314546</v>
      </c>
      <c r="U47" t="n">
        <v>0.429395578432452</v>
      </c>
      <c r="V47" t="n">
        <v>0.541008523442742</v>
      </c>
      <c r="W47" t="n">
        <v>36716261.8998021</v>
      </c>
      <c r="X47" t="n">
        <v>107358.689717507</v>
      </c>
      <c r="Y47" t="n">
        <v>4378985.94987261</v>
      </c>
      <c r="Z47" t="n">
        <v>1512.2197591995</v>
      </c>
      <c r="AA47" t="n">
        <v>1.27093588994548</v>
      </c>
      <c r="AB47" t="n">
        <v>1.14892644800578</v>
      </c>
      <c r="AC47" t="n">
        <v>1.60291556064436</v>
      </c>
      <c r="AD47" t="n">
        <v>1.73177098524647</v>
      </c>
      <c r="AE47" t="n">
        <v>153.097179018516</v>
      </c>
      <c r="AF47" t="n">
        <v>115457.339516336</v>
      </c>
      <c r="AG47" t="n">
        <v>2067.10416176163</v>
      </c>
      <c r="AH47" t="n">
        <v>192.580587874388</v>
      </c>
      <c r="AI47" t="n">
        <v>96192.2932682804</v>
      </c>
      <c r="AJ47" t="n">
        <v>125060.259502424</v>
      </c>
      <c r="AK47" t="n">
        <v>569.205399563429</v>
      </c>
      <c r="AL47" t="n">
        <v>33625.3161642319</v>
      </c>
      <c r="AM47" t="n">
        <v>17288.8159307149</v>
      </c>
      <c r="AN47" t="n">
        <v>0.959861909724644</v>
      </c>
      <c r="AO47" t="n">
        <v>1.12590473200314</v>
      </c>
      <c r="AP47" t="n">
        <v>1.38183453013663</v>
      </c>
      <c r="AQ47" t="n">
        <v>1.50650356937602</v>
      </c>
      <c r="AR47" t="n">
        <v>36862.4382427449</v>
      </c>
      <c r="AS47" t="n">
        <v>250700.474471747</v>
      </c>
      <c r="AT47" t="n">
        <v>0.0240222289345608</v>
      </c>
      <c r="AU47" t="n">
        <v>0.0302692360407371</v>
      </c>
      <c r="AV47" t="n">
        <v>0.408589580109111</v>
      </c>
      <c r="AW47" t="n">
        <v>700.210866972862</v>
      </c>
      <c r="AX47" t="n">
        <v>11654.3467437499</v>
      </c>
      <c r="AY47" t="n">
        <v>20011.531829393</v>
      </c>
      <c r="AZ47" t="n">
        <v>183069.915670843</v>
      </c>
      <c r="BA47" t="n">
        <v>688710.556418926</v>
      </c>
      <c r="BB47" t="n">
        <v>300566.513219795</v>
      </c>
      <c r="BC47" t="n">
        <v>321730.177870674</v>
      </c>
      <c r="BD47" t="n">
        <v>132476.37393931</v>
      </c>
      <c r="BE47" t="n">
        <v>24.1473639798445</v>
      </c>
      <c r="BF47" t="n">
        <v>68193.2648484273</v>
      </c>
      <c r="BG47" t="n">
        <v>32313.6203902996</v>
      </c>
      <c r="BH47" t="n">
        <v>31332.154081583</v>
      </c>
      <c r="BI47" t="n">
        <v>110517.868738278</v>
      </c>
      <c r="BJ47" t="n">
        <v>53697.9005668487</v>
      </c>
      <c r="BK47" t="n">
        <v>96813.7164020121</v>
      </c>
      <c r="BL47" t="n">
        <v>33635.4187614643</v>
      </c>
      <c r="BM47" t="n">
        <v>19465.5596671231</v>
      </c>
      <c r="BN47" t="n">
        <v>56435.353067085</v>
      </c>
      <c r="BO47" t="n">
        <v>217939.607897684</v>
      </c>
      <c r="BP47" t="n">
        <v>266447.769172803</v>
      </c>
      <c r="BQ47" t="n">
        <v>1236823.71698904</v>
      </c>
      <c r="BR47" t="n">
        <v>796593.51312975</v>
      </c>
      <c r="BS47" t="n">
        <v>864654.038569093</v>
      </c>
      <c r="BT47" t="n">
        <v>148.71562171147</v>
      </c>
      <c r="BU47" t="n">
        <v>1.55264093142346</v>
      </c>
      <c r="BV47" t="n">
        <v>1.19047199589875</v>
      </c>
      <c r="BW47" t="n">
        <v>112.011406642172</v>
      </c>
      <c r="BX47" t="n">
        <v>97268.3610601824</v>
      </c>
      <c r="BY47" t="n">
        <v>2.1251346048241</v>
      </c>
      <c r="BZ47" t="n">
        <v>206708.360043519</v>
      </c>
      <c r="CA47" t="n">
        <v>10876.1128339299</v>
      </c>
      <c r="CB47" t="n">
        <v>16488.6853356213</v>
      </c>
      <c r="CC47" t="n">
        <v>17549.8954405456</v>
      </c>
      <c r="CD47" t="n">
        <v>1061.21010492425</v>
      </c>
      <c r="CE47" t="n">
        <v>0.0604681678580107</v>
      </c>
      <c r="CF47" t="n">
        <v>12388987.7990353</v>
      </c>
      <c r="CG47" t="n">
        <v>571218.39897063</v>
      </c>
      <c r="CH47" t="n">
        <v>773153.047249815</v>
      </c>
      <c r="CI47" t="n">
        <v>452544.581932914</v>
      </c>
      <c r="CJ47" t="n">
        <v>22587.4568436999</v>
      </c>
      <c r="CK47" t="n">
        <v>1132637.7225774</v>
      </c>
      <c r="CL47" t="n">
        <v>0.0881518902139998</v>
      </c>
      <c r="CM47" t="n">
        <v>11.3440562371649</v>
      </c>
      <c r="CN47" t="n">
        <v>1278130.79726743</v>
      </c>
      <c r="CO47" t="n">
        <v>3855301.16531712</v>
      </c>
      <c r="CP47" t="n">
        <v>3552215.99321479</v>
      </c>
      <c r="CQ47" t="n">
        <v>5133431.96258455</v>
      </c>
      <c r="CR47" t="n">
        <v>10741960.4669423</v>
      </c>
      <c r="CS47" t="n">
        <v>-0.017438444313088</v>
      </c>
      <c r="CT47" t="n">
        <v>-0.0111914372069117</v>
      </c>
      <c r="CU47" t="n">
        <v>0.0583879350133673</v>
      </c>
      <c r="CV47" t="n">
        <v>2.07060850780506</v>
      </c>
      <c r="CW47" t="n">
        <v>0.0583879350133673</v>
      </c>
      <c r="CX47" t="n">
        <v>0.039440022763365</v>
      </c>
      <c r="CY47" t="n">
        <v>0.019440022763365</v>
      </c>
      <c r="CZ47" t="n">
        <v>-0.0306314599702767</v>
      </c>
      <c r="DA47" t="n">
        <v>0.531083407336508</v>
      </c>
      <c r="DB47" t="n">
        <v>7.05315525786256</v>
      </c>
      <c r="DC47" t="n">
        <v>0.0417517201845608</v>
      </c>
      <c r="DD47" t="n">
        <v>0.0284274112843597</v>
      </c>
      <c r="DE47" t="n">
        <v>0.00624012546221559</v>
      </c>
      <c r="DF47" t="n">
        <v>0.135644201990255</v>
      </c>
      <c r="DG47" t="n">
        <v>234759.36571939</v>
      </c>
      <c r="DH47" t="n">
        <v>152.257619822482</v>
      </c>
      <c r="DI47" t="n">
        <v>5.06440329959029</v>
      </c>
      <c r="DJ47" t="n">
        <v>4.34286595343276</v>
      </c>
      <c r="DK47" t="n">
        <v>0.0411256875275234</v>
      </c>
      <c r="DL47" t="n">
        <v>0.670223574218165</v>
      </c>
      <c r="DM47" t="n">
        <v>1.63648760089707</v>
      </c>
      <c r="DN47" t="n">
        <v>0.0357615042376472</v>
      </c>
      <c r="DO47" t="n">
        <v>0.0465455822795444</v>
      </c>
      <c r="DP47" t="n">
        <v>31516.5</v>
      </c>
      <c r="DQ47" t="n">
        <v>26450.589792225</v>
      </c>
      <c r="DR47" t="n">
        <v>187512.3809385</v>
      </c>
      <c r="DS47" t="n">
        <v>33106.6233248673</v>
      </c>
      <c r="DT47" t="n">
        <v>14140.3614560231</v>
      </c>
      <c r="DU47" t="n">
        <v>0</v>
      </c>
      <c r="DV47" t="n">
        <v>58.75</v>
      </c>
      <c r="DW47" t="n">
        <v>208288.96</v>
      </c>
      <c r="DX47" t="n">
        <v>2.54781953267317</v>
      </c>
      <c r="DY47" t="n">
        <v>73.306</v>
      </c>
      <c r="DZ47" t="n">
        <v>1.02062376390299</v>
      </c>
      <c r="EA47" t="n">
        <v>1.20449936397015</v>
      </c>
      <c r="EB47" t="n">
        <v>197359164.456278</v>
      </c>
      <c r="EC47" t="n">
        <v>3.16578023222883</v>
      </c>
      <c r="ED47" t="n">
        <v>0.0435</v>
      </c>
      <c r="EE47" t="n">
        <v>0.0304926484848485</v>
      </c>
      <c r="EF47" t="n">
        <v>0.03050813492075</v>
      </c>
      <c r="EG47" t="n">
        <v>0.0441803333333333</v>
      </c>
      <c r="EH47" t="n">
        <v>798126.868248878</v>
      </c>
      <c r="EI47" t="n">
        <v>458312.523491753</v>
      </c>
      <c r="EJ47" t="n">
        <v>1501.92019878076</v>
      </c>
      <c r="EK47" t="n">
        <v>0.921780763990476</v>
      </c>
      <c r="EL47" t="n">
        <v>4.14606732476488</v>
      </c>
    </row>
    <row r="48">
      <c r="A48" s="2" t="n">
        <v>49919</v>
      </c>
      <c r="B48" t="n">
        <v>458993.958500573</v>
      </c>
      <c r="C48" t="n">
        <v>39504.5477985673</v>
      </c>
      <c r="D48" t="n">
        <v>24698.3880512437</v>
      </c>
      <c r="E48" t="n">
        <v>253115.883492224</v>
      </c>
      <c r="F48" t="n">
        <v>74518.4463151198</v>
      </c>
      <c r="G48" t="n">
        <v>15769.6131800027</v>
      </c>
      <c r="H48" t="n">
        <v>84613.7827882696</v>
      </c>
      <c r="I48" t="n">
        <v>104653.852639964</v>
      </c>
      <c r="J48" t="n">
        <v>101167.965720678</v>
      </c>
      <c r="K48" t="n">
        <v>387.658670667784</v>
      </c>
      <c r="L48" t="n">
        <v>5635.27355109465</v>
      </c>
      <c r="M48" t="n">
        <v>0.663377717046741</v>
      </c>
      <c r="N48" t="n">
        <v>38000.2046560006</v>
      </c>
      <c r="O48" t="n">
        <v>216.57953482281</v>
      </c>
      <c r="P48" t="n">
        <v>2.82264388575491</v>
      </c>
      <c r="Q48" t="n">
        <v>1.69225361398058</v>
      </c>
      <c r="R48" t="n">
        <v>1.06742433769127</v>
      </c>
      <c r="S48" t="n">
        <v>0.0995492453121318</v>
      </c>
      <c r="T48" t="n">
        <v>6367.74696425653</v>
      </c>
      <c r="U48" t="n">
        <v>0.429068826975587</v>
      </c>
      <c r="V48" t="n">
        <v>0.538053391480736</v>
      </c>
      <c r="W48" t="n">
        <v>37312966.4374299</v>
      </c>
      <c r="X48" t="n">
        <v>108958.911902429</v>
      </c>
      <c r="Y48" t="n">
        <v>4380391.67516698</v>
      </c>
      <c r="Z48" t="n">
        <v>1535.90832663927</v>
      </c>
      <c r="AA48" t="n">
        <v>1.27799746492896</v>
      </c>
      <c r="AB48" t="n">
        <v>1.15387887419768</v>
      </c>
      <c r="AC48" t="n">
        <v>1.61701590439041</v>
      </c>
      <c r="AD48" t="n">
        <v>1.75228421600312</v>
      </c>
      <c r="AE48" t="n">
        <v>154.36600136141</v>
      </c>
      <c r="AF48" t="n">
        <v>116581.859818705</v>
      </c>
      <c r="AG48" t="n">
        <v>2100.19689394067</v>
      </c>
      <c r="AH48" t="n">
        <v>196.093209559689</v>
      </c>
      <c r="AI48" t="n">
        <v>96601.0831763342</v>
      </c>
      <c r="AJ48" t="n">
        <v>126766.56762124</v>
      </c>
      <c r="AK48" t="n">
        <v>570.614629405723</v>
      </c>
      <c r="AL48" t="n">
        <v>33994.8297163405</v>
      </c>
      <c r="AM48" t="n">
        <v>17227.1165693935</v>
      </c>
      <c r="AN48" t="n">
        <v>0.964424611525731</v>
      </c>
      <c r="AO48" t="n">
        <v>1.13228099515209</v>
      </c>
      <c r="AP48" t="n">
        <v>1.3914934816333</v>
      </c>
      <c r="AQ48" t="n">
        <v>1.52038856086052</v>
      </c>
      <c r="AR48" t="n">
        <v>36980.6298939336</v>
      </c>
      <c r="AS48" t="n">
        <v>252185.106577486</v>
      </c>
      <c r="AT48" t="n">
        <v>0.02321591229348</v>
      </c>
      <c r="AU48" t="n">
        <v>0.0298088164853173</v>
      </c>
      <c r="AV48" t="n">
        <v>0.411432008791069</v>
      </c>
      <c r="AW48" t="n">
        <v>624.202704685275</v>
      </c>
      <c r="AX48" t="n">
        <v>11691.8707497583</v>
      </c>
      <c r="AY48" t="n">
        <v>20060.8858429365</v>
      </c>
      <c r="AZ48" t="n">
        <v>183481.598026942</v>
      </c>
      <c r="BA48" t="n">
        <v>697849.164671668</v>
      </c>
      <c r="BB48" t="n">
        <v>304061.933385291</v>
      </c>
      <c r="BC48" t="n">
        <v>325478.531818437</v>
      </c>
      <c r="BD48" t="n">
        <v>137907.63927202</v>
      </c>
      <c r="BE48" t="n">
        <v>24.7133857633989</v>
      </c>
      <c r="BF48" t="n">
        <v>69223.1955677704</v>
      </c>
      <c r="BG48" t="n">
        <v>33001.9874848419</v>
      </c>
      <c r="BH48" t="n">
        <v>31564.4773173211</v>
      </c>
      <c r="BI48" t="n">
        <v>111465.94803728</v>
      </c>
      <c r="BJ48" t="n">
        <v>53993.097956498</v>
      </c>
      <c r="BK48" t="n">
        <v>97568.8760390134</v>
      </c>
      <c r="BL48" t="n">
        <v>33948.1065673611</v>
      </c>
      <c r="BM48" t="n">
        <v>19505.9366927939</v>
      </c>
      <c r="BN48" t="n">
        <v>57085.5196455274</v>
      </c>
      <c r="BO48" t="n">
        <v>219697.998944696</v>
      </c>
      <c r="BP48" t="n">
        <v>269188.520364074</v>
      </c>
      <c r="BQ48" t="n">
        <v>1251669.28300129</v>
      </c>
      <c r="BR48" t="n">
        <v>798558.134724214</v>
      </c>
      <c r="BS48" t="n">
        <v>867691.610812729</v>
      </c>
      <c r="BT48" t="n">
        <v>150.019510714668</v>
      </c>
      <c r="BU48" t="n">
        <v>1.56741157042708</v>
      </c>
      <c r="BV48" t="n">
        <v>1.19738437700132</v>
      </c>
      <c r="BW48" t="n">
        <v>112.175105505946</v>
      </c>
      <c r="BX48" t="n">
        <v>97658.9370549923</v>
      </c>
      <c r="BY48" t="n">
        <v>2.16389652771302</v>
      </c>
      <c r="BZ48" t="n">
        <v>211323.834793442</v>
      </c>
      <c r="CA48" t="n">
        <v>10891.59379839</v>
      </c>
      <c r="CB48" t="n">
        <v>16526.8673494847</v>
      </c>
      <c r="CC48" t="n">
        <v>17596.0040226544</v>
      </c>
      <c r="CD48" t="n">
        <v>1069.13667316965</v>
      </c>
      <c r="CE48" t="n">
        <v>0.0607601926459352</v>
      </c>
      <c r="CF48" t="n">
        <v>12423776.732458</v>
      </c>
      <c r="CG48" t="n">
        <v>577019.120725122</v>
      </c>
      <c r="CH48" t="n">
        <v>786429.195567663</v>
      </c>
      <c r="CI48" t="n">
        <v>458579.590856938</v>
      </c>
      <c r="CJ48" t="n">
        <v>22975.3159205626</v>
      </c>
      <c r="CK48" t="n">
        <v>1146232.74654688</v>
      </c>
      <c r="CL48" t="n">
        <v>0.0896101293924993</v>
      </c>
      <c r="CM48" t="n">
        <v>11.1594526955755</v>
      </c>
      <c r="CN48" t="n">
        <v>1282386.80555937</v>
      </c>
      <c r="CO48" t="n">
        <v>3887973.70368499</v>
      </c>
      <c r="CP48" t="n">
        <v>3563257.3991849</v>
      </c>
      <c r="CQ48" t="n">
        <v>5170360.50924436</v>
      </c>
      <c r="CR48" t="n">
        <v>10789930.4195722</v>
      </c>
      <c r="CS48" t="n">
        <v>-0.0181415160986201</v>
      </c>
      <c r="CT48" t="n">
        <v>-0.0115486119067828</v>
      </c>
      <c r="CU48" t="n">
        <v>0.0581918169200317</v>
      </c>
      <c r="CV48" t="n">
        <v>2.09162558812334</v>
      </c>
      <c r="CW48" t="n">
        <v>0.0581918169200317</v>
      </c>
      <c r="CX48" t="n">
        <v>0.039440022763365</v>
      </c>
      <c r="CY48" t="n">
        <v>0.019440022763365</v>
      </c>
      <c r="CZ48" t="n">
        <v>-0.0309886346701479</v>
      </c>
      <c r="DA48" t="n">
        <v>0.527955880612507</v>
      </c>
      <c r="DB48" t="n">
        <v>7.09165955082431</v>
      </c>
      <c r="DC48" t="n">
        <v>0.04094540354348</v>
      </c>
      <c r="DD48" t="n">
        <v>0.0278766969301668</v>
      </c>
      <c r="DE48" t="n">
        <v>0.0062069210589544</v>
      </c>
      <c r="DF48" t="n">
        <v>0.136550392436355</v>
      </c>
      <c r="DG48" t="n">
        <v>235418.58244289</v>
      </c>
      <c r="DH48" t="n">
        <v>153.425405625305</v>
      </c>
      <c r="DI48" t="n">
        <v>5.07220104206168</v>
      </c>
      <c r="DJ48" t="n">
        <v>4.34774249207355</v>
      </c>
      <c r="DK48" t="n">
        <v>0.0411256875275234</v>
      </c>
      <c r="DL48" t="n">
        <v>0.670223574218165</v>
      </c>
      <c r="DM48" t="n">
        <v>1.65325188061272</v>
      </c>
      <c r="DN48" t="n">
        <v>0.0357615042376472</v>
      </c>
      <c r="DO48" t="n">
        <v>0.0465455822795444</v>
      </c>
      <c r="DP48" t="n">
        <v>31605</v>
      </c>
      <c r="DQ48" t="n">
        <v>26524.86444825</v>
      </c>
      <c r="DR48" t="n">
        <v>188038.925628204</v>
      </c>
      <c r="DS48" t="n">
        <v>33199.5884753203</v>
      </c>
      <c r="DT48" t="n">
        <v>14180.0683393654</v>
      </c>
      <c r="DU48" t="n">
        <v>0</v>
      </c>
      <c r="DV48" t="n">
        <v>58.75</v>
      </c>
      <c r="DW48" t="n">
        <v>208288.96</v>
      </c>
      <c r="DX48" t="n">
        <v>2.5604641866747</v>
      </c>
      <c r="DY48" t="n">
        <v>73.306</v>
      </c>
      <c r="DZ48" t="n">
        <v>1.02062376390299</v>
      </c>
      <c r="EA48" t="n">
        <v>1.20449936397015</v>
      </c>
      <c r="EB48" t="n">
        <v>198313058.224171</v>
      </c>
      <c r="EC48" t="n">
        <v>3.16578023222883</v>
      </c>
      <c r="ED48" t="n">
        <v>0.0435</v>
      </c>
      <c r="EE48" t="n">
        <v>0.0304926484848485</v>
      </c>
      <c r="EF48" t="n">
        <v>0.03050813492075</v>
      </c>
      <c r="EG48" t="n">
        <v>0.0441803333333333</v>
      </c>
      <c r="EH48" t="n">
        <v>799964.022999211</v>
      </c>
      <c r="EI48" t="n">
        <v>460242.445616888</v>
      </c>
      <c r="EJ48" t="n">
        <v>1525.03464744541</v>
      </c>
      <c r="EK48" t="n">
        <v>0.915388727728517</v>
      </c>
      <c r="EL48" t="n">
        <v>4.13574283921001</v>
      </c>
    </row>
    <row r="49">
      <c r="A49" s="2" t="n">
        <v>50010</v>
      </c>
      <c r="B49" t="n">
        <v>460923.278748665</v>
      </c>
      <c r="C49" t="n">
        <v>39630.5926379118</v>
      </c>
      <c r="D49" t="n">
        <v>24740.5351774215</v>
      </c>
      <c r="E49" t="n">
        <v>253770.258569524</v>
      </c>
      <c r="F49" t="n">
        <v>75507.2680770264</v>
      </c>
      <c r="G49" t="n">
        <v>15909.5337664727</v>
      </c>
      <c r="H49" t="n">
        <v>85666.9224145077</v>
      </c>
      <c r="I49" t="n">
        <v>104293.57416969</v>
      </c>
      <c r="J49" t="n">
        <v>101023.152805743</v>
      </c>
      <c r="K49" t="n">
        <v>387.219890315001</v>
      </c>
      <c r="L49" t="n">
        <v>5657.87825405769</v>
      </c>
      <c r="M49" t="n">
        <v>0.663275104675056</v>
      </c>
      <c r="N49" t="n">
        <v>38305.9329152706</v>
      </c>
      <c r="O49" t="n">
        <v>218.767918792683</v>
      </c>
      <c r="P49" t="n">
        <v>2.87427451036308</v>
      </c>
      <c r="Q49" t="n">
        <v>1.70364131969305</v>
      </c>
      <c r="R49" t="n">
        <v>1.07206226649152</v>
      </c>
      <c r="S49" t="n">
        <v>0.0992459425792179</v>
      </c>
      <c r="T49" t="n">
        <v>6284.95133334084</v>
      </c>
      <c r="U49" t="n">
        <v>0.428758729027504</v>
      </c>
      <c r="V49" t="n">
        <v>0.535095503441935</v>
      </c>
      <c r="W49" t="n">
        <v>37921312.728586</v>
      </c>
      <c r="X49" t="n">
        <v>110575.867990854</v>
      </c>
      <c r="Y49" t="n">
        <v>4381386.04675989</v>
      </c>
      <c r="Z49" t="n">
        <v>1559.75503497794</v>
      </c>
      <c r="AA49" t="n">
        <v>1.285232197942</v>
      </c>
      <c r="AB49" t="n">
        <v>1.15880513801318</v>
      </c>
      <c r="AC49" t="n">
        <v>1.63146474406109</v>
      </c>
      <c r="AD49" t="n">
        <v>1.77303004331911</v>
      </c>
      <c r="AE49" t="n">
        <v>155.640286985173</v>
      </c>
      <c r="AF49" t="n">
        <v>117717.42377684</v>
      </c>
      <c r="AG49" t="n">
        <v>2133.3098168476</v>
      </c>
      <c r="AH49" t="n">
        <v>199.637605806872</v>
      </c>
      <c r="AI49" t="n">
        <v>97014.8456617611</v>
      </c>
      <c r="AJ49" t="n">
        <v>128431.355910246</v>
      </c>
      <c r="AK49" t="n">
        <v>572.260619355282</v>
      </c>
      <c r="AL49" t="n">
        <v>34372.9357049406</v>
      </c>
      <c r="AM49" t="n">
        <v>17157.0993673416</v>
      </c>
      <c r="AN49" t="n">
        <v>0.9691028157961</v>
      </c>
      <c r="AO49" t="n">
        <v>1.13909665839933</v>
      </c>
      <c r="AP49" t="n">
        <v>1.40122348632795</v>
      </c>
      <c r="AQ49" t="n">
        <v>1.53435528402881</v>
      </c>
      <c r="AR49" t="n">
        <v>37076.1791295894</v>
      </c>
      <c r="AS49" t="n">
        <v>253784.738490755</v>
      </c>
      <c r="AT49" t="n">
        <v>0.0222908649471477</v>
      </c>
      <c r="AU49" t="n">
        <v>0.0293244325147138</v>
      </c>
      <c r="AV49" t="n">
        <v>0.414867038639974</v>
      </c>
      <c r="AW49" t="n">
        <v>654.375077300618</v>
      </c>
      <c r="AX49" t="n">
        <v>11729.1753147366</v>
      </c>
      <c r="AY49" t="n">
        <v>20100.0299856932</v>
      </c>
      <c r="AZ49" t="n">
        <v>183401.461288367</v>
      </c>
      <c r="BA49" t="n">
        <v>707220.06894952</v>
      </c>
      <c r="BB49" t="n">
        <v>307637.916770965</v>
      </c>
      <c r="BC49" t="n">
        <v>329174.083739788</v>
      </c>
      <c r="BD49" t="n">
        <v>137814.937989459</v>
      </c>
      <c r="BE49" t="n">
        <v>24.7037248571314</v>
      </c>
      <c r="BF49" t="n">
        <v>70266.231381559</v>
      </c>
      <c r="BG49" t="n">
        <v>33712.8696347272</v>
      </c>
      <c r="BH49" t="n">
        <v>31797.3324043388</v>
      </c>
      <c r="BI49" t="n">
        <v>112421.300494066</v>
      </c>
      <c r="BJ49" t="n">
        <v>54407.5548865595</v>
      </c>
      <c r="BK49" t="n">
        <v>97901.8218446452</v>
      </c>
      <c r="BL49" t="n">
        <v>34243.2416106961</v>
      </c>
      <c r="BM49" t="n">
        <v>19543.594557164</v>
      </c>
      <c r="BN49" t="n">
        <v>57705.4716004299</v>
      </c>
      <c r="BO49" t="n">
        <v>220983.689612935</v>
      </c>
      <c r="BP49" t="n">
        <v>272073.041947357</v>
      </c>
      <c r="BQ49" t="n">
        <v>1266373.92218731</v>
      </c>
      <c r="BR49" t="n">
        <v>800116.33475108</v>
      </c>
      <c r="BS49" t="n">
        <v>870929.577827937</v>
      </c>
      <c r="BT49" t="n">
        <v>151.33409769706</v>
      </c>
      <c r="BU49" t="n">
        <v>1.58273721325579</v>
      </c>
      <c r="BV49" t="n">
        <v>1.2049178237761</v>
      </c>
      <c r="BW49" t="n">
        <v>112.392522471607</v>
      </c>
      <c r="BX49" t="n">
        <v>98069.4334486329</v>
      </c>
      <c r="BY49" t="n">
        <v>2.20300908418216</v>
      </c>
      <c r="BZ49" t="n">
        <v>216047.852767936</v>
      </c>
      <c r="CA49" t="n">
        <v>10906.4109177888</v>
      </c>
      <c r="CB49" t="n">
        <v>16564.2891718465</v>
      </c>
      <c r="CC49" t="n">
        <v>17642.5467736544</v>
      </c>
      <c r="CD49" t="n">
        <v>1078.25760180787</v>
      </c>
      <c r="CE49" t="n">
        <v>0.061116886069443</v>
      </c>
      <c r="CF49" t="n">
        <v>12458565.6658806</v>
      </c>
      <c r="CG49" t="n">
        <v>582978.549215626</v>
      </c>
      <c r="CH49" t="n">
        <v>793395.270588958</v>
      </c>
      <c r="CI49" t="n">
        <v>464358.135388225</v>
      </c>
      <c r="CJ49" t="n">
        <v>23178.8279153393</v>
      </c>
      <c r="CK49" t="n">
        <v>1159698.71490616</v>
      </c>
      <c r="CL49" t="n">
        <v>0.091052514013834</v>
      </c>
      <c r="CM49" t="n">
        <v>10.9826731401185</v>
      </c>
      <c r="CN49" t="n">
        <v>1286620.46290837</v>
      </c>
      <c r="CO49" t="n">
        <v>3920516.72080438</v>
      </c>
      <c r="CP49" t="n">
        <v>3574337.51312605</v>
      </c>
      <c r="CQ49" t="n">
        <v>5207137.18371275</v>
      </c>
      <c r="CR49" t="n">
        <v>10837787.2079817</v>
      </c>
      <c r="CS49" t="n">
        <v>-0.018938121781959</v>
      </c>
      <c r="CT49" t="n">
        <v>-0.0119045542143929</v>
      </c>
      <c r="CU49" t="n">
        <v>0.0580169558501112</v>
      </c>
      <c r="CV49" t="n">
        <v>2.11275999452868</v>
      </c>
      <c r="CW49" t="n">
        <v>0.0580169558501112</v>
      </c>
      <c r="CX49" t="n">
        <v>0.039440022763365</v>
      </c>
      <c r="CY49" t="n">
        <v>0.019440022763365</v>
      </c>
      <c r="CZ49" t="n">
        <v>-0.0313445769777579</v>
      </c>
      <c r="DA49" t="n">
        <v>0.524865146292604</v>
      </c>
      <c r="DB49" t="n">
        <v>7.12972470363012</v>
      </c>
      <c r="DC49" t="n">
        <v>0.0400203561971477</v>
      </c>
      <c r="DD49" t="n">
        <v>0.0272457962330277</v>
      </c>
      <c r="DE49" t="n">
        <v>0.00617201775449898</v>
      </c>
      <c r="DF49" t="n">
        <v>0.137423211347095</v>
      </c>
      <c r="DG49" t="n">
        <v>236077.799166389</v>
      </c>
      <c r="DH49" t="n">
        <v>154.708099542469</v>
      </c>
      <c r="DI49" t="n">
        <v>5.08068386647495</v>
      </c>
      <c r="DJ49" t="n">
        <v>4.35330411265623</v>
      </c>
      <c r="DK49" t="n">
        <v>0.0411256875275234</v>
      </c>
      <c r="DL49" t="n">
        <v>0.670223574218165</v>
      </c>
      <c r="DM49" t="n">
        <v>1.67018789464168</v>
      </c>
      <c r="DN49" t="n">
        <v>0.0357615042376472</v>
      </c>
      <c r="DO49" t="n">
        <v>0.0465455822795444</v>
      </c>
      <c r="DP49" t="n">
        <v>31693.5</v>
      </c>
      <c r="DQ49" t="n">
        <v>26599.139104275</v>
      </c>
      <c r="DR49" t="n">
        <v>188565.470317908</v>
      </c>
      <c r="DS49" t="n">
        <v>33292.5536257732</v>
      </c>
      <c r="DT49" t="n">
        <v>14219.7752227078</v>
      </c>
      <c r="DU49" t="n">
        <v>0</v>
      </c>
      <c r="DV49" t="n">
        <v>58.75</v>
      </c>
      <c r="DW49" t="n">
        <v>208288.96</v>
      </c>
      <c r="DX49" t="n">
        <v>2.5731715952288</v>
      </c>
      <c r="DY49" t="n">
        <v>73.306</v>
      </c>
      <c r="DZ49" t="n">
        <v>1.02062376390299</v>
      </c>
      <c r="EA49" t="n">
        <v>1.20449936397015</v>
      </c>
      <c r="EB49" t="n">
        <v>199271562.435784</v>
      </c>
      <c r="EC49" t="n">
        <v>3.16578023222883</v>
      </c>
      <c r="ED49" t="n">
        <v>0.0435</v>
      </c>
      <c r="EE49" t="n">
        <v>0.0304926484848485</v>
      </c>
      <c r="EF49" t="n">
        <v>0.03050813492075</v>
      </c>
      <c r="EG49" t="n">
        <v>0.0441803333333333</v>
      </c>
      <c r="EH49" t="n">
        <v>801713.80595889</v>
      </c>
      <c r="EI49" t="n">
        <v>462144.339718113</v>
      </c>
      <c r="EJ49" t="n">
        <v>1548.53901365935</v>
      </c>
      <c r="EK49" t="n">
        <v>0.846540482294178</v>
      </c>
      <c r="EL49" t="n">
        <v>4.12289867291067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0" baseColWidth="10"/>
  <cols>
    <col min="1" max="1" width="13.7109375" hidden="0" customWidth="1"/>
    <col min="2" max="2" width="15.7109375" hidden="0" customWidth="1"/>
    <col min="3" max="3" width="15.7109375" hidden="0" customWidth="1"/>
    <col min="4" max="4" width="15.7109375" hidden="0" customWidth="1"/>
  </cols>
  <sheetData>
    <row r="1">
      <c r="A1" s="1" t="s">
        <v>165</v>
      </c>
      <c r="B1" t="s">
        <v>166</v>
      </c>
      <c r="C1" t="s">
        <v>167</v>
      </c>
      <c r="D1" t="s">
        <v>168</v>
      </c>
    </row>
    <row r="2">
      <c r="A2" t="s">
        <v>180</v>
      </c>
      <c r="B2" t="s">
        <v>181</v>
      </c>
      <c r="C2" t="n">
        <v>-0.0149479735560322</v>
      </c>
      <c r="D2" t="n">
        <v>0.0110216400453701</v>
      </c>
    </row>
    <row r="3">
      <c r="A3" t="s">
        <v>180</v>
      </c>
      <c r="B3" t="s">
        <v>182</v>
      </c>
      <c r="C3" t="n">
        <v>-0.0385443421283567</v>
      </c>
      <c r="D3" t="n">
        <v>0.0130393206959608</v>
      </c>
    </row>
    <row r="4">
      <c r="A4" t="s">
        <v>180</v>
      </c>
      <c r="B4" t="s">
        <v>183</v>
      </c>
      <c r="C4" t="n">
        <v>0.913224262019918</v>
      </c>
      <c r="D4" t="n">
        <v>0.0591789352848302</v>
      </c>
    </row>
    <row r="5">
      <c r="A5" t="s">
        <v>180</v>
      </c>
      <c r="B5" t="s">
        <v>184</v>
      </c>
      <c r="C5" t="n">
        <v>0.0857937113769552</v>
      </c>
      <c r="D5" t="n">
        <v>0.0257601089301402</v>
      </c>
    </row>
    <row r="6">
      <c r="A6" t="s">
        <v>180</v>
      </c>
      <c r="B6" t="s">
        <v>185</v>
      </c>
      <c r="C6" t="n">
        <v>0.0182942893894511</v>
      </c>
      <c r="D6" t="n">
        <v>0.0310060278808891</v>
      </c>
    </row>
    <row r="7">
      <c r="A7" t="s">
        <v>180</v>
      </c>
      <c r="B7" t="s">
        <v>186</v>
      </c>
      <c r="C7" t="n">
        <v>0.0325125893695019</v>
      </c>
      <c r="D7" t="n">
        <v>0.031353656173574</v>
      </c>
    </row>
    <row r="8">
      <c r="A8" t="s">
        <v>180</v>
      </c>
      <c r="B8" t="s">
        <v>187</v>
      </c>
      <c r="C8" t="n">
        <v>0.0744507150521355</v>
      </c>
      <c r="D8" t="n">
        <v>0.0300429728351585</v>
      </c>
    </row>
    <row r="9">
      <c r="A9" t="s">
        <v>180</v>
      </c>
      <c r="B9" t="s">
        <v>188</v>
      </c>
      <c r="C9" t="n">
        <v>-0.275109701209172</v>
      </c>
      <c r="D9" t="n">
        <v>0.0396875292479397</v>
      </c>
    </row>
    <row r="10">
      <c r="A10" t="s">
        <v>180</v>
      </c>
      <c r="B10" t="s">
        <v>189</v>
      </c>
      <c r="C10" t="n">
        <v>1.15342899985988</v>
      </c>
      <c r="D10" t="n">
        <v>0.040927445137315</v>
      </c>
    </row>
    <row r="11">
      <c r="A11" t="s">
        <v>190</v>
      </c>
      <c r="B11" t="s">
        <v>181</v>
      </c>
      <c r="C11" t="n">
        <v>-0.185072888730158</v>
      </c>
      <c r="D11" t="n">
        <v>0.0788720460852278</v>
      </c>
    </row>
    <row r="12">
      <c r="A12" t="s">
        <v>190</v>
      </c>
      <c r="B12" t="s">
        <v>182</v>
      </c>
      <c r="C12" t="n">
        <v>-0.0817986723257395</v>
      </c>
      <c r="D12" t="n">
        <v>0.0342810733643152</v>
      </c>
    </row>
    <row r="13">
      <c r="A13" t="s">
        <v>190</v>
      </c>
      <c r="B13" t="s">
        <v>191</v>
      </c>
      <c r="C13" t="n">
        <v>-0.71674326576653</v>
      </c>
      <c r="D13" t="n">
        <v>0.551776257891821</v>
      </c>
    </row>
    <row r="14">
      <c r="A14" t="s">
        <v>190</v>
      </c>
      <c r="B14" t="s">
        <v>192</v>
      </c>
      <c r="C14" t="n">
        <v>-1.39804051183973</v>
      </c>
      <c r="D14" t="n">
        <v>3.55025991464245</v>
      </c>
    </row>
    <row r="15">
      <c r="A15" t="s">
        <v>190</v>
      </c>
      <c r="B15" t="s">
        <v>193</v>
      </c>
      <c r="C15" t="n">
        <v>0.103298964258971</v>
      </c>
      <c r="D15" t="n">
        <v>0.136819881331287</v>
      </c>
    </row>
    <row r="16">
      <c r="A16" t="s">
        <v>190</v>
      </c>
      <c r="B16" t="s">
        <v>185</v>
      </c>
      <c r="C16" t="n">
        <v>0.214722639864503</v>
      </c>
      <c r="D16" t="n">
        <v>0.136340437810041</v>
      </c>
    </row>
    <row r="17">
      <c r="A17" t="s">
        <v>190</v>
      </c>
      <c r="B17" t="s">
        <v>186</v>
      </c>
      <c r="C17" t="n">
        <v>0.125385584181726</v>
      </c>
      <c r="D17" t="n">
        <v>0.137903580514695</v>
      </c>
    </row>
    <row r="18">
      <c r="A18" t="s">
        <v>190</v>
      </c>
      <c r="B18" t="s">
        <v>187</v>
      </c>
      <c r="C18" t="n">
        <v>0.0645873640238516</v>
      </c>
      <c r="D18" t="n">
        <v>0.137878731803427</v>
      </c>
    </row>
    <row r="19">
      <c r="A19" t="s">
        <v>190</v>
      </c>
      <c r="B19" t="s">
        <v>188</v>
      </c>
      <c r="C19" t="n">
        <v>-0.069305584783288</v>
      </c>
      <c r="D19" t="n">
        <v>0.0267669617545726</v>
      </c>
    </row>
    <row r="20">
      <c r="A20" t="s">
        <v>190</v>
      </c>
      <c r="B20" t="s">
        <v>194</v>
      </c>
      <c r="C20" t="n">
        <v>0.0426650953295569</v>
      </c>
      <c r="D20" t="n">
        <v>0.0265244514645393</v>
      </c>
    </row>
    <row r="21">
      <c r="A21" t="s">
        <v>190</v>
      </c>
      <c r="B21" t="s">
        <v>195</v>
      </c>
      <c r="C21" t="n">
        <v>0.0578535675887478</v>
      </c>
      <c r="D21" t="n">
        <v>0.0264398912524509</v>
      </c>
    </row>
    <row r="22">
      <c r="A22" t="s">
        <v>196</v>
      </c>
      <c r="B22" t="s">
        <v>181</v>
      </c>
      <c r="C22" t="n">
        <v>-0.0405005073481063</v>
      </c>
      <c r="D22" t="n">
        <v>0.0590823559032179</v>
      </c>
    </row>
    <row r="23">
      <c r="A23" t="s">
        <v>196</v>
      </c>
      <c r="B23" t="s">
        <v>182</v>
      </c>
      <c r="C23" t="n">
        <v>-0.0169613530815812</v>
      </c>
      <c r="D23" t="n">
        <v>0.0185207602768938</v>
      </c>
    </row>
    <row r="24">
      <c r="A24" t="s">
        <v>196</v>
      </c>
      <c r="B24" t="s">
        <v>183</v>
      </c>
      <c r="C24" t="n">
        <v>2.27137456270222</v>
      </c>
      <c r="D24" t="n">
        <v>2.50618215909109</v>
      </c>
    </row>
    <row r="25">
      <c r="A25" t="s">
        <v>196</v>
      </c>
      <c r="B25" t="s">
        <v>191</v>
      </c>
      <c r="C25" t="n">
        <v>0.235746747368015</v>
      </c>
      <c r="D25" t="n">
        <v>0.0936287973713619</v>
      </c>
    </row>
    <row r="26">
      <c r="A26" t="s">
        <v>196</v>
      </c>
      <c r="B26" t="s">
        <v>192</v>
      </c>
      <c r="C26" t="n">
        <v>-0.0598511120271365</v>
      </c>
      <c r="D26" t="n">
        <v>0.101382521038005</v>
      </c>
    </row>
    <row r="27">
      <c r="A27" t="s">
        <v>196</v>
      </c>
      <c r="B27" t="s">
        <v>184</v>
      </c>
      <c r="C27" t="n">
        <v>0.221063298618002</v>
      </c>
      <c r="D27" t="n">
        <v>0.0940148844554006</v>
      </c>
    </row>
    <row r="28">
      <c r="A28" t="s">
        <v>196</v>
      </c>
      <c r="B28" t="s">
        <v>193</v>
      </c>
      <c r="C28" t="n">
        <v>-0.2188321009582</v>
      </c>
      <c r="D28" t="n">
        <v>0.0578731909664079</v>
      </c>
    </row>
    <row r="29">
      <c r="A29" t="s">
        <v>197</v>
      </c>
      <c r="B29" t="s">
        <v>181</v>
      </c>
      <c r="C29" t="n">
        <v>-0.0759492819612302</v>
      </c>
      <c r="D29" t="n">
        <v>0.0280688708947098</v>
      </c>
    </row>
    <row r="30">
      <c r="A30" t="s">
        <v>197</v>
      </c>
      <c r="B30" t="s">
        <v>182</v>
      </c>
      <c r="C30" t="n">
        <v>-0.0580112647430023</v>
      </c>
      <c r="D30" t="n">
        <v>0.0223410189295657</v>
      </c>
    </row>
    <row r="31">
      <c r="A31" t="s">
        <v>197</v>
      </c>
      <c r="B31" t="s">
        <v>183</v>
      </c>
      <c r="C31" t="n">
        <v>-0.0191880816209429</v>
      </c>
      <c r="D31" t="n">
        <v>0.0114454682193649</v>
      </c>
    </row>
    <row r="32">
      <c r="A32" t="s">
        <v>197</v>
      </c>
      <c r="B32" t="s">
        <v>191</v>
      </c>
      <c r="C32" t="n">
        <v>0.000183258846474617</v>
      </c>
      <c r="D32" t="n">
        <v>0.000100331147604342</v>
      </c>
    </row>
    <row r="33">
      <c r="A33" t="s">
        <v>197</v>
      </c>
      <c r="B33" t="s">
        <v>192</v>
      </c>
      <c r="C33" t="n">
        <v>-0.000000458638089471713</v>
      </c>
      <c r="D33" t="n">
        <v>0.000000271774086966559</v>
      </c>
    </row>
    <row r="34">
      <c r="A34" t="s">
        <v>197</v>
      </c>
      <c r="B34" t="s">
        <v>184</v>
      </c>
      <c r="C34" t="n">
        <v>0.226719725843104</v>
      </c>
      <c r="D34" t="n">
        <v>0.082949154749437</v>
      </c>
    </row>
    <row r="35">
      <c r="A35" t="s">
        <v>197</v>
      </c>
      <c r="B35" t="s">
        <v>193</v>
      </c>
      <c r="C35" t="n">
        <v>0.215403043884944</v>
      </c>
      <c r="D35" t="n">
        <v>0.0792866380516952</v>
      </c>
    </row>
    <row r="36">
      <c r="A36" t="s">
        <v>197</v>
      </c>
      <c r="B36" t="s">
        <v>185</v>
      </c>
      <c r="C36" t="n">
        <v>0.174777517343472</v>
      </c>
      <c r="D36" t="n">
        <v>0.105842718973507</v>
      </c>
    </row>
    <row r="37">
      <c r="A37" t="s">
        <v>198</v>
      </c>
      <c r="B37" t="s">
        <v>181</v>
      </c>
      <c r="C37" t="n">
        <v>-0.450544957288925</v>
      </c>
      <c r="D37" t="n">
        <v>0.151485676859203</v>
      </c>
    </row>
    <row r="38">
      <c r="A38" t="s">
        <v>198</v>
      </c>
      <c r="B38" t="s">
        <v>182</v>
      </c>
      <c r="C38" t="n">
        <v>-0.116721363083899</v>
      </c>
      <c r="D38" t="n">
        <v>0.0315159390291798</v>
      </c>
    </row>
    <row r="39">
      <c r="A39" t="s">
        <v>198</v>
      </c>
      <c r="B39" t="s">
        <v>192</v>
      </c>
      <c r="C39" t="n">
        <v>0.432896374960644</v>
      </c>
      <c r="D39" t="n">
        <v>0.175113223948407</v>
      </c>
    </row>
    <row r="40">
      <c r="A40" t="s">
        <v>198</v>
      </c>
      <c r="B40" t="s">
        <v>184</v>
      </c>
      <c r="C40" t="n">
        <v>1.22329634158635</v>
      </c>
      <c r="D40" t="n">
        <v>0.188829409787646</v>
      </c>
    </row>
    <row r="41">
      <c r="A41" t="s">
        <v>198</v>
      </c>
      <c r="B41" t="s">
        <v>193</v>
      </c>
      <c r="C41" t="n">
        <v>0.22410299007813</v>
      </c>
      <c r="D41" t="n">
        <v>0.060304537524777</v>
      </c>
    </row>
    <row r="42">
      <c r="A42" t="s">
        <v>199</v>
      </c>
      <c r="B42" t="s">
        <v>181</v>
      </c>
      <c r="C42" t="n">
        <v>-0.7693276112821</v>
      </c>
      <c r="D42" t="n">
        <v>0.14090877333128</v>
      </c>
    </row>
    <row r="43">
      <c r="A43" t="s">
        <v>199</v>
      </c>
      <c r="B43" t="s">
        <v>182</v>
      </c>
      <c r="C43" t="n">
        <v>-0.224859948369444</v>
      </c>
      <c r="D43" t="n">
        <v>0.0402511491170539</v>
      </c>
    </row>
    <row r="44">
      <c r="A44" t="s">
        <v>199</v>
      </c>
      <c r="B44" t="s">
        <v>191</v>
      </c>
      <c r="C44" t="n">
        <v>-1.22731592146676</v>
      </c>
      <c r="D44" t="n">
        <v>0.363780361741472</v>
      </c>
    </row>
    <row r="45">
      <c r="A45" t="s">
        <v>199</v>
      </c>
      <c r="B45" t="s">
        <v>192</v>
      </c>
      <c r="C45" t="n">
        <v>-0.17775754845054</v>
      </c>
      <c r="D45" t="n">
        <v>0.0947636877862754</v>
      </c>
    </row>
    <row r="46">
      <c r="A46" t="s">
        <v>200</v>
      </c>
      <c r="B46" t="s">
        <v>181</v>
      </c>
      <c r="C46" t="n">
        <v>-0.0138361353899677</v>
      </c>
      <c r="D46" t="n">
        <v>0.0281681977269054</v>
      </c>
    </row>
    <row r="47">
      <c r="A47" t="s">
        <v>200</v>
      </c>
      <c r="B47" t="s">
        <v>182</v>
      </c>
      <c r="C47" t="n">
        <v>-0.00575088271948153</v>
      </c>
      <c r="D47" t="n">
        <v>0.0111771510659535</v>
      </c>
    </row>
    <row r="48">
      <c r="A48" t="s">
        <v>200</v>
      </c>
      <c r="B48" t="s">
        <v>183</v>
      </c>
      <c r="C48" t="n">
        <v>-0.121844884805406</v>
      </c>
      <c r="D48" t="n">
        <v>0.305941712553626</v>
      </c>
    </row>
    <row r="49">
      <c r="A49" t="s">
        <v>200</v>
      </c>
      <c r="B49" t="s">
        <v>191</v>
      </c>
      <c r="C49" t="n">
        <v>0.917165885575757</v>
      </c>
      <c r="D49" t="n">
        <v>0.154973187130865</v>
      </c>
    </row>
    <row r="50">
      <c r="A50" t="s">
        <v>201</v>
      </c>
      <c r="B50" t="s">
        <v>181</v>
      </c>
      <c r="C50" t="n">
        <v>-0.729262038698188</v>
      </c>
      <c r="D50" t="n">
        <v>0.12969533791071</v>
      </c>
    </row>
    <row r="51">
      <c r="A51" t="s">
        <v>201</v>
      </c>
      <c r="B51" t="s">
        <v>182</v>
      </c>
      <c r="C51" t="n">
        <v>-0.29373598253065</v>
      </c>
      <c r="D51" t="n">
        <v>0.0499368970514408</v>
      </c>
    </row>
    <row r="52">
      <c r="A52" t="s">
        <v>201</v>
      </c>
      <c r="B52" t="s">
        <v>183</v>
      </c>
      <c r="C52" t="n">
        <v>0.928191785022968</v>
      </c>
      <c r="D52" t="n">
        <v>0.0434056933759118</v>
      </c>
    </row>
    <row r="53">
      <c r="A53" t="s">
        <v>201</v>
      </c>
      <c r="B53" t="s">
        <v>191</v>
      </c>
      <c r="C53" t="n">
        <v>-1.30131214729473</v>
      </c>
      <c r="D53" t="n">
        <v>0.908121671838582</v>
      </c>
    </row>
    <row r="54">
      <c r="A54" t="s">
        <v>201</v>
      </c>
      <c r="B54" t="s">
        <v>192</v>
      </c>
      <c r="C54" t="n">
        <v>1.41691892682964</v>
      </c>
      <c r="D54" t="n">
        <v>0.870302012072449</v>
      </c>
    </row>
    <row r="55">
      <c r="A55" t="s">
        <v>201</v>
      </c>
      <c r="B55" t="s">
        <v>184</v>
      </c>
      <c r="C55" t="n">
        <v>0.0442364436942282</v>
      </c>
      <c r="D55" t="n">
        <v>0.0117300800417106</v>
      </c>
    </row>
    <row r="56">
      <c r="A56" t="s">
        <v>201</v>
      </c>
      <c r="B56" t="s">
        <v>193</v>
      </c>
      <c r="C56" t="n">
        <v>0.715840436831152</v>
      </c>
      <c r="D56" t="n">
        <v>0.140735481880468</v>
      </c>
    </row>
    <row r="57">
      <c r="A57" t="s">
        <v>202</v>
      </c>
      <c r="B57" t="s">
        <v>181</v>
      </c>
      <c r="C57" t="n">
        <v>-0.132799216437932</v>
      </c>
      <c r="D57" t="n">
        <v>0.0516337484225857</v>
      </c>
    </row>
    <row r="58">
      <c r="A58" t="s">
        <v>202</v>
      </c>
      <c r="B58" t="s">
        <v>182</v>
      </c>
      <c r="C58" t="n">
        <v>-0.0491458832977693</v>
      </c>
      <c r="D58" t="n">
        <v>0.0188810541422253</v>
      </c>
    </row>
    <row r="59">
      <c r="A59" t="s">
        <v>202</v>
      </c>
      <c r="B59" t="s">
        <v>183</v>
      </c>
      <c r="C59" t="n">
        <v>-0.261863392571731</v>
      </c>
      <c r="D59" t="n">
        <v>0.0749359431113121</v>
      </c>
    </row>
    <row r="60">
      <c r="A60" t="s">
        <v>202</v>
      </c>
      <c r="B60" t="s">
        <v>191</v>
      </c>
      <c r="C60" t="n">
        <v>2.50931298946622</v>
      </c>
      <c r="D60" t="n">
        <v>1.03120201298862</v>
      </c>
    </row>
    <row r="61">
      <c r="A61" t="s">
        <v>202</v>
      </c>
      <c r="B61" t="s">
        <v>192</v>
      </c>
      <c r="C61" t="n">
        <v>-2.34996783997309</v>
      </c>
      <c r="D61" t="n">
        <v>1.36785479649989</v>
      </c>
    </row>
    <row r="62">
      <c r="A62" t="s">
        <v>202</v>
      </c>
      <c r="B62" t="s">
        <v>184</v>
      </c>
      <c r="C62" t="n">
        <v>1.36378532459123</v>
      </c>
      <c r="D62" t="n">
        <v>1.03932376681249</v>
      </c>
    </row>
    <row r="63">
      <c r="A63" t="s">
        <v>202</v>
      </c>
      <c r="B63" t="s">
        <v>193</v>
      </c>
      <c r="C63" t="n">
        <v>1.06915509180004</v>
      </c>
      <c r="D63" t="n">
        <v>0.829180695207722</v>
      </c>
    </row>
    <row r="64">
      <c r="A64" t="s">
        <v>202</v>
      </c>
      <c r="B64" t="s">
        <v>185</v>
      </c>
      <c r="C64" t="n">
        <v>-1.91209240485121</v>
      </c>
      <c r="D64" t="n">
        <v>1.10050605961331</v>
      </c>
    </row>
    <row r="65">
      <c r="A65" t="s">
        <v>202</v>
      </c>
      <c r="B65" t="s">
        <v>186</v>
      </c>
      <c r="C65" t="n">
        <v>0.713859538218694</v>
      </c>
      <c r="D65" t="n">
        <v>0.802161060787562</v>
      </c>
    </row>
    <row r="66">
      <c r="A66" t="s">
        <v>202</v>
      </c>
      <c r="B66" t="s">
        <v>187</v>
      </c>
      <c r="C66" t="n">
        <v>0.0364108104502192</v>
      </c>
      <c r="D66" t="n">
        <v>0.033344977296013</v>
      </c>
    </row>
    <row r="67">
      <c r="A67" t="s">
        <v>202</v>
      </c>
      <c r="B67" t="s">
        <v>188</v>
      </c>
      <c r="C67" t="n">
        <v>-0.00221390516353404</v>
      </c>
      <c r="D67" t="n">
        <v>0.0354909625159824</v>
      </c>
    </row>
    <row r="68">
      <c r="A68" t="s">
        <v>202</v>
      </c>
      <c r="B68" t="s">
        <v>189</v>
      </c>
      <c r="C68" t="n">
        <v>-0.00540646890973813</v>
      </c>
      <c r="D68" t="n">
        <v>0.0331376734796222</v>
      </c>
    </row>
    <row r="69">
      <c r="A69" t="s">
        <v>203</v>
      </c>
      <c r="B69" t="s">
        <v>204</v>
      </c>
      <c r="C69" t="n">
        <v>0.664310952256046</v>
      </c>
      <c r="D69" t="n">
        <v>0.062241663300195</v>
      </c>
    </row>
    <row r="70">
      <c r="A70" t="s">
        <v>203</v>
      </c>
      <c r="B70" t="s">
        <v>181</v>
      </c>
      <c r="C70" t="n">
        <v>453.306802446817</v>
      </c>
      <c r="D70" t="n">
        <v>0.77814735513481</v>
      </c>
    </row>
    <row r="71">
      <c r="A71" t="s">
        <v>203</v>
      </c>
      <c r="B71" t="s">
        <v>182</v>
      </c>
      <c r="C71" t="n">
        <v>-19.5278346626354</v>
      </c>
      <c r="D71" t="n">
        <v>3.77751612765532</v>
      </c>
    </row>
    <row r="72">
      <c r="A72" t="s">
        <v>203</v>
      </c>
      <c r="B72" t="s">
        <v>183</v>
      </c>
      <c r="C72" t="n">
        <v>-1.00335727100243</v>
      </c>
      <c r="D72" t="n">
        <v>0.0748904690696679</v>
      </c>
    </row>
    <row r="73">
      <c r="A73" t="s">
        <v>203</v>
      </c>
      <c r="B73" t="s">
        <v>191</v>
      </c>
      <c r="C73" t="n">
        <v>-0.371701648795894</v>
      </c>
      <c r="D73" t="n">
        <v>0.0155341043959049</v>
      </c>
    </row>
    <row r="74">
      <c r="A74" t="s">
        <v>205</v>
      </c>
      <c r="B74" t="s">
        <v>181</v>
      </c>
      <c r="C74" t="n">
        <v>-2.11049416020814</v>
      </c>
      <c r="D74" t="n">
        <v>0.233142534637565</v>
      </c>
    </row>
    <row r="75">
      <c r="A75" t="s">
        <v>205</v>
      </c>
      <c r="B75" t="s">
        <v>182</v>
      </c>
      <c r="C75" t="n">
        <v>0.467135943643556</v>
      </c>
      <c r="D75" t="n">
        <v>0.0660078960226834</v>
      </c>
    </row>
    <row r="76">
      <c r="A76" t="s">
        <v>205</v>
      </c>
      <c r="B76" t="s">
        <v>183</v>
      </c>
      <c r="C76" t="n">
        <v>0.00198439247495431</v>
      </c>
      <c r="D76" t="n">
        <v>0.000215887686731192</v>
      </c>
    </row>
    <row r="77">
      <c r="A77" t="s">
        <v>205</v>
      </c>
      <c r="B77" t="s">
        <v>191</v>
      </c>
      <c r="C77" t="n">
        <v>0.494873480285002</v>
      </c>
      <c r="D77" t="n">
        <v>0.0411685187528833</v>
      </c>
    </row>
    <row r="78">
      <c r="A78" t="s">
        <v>206</v>
      </c>
      <c r="B78" t="s">
        <v>181</v>
      </c>
      <c r="C78" t="n">
        <v>0.000460107476700935</v>
      </c>
      <c r="D78" t="n">
        <v>0.000143603781800778</v>
      </c>
    </row>
    <row r="79">
      <c r="A79" t="s">
        <v>206</v>
      </c>
      <c r="B79" t="s">
        <v>182</v>
      </c>
      <c r="C79" t="n">
        <v>-0.366561202466348</v>
      </c>
      <c r="D79" t="n">
        <v>0.057322197225339</v>
      </c>
    </row>
    <row r="80">
      <c r="A80" t="s">
        <v>206</v>
      </c>
      <c r="B80" t="s">
        <v>183</v>
      </c>
      <c r="C80" t="n">
        <v>-0.127036063448562</v>
      </c>
      <c r="D80" t="n">
        <v>0.0274358002762719</v>
      </c>
    </row>
    <row r="81">
      <c r="A81" t="s">
        <v>206</v>
      </c>
      <c r="B81" t="s">
        <v>191</v>
      </c>
      <c r="C81" t="n">
        <v>0.103240769368788</v>
      </c>
      <c r="D81" t="n">
        <v>0.0556759317920485</v>
      </c>
    </row>
    <row r="82">
      <c r="A82" t="s">
        <v>206</v>
      </c>
      <c r="B82" t="s">
        <v>192</v>
      </c>
      <c r="C82" t="n">
        <v>-0.0385686635357298</v>
      </c>
      <c r="D82" t="n">
        <v>0.0620801301756917</v>
      </c>
    </row>
    <row r="83">
      <c r="A83" t="s">
        <v>206</v>
      </c>
      <c r="B83" t="s">
        <v>184</v>
      </c>
      <c r="C83" t="n">
        <v>-0.0000848701419116798</v>
      </c>
      <c r="D83" t="n">
        <v>0.0000411223404727635</v>
      </c>
    </row>
    <row r="84">
      <c r="A84" t="s">
        <v>206</v>
      </c>
      <c r="B84" t="s">
        <v>193</v>
      </c>
      <c r="C84" t="n">
        <v>-0.024946358039925</v>
      </c>
      <c r="D84" t="n">
        <v>0.00213977180384256</v>
      </c>
    </row>
    <row r="85">
      <c r="A85" t="s">
        <v>206</v>
      </c>
      <c r="B85" t="s">
        <v>185</v>
      </c>
      <c r="C85" t="n">
        <v>0.00955332430575894</v>
      </c>
      <c r="D85" t="n">
        <v>0.00251650131431475</v>
      </c>
    </row>
    <row r="86">
      <c r="A86" t="s">
        <v>206</v>
      </c>
      <c r="B86" t="s">
        <v>186</v>
      </c>
      <c r="C86" t="n">
        <v>0.00944848935100499</v>
      </c>
      <c r="D86" t="n">
        <v>0.00193088441953089</v>
      </c>
    </row>
    <row r="87">
      <c r="A87" t="s">
        <v>207</v>
      </c>
      <c r="B87" t="s">
        <v>181</v>
      </c>
      <c r="C87" t="n">
        <v>0.00212736673192439</v>
      </c>
      <c r="D87" t="n">
        <v>0.000703503525979822</v>
      </c>
    </row>
    <row r="88">
      <c r="A88" t="s">
        <v>207</v>
      </c>
      <c r="B88" t="s">
        <v>182</v>
      </c>
      <c r="C88" t="n">
        <v>0.214218858074164</v>
      </c>
      <c r="D88" t="n">
        <v>0.190777890402142</v>
      </c>
    </row>
    <row r="89">
      <c r="A89" t="s">
        <v>207</v>
      </c>
      <c r="B89" t="s">
        <v>183</v>
      </c>
      <c r="C89" t="n">
        <v>-0.0098018790268237</v>
      </c>
      <c r="D89" t="n">
        <v>0.0075708712671584</v>
      </c>
    </row>
    <row r="90">
      <c r="A90" t="s">
        <v>207</v>
      </c>
      <c r="B90" t="s">
        <v>191</v>
      </c>
      <c r="C90" t="n">
        <v>0.723689241239468</v>
      </c>
      <c r="D90" t="n">
        <v>0.244959942625194</v>
      </c>
    </row>
    <row r="91">
      <c r="A91" t="s">
        <v>207</v>
      </c>
      <c r="B91" t="s">
        <v>192</v>
      </c>
      <c r="C91" t="n">
        <v>-0.974018378404456</v>
      </c>
      <c r="D91" t="n">
        <v>0.264846933591133</v>
      </c>
    </row>
    <row r="92">
      <c r="A92" t="s">
        <v>208</v>
      </c>
      <c r="B92" t="s">
        <v>181</v>
      </c>
      <c r="C92" t="n">
        <v>0.0203442339472774</v>
      </c>
      <c r="D92" t="n">
        <v>0.00516498939608925</v>
      </c>
    </row>
    <row r="93">
      <c r="A93" t="s">
        <v>208</v>
      </c>
      <c r="B93" t="s">
        <v>182</v>
      </c>
      <c r="C93" t="n">
        <v>-0.121355393694199</v>
      </c>
      <c r="D93" t="n">
        <v>0.0312469171657309</v>
      </c>
    </row>
    <row r="94">
      <c r="A94" t="s">
        <v>208</v>
      </c>
      <c r="B94" t="s">
        <v>183</v>
      </c>
      <c r="C94" t="n">
        <v>0.000767373956108729</v>
      </c>
      <c r="D94" t="n">
        <v>0.0000545418443709154</v>
      </c>
    </row>
    <row r="95">
      <c r="A95" t="s">
        <v>208</v>
      </c>
      <c r="B95" t="s">
        <v>191</v>
      </c>
      <c r="C95" t="n">
        <v>1.04982983099123</v>
      </c>
      <c r="D95" t="n">
        <v>0.047153097091274</v>
      </c>
    </row>
    <row r="96">
      <c r="A96" t="s">
        <v>208</v>
      </c>
      <c r="B96" t="s">
        <v>184</v>
      </c>
      <c r="C96" t="n">
        <v>-0.0261242290265015</v>
      </c>
      <c r="D96" t="n">
        <v>0.0041565806823049</v>
      </c>
    </row>
    <row r="97">
      <c r="A97" t="s">
        <v>208</v>
      </c>
      <c r="B97" t="s">
        <v>193</v>
      </c>
      <c r="C97" t="n">
        <v>0.0262095861533573</v>
      </c>
      <c r="D97" t="n">
        <v>0.00411013788893965</v>
      </c>
    </row>
    <row r="98">
      <c r="A98" t="s">
        <v>208</v>
      </c>
      <c r="B98" t="s">
        <v>185</v>
      </c>
      <c r="C98" t="n">
        <v>-0.0170388443821377</v>
      </c>
      <c r="D98" t="n">
        <v>0.00407801107757338</v>
      </c>
    </row>
    <row r="99">
      <c r="A99" t="s">
        <v>209</v>
      </c>
      <c r="B99" t="s">
        <v>181</v>
      </c>
      <c r="C99" t="n">
        <v>-1.56115838829169</v>
      </c>
      <c r="D99" t="n">
        <v>0.0297253656595938</v>
      </c>
    </row>
    <row r="100">
      <c r="A100" t="s">
        <v>209</v>
      </c>
      <c r="B100" t="s">
        <v>183</v>
      </c>
      <c r="C100" t="n">
        <v>0.00839612033788291</v>
      </c>
      <c r="D100" t="n">
        <v>0.000219528392031233</v>
      </c>
    </row>
    <row r="101">
      <c r="A101" t="s">
        <v>210</v>
      </c>
      <c r="B101" t="s">
        <v>181</v>
      </c>
      <c r="C101" t="n">
        <v>-0.0128128623611086</v>
      </c>
      <c r="D101" t="n">
        <v>0.00604667635920216</v>
      </c>
    </row>
    <row r="102">
      <c r="A102" t="s">
        <v>210</v>
      </c>
      <c r="B102" t="s">
        <v>182</v>
      </c>
      <c r="C102" t="n">
        <v>-0.0599141305785442</v>
      </c>
      <c r="D102" t="n">
        <v>0.0189591423828936</v>
      </c>
    </row>
    <row r="103">
      <c r="A103" t="s">
        <v>210</v>
      </c>
      <c r="B103" t="s">
        <v>183</v>
      </c>
      <c r="C103" t="n">
        <v>0.309300988459526</v>
      </c>
      <c r="D103" t="n">
        <v>0.0385971540705241</v>
      </c>
    </row>
    <row r="104">
      <c r="A104" t="s">
        <v>210</v>
      </c>
      <c r="B104" t="s">
        <v>191</v>
      </c>
      <c r="C104" t="n">
        <v>0.19181236257594</v>
      </c>
      <c r="D104" t="n">
        <v>0.0394064892625886</v>
      </c>
    </row>
    <row r="105">
      <c r="A105" t="s">
        <v>210</v>
      </c>
      <c r="B105" t="s">
        <v>192</v>
      </c>
      <c r="C105" t="n">
        <v>-0.173888398931065</v>
      </c>
      <c r="D105" t="n">
        <v>0.0299556248911101</v>
      </c>
    </row>
    <row r="106">
      <c r="A106" t="s">
        <v>210</v>
      </c>
      <c r="B106" t="s">
        <v>184</v>
      </c>
      <c r="C106" t="n">
        <v>-0.08178154591187</v>
      </c>
      <c r="D106" t="n">
        <v>0.01742848851562</v>
      </c>
    </row>
    <row r="107">
      <c r="A107" t="s">
        <v>211</v>
      </c>
      <c r="B107" t="s">
        <v>181</v>
      </c>
      <c r="C107" t="n">
        <v>-0.0544532874707261</v>
      </c>
      <c r="D107" t="n">
        <v>0.0236123808963772</v>
      </c>
    </row>
    <row r="108">
      <c r="A108" t="s">
        <v>211</v>
      </c>
      <c r="B108" t="s">
        <v>182</v>
      </c>
      <c r="C108" t="n">
        <v>-0.0377522270565868</v>
      </c>
      <c r="D108" t="n">
        <v>0.0263204465052976</v>
      </c>
    </row>
    <row r="109">
      <c r="A109" t="s">
        <v>211</v>
      </c>
      <c r="B109" t="s">
        <v>183</v>
      </c>
      <c r="C109" t="n">
        <v>0.712646271129664</v>
      </c>
      <c r="D109" t="n">
        <v>0.173557933164279</v>
      </c>
    </row>
    <row r="110">
      <c r="A110" t="s">
        <v>211</v>
      </c>
      <c r="B110" t="s">
        <v>191</v>
      </c>
      <c r="C110" t="n">
        <v>-0.00432907097910916</v>
      </c>
      <c r="D110" t="n">
        <v>0.00135456771991617</v>
      </c>
    </row>
    <row r="111">
      <c r="A111" t="s">
        <v>211</v>
      </c>
      <c r="B111" t="s">
        <v>192</v>
      </c>
      <c r="C111" t="n">
        <v>0.553559862226525</v>
      </c>
      <c r="D111" t="n">
        <v>0.0375360483861975</v>
      </c>
    </row>
    <row r="112">
      <c r="A112" t="s">
        <v>211</v>
      </c>
      <c r="B112" t="s">
        <v>184</v>
      </c>
      <c r="C112" t="n">
        <v>0.0296602030848266</v>
      </c>
      <c r="D112" t="n">
        <v>0.00981951545806838</v>
      </c>
    </row>
    <row r="113">
      <c r="A113" t="s">
        <v>212</v>
      </c>
      <c r="B113" t="s">
        <v>181</v>
      </c>
      <c r="C113" t="n">
        <v>-0.0956781712337557</v>
      </c>
      <c r="D113" t="n">
        <v>0.0246356692092707</v>
      </c>
    </row>
    <row r="114">
      <c r="A114" t="s">
        <v>212</v>
      </c>
      <c r="B114" t="s">
        <v>182</v>
      </c>
      <c r="C114" t="n">
        <v>0.0183060483175168</v>
      </c>
      <c r="D114" t="n">
        <v>0.00165819753506094</v>
      </c>
    </row>
    <row r="115">
      <c r="A115" t="s">
        <v>212</v>
      </c>
      <c r="B115" t="s">
        <v>183</v>
      </c>
      <c r="C115" t="n">
        <v>0.000547249965676409</v>
      </c>
      <c r="D115" t="n">
        <v>0.0000695030736234563</v>
      </c>
    </row>
    <row r="116">
      <c r="A116" t="s">
        <v>212</v>
      </c>
      <c r="B116" t="s">
        <v>191</v>
      </c>
      <c r="C116" t="n">
        <v>0.641622924981628</v>
      </c>
      <c r="D116" t="n">
        <v>0.0325497243614762</v>
      </c>
    </row>
    <row r="117">
      <c r="A117" t="s">
        <v>212</v>
      </c>
      <c r="B117" t="s">
        <v>192</v>
      </c>
      <c r="C117" t="n">
        <v>0.222260572383399</v>
      </c>
      <c r="D117" t="n">
        <v>0.0334947329933722</v>
      </c>
    </row>
    <row r="118">
      <c r="A118" t="s">
        <v>213</v>
      </c>
      <c r="B118" t="s">
        <v>181</v>
      </c>
      <c r="C118" t="n">
        <v>0.0383730692653588</v>
      </c>
      <c r="D118" t="n">
        <v>0.0158433169743017</v>
      </c>
    </row>
    <row r="119">
      <c r="A119" t="s">
        <v>213</v>
      </c>
      <c r="B119" t="s">
        <v>182</v>
      </c>
      <c r="C119" t="n">
        <v>0.955736643472143</v>
      </c>
      <c r="D119" t="n">
        <v>0.789721397859604</v>
      </c>
    </row>
    <row r="120">
      <c r="A120" t="s">
        <v>213</v>
      </c>
      <c r="B120" t="s">
        <v>183</v>
      </c>
      <c r="C120" t="n">
        <v>-5.03503526705015</v>
      </c>
      <c r="D120" t="n">
        <v>1.84723356267292</v>
      </c>
    </row>
    <row r="121">
      <c r="A121" t="s">
        <v>213</v>
      </c>
      <c r="B121" t="s">
        <v>191</v>
      </c>
      <c r="C121" t="n">
        <v>3.45356769068546</v>
      </c>
      <c r="D121" t="n">
        <v>2.2757822632892</v>
      </c>
    </row>
    <row r="122">
      <c r="A122" t="s">
        <v>213</v>
      </c>
      <c r="B122" t="s">
        <v>192</v>
      </c>
      <c r="C122" t="n">
        <v>0.27815336451659</v>
      </c>
      <c r="D122" t="n">
        <v>0.0878130324796099</v>
      </c>
    </row>
    <row r="123">
      <c r="A123" t="s">
        <v>213</v>
      </c>
      <c r="B123" t="s">
        <v>184</v>
      </c>
      <c r="C123" t="n">
        <v>-0.163622940573518</v>
      </c>
      <c r="D123" t="n">
        <v>0.0858476806899393</v>
      </c>
    </row>
    <row r="124">
      <c r="A124" t="s">
        <v>214</v>
      </c>
      <c r="B124" t="s">
        <v>181</v>
      </c>
      <c r="C124" t="n">
        <v>-0.550097332237936</v>
      </c>
      <c r="D124" t="n">
        <v>0.188131310274013</v>
      </c>
    </row>
    <row r="125">
      <c r="A125" t="s">
        <v>214</v>
      </c>
      <c r="B125" t="s">
        <v>182</v>
      </c>
      <c r="C125" t="n">
        <v>-0.162134564340388</v>
      </c>
      <c r="D125" t="n">
        <v>0.0517022892810481</v>
      </c>
    </row>
    <row r="126">
      <c r="A126" t="s">
        <v>214</v>
      </c>
      <c r="B126" t="s">
        <v>183</v>
      </c>
      <c r="C126" t="n">
        <v>-0.582304841388875</v>
      </c>
      <c r="D126" t="n">
        <v>0.112930770874641</v>
      </c>
    </row>
    <row r="127">
      <c r="A127" t="s">
        <v>214</v>
      </c>
      <c r="B127" t="s">
        <v>191</v>
      </c>
      <c r="C127" t="n">
        <v>-5.11420162543971</v>
      </c>
      <c r="D127" t="n">
        <v>2.83220085221353</v>
      </c>
    </row>
    <row r="128">
      <c r="A128" t="s">
        <v>214</v>
      </c>
      <c r="B128" t="s">
        <v>192</v>
      </c>
      <c r="C128" t="n">
        <v>0.0555293085050084</v>
      </c>
      <c r="D128" t="n">
        <v>0.156875771431104</v>
      </c>
    </row>
    <row r="129">
      <c r="A129" t="s">
        <v>214</v>
      </c>
      <c r="B129" t="s">
        <v>184</v>
      </c>
      <c r="C129" t="n">
        <v>0.155079228557566</v>
      </c>
      <c r="D129" t="n">
        <v>0.124324415948526</v>
      </c>
    </row>
    <row r="130">
      <c r="A130" t="s">
        <v>214</v>
      </c>
      <c r="B130" t="s">
        <v>193</v>
      </c>
      <c r="C130" t="n">
        <v>-0.553236068275001</v>
      </c>
      <c r="D130" t="n">
        <v>0.937801274077361</v>
      </c>
    </row>
    <row r="131">
      <c r="A131" t="s">
        <v>215</v>
      </c>
      <c r="B131" t="s">
        <v>181</v>
      </c>
      <c r="C131" t="n">
        <v>-0.00342869661877347</v>
      </c>
      <c r="D131" t="n">
        <v>0.00183705202755303</v>
      </c>
    </row>
    <row r="132">
      <c r="A132" t="s">
        <v>215</v>
      </c>
      <c r="B132" t="s">
        <v>182</v>
      </c>
      <c r="C132" t="n">
        <v>1.01279766478653</v>
      </c>
      <c r="D132" t="n">
        <v>0.0434613947918442</v>
      </c>
    </row>
    <row r="133">
      <c r="A133" t="s">
        <v>215</v>
      </c>
      <c r="B133" t="s">
        <v>183</v>
      </c>
      <c r="C133" t="n">
        <v>0.282793824836907</v>
      </c>
      <c r="D133" t="n">
        <v>0.16088021722926</v>
      </c>
    </row>
    <row r="134">
      <c r="A134" t="s">
        <v>216</v>
      </c>
      <c r="B134" t="s">
        <v>181</v>
      </c>
      <c r="C134" t="n">
        <v>0.00938489802698699</v>
      </c>
      <c r="D134" t="n">
        <v>0.00134882361995132</v>
      </c>
    </row>
    <row r="135">
      <c r="A135" t="s">
        <v>216</v>
      </c>
      <c r="B135" t="s">
        <v>182</v>
      </c>
      <c r="C135" t="n">
        <v>0.527546184004088</v>
      </c>
      <c r="D135" t="n">
        <v>0.0522983953257141</v>
      </c>
    </row>
    <row r="136">
      <c r="A136" t="s">
        <v>216</v>
      </c>
      <c r="B136" t="s">
        <v>183</v>
      </c>
      <c r="C136" t="n">
        <v>0.149570417263239</v>
      </c>
      <c r="D136" t="n">
        <v>0.0150180243671564</v>
      </c>
    </row>
    <row r="137">
      <c r="A137" t="s">
        <v>216</v>
      </c>
      <c r="B137" t="s">
        <v>191</v>
      </c>
      <c r="C137" t="n">
        <v>-0.0417810880532285</v>
      </c>
      <c r="D137" t="n">
        <v>0.0181857090851085</v>
      </c>
    </row>
    <row r="138">
      <c r="A138" t="s">
        <v>217</v>
      </c>
      <c r="B138" t="s">
        <v>181</v>
      </c>
      <c r="C138" t="n">
        <v>-0.12300002845208</v>
      </c>
      <c r="D138" t="n">
        <v>0.0339986765516832</v>
      </c>
    </row>
    <row r="139">
      <c r="A139" t="s">
        <v>217</v>
      </c>
      <c r="B139" t="s">
        <v>182</v>
      </c>
      <c r="C139" t="n">
        <v>-0.06044644175655</v>
      </c>
      <c r="D139" t="n">
        <v>0.0149820021220022</v>
      </c>
    </row>
    <row r="140">
      <c r="A140" t="s">
        <v>217</v>
      </c>
      <c r="B140" t="s">
        <v>183</v>
      </c>
      <c r="C140" t="n">
        <v>0.00124379938259809</v>
      </c>
      <c r="D140" t="n">
        <v>0.000456977820473791</v>
      </c>
    </row>
    <row r="141">
      <c r="A141" t="s">
        <v>217</v>
      </c>
      <c r="B141" t="s">
        <v>191</v>
      </c>
      <c r="C141" t="n">
        <v>0.496884114802257</v>
      </c>
      <c r="D141" t="n">
        <v>0.170701189666911</v>
      </c>
    </row>
    <row r="142">
      <c r="A142" t="s">
        <v>218</v>
      </c>
      <c r="B142" t="s">
        <v>181</v>
      </c>
      <c r="C142" t="n">
        <v>0.291040095746414</v>
      </c>
      <c r="D142" t="n">
        <v>0.0472487915306103</v>
      </c>
    </row>
    <row r="143">
      <c r="A143" t="s">
        <v>218</v>
      </c>
      <c r="B143" t="s">
        <v>182</v>
      </c>
      <c r="C143" t="n">
        <v>9.89542014548536</v>
      </c>
      <c r="D143" t="n">
        <v>0.892214169076473</v>
      </c>
    </row>
    <row r="144">
      <c r="A144" t="s">
        <v>218</v>
      </c>
      <c r="B144" t="s">
        <v>191</v>
      </c>
      <c r="C144" t="n">
        <v>-0.00285095047174133</v>
      </c>
      <c r="D144" t="n">
        <v>0.000152404262669021</v>
      </c>
    </row>
    <row r="145">
      <c r="A145" t="s">
        <v>218</v>
      </c>
      <c r="B145" t="s">
        <v>192</v>
      </c>
      <c r="C145" t="n">
        <v>1.19363417346764</v>
      </c>
      <c r="D145" t="n">
        <v>0.439585649194567</v>
      </c>
    </row>
    <row r="146">
      <c r="A146" t="s">
        <v>218</v>
      </c>
      <c r="B146" t="s">
        <v>184</v>
      </c>
      <c r="C146" t="n">
        <v>-0.861870075771277</v>
      </c>
      <c r="D146" t="n">
        <v>0.26904894951681</v>
      </c>
    </row>
    <row r="147">
      <c r="A147" t="s">
        <v>218</v>
      </c>
      <c r="B147" t="s">
        <v>193</v>
      </c>
      <c r="C147" t="n">
        <v>0.119505487013805</v>
      </c>
      <c r="D147" t="n">
        <v>0.255172487751756</v>
      </c>
    </row>
    <row r="148">
      <c r="A148" t="s">
        <v>218</v>
      </c>
      <c r="B148" t="s">
        <v>185</v>
      </c>
      <c r="C148" t="n">
        <v>-0.0536174637080387</v>
      </c>
      <c r="D148" t="n">
        <v>0.0120511203800099</v>
      </c>
    </row>
    <row r="149">
      <c r="A149" t="s">
        <v>218</v>
      </c>
      <c r="B149" t="s">
        <v>186</v>
      </c>
      <c r="C149" t="n">
        <v>0.0547659944221096</v>
      </c>
      <c r="D149" t="n">
        <v>0.0097931483243253</v>
      </c>
    </row>
    <row r="150">
      <c r="A150" t="s">
        <v>219</v>
      </c>
      <c r="B150" t="s">
        <v>181</v>
      </c>
      <c r="C150" t="n">
        <v>0.345043024574955</v>
      </c>
      <c r="D150" t="n">
        <v>0.42520735852538</v>
      </c>
    </row>
    <row r="151">
      <c r="A151" t="s">
        <v>219</v>
      </c>
      <c r="B151" t="s">
        <v>182</v>
      </c>
      <c r="C151" t="n">
        <v>-0.297020497656239</v>
      </c>
      <c r="D151" t="n">
        <v>0.0816040942414277</v>
      </c>
    </row>
    <row r="152">
      <c r="A152" t="s">
        <v>219</v>
      </c>
      <c r="B152" t="s">
        <v>183</v>
      </c>
      <c r="C152" t="n">
        <v>0.00493667733299684</v>
      </c>
      <c r="D152" t="n">
        <v>0.00047374728882062</v>
      </c>
    </row>
    <row r="153">
      <c r="A153" t="s">
        <v>219</v>
      </c>
      <c r="B153" t="s">
        <v>191</v>
      </c>
      <c r="C153" t="n">
        <v>-0.356418370638324</v>
      </c>
      <c r="D153" t="n">
        <v>1.01542131867111</v>
      </c>
    </row>
    <row r="154">
      <c r="A154" t="s">
        <v>219</v>
      </c>
      <c r="B154" t="s">
        <v>192</v>
      </c>
      <c r="C154" t="n">
        <v>0.96074803467665</v>
      </c>
      <c r="D154" t="n">
        <v>0.461398700113188</v>
      </c>
    </row>
    <row r="155">
      <c r="A155" t="s">
        <v>219</v>
      </c>
      <c r="B155" t="s">
        <v>184</v>
      </c>
      <c r="C155" t="n">
        <v>-1.1937862601714</v>
      </c>
      <c r="D155" t="n">
        <v>0.659303879079146</v>
      </c>
    </row>
    <row r="156">
      <c r="A156" t="s">
        <v>219</v>
      </c>
      <c r="B156" t="s">
        <v>193</v>
      </c>
      <c r="C156" t="n">
        <v>0.28898880248414</v>
      </c>
      <c r="D156" t="n">
        <v>0.111753738620906</v>
      </c>
    </row>
    <row r="157">
      <c r="A157" t="s">
        <v>219</v>
      </c>
      <c r="B157" t="s">
        <v>185</v>
      </c>
      <c r="C157" t="n">
        <v>0.317245991319626</v>
      </c>
      <c r="D157" t="n">
        <v>0.115865186954661</v>
      </c>
    </row>
    <row r="158">
      <c r="A158" t="s">
        <v>220</v>
      </c>
      <c r="B158" t="s">
        <v>181</v>
      </c>
      <c r="C158" t="n">
        <v>-0.0530213588703497</v>
      </c>
      <c r="D158" t="n">
        <v>0.113926687105799</v>
      </c>
    </row>
    <row r="159">
      <c r="A159" t="s">
        <v>220</v>
      </c>
      <c r="B159" t="s">
        <v>182</v>
      </c>
      <c r="C159" t="n">
        <v>-0.0237178205474654</v>
      </c>
      <c r="D159" t="n">
        <v>0.0277846053145206</v>
      </c>
    </row>
    <row r="160">
      <c r="A160" t="s">
        <v>220</v>
      </c>
      <c r="B160" t="s">
        <v>183</v>
      </c>
      <c r="C160" t="n">
        <v>0.514920233635421</v>
      </c>
      <c r="D160" t="n">
        <v>0.446609798624269</v>
      </c>
    </row>
    <row r="161">
      <c r="A161" t="s">
        <v>220</v>
      </c>
      <c r="B161" t="s">
        <v>191</v>
      </c>
      <c r="C161" t="n">
        <v>0.0895928654851043</v>
      </c>
      <c r="D161" t="n">
        <v>0.0210494770596576</v>
      </c>
    </row>
    <row r="162">
      <c r="A162" t="s">
        <v>220</v>
      </c>
      <c r="B162" t="s">
        <v>184</v>
      </c>
      <c r="C162" t="n">
        <v>0.0504484119289286</v>
      </c>
      <c r="D162" t="n">
        <v>0.0203093467677569</v>
      </c>
    </row>
    <row r="163">
      <c r="A163" t="s">
        <v>220</v>
      </c>
      <c r="B163" t="s">
        <v>193</v>
      </c>
      <c r="C163" t="n">
        <v>0.0529883204795304</v>
      </c>
      <c r="D163" t="n">
        <v>0.0348251130381064</v>
      </c>
    </row>
    <row r="164">
      <c r="A164" t="s">
        <v>220</v>
      </c>
      <c r="B164" t="s">
        <v>186</v>
      </c>
      <c r="C164" t="n">
        <v>0.0509345065917948</v>
      </c>
      <c r="D164" t="n">
        <v>0.0335791141721362</v>
      </c>
    </row>
    <row r="165">
      <c r="A165" t="s">
        <v>220</v>
      </c>
      <c r="B165" t="s">
        <v>187</v>
      </c>
      <c r="C165" t="n">
        <v>0.0317153895299472</v>
      </c>
      <c r="D165" t="n">
        <v>0.0324501870466684</v>
      </c>
    </row>
    <row r="166">
      <c r="A166" t="s">
        <v>220</v>
      </c>
      <c r="B166" t="s">
        <v>188</v>
      </c>
      <c r="C166" t="n">
        <v>0.0139053263808359</v>
      </c>
      <c r="D166" t="n">
        <v>0.00279150315250254</v>
      </c>
    </row>
    <row r="167">
      <c r="A167" t="s">
        <v>220</v>
      </c>
      <c r="B167" t="s">
        <v>189</v>
      </c>
      <c r="C167" t="n">
        <v>0.00419803389365674</v>
      </c>
      <c r="D167" t="n">
        <v>0.00267081560442122</v>
      </c>
    </row>
    <row r="168">
      <c r="A168" t="s">
        <v>221</v>
      </c>
      <c r="B168" t="s">
        <v>181</v>
      </c>
      <c r="C168" t="n">
        <v>-0.0185043251210426</v>
      </c>
      <c r="D168" t="n">
        <v>0.0138068669490855</v>
      </c>
    </row>
    <row r="169">
      <c r="A169" t="s">
        <v>221</v>
      </c>
      <c r="B169" t="s">
        <v>182</v>
      </c>
      <c r="C169" t="n">
        <v>-0.0365009852346538</v>
      </c>
      <c r="D169" t="n">
        <v>0.0107745079202025</v>
      </c>
    </row>
    <row r="170">
      <c r="A170" t="s">
        <v>221</v>
      </c>
      <c r="B170" t="s">
        <v>183</v>
      </c>
      <c r="C170" t="n">
        <v>0.131916835172975</v>
      </c>
      <c r="D170" t="n">
        <v>0.0850076254694257</v>
      </c>
    </row>
    <row r="171">
      <c r="A171" t="s">
        <v>221</v>
      </c>
      <c r="B171" t="s">
        <v>184</v>
      </c>
      <c r="C171" t="n">
        <v>0.143461866222605</v>
      </c>
      <c r="D171" t="n">
        <v>0.0167531236583957</v>
      </c>
    </row>
    <row r="172">
      <c r="A172" t="s">
        <v>221</v>
      </c>
      <c r="B172" t="s">
        <v>193</v>
      </c>
      <c r="C172" t="n">
        <v>0.0380021205175324</v>
      </c>
      <c r="D172" t="n">
        <v>0.0257400976076324</v>
      </c>
    </row>
    <row r="173">
      <c r="A173" t="s">
        <v>221</v>
      </c>
      <c r="B173" t="s">
        <v>185</v>
      </c>
      <c r="C173" t="n">
        <v>0.066970532588673</v>
      </c>
      <c r="D173" t="n">
        <v>0.017444353207443</v>
      </c>
    </row>
    <row r="174">
      <c r="A174" t="s">
        <v>221</v>
      </c>
      <c r="B174" t="s">
        <v>186</v>
      </c>
      <c r="C174" t="n">
        <v>0.0670567140468606</v>
      </c>
      <c r="D174" t="n">
        <v>0.0170463956102806</v>
      </c>
    </row>
    <row r="175">
      <c r="A175" t="s">
        <v>221</v>
      </c>
      <c r="B175" t="s">
        <v>187</v>
      </c>
      <c r="C175" t="n">
        <v>0.00245855179870997</v>
      </c>
      <c r="D175" t="n">
        <v>0.00247696703807224</v>
      </c>
    </row>
    <row r="176">
      <c r="A176" t="s">
        <v>221</v>
      </c>
      <c r="B176" t="s">
        <v>188</v>
      </c>
      <c r="C176" t="n">
        <v>0.00349779452211607</v>
      </c>
      <c r="D176" t="n">
        <v>0.00241327675554855</v>
      </c>
    </row>
    <row r="177">
      <c r="A177" t="s">
        <v>222</v>
      </c>
      <c r="B177" t="s">
        <v>181</v>
      </c>
      <c r="C177" t="n">
        <v>-0.402543914594687</v>
      </c>
      <c r="D177" t="n">
        <v>0.13398954313524</v>
      </c>
    </row>
    <row r="178">
      <c r="A178" t="s">
        <v>222</v>
      </c>
      <c r="B178" t="s">
        <v>182</v>
      </c>
      <c r="C178" t="n">
        <v>-0.0785916147081356</v>
      </c>
      <c r="D178" t="n">
        <v>0.0241541138869214</v>
      </c>
    </row>
    <row r="179">
      <c r="A179" t="s">
        <v>222</v>
      </c>
      <c r="B179" t="s">
        <v>183</v>
      </c>
      <c r="C179" t="n">
        <v>1.13204056735319</v>
      </c>
      <c r="D179" t="n">
        <v>0.0411491715865741</v>
      </c>
    </row>
    <row r="180">
      <c r="A180" t="s">
        <v>222</v>
      </c>
      <c r="B180" t="s">
        <v>191</v>
      </c>
      <c r="C180" t="n">
        <v>0.160643011207769</v>
      </c>
      <c r="D180" t="n">
        <v>0.0478451939818044</v>
      </c>
    </row>
    <row r="181">
      <c r="A181" t="s">
        <v>222</v>
      </c>
      <c r="B181" t="s">
        <v>192</v>
      </c>
      <c r="C181" t="n">
        <v>-0.313335060243884</v>
      </c>
      <c r="D181" t="n">
        <v>0.0729247447755594</v>
      </c>
    </row>
    <row r="182">
      <c r="A182" t="s">
        <v>223</v>
      </c>
      <c r="B182" t="s">
        <v>181</v>
      </c>
      <c r="C182" t="n">
        <v>-0.117687374100091</v>
      </c>
      <c r="D182" t="n">
        <v>0.0726180516010814</v>
      </c>
    </row>
    <row r="183">
      <c r="A183" t="s">
        <v>223</v>
      </c>
      <c r="B183" t="s">
        <v>182</v>
      </c>
      <c r="C183" t="n">
        <v>-0.0309498870145456</v>
      </c>
      <c r="D183" t="n">
        <v>0.0150701083529108</v>
      </c>
    </row>
    <row r="184">
      <c r="A184" t="s">
        <v>223</v>
      </c>
      <c r="B184" t="s">
        <v>183</v>
      </c>
      <c r="C184" t="n">
        <v>0.633941059579775</v>
      </c>
      <c r="D184" t="n">
        <v>0.175697325965692</v>
      </c>
    </row>
    <row r="185">
      <c r="A185" t="s">
        <v>223</v>
      </c>
      <c r="B185" t="s">
        <v>191</v>
      </c>
      <c r="C185" t="n">
        <v>0.00481197438654422</v>
      </c>
      <c r="D185" t="n">
        <v>0.00111894253279688</v>
      </c>
    </row>
    <row r="186">
      <c r="A186" t="s">
        <v>223</v>
      </c>
      <c r="B186" t="s">
        <v>192</v>
      </c>
      <c r="C186" t="n">
        <v>0.0647392655637654</v>
      </c>
      <c r="D186" t="n">
        <v>0.0044051992013842</v>
      </c>
    </row>
    <row r="187">
      <c r="A187" t="s">
        <v>223</v>
      </c>
      <c r="B187" t="s">
        <v>184</v>
      </c>
      <c r="C187" t="n">
        <v>0.804722031419161</v>
      </c>
      <c r="D187" t="n">
        <v>0.054486466509153</v>
      </c>
    </row>
    <row r="188">
      <c r="A188" t="s">
        <v>223</v>
      </c>
      <c r="B188" t="s">
        <v>193</v>
      </c>
      <c r="C188" t="n">
        <v>-0.0747038717100374</v>
      </c>
      <c r="D188" t="n">
        <v>0.00557922051323902</v>
      </c>
    </row>
    <row r="189">
      <c r="A189" t="s">
        <v>224</v>
      </c>
      <c r="B189" t="s">
        <v>181</v>
      </c>
      <c r="C189" t="n">
        <v>0.00633814373815231</v>
      </c>
      <c r="D189" t="n">
        <v>0.00260371384366758</v>
      </c>
    </row>
    <row r="190">
      <c r="A190" t="s">
        <v>224</v>
      </c>
      <c r="B190" t="s">
        <v>182</v>
      </c>
      <c r="C190" t="n">
        <v>-0.0362804650918684</v>
      </c>
      <c r="D190" t="n">
        <v>0.0130912850707186</v>
      </c>
    </row>
    <row r="191">
      <c r="A191" t="s">
        <v>224</v>
      </c>
      <c r="B191" t="s">
        <v>191</v>
      </c>
      <c r="C191" t="n">
        <v>0.0029346620368812</v>
      </c>
      <c r="D191" t="n">
        <v>0.000429493107060439</v>
      </c>
    </row>
    <row r="192">
      <c r="A192" t="s">
        <v>224</v>
      </c>
      <c r="B192" t="s">
        <v>192</v>
      </c>
      <c r="C192" t="n">
        <v>0.0521484314220456</v>
      </c>
      <c r="D192" t="n">
        <v>0.0236746798764483</v>
      </c>
    </row>
    <row r="193">
      <c r="A193" t="s">
        <v>224</v>
      </c>
      <c r="B193" t="s">
        <v>184</v>
      </c>
      <c r="C193" t="n">
        <v>0.0354011265094034</v>
      </c>
      <c r="D193" t="n">
        <v>0.0245487737585087</v>
      </c>
    </row>
    <row r="194">
      <c r="A194" t="s">
        <v>225</v>
      </c>
      <c r="B194" t="s">
        <v>181</v>
      </c>
      <c r="C194" t="n">
        <v>0.000388048055347812</v>
      </c>
      <c r="D194" t="n">
        <v>0.0054842544749663</v>
      </c>
    </row>
    <row r="195">
      <c r="A195" t="s">
        <v>225</v>
      </c>
      <c r="B195" t="s">
        <v>182</v>
      </c>
      <c r="C195" t="n">
        <v>-0.0609629945132244</v>
      </c>
      <c r="D195" t="n">
        <v>0.0223334971438778</v>
      </c>
    </row>
    <row r="196">
      <c r="A196" t="s">
        <v>225</v>
      </c>
      <c r="B196" t="s">
        <v>191</v>
      </c>
      <c r="C196" t="n">
        <v>-0.134407462554407</v>
      </c>
      <c r="D196" t="n">
        <v>0.0676490332222893</v>
      </c>
    </row>
    <row r="197">
      <c r="A197" t="s">
        <v>225</v>
      </c>
      <c r="B197" t="s">
        <v>192</v>
      </c>
      <c r="C197" t="n">
        <v>-0.152649830263001</v>
      </c>
      <c r="D197" t="n">
        <v>0.0684357641667877</v>
      </c>
    </row>
    <row r="198">
      <c r="A198" t="s">
        <v>225</v>
      </c>
      <c r="B198" t="s">
        <v>184</v>
      </c>
      <c r="C198" t="n">
        <v>1.12951230278418</v>
      </c>
      <c r="D198" t="n">
        <v>0.291916896711293</v>
      </c>
    </row>
    <row r="199">
      <c r="A199" t="s">
        <v>225</v>
      </c>
      <c r="B199" t="s">
        <v>193</v>
      </c>
      <c r="C199" t="n">
        <v>-0.317585247853667</v>
      </c>
      <c r="D199" t="n">
        <v>0.0604537391731463</v>
      </c>
    </row>
    <row r="200">
      <c r="A200" t="s">
        <v>225</v>
      </c>
      <c r="B200" t="s">
        <v>185</v>
      </c>
      <c r="C200" t="n">
        <v>-0.248603327484939</v>
      </c>
      <c r="D200" t="n">
        <v>0.0428626380391231</v>
      </c>
    </row>
    <row r="201">
      <c r="A201" t="s">
        <v>226</v>
      </c>
      <c r="B201" t="s">
        <v>227</v>
      </c>
      <c r="C201" t="n">
        <v>0.127057325201708</v>
      </c>
      <c r="D201" t="n">
        <v>0.125247842972247</v>
      </c>
    </row>
    <row r="202">
      <c r="A202" t="s">
        <v>228</v>
      </c>
      <c r="B202" t="s">
        <v>181</v>
      </c>
      <c r="C202" t="n">
        <v>-0.0459507234513311</v>
      </c>
      <c r="D202" t="n">
        <v>0.0252820703304637</v>
      </c>
    </row>
    <row r="203">
      <c r="A203" t="s">
        <v>228</v>
      </c>
      <c r="B203" t="s">
        <v>182</v>
      </c>
      <c r="C203" t="n">
        <v>-0.0178987649385321</v>
      </c>
      <c r="D203" t="n">
        <v>0.0106089724995745</v>
      </c>
    </row>
    <row r="204">
      <c r="A204" t="s">
        <v>228</v>
      </c>
      <c r="B204" t="s">
        <v>191</v>
      </c>
      <c r="C204" t="n">
        <v>18.330654303078</v>
      </c>
      <c r="D204" t="n">
        <v>3.60874898648429</v>
      </c>
    </row>
    <row r="205">
      <c r="A205" t="s">
        <v>228</v>
      </c>
      <c r="B205" t="s">
        <v>192</v>
      </c>
      <c r="C205" t="n">
        <v>0.0396953694995635</v>
      </c>
      <c r="D205" t="n">
        <v>0.0129186356875717</v>
      </c>
    </row>
    <row r="206">
      <c r="A206" t="s">
        <v>228</v>
      </c>
      <c r="B206" t="s">
        <v>184</v>
      </c>
      <c r="C206" t="n">
        <v>-0.0541725204288707</v>
      </c>
      <c r="D206" t="n">
        <v>0.0477953563546087</v>
      </c>
    </row>
    <row r="207">
      <c r="A207" t="s">
        <v>228</v>
      </c>
      <c r="B207" t="s">
        <v>193</v>
      </c>
      <c r="C207" t="n">
        <v>0.144642197921881</v>
      </c>
      <c r="D207" t="n">
        <v>0.0469723719082272</v>
      </c>
    </row>
    <row r="208">
      <c r="A208" t="s">
        <v>228</v>
      </c>
      <c r="B208" t="s">
        <v>185</v>
      </c>
      <c r="C208" t="n">
        <v>0.592423709374583</v>
      </c>
      <c r="D208" t="n">
        <v>0.103017026258271</v>
      </c>
    </row>
    <row r="209">
      <c r="A209" t="s">
        <v>229</v>
      </c>
      <c r="B209" t="s">
        <v>181</v>
      </c>
      <c r="C209" t="n">
        <v>-0.42256430402997</v>
      </c>
      <c r="D209" t="n">
        <v>0.225662981767431</v>
      </c>
    </row>
    <row r="210">
      <c r="A210" t="s">
        <v>229</v>
      </c>
      <c r="B210" t="s">
        <v>182</v>
      </c>
      <c r="C210" t="n">
        <v>-0.0510121787989482</v>
      </c>
      <c r="D210" t="n">
        <v>0.0273107230435452</v>
      </c>
    </row>
    <row r="211">
      <c r="A211" t="s">
        <v>229</v>
      </c>
      <c r="B211" t="s">
        <v>192</v>
      </c>
      <c r="C211" t="n">
        <v>0.876527086553766</v>
      </c>
      <c r="D211" t="n">
        <v>0.252586633001038</v>
      </c>
    </row>
    <row r="212">
      <c r="A212" t="s">
        <v>229</v>
      </c>
      <c r="B212" t="s">
        <v>184</v>
      </c>
      <c r="C212" t="n">
        <v>0.760014805266799</v>
      </c>
      <c r="D212" t="n">
        <v>0.262886330015478</v>
      </c>
    </row>
    <row r="213">
      <c r="A213" t="s">
        <v>229</v>
      </c>
      <c r="B213" t="s">
        <v>193</v>
      </c>
      <c r="C213" t="n">
        <v>0.462021715071853</v>
      </c>
      <c r="D213" t="n">
        <v>0.253777632544475</v>
      </c>
    </row>
    <row r="214">
      <c r="A214" t="s">
        <v>229</v>
      </c>
      <c r="B214" t="s">
        <v>185</v>
      </c>
      <c r="C214" t="n">
        <v>0.334285330275356</v>
      </c>
      <c r="D214" t="n">
        <v>0.258391767228494</v>
      </c>
    </row>
    <row r="215">
      <c r="A215" t="s">
        <v>229</v>
      </c>
      <c r="B215" t="s">
        <v>186</v>
      </c>
      <c r="C215" t="n">
        <v>-0.289726878170725</v>
      </c>
      <c r="D215" t="n">
        <v>0.0922656688030283</v>
      </c>
    </row>
    <row r="216">
      <c r="A216" t="s">
        <v>229</v>
      </c>
      <c r="B216" t="s">
        <v>187</v>
      </c>
      <c r="C216" t="n">
        <v>-0.176048949997886</v>
      </c>
      <c r="D216" t="n">
        <v>0.0348860190074294</v>
      </c>
    </row>
    <row r="217">
      <c r="A217" t="s">
        <v>229</v>
      </c>
      <c r="B217" t="s">
        <v>188</v>
      </c>
      <c r="C217" t="n">
        <v>-0.484280524927633</v>
      </c>
      <c r="D217" t="n">
        <v>0.491024362394759</v>
      </c>
    </row>
    <row r="218">
      <c r="A218" t="s">
        <v>230</v>
      </c>
      <c r="B218" t="s">
        <v>181</v>
      </c>
      <c r="C218" t="n">
        <v>0.117409867336902</v>
      </c>
      <c r="D218" t="n">
        <v>0.0297859713279876</v>
      </c>
    </row>
    <row r="219">
      <c r="A219" t="s">
        <v>230</v>
      </c>
      <c r="B219" t="s">
        <v>231</v>
      </c>
      <c r="C219" t="n">
        <v>-0.489152075010871</v>
      </c>
      <c r="D219" t="n">
        <v>0.138922251187899</v>
      </c>
    </row>
    <row r="220">
      <c r="A220" t="s">
        <v>230</v>
      </c>
      <c r="B220" t="s">
        <v>232</v>
      </c>
      <c r="C220" t="n">
        <v>-0.0277252005151064</v>
      </c>
      <c r="D220" t="n">
        <v>0.21138920219739</v>
      </c>
    </row>
    <row r="221">
      <c r="A221" t="s">
        <v>230</v>
      </c>
      <c r="B221" t="s">
        <v>233</v>
      </c>
      <c r="C221" t="n">
        <v>0.193827246327542</v>
      </c>
      <c r="D221" t="n">
        <v>0.339987481649685</v>
      </c>
    </row>
    <row r="222">
      <c r="A222" t="s">
        <v>230</v>
      </c>
      <c r="B222" t="s">
        <v>234</v>
      </c>
      <c r="C222" t="n">
        <v>-0.450042666268074</v>
      </c>
      <c r="D222" t="n">
        <v>0.339640547702663</v>
      </c>
    </row>
    <row r="223">
      <c r="A223" t="s">
        <v>230</v>
      </c>
      <c r="B223" t="s">
        <v>235</v>
      </c>
      <c r="C223" t="n">
        <v>0.241181274151784</v>
      </c>
      <c r="D223" t="n">
        <v>0.211531544300953</v>
      </c>
    </row>
    <row r="224">
      <c r="A224" t="s">
        <v>230</v>
      </c>
      <c r="B224" t="s">
        <v>236</v>
      </c>
      <c r="C224" t="n">
        <v>0.710666390029421</v>
      </c>
      <c r="D224" t="n">
        <v>0.0676758294805386</v>
      </c>
    </row>
    <row r="225">
      <c r="A225" t="s">
        <v>237</v>
      </c>
      <c r="B225" t="s">
        <v>181</v>
      </c>
      <c r="C225" t="n">
        <v>-1.09346912111766</v>
      </c>
      <c r="D225" t="n">
        <v>0.293525431351426</v>
      </c>
    </row>
    <row r="226">
      <c r="A226" t="s">
        <v>237</v>
      </c>
      <c r="B226" t="s">
        <v>182</v>
      </c>
      <c r="C226" t="n">
        <v>-0.312527322966272</v>
      </c>
      <c r="D226" t="n">
        <v>0.077424337812655</v>
      </c>
    </row>
    <row r="227">
      <c r="A227" t="s">
        <v>237</v>
      </c>
      <c r="B227" t="s">
        <v>183</v>
      </c>
      <c r="C227" t="n">
        <v>0.524226558083094</v>
      </c>
      <c r="D227" t="n">
        <v>0.194969629260484</v>
      </c>
    </row>
    <row r="228">
      <c r="A228" t="s">
        <v>237</v>
      </c>
      <c r="B228" t="s">
        <v>191</v>
      </c>
      <c r="C228" t="n">
        <v>-1.3775984006698</v>
      </c>
      <c r="D228" t="n">
        <v>0.436732750080539</v>
      </c>
    </row>
    <row r="229">
      <c r="A229" t="s">
        <v>237</v>
      </c>
      <c r="B229" t="s">
        <v>192</v>
      </c>
      <c r="C229" t="n">
        <v>-0.00915208251683542</v>
      </c>
      <c r="D229" t="n">
        <v>0.00147442268083951</v>
      </c>
    </row>
    <row r="230">
      <c r="A230" t="s">
        <v>237</v>
      </c>
      <c r="B230" t="s">
        <v>193</v>
      </c>
      <c r="C230" t="n">
        <v>0.067417035085994</v>
      </c>
      <c r="D230" t="n">
        <v>0.0974362717418333</v>
      </c>
    </row>
    <row r="231">
      <c r="A231" t="s">
        <v>237</v>
      </c>
      <c r="B231" t="s">
        <v>185</v>
      </c>
      <c r="C231" t="n">
        <v>-0.762939791881913</v>
      </c>
      <c r="D231" t="n">
        <v>0.288783345172818</v>
      </c>
    </row>
    <row r="232">
      <c r="A232" t="s">
        <v>237</v>
      </c>
      <c r="B232" t="s">
        <v>186</v>
      </c>
      <c r="C232" t="n">
        <v>0.221509605555066</v>
      </c>
      <c r="D232" t="n">
        <v>0.33967853757669</v>
      </c>
    </row>
    <row r="233">
      <c r="A233" t="s">
        <v>237</v>
      </c>
      <c r="B233" t="s">
        <v>187</v>
      </c>
      <c r="C233" t="n">
        <v>0.154975646834407</v>
      </c>
      <c r="D233" t="n">
        <v>0.350505977796002</v>
      </c>
    </row>
    <row r="234">
      <c r="A234" t="s">
        <v>237</v>
      </c>
      <c r="B234" t="s">
        <v>188</v>
      </c>
      <c r="C234" t="n">
        <v>0.0633960644483437</v>
      </c>
      <c r="D234" t="n">
        <v>0.368881205091889</v>
      </c>
    </row>
    <row r="235">
      <c r="A235" t="s">
        <v>237</v>
      </c>
      <c r="B235" t="s">
        <v>189</v>
      </c>
      <c r="C235" t="n">
        <v>0.490462007993258</v>
      </c>
      <c r="D235" t="n">
        <v>0.354848278194656</v>
      </c>
    </row>
    <row r="236">
      <c r="A236" t="s">
        <v>237</v>
      </c>
      <c r="B236" t="s">
        <v>194</v>
      </c>
      <c r="C236" t="n">
        <v>0.575240271173106</v>
      </c>
      <c r="D236" t="n">
        <v>0.352448082203046</v>
      </c>
    </row>
    <row r="237">
      <c r="A237" t="s">
        <v>238</v>
      </c>
      <c r="B237" t="s">
        <v>181</v>
      </c>
      <c r="C237" t="n">
        <v>-0.170876728023149</v>
      </c>
      <c r="D237" t="n">
        <v>0.120226872098535</v>
      </c>
    </row>
    <row r="238">
      <c r="A238" t="s">
        <v>238</v>
      </c>
      <c r="B238" t="s">
        <v>182</v>
      </c>
      <c r="C238" t="n">
        <v>-0.0755708647956413</v>
      </c>
      <c r="D238" t="n">
        <v>0.0454497632215965</v>
      </c>
    </row>
    <row r="239">
      <c r="A239" t="s">
        <v>238</v>
      </c>
      <c r="B239" t="s">
        <v>183</v>
      </c>
      <c r="C239" t="n">
        <v>0.0477617495366563</v>
      </c>
      <c r="D239" t="n">
        <v>0.0216494214058893</v>
      </c>
    </row>
    <row r="240">
      <c r="A240" t="s">
        <v>238</v>
      </c>
      <c r="B240" t="s">
        <v>191</v>
      </c>
      <c r="C240" t="n">
        <v>-0.00257479417687779</v>
      </c>
      <c r="D240" t="n">
        <v>0.00129567035970719</v>
      </c>
    </row>
    <row r="241">
      <c r="A241" t="s">
        <v>238</v>
      </c>
      <c r="B241" t="s">
        <v>192</v>
      </c>
      <c r="C241" t="n">
        <v>0.72095582876821</v>
      </c>
      <c r="D241" t="n">
        <v>0.0811713941426452</v>
      </c>
    </row>
    <row r="242">
      <c r="A242" t="s">
        <v>238</v>
      </c>
      <c r="B242" t="s">
        <v>184</v>
      </c>
      <c r="C242" t="n">
        <v>-0.0834746106908187</v>
      </c>
      <c r="D242" t="n">
        <v>0.0789200154859938</v>
      </c>
    </row>
    <row r="243">
      <c r="A243" t="s">
        <v>238</v>
      </c>
      <c r="B243" t="s">
        <v>193</v>
      </c>
      <c r="C243" t="n">
        <v>-0.12282884114374</v>
      </c>
      <c r="D243" t="n">
        <v>0.0796382874219298</v>
      </c>
    </row>
    <row r="244">
      <c r="A244" t="s">
        <v>238</v>
      </c>
      <c r="B244" t="s">
        <v>185</v>
      </c>
      <c r="C244" t="n">
        <v>-0.181651641952986</v>
      </c>
      <c r="D244" t="n">
        <v>0.0782069054040431</v>
      </c>
    </row>
    <row r="245">
      <c r="A245" t="s">
        <v>238</v>
      </c>
      <c r="B245" t="s">
        <v>186</v>
      </c>
      <c r="C245" t="n">
        <v>-0.171140927329529</v>
      </c>
      <c r="D245" t="n">
        <v>0.0767073340560159</v>
      </c>
    </row>
    <row r="246">
      <c r="A246" t="s">
        <v>239</v>
      </c>
      <c r="B246" t="s">
        <v>181</v>
      </c>
      <c r="C246" t="n">
        <v>-0.140763101014305</v>
      </c>
      <c r="D246" t="n">
        <v>0.0624010122217255</v>
      </c>
    </row>
    <row r="247">
      <c r="A247" t="s">
        <v>239</v>
      </c>
      <c r="B247" t="s">
        <v>182</v>
      </c>
      <c r="C247" t="n">
        <v>-0.0474921271558658</v>
      </c>
      <c r="D247" t="n">
        <v>0.0171810841898531</v>
      </c>
    </row>
    <row r="248">
      <c r="A248" t="s">
        <v>239</v>
      </c>
      <c r="B248" t="s">
        <v>183</v>
      </c>
      <c r="C248" t="n">
        <v>-0.153293748796145</v>
      </c>
      <c r="D248" t="n">
        <v>0.80603374998901</v>
      </c>
    </row>
    <row r="249">
      <c r="A249" t="s">
        <v>239</v>
      </c>
      <c r="B249" t="s">
        <v>191</v>
      </c>
      <c r="C249" t="n">
        <v>0.714582980094044</v>
      </c>
      <c r="D249" t="n">
        <v>0.464146679918111</v>
      </c>
    </row>
    <row r="250">
      <c r="A250" t="s">
        <v>239</v>
      </c>
      <c r="B250" t="s">
        <v>192</v>
      </c>
      <c r="C250" t="n">
        <v>-0.00646058972558634</v>
      </c>
      <c r="D250" t="n">
        <v>0.00357037050366151</v>
      </c>
    </row>
    <row r="251">
      <c r="A251" t="s">
        <v>239</v>
      </c>
      <c r="B251" t="s">
        <v>184</v>
      </c>
      <c r="C251" t="n">
        <v>-0.137580314652621</v>
      </c>
      <c r="D251" t="n">
        <v>0.0754356809372643</v>
      </c>
    </row>
    <row r="252">
      <c r="A252" t="s">
        <v>239</v>
      </c>
      <c r="B252" t="s">
        <v>193</v>
      </c>
      <c r="C252" t="n">
        <v>0.947731198911194</v>
      </c>
      <c r="D252" t="n">
        <v>0.281787314643434</v>
      </c>
    </row>
    <row r="253">
      <c r="A253" t="s">
        <v>240</v>
      </c>
      <c r="B253" t="s">
        <v>181</v>
      </c>
      <c r="C253" t="n">
        <v>-0.0544409521749936</v>
      </c>
      <c r="D253" t="n">
        <v>0.0206808223600685</v>
      </c>
    </row>
    <row r="254">
      <c r="A254" t="s">
        <v>240</v>
      </c>
      <c r="B254" t="s">
        <v>182</v>
      </c>
      <c r="C254" t="n">
        <v>-0.0786331977014844</v>
      </c>
      <c r="D254" t="n">
        <v>0.0261953336102509</v>
      </c>
    </row>
    <row r="255">
      <c r="A255" t="s">
        <v>240</v>
      </c>
      <c r="B255" t="s">
        <v>183</v>
      </c>
      <c r="C255" t="n">
        <v>0.412289921914963</v>
      </c>
      <c r="D255" t="n">
        <v>0.0624645114779038</v>
      </c>
    </row>
    <row r="256">
      <c r="A256" t="s">
        <v>240</v>
      </c>
      <c r="B256" t="s">
        <v>191</v>
      </c>
      <c r="C256" t="n">
        <v>-1.1047048399867</v>
      </c>
      <c r="D256" t="n">
        <v>0.131858501535839</v>
      </c>
    </row>
    <row r="257">
      <c r="A257" t="s">
        <v>241</v>
      </c>
      <c r="B257" t="s">
        <v>181</v>
      </c>
      <c r="C257" t="n">
        <v>-0.326663116933836</v>
      </c>
      <c r="D257" t="n">
        <v>0.107267156673681</v>
      </c>
    </row>
    <row r="258">
      <c r="A258" t="s">
        <v>241</v>
      </c>
      <c r="B258" t="s">
        <v>182</v>
      </c>
      <c r="C258" t="n">
        <v>-0.145134891623487</v>
      </c>
      <c r="D258" t="n">
        <v>0.0421260098334369</v>
      </c>
    </row>
    <row r="259">
      <c r="A259" t="s">
        <v>241</v>
      </c>
      <c r="B259" t="s">
        <v>183</v>
      </c>
      <c r="C259" t="n">
        <v>0.476209759477317</v>
      </c>
      <c r="D259" t="n">
        <v>0.143772646744558</v>
      </c>
    </row>
    <row r="260">
      <c r="A260" t="s">
        <v>241</v>
      </c>
      <c r="B260" t="s">
        <v>191</v>
      </c>
      <c r="C260" t="n">
        <v>0.00109084171202984</v>
      </c>
      <c r="D260" t="n">
        <v>0.000454528787480206</v>
      </c>
    </row>
    <row r="261">
      <c r="A261" t="s">
        <v>241</v>
      </c>
      <c r="B261" t="s">
        <v>192</v>
      </c>
      <c r="C261" t="n">
        <v>0.503032373923423</v>
      </c>
      <c r="D261" t="n">
        <v>0.130157913940454</v>
      </c>
    </row>
    <row r="262">
      <c r="A262" t="s">
        <v>241</v>
      </c>
      <c r="B262" t="s">
        <v>184</v>
      </c>
      <c r="C262" t="n">
        <v>0.733801294600122</v>
      </c>
      <c r="D262" t="n">
        <v>0.075467374700172</v>
      </c>
    </row>
    <row r="263">
      <c r="A263" t="s">
        <v>242</v>
      </c>
      <c r="B263" t="s">
        <v>181</v>
      </c>
      <c r="C263" t="n">
        <v>-0.276477236688348</v>
      </c>
      <c r="D263" t="n">
        <v>0.0727975938596433</v>
      </c>
    </row>
    <row r="264">
      <c r="A264" t="s">
        <v>242</v>
      </c>
      <c r="B264" t="s">
        <v>182</v>
      </c>
      <c r="C264" t="n">
        <v>-0.0817457059122262</v>
      </c>
      <c r="D264" t="n">
        <v>0.0211698711577459</v>
      </c>
    </row>
    <row r="265">
      <c r="A265" t="s">
        <v>242</v>
      </c>
      <c r="B265" t="s">
        <v>183</v>
      </c>
      <c r="C265" t="n">
        <v>0.750291434121871</v>
      </c>
      <c r="D265" t="n">
        <v>0.0207811229488354</v>
      </c>
    </row>
    <row r="266">
      <c r="A266" t="s">
        <v>242</v>
      </c>
      <c r="B266" t="s">
        <v>191</v>
      </c>
      <c r="C266" t="n">
        <v>-0.00600274216341343</v>
      </c>
      <c r="D266" t="n">
        <v>0.005582557807156</v>
      </c>
    </row>
    <row r="267">
      <c r="A267" t="s">
        <v>242</v>
      </c>
      <c r="B267" t="s">
        <v>192</v>
      </c>
      <c r="C267" t="n">
        <v>0.0556735585363636</v>
      </c>
      <c r="D267" t="n">
        <v>0.0251762619618896</v>
      </c>
    </row>
    <row r="268">
      <c r="A268" t="s">
        <v>242</v>
      </c>
      <c r="B268" t="s">
        <v>184</v>
      </c>
      <c r="C268" t="n">
        <v>0.0264537350744464</v>
      </c>
      <c r="D268" t="n">
        <v>0.0127488550696146</v>
      </c>
    </row>
    <row r="269">
      <c r="A269" t="s">
        <v>242</v>
      </c>
      <c r="B269" t="s">
        <v>186</v>
      </c>
      <c r="C269" t="n">
        <v>0.0207165469400228</v>
      </c>
      <c r="D269" t="n">
        <v>0.00362179828779094</v>
      </c>
    </row>
    <row r="270">
      <c r="A270" t="s">
        <v>242</v>
      </c>
      <c r="B270" t="s">
        <v>187</v>
      </c>
      <c r="C270" t="n">
        <v>-0.0119587219788003</v>
      </c>
      <c r="D270" t="n">
        <v>0.00835004706118266</v>
      </c>
    </row>
    <row r="271">
      <c r="A271" t="s">
        <v>243</v>
      </c>
      <c r="B271" t="s">
        <v>181</v>
      </c>
      <c r="C271" t="n">
        <v>0.801179186741638</v>
      </c>
      <c r="D271" t="n">
        <v>0.00504702068740033</v>
      </c>
    </row>
    <row r="272">
      <c r="A272" t="s">
        <v>244</v>
      </c>
      <c r="B272" t="s">
        <v>181</v>
      </c>
      <c r="C272" t="n">
        <v>-0.885777868854203</v>
      </c>
      <c r="D272" t="n">
        <v>0.350538719801897</v>
      </c>
    </row>
    <row r="273">
      <c r="A273" t="s">
        <v>244</v>
      </c>
      <c r="B273" t="s">
        <v>182</v>
      </c>
      <c r="C273" t="n">
        <v>-0.0871206710746647</v>
      </c>
      <c r="D273" t="n">
        <v>0.0363775266689701</v>
      </c>
    </row>
    <row r="274">
      <c r="A274" t="s">
        <v>244</v>
      </c>
      <c r="B274" t="s">
        <v>183</v>
      </c>
      <c r="C274" t="n">
        <v>-0.00767807441707942</v>
      </c>
      <c r="D274" t="n">
        <v>0.0127222426537585</v>
      </c>
    </row>
    <row r="275">
      <c r="A275" t="s">
        <v>244</v>
      </c>
      <c r="B275" t="s">
        <v>191</v>
      </c>
      <c r="C275" t="n">
        <v>0.640586482786634</v>
      </c>
      <c r="D275" t="n">
        <v>0.16435083675379</v>
      </c>
    </row>
    <row r="276">
      <c r="A276" t="s">
        <v>244</v>
      </c>
      <c r="B276" t="s">
        <v>192</v>
      </c>
      <c r="C276" t="n">
        <v>-0.00265517890473069</v>
      </c>
      <c r="D276" t="n">
        <v>0.00279666995098122</v>
      </c>
    </row>
    <row r="277">
      <c r="A277" t="s">
        <v>244</v>
      </c>
      <c r="B277" t="s">
        <v>184</v>
      </c>
      <c r="C277" t="n">
        <v>1.38749252856311</v>
      </c>
      <c r="D277" t="n">
        <v>0.445232362647087</v>
      </c>
    </row>
    <row r="278">
      <c r="A278" t="s">
        <v>244</v>
      </c>
      <c r="B278" t="s">
        <v>193</v>
      </c>
      <c r="C278" t="n">
        <v>0.258934645608867</v>
      </c>
      <c r="D278" t="n">
        <v>0.0300349320855349</v>
      </c>
    </row>
    <row r="279">
      <c r="A279" t="s">
        <v>244</v>
      </c>
      <c r="B279" t="s">
        <v>185</v>
      </c>
      <c r="C279" t="n">
        <v>-0.120920326000098</v>
      </c>
      <c r="D279" t="n">
        <v>0.02469600952438</v>
      </c>
    </row>
    <row r="280">
      <c r="A280" t="s">
        <v>244</v>
      </c>
      <c r="B280" t="s">
        <v>186</v>
      </c>
      <c r="C280" t="n">
        <v>-0.156150052557339</v>
      </c>
      <c r="D280" t="n">
        <v>0.0426655551153641</v>
      </c>
    </row>
    <row r="281">
      <c r="A281" t="s">
        <v>244</v>
      </c>
      <c r="B281" t="s">
        <v>187</v>
      </c>
      <c r="C281" t="n">
        <v>-0.119785064236841</v>
      </c>
      <c r="D281" t="n">
        <v>0.0270332641828213</v>
      </c>
    </row>
    <row r="282">
      <c r="A282" t="s">
        <v>245</v>
      </c>
      <c r="B282" t="s">
        <v>181</v>
      </c>
      <c r="C282" t="n">
        <v>-0.0418097149733937</v>
      </c>
      <c r="D282" t="n">
        <v>0.0137805624158975</v>
      </c>
    </row>
    <row r="283">
      <c r="A283" t="s">
        <v>245</v>
      </c>
      <c r="B283" t="s">
        <v>182</v>
      </c>
      <c r="C283" t="n">
        <v>-0.0885210103328543</v>
      </c>
      <c r="D283" t="n">
        <v>0.0229884608978412</v>
      </c>
    </row>
    <row r="284">
      <c r="A284" t="s">
        <v>245</v>
      </c>
      <c r="B284" t="s">
        <v>183</v>
      </c>
      <c r="C284" t="n">
        <v>-1.0958513146467</v>
      </c>
      <c r="D284" t="n">
        <v>0.0624709940441146</v>
      </c>
    </row>
    <row r="285">
      <c r="A285" t="s">
        <v>245</v>
      </c>
      <c r="B285" t="s">
        <v>191</v>
      </c>
      <c r="C285" t="n">
        <v>1.36001433294212</v>
      </c>
      <c r="D285" t="n">
        <v>0.144014432828633</v>
      </c>
    </row>
    <row r="286">
      <c r="A286" t="s">
        <v>245</v>
      </c>
      <c r="B286" t="s">
        <v>192</v>
      </c>
      <c r="C286" t="n">
        <v>0.580694011901158</v>
      </c>
      <c r="D286" t="n">
        <v>0.142275142637712</v>
      </c>
    </row>
    <row r="287">
      <c r="A287" t="s">
        <v>245</v>
      </c>
      <c r="B287" t="s">
        <v>184</v>
      </c>
      <c r="C287" t="n">
        <v>-21.4875516107823</v>
      </c>
      <c r="D287" t="n">
        <v>4.81563776151436</v>
      </c>
    </row>
    <row r="288">
      <c r="A288" t="s">
        <v>246</v>
      </c>
      <c r="B288" t="s">
        <v>181</v>
      </c>
      <c r="C288" t="n">
        <v>0.3</v>
      </c>
      <c r="D288"/>
    </row>
    <row r="289">
      <c r="A289" t="s">
        <v>246</v>
      </c>
      <c r="B289" t="s">
        <v>182</v>
      </c>
      <c r="C289" t="n">
        <v>-2</v>
      </c>
      <c r="D289"/>
    </row>
    <row r="290">
      <c r="A290" t="s">
        <v>246</v>
      </c>
      <c r="B290" t="s">
        <v>183</v>
      </c>
      <c r="C290" t="n">
        <v>1</v>
      </c>
      <c r="D290"/>
    </row>
    <row r="291">
      <c r="A291" t="s">
        <v>246</v>
      </c>
      <c r="B291" t="s">
        <v>191</v>
      </c>
      <c r="C291" t="n">
        <v>-1</v>
      </c>
      <c r="D291"/>
    </row>
    <row r="292">
      <c r="A292" t="s">
        <v>246</v>
      </c>
      <c r="B292" t="s">
        <v>247</v>
      </c>
      <c r="C292" t="n">
        <v>-4.17104263780414</v>
      </c>
      <c r="D292" t="n">
        <v>0.178425972424122</v>
      </c>
    </row>
    <row r="293">
      <c r="A293" t="s">
        <v>246</v>
      </c>
      <c r="B293" t="s">
        <v>248</v>
      </c>
      <c r="C293" t="n">
        <v>-4.84291079188519</v>
      </c>
      <c r="D293" t="n">
        <v>0.0844201962302074</v>
      </c>
    </row>
    <row r="294">
      <c r="A294" t="s">
        <v>249</v>
      </c>
      <c r="B294" t="s">
        <v>181</v>
      </c>
      <c r="C294" t="n">
        <v>-0.000277286920113489</v>
      </c>
      <c r="D294" t="n">
        <v>0.000443782381512321</v>
      </c>
    </row>
    <row r="295">
      <c r="A295" t="s">
        <v>249</v>
      </c>
      <c r="B295" t="s">
        <v>250</v>
      </c>
      <c r="C295" t="n">
        <v>0.00761807910476269</v>
      </c>
      <c r="D295" t="n">
        <v>0.0172008716298902</v>
      </c>
    </row>
    <row r="296">
      <c r="A296" t="s">
        <v>249</v>
      </c>
      <c r="B296" t="s">
        <v>251</v>
      </c>
      <c r="C296" t="n">
        <v>0.0591267425572667</v>
      </c>
      <c r="D296" t="n">
        <v>0.0274155474748975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A3" workbookViewId="0">
      <selection activeCell="B30" sqref="B30"/>
    </sheetView>
  </sheetViews>
  <sheetFormatPr defaultRowHeight="15.0" baseColWidth="10"/>
  <cols>
    <col min="1" max="1" width="28.7109375" hidden="0" customWidth="1"/>
    <col min="2" max="2" width="18.7109375" hidden="0" customWidth="1"/>
  </cols>
  <sheetData>
    <row r="1" ht="26.25" customHeight="1">
      <c r="A1" s="3" t="s">
        <v>169</v>
      </c>
    </row>
    <row r="4">
      <c r="A4" s="4" t="s">
        <v>170</v>
      </c>
      <c r="B4" s="4" t="s">
        <v>171</v>
      </c>
    </row>
    <row r="5">
      <c r="A5" t="s">
        <v>172</v>
      </c>
      <c r="B5" s="2" t="n">
        <v>45717</v>
      </c>
    </row>
    <row r="6">
      <c r="A6" t="s">
        <v>173</v>
      </c>
      <c r="B6" s="2" t="n">
        <v>50010</v>
      </c>
    </row>
    <row r="7">
      <c r="A7" t="s">
        <v>174</v>
      </c>
      <c r="B7" s="5" t="n">
        <v>0.0395113021727239</v>
      </c>
    </row>
    <row r="8">
      <c r="A8" t="s">
        <v>175</v>
      </c>
      <c r="B8" s="5" t="n">
        <v>0.0436541782570385</v>
      </c>
    </row>
    <row r="9">
      <c r="A9" t="s">
        <v>176</v>
      </c>
      <c r="B9" s="5" t="n">
        <v>0.061116886069443</v>
      </c>
    </row>
    <row r="10">
      <c r="A10" t="s">
        <v>177</v>
      </c>
      <c r="B10" s="5" t="n">
        <v>0.0222908649471477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9686DA76C3A04C9F719365DB3A9BBE" ma:contentTypeVersion="14" ma:contentTypeDescription="Create a new document." ma:contentTypeScope="" ma:versionID="e43538da615c7740bf98ebe8f38aec7a">
  <xsd:schema xmlns:xsd="http://www.w3.org/2001/XMLSchema" xmlns:xs="http://www.w3.org/2001/XMLSchema" xmlns:p="http://schemas.microsoft.com/office/2006/metadata/properties" xmlns:ns2="20e5fc90-9338-4e03-8b0c-4bb910c470a0" xmlns:ns3="bcedea03-c697-496a-b488-6c3e00d5be03" targetNamespace="http://schemas.microsoft.com/office/2006/metadata/properties" ma:root="true" ma:fieldsID="af557e144e1220236b73c06242926705" ns2:_="" ns3:_="">
    <xsd:import namespace="20e5fc90-9338-4e03-8b0c-4bb910c470a0"/>
    <xsd:import namespace="bcedea03-c697-496a-b488-6c3e00d5b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e5fc90-9338-4e03-8b0c-4bb910c47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dea03-c697-496a-b488-6c3e00d5be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f71a0d4-107b-43d9-ad3e-00eaf6dc9dc1}" ma:internalName="TaxCatchAll" ma:showField="CatchAllData" ma:web="bcedea03-c697-496a-b488-6c3e00d5b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e5fc90-9338-4e03-8b0c-4bb910c470a0">
      <Terms xmlns="http://schemas.microsoft.com/office/infopath/2007/PartnerControls"/>
    </lcf76f155ced4ddcb4097134ff3c332f>
    <TaxCatchAll xmlns="bcedea03-c697-496a-b488-6c3e00d5be03" xsi:nil="true"/>
  </documentManagement>
</p:properties>
</file>

<file path=customXml/itemProps1.xml><?xml version="1.0" encoding="utf-8"?>
<ds:datastoreItem xmlns:ds="http://schemas.openxmlformats.org/officeDocument/2006/customXml" ds:itemID="{E6E1788C-F6CE-4CA8-9C5F-29717314E2C6}"/>
</file>

<file path=customXml/itemProps2.xml><?xml version="1.0" encoding="utf-8"?>
<ds:datastoreItem xmlns:ds="http://schemas.openxmlformats.org/officeDocument/2006/customXml" ds:itemID="{1873B219-F4A2-4253-825F-9F4B7E4BC65B}"/>
</file>

<file path=customXml/itemProps3.xml><?xml version="1.0" encoding="utf-8"?>
<ds:datastoreItem xmlns:ds="http://schemas.openxmlformats.org/officeDocument/2006/customXml" ds:itemID="{5A728FA2-FF75-4940-98B7-C5323EC9D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Quekett, Reid</cp:lastModifiedBy>
  <dcterms:created xsi:type="dcterms:W3CDTF">2026-08-18T03:17:00Z</dcterms:created>
  <dcterms:modified xsi:type="dcterms:W3CDTF">2026-08-18T03:26:10Z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0x010100599686DA76C3A04C9F719365DB3A9BBE</vt:lpwstr>
  </property>
</Properties>
</file>