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720" yWindow="1725" windowWidth="23760" windowHeight="14235" firstSheet="0" activeTab="0"/>
  </bookViews>
  <sheets>
    <sheet name="Comparison" sheetId="1" state="visible" r:id="rId1"/>
    <sheet name="Forecast" sheetId="2" state="visible" r:id="rId2"/>
    <sheet name="Coefficients" sheetId="3" state="visible" r:id="rId3"/>
    <sheet name="Dashboard" sheetId="4" state="visible" r:id="rId4"/>
  </sheets>
  <calcPr calcId="191029"/>
</workbook>
</file>

<file path=xl/sharedStrings.xml><?xml version="1.0" encoding="utf-8"?>
<sst xmlns="http://schemas.openxmlformats.org/spreadsheetml/2006/main" count="252" uniqueCount="252">
  <si>
    <t>date</t>
  </si>
  <si>
    <t>Ygdp</t>
  </si>
  <si>
    <t>Cpr</t>
  </si>
  <si>
    <t>Pcpi</t>
  </si>
  <si>
    <t>Lemp</t>
  </si>
  <si>
    <t>Lhrs</t>
  </si>
  <si>
    <t>Lur</t>
  </si>
  <si>
    <t>Lpar</t>
  </si>
  <si>
    <t>R90d</t>
  </si>
  <si>
    <t>R10y</t>
  </si>
  <si>
    <t>period</t>
  </si>
  <si>
    <t>GDP_annual_growth</t>
  </si>
  <si>
    <t>Consumption_annual_growth</t>
  </si>
  <si>
    <t>CPI_inflation</t>
  </si>
  <si>
    <t>Unemployment_rate</t>
  </si>
  <si>
    <t>Participation_rate</t>
  </si>
  <si>
    <t>Cash_rate</t>
  </si>
  <si>
    <t>Ten_year_rate</t>
  </si>
  <si>
    <t>Employment_index</t>
  </si>
  <si>
    <t>Hours_index</t>
  </si>
  <si>
    <t>GDP_annual_growth_actual</t>
  </si>
  <si>
    <t>GDP_annual_growth_forecast</t>
  </si>
  <si>
    <t>Consumption_annual_growth_actual</t>
  </si>
  <si>
    <t>Consumption_annual_growth_forecast</t>
  </si>
  <si>
    <t>Employment_index_actual</t>
  </si>
  <si>
    <t>Employment_index_forecast</t>
  </si>
  <si>
    <t>Hours_index_actual</t>
  </si>
  <si>
    <t>Hours_index_forecast</t>
  </si>
  <si>
    <t>Unemployment_rate_actual</t>
  </si>
  <si>
    <t>Unemployment_rate_forecast</t>
  </si>
  <si>
    <t>Cash_rate_actual</t>
  </si>
  <si>
    <t>Cash_rate_forecast</t>
  </si>
  <si>
    <t>Ten_year_rate_actual</t>
  </si>
  <si>
    <t>Ten_year_rate_forecast</t>
  </si>
  <si>
    <t>CPI_inflation_actual</t>
  </si>
  <si>
    <t>CPI_inflation_forecast</t>
  </si>
  <si>
    <t>Idwell</t>
  </si>
  <si>
    <t>Imin</t>
  </si>
  <si>
    <t>IvtNonfarm</t>
  </si>
  <si>
    <t>Tcit</t>
  </si>
  <si>
    <t>Tprl</t>
  </si>
  <si>
    <t>Toth</t>
  </si>
  <si>
    <t>Ytsf</t>
  </si>
  <si>
    <t>Xmin</t>
  </si>
  <si>
    <t>LavhMkt</t>
  </si>
  <si>
    <t>LempNonmkt</t>
  </si>
  <si>
    <t>Lwge</t>
  </si>
  <si>
    <t>Piret</t>
  </si>
  <si>
    <t>Pxagr</t>
  </si>
  <si>
    <t>Pmgs</t>
  </si>
  <si>
    <t>Rmort</t>
  </si>
  <si>
    <t>Peq</t>
  </si>
  <si>
    <t>Rtwi</t>
  </si>
  <si>
    <t>Rusd</t>
  </si>
  <si>
    <t>Whh</t>
  </si>
  <si>
    <t>Ygdw</t>
  </si>
  <si>
    <t>PhouseSa</t>
  </si>
  <si>
    <t>Pimin</t>
  </si>
  <si>
    <t>Pinonmin</t>
  </si>
  <si>
    <t>Pgov</t>
  </si>
  <si>
    <t>Pidwell</t>
  </si>
  <si>
    <t>Pxsvc</t>
  </si>
  <si>
    <t>Tpit</t>
  </si>
  <si>
    <t>GovDebt</t>
  </si>
  <si>
    <t>PcpiRent</t>
  </si>
  <si>
    <t>Inonmin</t>
  </si>
  <si>
    <t>Ynli</t>
  </si>
  <si>
    <t>EqEarn</t>
  </si>
  <si>
    <t>Tgst</t>
  </si>
  <si>
    <t>Xoth</t>
  </si>
  <si>
    <t>Pxmin</t>
  </si>
  <si>
    <t>Pxoth</t>
  </si>
  <si>
    <t>PconsExrent</t>
  </si>
  <si>
    <t>Ppcd</t>
  </si>
  <si>
    <t>Xsvc</t>
  </si>
  <si>
    <t>Mtot</t>
  </si>
  <si>
    <t>GapAvh</t>
  </si>
  <si>
    <t>Ivt</t>
  </si>
  <si>
    <t>Iotc</t>
  </si>
  <si>
    <t>Xagr</t>
  </si>
  <si>
    <t>Xtot</t>
  </si>
  <si>
    <t>CprNom</t>
  </si>
  <si>
    <t>CgovNom</t>
  </si>
  <si>
    <t>IdwellNom</t>
  </si>
  <si>
    <t>IotcNom</t>
  </si>
  <si>
    <t>IminNom</t>
  </si>
  <si>
    <t>InonminNom</t>
  </si>
  <si>
    <t>YgovIvtNom</t>
  </si>
  <si>
    <t>XminNom</t>
  </si>
  <si>
    <t>XagrNom</t>
  </si>
  <si>
    <t>XothNom</t>
  </si>
  <si>
    <t>XsvcNom</t>
  </si>
  <si>
    <t>XtotNom</t>
  </si>
  <si>
    <t>MtotNom</t>
  </si>
  <si>
    <t>YgdpNom</t>
  </si>
  <si>
    <t>Ygne</t>
  </si>
  <si>
    <t>Pgne</t>
  </si>
  <si>
    <t>Pgdp</t>
  </si>
  <si>
    <t>Pxtot</t>
  </si>
  <si>
    <t>Ptot</t>
  </si>
  <si>
    <t>CconsRent</t>
  </si>
  <si>
    <t>PconsRent</t>
  </si>
  <si>
    <t>CconsRentNom</t>
  </si>
  <si>
    <t>LempMkt</t>
  </si>
  <si>
    <t>Lsup</t>
  </si>
  <si>
    <t>Lune</t>
  </si>
  <si>
    <t>Lhh</t>
  </si>
  <si>
    <t>Ywss</t>
  </si>
  <si>
    <t>Yhdi</t>
  </si>
  <si>
    <t>Ygoa</t>
  </si>
  <si>
    <t>SavHh</t>
  </si>
  <si>
    <t>Wfor</t>
  </si>
  <si>
    <t>EqYield</t>
  </si>
  <si>
    <t>PeRatio</t>
  </si>
  <si>
    <t>KMin</t>
  </si>
  <si>
    <t>KNbiz</t>
  </si>
  <si>
    <t>KDwell</t>
  </si>
  <si>
    <t>KBiz</t>
  </si>
  <si>
    <t>KTotal</t>
  </si>
  <si>
    <t>R90dReal</t>
  </si>
  <si>
    <t>R10yReal</t>
  </si>
  <si>
    <t>RmortReal</t>
  </si>
  <si>
    <t>PcpiExGst</t>
  </si>
  <si>
    <t>RmortRealExgst</t>
  </si>
  <si>
    <t>Fr10y</t>
  </si>
  <si>
    <t>Fr10yReal</t>
  </si>
  <si>
    <t>Rdif10y</t>
  </si>
  <si>
    <t>RtwiNom</t>
  </si>
  <si>
    <t>PhouseReal</t>
  </si>
  <si>
    <t>Rbiz</t>
  </si>
  <si>
    <t>RbizReal</t>
  </si>
  <si>
    <t>KdepAllow</t>
  </si>
  <si>
    <t>CostCap</t>
  </si>
  <si>
    <t>GovDem</t>
  </si>
  <si>
    <t>Pulc</t>
  </si>
  <si>
    <t>UlcDom</t>
  </si>
  <si>
    <t>UlcExp</t>
  </si>
  <si>
    <t>YgdpHpf</t>
  </si>
  <si>
    <t>CprHpf</t>
  </si>
  <si>
    <t>PhouseHpf</t>
  </si>
  <si>
    <t>RmortRealHpf</t>
  </si>
  <si>
    <t>LparHpf</t>
  </si>
  <si>
    <t>PpcdHpf</t>
  </si>
  <si>
    <t>LurHpf</t>
  </si>
  <si>
    <t>InflExp</t>
  </si>
  <si>
    <t>Lpop</t>
  </si>
  <si>
    <t>Lpop15Plus</t>
  </si>
  <si>
    <t>Ustar</t>
  </si>
  <si>
    <t>Cgov</t>
  </si>
  <si>
    <t>Igov</t>
  </si>
  <si>
    <t>Ipubent</t>
  </si>
  <si>
    <t>GovDef</t>
  </si>
  <si>
    <t>IvtFar</t>
  </si>
  <si>
    <t>Lnom</t>
  </si>
  <si>
    <t>IntStu</t>
  </si>
  <si>
    <t>Fpcpi</t>
  </si>
  <si>
    <t>Fpoil</t>
  </si>
  <si>
    <t>Fpcom</t>
  </si>
  <si>
    <t>Fpagr</t>
  </si>
  <si>
    <t>FcGdp</t>
  </si>
  <si>
    <t>FcPpp</t>
  </si>
  <si>
    <t>Fr10yUs</t>
  </si>
  <si>
    <t>Fr10yJp</t>
  </si>
  <si>
    <t>Fr10yDe</t>
  </si>
  <si>
    <t>Fr10yUk</t>
  </si>
  <si>
    <t>equation</t>
  </si>
  <si>
    <t>term</t>
  </si>
  <si>
    <t>estimate</t>
  </si>
  <si>
    <t>std_error</t>
  </si>
  <si>
    <t>Macro scenario model</t>
  </si>
  <si>
    <t>Metric</t>
  </si>
  <si>
    <t>Value</t>
  </si>
  <si>
    <t>Forecast origin</t>
  </si>
  <si>
    <t>Forecast horizon</t>
  </si>
  <si>
    <t>2025Q1 unemployment</t>
  </si>
  <si>
    <t>2025Q1 90-day rate</t>
  </si>
  <si>
    <t>Terminal unemployment</t>
  </si>
  <si>
    <t>Terminal 90-day rate</t>
  </si>
  <si>
    <t xml:space="preserve">Actual</t>
  </si>
  <si>
    <t xml:space="preserve">Forecast</t>
  </si>
  <si>
    <t xml:space="preserve">Cpr</t>
  </si>
  <si>
    <t xml:space="preserve">c1</t>
  </si>
  <si>
    <t xml:space="preserve">c2</t>
  </si>
  <si>
    <t xml:space="preserve">c3</t>
  </si>
  <si>
    <t xml:space="preserve">c6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</si>
  <si>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</si>
  <si>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</si>
  <si>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</si>
  <si>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</si>
  <si>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</si>
  <si>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Idwell</t>
  </si>
  <si>
    <t xml:space="preserve">c4</t>
  </si>
  <si>
    <t xml:space="preserve">c5</t>
  </si>
  <si>
    <t xml:space="preserve">c7</t>
  </si>
  <si>
    <t xml:space="preserve">c13</t>
  </si>
  <si>
    <t xml:space="preserve">c14</t>
  </si>
  <si>
    <t xml:space="preserve">Imin</t>
  </si>
  <si>
    <t xml:space="preserve">IvtNonfarm</t>
  </si>
  <si>
    <t xml:space="preserve">Tcit</t>
  </si>
  <si>
    <t xml:space="preserve">Tprl</t>
  </si>
  <si>
    <t xml:space="preserve">Toth</t>
  </si>
  <si>
    <t xml:space="preserve">Ytsf</t>
  </si>
  <si>
    <t xml:space="preserve">Xmin</t>
  </si>
  <si>
    <t xml:space="preserve">Lavh</t>
  </si>
  <si>
    <t xml:space="preserve">rho</t>
  </si>
  <si>
    <t xml:space="preserve">LempNonmkt</t>
  </si>
  <si>
    <t xml:space="preserve">Lpar</t>
  </si>
  <si>
    <t xml:space="preserve">Lwge</t>
  </si>
  <si>
    <t xml:space="preserve">Pcpi</t>
  </si>
  <si>
    <t xml:space="preserve">Piret</t>
  </si>
  <si>
    <t xml:space="preserve">Pxagr</t>
  </si>
  <si>
    <t xml:space="preserve">Pmgs</t>
  </si>
  <si>
    <t xml:space="preserve">Rmort</t>
  </si>
  <si>
    <t xml:space="preserve">Peq</t>
  </si>
  <si>
    <t xml:space="preserve">Rtwi</t>
  </si>
  <si>
    <t xml:space="preserve">Rusd</t>
  </si>
  <si>
    <t xml:space="preserve">Whh</t>
  </si>
  <si>
    <t xml:space="preserve">Ygdw</t>
  </si>
  <si>
    <t xml:space="preserve">Lhrs</t>
  </si>
  <si>
    <t xml:space="preserve">Phouse</t>
  </si>
  <si>
    <t xml:space="preserve">Pimin</t>
  </si>
  <si>
    <t xml:space="preserve">Pinonmin</t>
  </si>
  <si>
    <t xml:space="preserve">Pgov</t>
  </si>
  <si>
    <t xml:space="preserve">Pidwell</t>
  </si>
  <si>
    <t xml:space="preserve">Pxsvc</t>
  </si>
  <si>
    <t xml:space="preserve">Tpit</t>
  </si>
  <si>
    <t xml:space="preserve">GovDebt</t>
  </si>
  <si>
    <t xml:space="preserve">x</t>
  </si>
  <si>
    <t xml:space="preserve">PcpiRent</t>
  </si>
  <si>
    <t xml:space="preserve">Inonmin</t>
  </si>
  <si>
    <t xml:space="preserve">Ynli</t>
  </si>
  <si>
    <t xml:space="preserve">rm</t>
  </si>
  <si>
    <t xml:space="preserve">pe</t>
  </si>
  <si>
    <t xml:space="preserve">pe1</t>
  </si>
  <si>
    <t xml:space="preserve">pe2</t>
  </si>
  <si>
    <t xml:space="preserve">pe3</t>
  </si>
  <si>
    <t xml:space="preserve">l_r</t>
  </si>
  <si>
    <t xml:space="preserve">EqEarn</t>
  </si>
  <si>
    <t xml:space="preserve">Tgst</t>
  </si>
  <si>
    <t xml:space="preserve">Xoth</t>
  </si>
  <si>
    <t xml:space="preserve">Pxmin</t>
  </si>
  <si>
    <t xml:space="preserve">Pxoth</t>
  </si>
  <si>
    <t xml:space="preserve">PconsExrent</t>
  </si>
  <si>
    <t xml:space="preserve">Ppcd</t>
  </si>
  <si>
    <t xml:space="preserve">Xsvc</t>
  </si>
  <si>
    <t xml:space="preserve">Mtot</t>
  </si>
  <si>
    <t xml:space="preserve">Rcash</t>
  </si>
  <si>
    <t xml:space="preserve">log_sig_state</t>
  </si>
  <si>
    <t xml:space="preserve">log_sig_obs</t>
  </si>
  <si>
    <t xml:space="preserve">R10y</t>
  </si>
  <si>
    <t xml:space="preserve">d_rat</t>
  </si>
  <si>
    <t xml:space="preserve">d_r90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</si>
</sst>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20"/>
      <color rgb="FF0D1C24"/>
      <name val="Calibri"/>
      <family val="2"/>
      <scheme val="minor"/>
      <b/>
    </font>
    <font>
      <sz val="11"/>
      <color rgb="FFFFFFFF"/>
      <name val="Calibri"/>
      <family val="2"/>
      <scheme val="minor"/>
      <b/>
    </font>
  </fonts>
  <fills count="3">
    <fill>
      <patternFill patternType="none"/>
    </fill>
    <fill>
      <patternFill patternType="gray125"/>
    </fill>
    <fill>
      <patternFill patternType="solid">
        <fgColor rgb="FF0D1C2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1">
    <xf numFmtId="0" fontId="0" fillId="0" borderId="0"/>
  </cellStyleXfs>
  <cellXfs count="6">
    <xf numFmtId="0" fontId="0" fillId="0" borderId="0" xfId="0"/>
    <xf numFmtId="17" fontId="1" fillId="0" borderId="0" xfId="0" applyFont="1" applyNumberFormat="1"/>
    <xf numFmtId="14" fontId="1" fillId="0" borderId="0" xfId="0" applyFont="1" applyNumberFormat="1"/>
    <xf numFmtId="0" fontId="2" fillId="0" borderId="0" xfId="0" applyFont="1"/>
    <xf numFmtId="0" fontId="3" fillId="2" borderId="1" xfId="0" applyFont="1" applyFill="1" applyBorder="1"/>
    <xf numFmtId="10" fontId="1" fillId="0" borderId="0" xfId="0" applyFont="1" applyNumberFormat="1"/>
  </cellXfs>
  <cellStyles count="1">
    <cellStyle name="Normal" xfId="0" builtinId="0"/>
  </cellStyles>
  <dxfs count="1">
    <dxf>
      <numFmt numFmtId="19" formatCode="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Annual growth in activity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GDP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Comparison!$U$2:$U$201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9-4ED4-BDB8-874CF0EC1F1C}"/>
            </c:ext>
          </c:extLst>
        </c:ser>
        <c:ser>
          <c:idx val="1"/>
          <c:order val="1"/>
          <c:tx>
            <c:v>GDP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Comparison!$V$2:$V$201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39-4ED4-BDB8-874CF0EC1F1C}"/>
            </c:ext>
          </c:extLst>
        </c:ser>
        <c:ser>
          <c:idx val="2"/>
          <c:order val="2"/>
          <c:tx>
            <c:v>Consumption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Comparison!$W$2:$W$201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39-4ED4-BDB8-874CF0EC1F1C}"/>
            </c:ext>
          </c:extLst>
        </c:ser>
        <c:ser>
          <c:idx val="3"/>
          <c:order val="3"/>
          <c:tx>
            <c:v>Consumption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Comparison!$X$2:$X$201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39-4ED4-BDB8-874CF0EC1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Labour market volumes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0956730952109249"/>
          <c:y val="0.17369477422133378"/>
          <c:w val="0.86386264216972874"/>
          <c:h val="0.60540763673890607"/>
        </c:manualLayout>
      </c:layout>
      <c:lineChart>
        <c:grouping val="standard"/>
        <c:varyColors val="0"/>
        <c:ser>
          <c:idx val="0"/>
          <c:order val="0"/>
          <c:tx>
            <c:v>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Comparison!$Y$2:$Y$201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83-4701-991B-173EB1CC12E7}"/>
            </c:ext>
          </c:extLst>
        </c:ser>
        <c:ser>
          <c:idx val="1"/>
          <c:order val="1"/>
          <c:tx>
            <c:v>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Comparison!$Z$2:$Z$201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83-4701-991B-173EB1CC12E7}"/>
            </c:ext>
          </c:extLst>
        </c:ser>
        <c:ser>
          <c:idx val="2"/>
          <c:order val="2"/>
          <c:tx>
            <c:v>Market hours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Comparison!$AA$2:$AA$201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83-4701-991B-173EB1CC12E7}"/>
            </c:ext>
          </c:extLst>
        </c:ser>
        <c:ser>
          <c:idx val="3"/>
          <c:order val="3"/>
          <c:tx>
            <c:v>Market hours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Comparison!$AB$2:$AB$201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83-4701-991B-173EB1CC1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title>
          <c:tx>
            <c:rich>
              <a:bodyPr rot="0" vert="horz" anchor="t" anchorCtr="1"/>
              <a:lstStyle/>
              <a:p>
                <a:pPr>
                  <a:defRPr/>
                </a:pPr>
                <a:r>
                  <a:rPr lang="en-US"/>
                  <a:t>2024Q4 = 100</a:t>
                </a:r>
              </a:p>
            </c:rich>
          </c:tx>
          <c:layout>
            <c:manualLayout>
              <c:xMode val="edge"/>
              <c:yMode val="edge"/>
              <c:x val="3.6231884057971016E-2"/>
              <c:y val="5.757506317902213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Unemployment and interest rates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Unemployment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Comparison!$AC$2:$AC$201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84-4AB2-893E-821CEF93DF40}"/>
            </c:ext>
          </c:extLst>
        </c:ser>
        <c:ser>
          <c:idx val="1"/>
          <c:order val="1"/>
          <c:tx>
            <c:v>Unemployment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Comparison!$AD$2:$AD$201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84-4AB2-893E-821CEF93DF40}"/>
            </c:ext>
          </c:extLst>
        </c:ser>
        <c:ser>
          <c:idx val="2"/>
          <c:order val="2"/>
          <c:tx>
            <c:v>90-day rate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Comparison!$AE$2:$AE$201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84-4AB2-893E-821CEF93DF40}"/>
            </c:ext>
          </c:extLst>
        </c:ser>
        <c:ser>
          <c:idx val="3"/>
          <c:order val="3"/>
          <c:tx>
            <c:v>90-day rate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Comparison!$AF$2:$AF$201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84-4AB2-893E-821CEF93DF40}"/>
            </c:ext>
          </c:extLst>
        </c:ser>
        <c:ser>
          <c:idx val="4"/>
          <c:order val="4"/>
          <c:tx>
            <c:v>10-year rate - Actual</c:v>
          </c:tx>
          <c:spPr>
            <a:ln w="25400">
              <a:solidFill>
                <a:srgbClr val="ED8B0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Comparison!$AG$2:$AG$201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84-4AB2-893E-821CEF93DF40}"/>
            </c:ext>
          </c:extLst>
        </c:ser>
        <c:ser>
          <c:idx val="5"/>
          <c:order val="5"/>
          <c:tx>
            <c:v>10-year rate - Forecast</c:v>
          </c:tx>
          <c:spPr>
            <a:ln w="25400">
              <a:solidFill>
                <a:srgbClr val="ED8B0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Comparison!$AH$2:$AH$201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484-4AB2-893E-821CEF93DF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30001"/>
        <c:axId val="50030002"/>
      </c:lineChart>
      <c:catAx>
        <c:axId val="5003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Consumer price inflation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Annual CPI inflation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Comparison!$AI$2:$AI$201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CC-46AB-8E10-1B2A3540EA4A}"/>
            </c:ext>
          </c:extLst>
        </c:ser>
        <c:ser>
          <c:idx val="1"/>
          <c:order val="1"/>
          <c:tx>
            <c:v>Annual CPI inflation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Comparison!$AJ$2:$AJ$201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CC-46AB-8E10-1B2A3540E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40001"/>
        <c:axId val="50040002"/>
      </c:lineChart>
      <c:catAx>
        <c:axId val="5004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4.xml.rels><?xml version="1.0" encoding="UTF-8" standalone="yes"?>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3</xdr:col>
      <xdr:colOff>0</xdr:colOff>
      <xdr:row>3</xdr:row>
      <xdr:rowOff>0</xdr:rowOff>
    </xdr:from>
    <xdr:to>
      <xdr:col>11</xdr:col>
      <xdr:colOff>381000</xdr:colOff>
      <xdr:row>19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3</xdr:row>
      <xdr:rowOff>0</xdr:rowOff>
    </xdr:from>
    <xdr:to>
      <xdr:col>21</xdr:col>
      <xdr:colOff>381000</xdr:colOff>
      <xdr:row>19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11</xdr:col>
      <xdr:colOff>381000</xdr:colOff>
      <xdr:row>37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21</xdr:col>
      <xdr:colOff>381000</xdr:colOff>
      <xdr:row>37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omparisonTable" displayName="ComparisonTable" ref="A1:AJ201" totalsRowShown="0">
  <autoFilter ref="A1:AJ201" xr:uid="{00000000-0009-0000-0100-000001000000}"/>
  <tableColumns count="36">
    <tableColumn id="1" xr3:uid="{00000000-0010-0000-0000-000001000000}" name="date" dataDxfId="0"/>
    <tableColumn id="2" xr3:uid="{00000000-0010-0000-0000-000002000000}" name="Ygdp"/>
    <tableColumn id="3" xr3:uid="{00000000-0010-0000-0000-000003000000}" name="Cpr"/>
    <tableColumn id="4" xr3:uid="{00000000-0010-0000-0000-000004000000}" name="Pcpi"/>
    <tableColumn id="5" xr3:uid="{00000000-0010-0000-0000-000005000000}" name="Lemp"/>
    <tableColumn id="6" xr3:uid="{00000000-0010-0000-0000-000006000000}" name="Lhrs"/>
    <tableColumn id="7" xr3:uid="{00000000-0010-0000-0000-000007000000}" name="Lur"/>
    <tableColumn id="8" xr3:uid="{00000000-0010-0000-0000-000008000000}" name="Lpar"/>
    <tableColumn id="9" xr3:uid="{00000000-0010-0000-0000-000009000000}" name="R90d"/>
    <tableColumn id="10" xr3:uid="{00000000-0010-0000-0000-00000A000000}" name="R10y"/>
    <tableColumn id="11" xr3:uid="{00000000-0010-0000-0000-00000B000000}" name="period"/>
    <tableColumn id="12" xr3:uid="{00000000-0010-0000-0000-00000C000000}" name="GDP_annual_growth"/>
    <tableColumn id="13" xr3:uid="{00000000-0010-0000-0000-00000D000000}" name="Consumption_annual_growth"/>
    <tableColumn id="14" xr3:uid="{00000000-0010-0000-0000-00000E000000}" name="CPI_inflation"/>
    <tableColumn id="15" xr3:uid="{00000000-0010-0000-0000-00000F000000}" name="Unemployment_rate"/>
    <tableColumn id="16" xr3:uid="{00000000-0010-0000-0000-000010000000}" name="Participation_rate"/>
    <tableColumn id="17" xr3:uid="{00000000-0010-0000-0000-000011000000}" name="Cash_rate"/>
    <tableColumn id="18" xr3:uid="{00000000-0010-0000-0000-000012000000}" name="Ten_year_rate"/>
    <tableColumn id="19" xr3:uid="{00000000-0010-0000-0000-000013000000}" name="Employment_index"/>
    <tableColumn id="20" xr3:uid="{00000000-0010-0000-0000-000014000000}" name="Hours_index"/>
    <tableColumn id="21" xr3:uid="{00000000-0010-0000-0000-000015000000}" name="GDP_annual_growth_actual"/>
    <tableColumn id="22" xr3:uid="{00000000-0010-0000-0000-000016000000}" name="GDP_annual_growth_forecast"/>
    <tableColumn id="23" xr3:uid="{00000000-0010-0000-0000-000017000000}" name="Consumption_annual_growth_actual"/>
    <tableColumn id="24" xr3:uid="{00000000-0010-0000-0000-000018000000}" name="Consumption_annual_growth_forecast"/>
    <tableColumn id="25" xr3:uid="{00000000-0010-0000-0000-000019000000}" name="Employment_index_actual"/>
    <tableColumn id="26" xr3:uid="{00000000-0010-0000-0000-00001A000000}" name="Employment_index_forecast"/>
    <tableColumn id="27" xr3:uid="{00000000-0010-0000-0000-00001B000000}" name="Hours_index_actual"/>
    <tableColumn id="28" xr3:uid="{00000000-0010-0000-0000-00001C000000}" name="Hours_index_forecast"/>
    <tableColumn id="29" xr3:uid="{00000000-0010-0000-0000-00001D000000}" name="Unemployment_rate_actual"/>
    <tableColumn id="30" xr3:uid="{00000000-0010-0000-0000-00001E000000}" name="Unemployment_rate_forecast"/>
    <tableColumn id="31" xr3:uid="{00000000-0010-0000-0000-00001F000000}" name="Cash_rate_actual"/>
    <tableColumn id="32" xr3:uid="{00000000-0010-0000-0000-000020000000}" name="Cash_rate_forecast"/>
    <tableColumn id="33" xr3:uid="{00000000-0010-0000-0000-000021000000}" name="Ten_year_rate_actual"/>
    <tableColumn id="34" xr3:uid="{00000000-0010-0000-0000-000022000000}" name="Ten_year_rate_forecast"/>
    <tableColumn id="35" xr3:uid="{00000000-0010-0000-0000-000023000000}" name="CPI_inflation_actual"/>
    <tableColumn id="36" xr3:uid="{00000000-0010-0000-0000-000024000000}" name="CPI_inflation_forecas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ForecastTable" displayName="ForecastTable" ref="A1:EI51" totalsRowShown="0">
  <autoFilter ref="A1:EI51" xr:uid="{00000000-0009-0000-0100-000002000000}"/>
  <tableColumns count="139">
    <tableColumn id="1" xr3:uid="{00000000-0010-0000-0100-000001000000}" name="date"/>
    <tableColumn id="2" xr3:uid="{00000000-0010-0000-0100-000002000000}" name="Cpr"/>
    <tableColumn id="3" xr3:uid="{00000000-0010-0000-0100-000003000000}" name="Idwell"/>
    <tableColumn id="4" xr3:uid="{00000000-0010-0000-0100-000004000000}" name="Imin"/>
    <tableColumn id="5" xr3:uid="{00000000-0010-0000-0100-000005000000}" name="IvtNonfarm"/>
    <tableColumn id="6" xr3:uid="{00000000-0010-0000-0100-000006000000}" name="Tcit"/>
    <tableColumn id="7" xr3:uid="{00000000-0010-0000-0100-000007000000}" name="Tprl"/>
    <tableColumn id="8" xr3:uid="{00000000-0010-0000-0100-000008000000}" name="Toth"/>
    <tableColumn id="9" xr3:uid="{00000000-0010-0000-0100-000009000000}" name="Ytsf"/>
    <tableColumn id="10" xr3:uid="{00000000-0010-0000-0100-00000A000000}" name="Xmin"/>
    <tableColumn id="11" xr3:uid="{00000000-0010-0000-0100-00000B000000}" name="LavhMkt"/>
    <tableColumn id="12" xr3:uid="{00000000-0010-0000-0100-00000C000000}" name="LempNonmkt"/>
    <tableColumn id="13" xr3:uid="{00000000-0010-0000-0100-00000D000000}" name="Lpar"/>
    <tableColumn id="14" xr3:uid="{00000000-0010-0000-0100-00000E000000}" name="Lwge"/>
    <tableColumn id="15" xr3:uid="{00000000-0010-0000-0100-00000F000000}" name="Pcpi"/>
    <tableColumn id="16" xr3:uid="{00000000-0010-0000-0100-000010000000}" name="Piret"/>
    <tableColumn id="17" xr3:uid="{00000000-0010-0000-0100-000011000000}" name="Pxagr"/>
    <tableColumn id="18" xr3:uid="{00000000-0010-0000-0100-000012000000}" name="Pmgs"/>
    <tableColumn id="19" xr3:uid="{00000000-0010-0000-0100-000013000000}" name="Rmort"/>
    <tableColumn id="20" xr3:uid="{00000000-0010-0000-0100-000014000000}" name="Peq"/>
    <tableColumn id="21" xr3:uid="{00000000-0010-0000-0100-000015000000}" name="Rtwi"/>
    <tableColumn id="22" xr3:uid="{00000000-0010-0000-0100-000016000000}" name="Rusd"/>
    <tableColumn id="23" xr3:uid="{00000000-0010-0000-0100-000017000000}" name="Whh"/>
    <tableColumn id="24" xr3:uid="{00000000-0010-0000-0100-000018000000}" name="Ygdw"/>
    <tableColumn id="25" xr3:uid="{00000000-0010-0000-0100-000019000000}" name="Lhrs"/>
    <tableColumn id="26" xr3:uid="{00000000-0010-0000-0100-00001A000000}" name="PhouseSa"/>
    <tableColumn id="27" xr3:uid="{00000000-0010-0000-0100-00001B000000}" name="Pimin"/>
    <tableColumn id="28" xr3:uid="{00000000-0010-0000-0100-00001C000000}" name="Pinonmin"/>
    <tableColumn id="29" xr3:uid="{00000000-0010-0000-0100-00001D000000}" name="Pgov"/>
    <tableColumn id="30" xr3:uid="{00000000-0010-0000-0100-00001E000000}" name="Pidwell"/>
    <tableColumn id="31" xr3:uid="{00000000-0010-0000-0100-00001F000000}" name="Pxsvc"/>
    <tableColumn id="32" xr3:uid="{00000000-0010-0000-0100-000020000000}" name="Tpit"/>
    <tableColumn id="33" xr3:uid="{00000000-0010-0000-0100-000021000000}" name="GovDebt"/>
    <tableColumn id="34" xr3:uid="{00000000-0010-0000-0100-000022000000}" name="PcpiRent"/>
    <tableColumn id="35" xr3:uid="{00000000-0010-0000-0100-000023000000}" name="Inonmin"/>
    <tableColumn id="36" xr3:uid="{00000000-0010-0000-0100-000024000000}" name="Ynli"/>
    <tableColumn id="37" xr3:uid="{00000000-0010-0000-0100-000025000000}" name="EqEarn"/>
    <tableColumn id="38" xr3:uid="{00000000-0010-0000-0100-000026000000}" name="Tgst"/>
    <tableColumn id="39" xr3:uid="{00000000-0010-0000-0100-000027000000}" name="Xoth"/>
    <tableColumn id="40" xr3:uid="{00000000-0010-0000-0100-000028000000}" name="Pxmin"/>
    <tableColumn id="41" xr3:uid="{00000000-0010-0000-0100-000029000000}" name="Pxoth"/>
    <tableColumn id="42" xr3:uid="{00000000-0010-0000-0100-00002A000000}" name="PconsExrent"/>
    <tableColumn id="43" xr3:uid="{00000000-0010-0000-0100-00002B000000}" name="Ppcd"/>
    <tableColumn id="44" xr3:uid="{00000000-0010-0000-0100-00002C000000}" name="Xsvc"/>
    <tableColumn id="45" xr3:uid="{00000000-0010-0000-0100-00002D000000}" name="Mtot"/>
    <tableColumn id="46" xr3:uid="{00000000-0010-0000-0100-00002E000000}" name="R90d"/>
    <tableColumn id="47" xr3:uid="{00000000-0010-0000-0100-00002F000000}" name="R10y"/>
    <tableColumn id="48" xr3:uid="{00000000-0010-0000-0100-000030000000}" name="GapAvh"/>
    <tableColumn id="49" xr3:uid="{00000000-0010-0000-0100-000031000000}" name="Ivt"/>
    <tableColumn id="50" xr3:uid="{00000000-0010-0000-0100-000032000000}" name="Iotc"/>
    <tableColumn id="51" xr3:uid="{00000000-0010-0000-0100-000033000000}" name="Xagr"/>
    <tableColumn id="52" xr3:uid="{00000000-0010-0000-0100-000034000000}" name="Xtot"/>
    <tableColumn id="53" xr3:uid="{00000000-0010-0000-0100-000035000000}" name="CprNom"/>
    <tableColumn id="54" xr3:uid="{00000000-0010-0000-0100-000036000000}" name="CgovNom"/>
    <tableColumn id="55" xr3:uid="{00000000-0010-0000-0100-000037000000}" name="IdwellNom"/>
    <tableColumn id="56" xr3:uid="{00000000-0010-0000-0100-000038000000}" name="IotcNom"/>
    <tableColumn id="57" xr3:uid="{00000000-0010-0000-0100-000039000000}" name="IminNom"/>
    <tableColumn id="58" xr3:uid="{00000000-0010-0000-0100-00003A000000}" name="InonminNom"/>
    <tableColumn id="59" xr3:uid="{00000000-0010-0000-0100-00003B000000}" name="YgovIvtNom"/>
    <tableColumn id="60" xr3:uid="{00000000-0010-0000-0100-00003C000000}" name="XminNom"/>
    <tableColumn id="61" xr3:uid="{00000000-0010-0000-0100-00003D000000}" name="XagrNom"/>
    <tableColumn id="62" xr3:uid="{00000000-0010-0000-0100-00003E000000}" name="XothNom"/>
    <tableColumn id="63" xr3:uid="{00000000-0010-0000-0100-00003F000000}" name="XsvcNom"/>
    <tableColumn id="64" xr3:uid="{00000000-0010-0000-0100-000040000000}" name="XtotNom"/>
    <tableColumn id="65" xr3:uid="{00000000-0010-0000-0100-000041000000}" name="MtotNom"/>
    <tableColumn id="66" xr3:uid="{00000000-0010-0000-0100-000042000000}" name="YgdpNom"/>
    <tableColumn id="67" xr3:uid="{00000000-0010-0000-0100-000043000000}" name="Ygdp"/>
    <tableColumn id="68" xr3:uid="{00000000-0010-0000-0100-000044000000}" name="Ygne"/>
    <tableColumn id="69" xr3:uid="{00000000-0010-0000-0100-000045000000}" name="Pgne"/>
    <tableColumn id="70" xr3:uid="{00000000-0010-0000-0100-000046000000}" name="Pgdp"/>
    <tableColumn id="71" xr3:uid="{00000000-0010-0000-0100-000047000000}" name="Pxtot"/>
    <tableColumn id="72" xr3:uid="{00000000-0010-0000-0100-000048000000}" name="Ptot"/>
    <tableColumn id="73" xr3:uid="{00000000-0010-0000-0100-000049000000}" name="CconsRent"/>
    <tableColumn id="74" xr3:uid="{00000000-0010-0000-0100-00004A000000}" name="PconsRent"/>
    <tableColumn id="75" xr3:uid="{00000000-0010-0000-0100-00004B000000}" name="CconsRentNom"/>
    <tableColumn id="76" xr3:uid="{00000000-0010-0000-0100-00004C000000}" name="LempMkt"/>
    <tableColumn id="77" xr3:uid="{00000000-0010-0000-0100-00004D000000}" name="Lemp"/>
    <tableColumn id="78" xr3:uid="{00000000-0010-0000-0100-00004E000000}" name="Lsup"/>
    <tableColumn id="79" xr3:uid="{00000000-0010-0000-0100-00004F000000}" name="Lune"/>
    <tableColumn id="80" xr3:uid="{00000000-0010-0000-0100-000050000000}" name="Lur"/>
    <tableColumn id="81" xr3:uid="{00000000-0010-0000-0100-000051000000}" name="Lhh"/>
    <tableColumn id="82" xr3:uid="{00000000-0010-0000-0100-000052000000}" name="Ywss"/>
    <tableColumn id="83" xr3:uid="{00000000-0010-0000-0100-000053000000}" name="Yhdi"/>
    <tableColumn id="84" xr3:uid="{00000000-0010-0000-0100-000054000000}" name="Ygoa"/>
    <tableColumn id="85" xr3:uid="{00000000-0010-0000-0100-000055000000}" name="SavHh"/>
    <tableColumn id="86" xr3:uid="{00000000-0010-0000-0100-000056000000}" name="Wfor"/>
    <tableColumn id="87" xr3:uid="{00000000-0010-0000-0100-000057000000}" name="EqYield"/>
    <tableColumn id="88" xr3:uid="{00000000-0010-0000-0100-000058000000}" name="PeRatio"/>
    <tableColumn id="89" xr3:uid="{00000000-0010-0000-0100-000059000000}" name="KMin"/>
    <tableColumn id="90" xr3:uid="{00000000-0010-0000-0100-00005A000000}" name="KNbiz"/>
    <tableColumn id="91" xr3:uid="{00000000-0010-0000-0100-00005B000000}" name="KDwell"/>
    <tableColumn id="92" xr3:uid="{00000000-0010-0000-0100-00005C000000}" name="KBiz"/>
    <tableColumn id="93" xr3:uid="{00000000-0010-0000-0100-00005D000000}" name="KTotal"/>
    <tableColumn id="94" xr3:uid="{00000000-0010-0000-0100-00005E000000}" name="R90dReal"/>
    <tableColumn id="95" xr3:uid="{00000000-0010-0000-0100-00005F000000}" name="R10yReal"/>
    <tableColumn id="96" xr3:uid="{00000000-0010-0000-0100-000060000000}" name="RmortReal"/>
    <tableColumn id="97" xr3:uid="{00000000-0010-0000-0100-000061000000}" name="PcpiExGst"/>
    <tableColumn id="98" xr3:uid="{00000000-0010-0000-0100-000062000000}" name="RmortRealExgst"/>
    <tableColumn id="99" xr3:uid="{00000000-0010-0000-0100-000063000000}" name="Fr10y"/>
    <tableColumn id="100" xr3:uid="{00000000-0010-0000-0100-000064000000}" name="Fr10yReal"/>
    <tableColumn id="101" xr3:uid="{00000000-0010-0000-0100-000065000000}" name="Rdif10y"/>
    <tableColumn id="102" xr3:uid="{00000000-0010-0000-0100-000066000000}" name="RtwiNom"/>
    <tableColumn id="103" xr3:uid="{00000000-0010-0000-0100-000067000000}" name="PhouseReal"/>
    <tableColumn id="104" xr3:uid="{00000000-0010-0000-0100-000068000000}" name="Rbiz"/>
    <tableColumn id="105" xr3:uid="{00000000-0010-0000-0100-000069000000}" name="RbizReal"/>
    <tableColumn id="106" xr3:uid="{00000000-0010-0000-0100-00006A000000}" name="KdepAllow"/>
    <tableColumn id="107" xr3:uid="{00000000-0010-0000-0100-00006B000000}" name="CostCap"/>
    <tableColumn id="108" xr3:uid="{00000000-0010-0000-0100-00006C000000}" name="GovDem"/>
    <tableColumn id="109" xr3:uid="{00000000-0010-0000-0100-00006D000000}" name="Pulc"/>
    <tableColumn id="110" xr3:uid="{00000000-0010-0000-0100-00006E000000}" name="UlcDom"/>
    <tableColumn id="111" xr3:uid="{00000000-0010-0000-0100-00006F000000}" name="UlcExp"/>
    <tableColumn id="112" xr3:uid="{00000000-0010-0000-0100-000070000000}" name="YgdpHpf"/>
    <tableColumn id="113" xr3:uid="{00000000-0010-0000-0100-000071000000}" name="CprHpf"/>
    <tableColumn id="114" xr3:uid="{00000000-0010-0000-0100-000072000000}" name="PhouseHpf"/>
    <tableColumn id="115" xr3:uid="{00000000-0010-0000-0100-000073000000}" name="RmortRealHpf"/>
    <tableColumn id="116" xr3:uid="{00000000-0010-0000-0100-000074000000}" name="LparHpf"/>
    <tableColumn id="117" xr3:uid="{00000000-0010-0000-0100-000075000000}" name="PpcdHpf"/>
    <tableColumn id="118" xr3:uid="{00000000-0010-0000-0100-000076000000}" name="LurHpf"/>
    <tableColumn id="119" xr3:uid="{00000000-0010-0000-0100-000077000000}" name="InflExp"/>
    <tableColumn id="120" xr3:uid="{00000000-0010-0000-0100-000078000000}" name="Lpop"/>
    <tableColumn id="121" xr3:uid="{00000000-0010-0000-0100-000079000000}" name="Lpop15Plus"/>
    <tableColumn id="122" xr3:uid="{00000000-0010-0000-0100-00007A000000}" name="Ustar"/>
    <tableColumn id="123" xr3:uid="{00000000-0010-0000-0100-00007B000000}" name="Cgov"/>
    <tableColumn id="124" xr3:uid="{00000000-0010-0000-0100-00007C000000}" name="Igov"/>
    <tableColumn id="125" xr3:uid="{00000000-0010-0000-0100-00007D000000}" name="Ipubent"/>
    <tableColumn id="126" xr3:uid="{00000000-0010-0000-0100-00007E000000}" name="GovDef"/>
    <tableColumn id="127" xr3:uid="{00000000-0010-0000-0100-00007F000000}" name="IvtFar"/>
    <tableColumn id="128" xr3:uid="{00000000-0010-0000-0100-000080000000}" name="Lnom"/>
    <tableColumn id="129" xr3:uid="{00000000-0010-0000-0100-000081000000}" name="IntStu"/>
    <tableColumn id="130" xr3:uid="{00000000-0010-0000-0100-000082000000}" name="Fpcpi"/>
    <tableColumn id="131" xr3:uid="{00000000-0010-0000-0100-000083000000}" name="Fpoil"/>
    <tableColumn id="132" xr3:uid="{00000000-0010-0000-0100-000084000000}" name="Fpcom"/>
    <tableColumn id="133" xr3:uid="{00000000-0010-0000-0100-000085000000}" name="Fpagr"/>
    <tableColumn id="134" xr3:uid="{00000000-0010-0000-0100-000086000000}" name="FcGdp"/>
    <tableColumn id="135" xr3:uid="{00000000-0010-0000-0100-000087000000}" name="FcPpp"/>
    <tableColumn id="136" xr3:uid="{00000000-0010-0000-0100-000088000000}" name="Fr10yUs"/>
    <tableColumn id="137" xr3:uid="{00000000-0010-0000-0100-000089000000}" name="Fr10yJp"/>
    <tableColumn id="138" xr3:uid="{00000000-0010-0000-0100-00008A000000}" name="Fr10yDe"/>
    <tableColumn id="139" xr3:uid="{00000000-0010-0000-0100-00008B000000}" name="Fr10yUk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CoefficientsTable" displayName="CoefficientsTable" ref="A1:D301" totalsRowShown="0">
  <autoFilter ref="A1:D301" xr:uid="{00000000-0009-0000-0100-000003000000}"/>
  <tableColumns count="4">
    <tableColumn id="1" xr3:uid="{00000000-0010-0000-0200-000001000000}" name="equation"/>
    <tableColumn id="2" xr3:uid="{00000000-0010-0000-0200-000002000000}" name="term"/>
    <tableColumn id="3" xr3:uid="{00000000-0010-0000-0200-000003000000}" name="estimate"/>
    <tableColumn id="4" xr3:uid="{00000000-0010-0000-0200-000004000000}" name="std_err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abSelected="true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7" sqref="H17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  <col min="5" max="5" width="15.7109375" hidden="0" customWidth="1"/>
    <col min="6" max="6" width="15.7109375" hidden="0" customWidth="1"/>
    <col min="7" max="7" width="15.7109375" hidden="0" customWidth="1"/>
    <col min="8" max="8" width="15.7109375" hidden="0" customWidth="1"/>
    <col min="9" max="9" width="15.7109375" hidden="0" customWidth="1"/>
    <col min="10" max="10" width="15.7109375" hidden="0" customWidth="1"/>
    <col min="11" max="11" width="15.7109375" hidden="0" customWidth="1"/>
    <col min="12" max="12" width="15.7109375" hidden="0" customWidth="1"/>
    <col min="13" max="13" width="15.7109375" hidden="0" customWidth="1"/>
    <col min="14" max="14" width="15.7109375" hidden="0" customWidth="1"/>
    <col min="15" max="15" width="15.7109375" hidden="0" customWidth="1"/>
    <col min="16" max="16" width="15.7109375" hidden="0" customWidth="1"/>
    <col min="17" max="17" width="15.7109375" hidden="0" customWidth="1"/>
    <col min="18" max="18" width="15.7109375" hidden="0" customWidth="1"/>
    <col min="19" max="19" width="15.7109375" hidden="0" customWidth="1"/>
    <col min="20" max="20" width="15.7109375" hidden="0" customWidth="1"/>
    <col min="21" max="21" width="15.7109375" hidden="0" customWidth="1"/>
    <col min="22" max="22" width="15.7109375" hidden="0" customWidth="1"/>
    <col min="23" max="23" width="15.7109375" hidden="0" customWidth="1"/>
    <col min="24" max="24" width="15.7109375" hidden="0" customWidth="1"/>
    <col min="25" max="25" width="15.7109375" hidden="0" customWidth="1"/>
    <col min="26" max="26" width="15.7109375" hidden="0" customWidth="1"/>
    <col min="27" max="27" width="15.7109375" hidden="0" customWidth="1"/>
    <col min="28" max="28" width="15.7109375" hidden="0" customWidth="1"/>
    <col min="29" max="29" width="15.7109375" hidden="0" customWidth="1"/>
    <col min="30" max="30" width="15.7109375" hidden="0" customWidth="1"/>
    <col min="31" max="31" width="15.7109375" hidden="0" customWidth="1"/>
    <col min="32" max="32" width="15.7109375" hidden="0" customWidth="1"/>
    <col min="33" max="33" width="15.7109375" hidden="0" customWidth="1"/>
    <col min="34" max="34" width="15.7109375" hidden="0" customWidth="1"/>
    <col min="35" max="35" width="15.7109375" hidden="0" customWidth="1"/>
    <col min="36" max="36" width="15.7109375" hidden="0" customWidth="1"/>
  </cols>
  <sheetData>
    <row r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>
      <c r="A2" s="2" t="n">
        <v>42064</v>
      </c>
      <c r="B2" t="n">
        <v>546635</v>
      </c>
      <c r="C2" t="n">
        <v>286815</v>
      </c>
      <c r="D2" t="n">
        <v>106.8</v>
      </c>
      <c r="E2" t="n">
        <v>11658.623867</v>
      </c>
      <c r="F2" t="n">
        <v>3785969.03093948</v>
      </c>
      <c r="G2" t="n">
        <v>0.0620243173677172</v>
      </c>
      <c r="H2" t="n">
        <v>0.648434</v>
      </c>
      <c r="I2" t="n">
        <v>0.024533</v>
      </c>
      <c r="J2" t="n">
        <v>0.02529</v>
      </c>
      <c r="K2" t="s">
        <v>178</v>
      </c>
      <c r="L2" t="e">
        <f t="shared" ref="L2:L33" si="0">IF(ROW()&lt;=5,NA(),IFERROR(100*(B2/INDEX(B:B,ROW()-4)-1),NA()))</f>
        <v>#N/A</v>
      </c>
      <c r="M2" t="e">
        <f t="shared" ref="M2:M33" si="1">IF(ROW()&lt;=5,NA(),IFERROR(100*(C2/INDEX(C:C,ROW()-4)-1),NA()))</f>
        <v>#N/A</v>
      </c>
      <c r="N2" t="e">
        <f t="shared" ref="N2:N33" si="2">IF(ROW()&lt;=5,NA(),IFERROR(100*(D2/INDEX(D:D,ROW()-4)-1),NA()))</f>
        <v>#N/A</v>
      </c>
      <c r="O2" t="n">
        <f t="shared" ref="O2:O33" si="3">100*G2</f>
        <v>0</v>
      </c>
      <c r="P2" t="n">
        <f t="shared" ref="P2:P33" si="4">100*H2</f>
        <v>0</v>
      </c>
      <c r="Q2" t="n">
        <f t="shared" ref="Q2:Q33" si="5">100*I2</f>
        <v>0</v>
      </c>
      <c r="R2" t="n">
        <f t="shared" ref="R2:R33" si="6">100*J2</f>
        <v>0</v>
      </c>
      <c r="S2" t="e">
        <f t="shared" ref="S2:S33" si="7">IFERROR(100*E2/INDEX(E:E,MATCH(DATE(2024,12,1),A:A,0)),NA())</f>
        <v>#N/A</v>
      </c>
      <c r="T2" t="e">
        <f t="shared" ref="T2:T33" si="8">IFERROR(100*F2/INDEX(F:F,MATCH(DATE(2024,12,1),A:A,0)),NA())</f>
        <v>#N/A</v>
      </c>
      <c r="U2" t="e">
        <f t="shared" ref="U2:U33" si="9">IF($K2="Actual",L2,NA())</f>
        <v>#N/A</v>
      </c>
      <c r="V2" t="e">
        <f t="shared" ref="V2:V33" si="10">IF($A2&gt;=DATE(2024,12,1),L2,NA())</f>
        <v>#N/A</v>
      </c>
      <c r="W2" t="e">
        <f t="shared" ref="W2:W33" si="11">IF($K2="Actual",M2,NA())</f>
        <v>#N/A</v>
      </c>
      <c r="X2" t="e">
        <f t="shared" ref="X2:X33" si="12">IF($A2&gt;=DATE(2024,12,1),M2,NA())</f>
        <v>#N/A</v>
      </c>
      <c r="Y2" t="e">
        <f t="shared" ref="Y2:Y33" si="13">IF($K2="Actual",S2,NA())</f>
        <v>#N/A</v>
      </c>
      <c r="Z2" t="e">
        <f t="shared" ref="Z2:Z33" si="14">IF($A2&gt;=DATE(2024,12,1),S2,NA())</f>
        <v>#N/A</v>
      </c>
      <c r="AA2" t="e">
        <f t="shared" ref="AA2:AA33" si="15">IF($K2="Actual",T2,NA())</f>
        <v>#N/A</v>
      </c>
      <c r="AB2" t="e">
        <f t="shared" ref="AB2:AB33" si="16">IF($A2&gt;=DATE(2024,12,1),T2,NA())</f>
        <v>#N/A</v>
      </c>
      <c r="AC2" t="e">
        <f t="shared" ref="AC2:AC33" si="17">IF($K2="Actual",O2,NA())</f>
        <v>#N/A</v>
      </c>
      <c r="AD2" t="e">
        <f t="shared" ref="AD2:AD33" si="18">IF($A2&gt;=DATE(2024,12,1),O2,NA())</f>
        <v>#N/A</v>
      </c>
      <c r="AE2" t="e">
        <f t="shared" ref="AE2:AE33" si="19">IF($K2="Actual",Q2,NA())</f>
        <v>#N/A</v>
      </c>
      <c r="AF2" t="e">
        <f t="shared" ref="AF2:AF33" si="20">IF($A2&gt;=DATE(2024,12,1),Q2,NA())</f>
        <v>#N/A</v>
      </c>
      <c r="AG2" t="e">
        <f t="shared" ref="AG2:AG33" si="21">IF($K2="Actual",R2,NA())</f>
        <v>#N/A</v>
      </c>
      <c r="AH2" t="e">
        <f t="shared" ref="AH2:AH33" si="22">IF($A2&gt;=DATE(2024,12,1),R2,NA())</f>
        <v>#N/A</v>
      </c>
      <c r="AI2" t="e">
        <f t="shared" ref="AI2:AI33" si="23">IF($K2="Actual",N2,NA())</f>
        <v>#N/A</v>
      </c>
      <c r="AJ2" t="e">
        <f t="shared" ref="AJ2:AJ33" si="24">IF($A2&gt;=DATE(2024,12,1),N2,NA())</f>
        <v>#N/A</v>
      </c>
    </row>
    <row r="3">
      <c r="A3" s="2" t="n">
        <v>42156</v>
      </c>
      <c r="B3" t="n">
        <v>547281</v>
      </c>
      <c r="C3" t="n">
        <v>288596</v>
      </c>
      <c r="D3" t="n">
        <v>107.7</v>
      </c>
      <c r="E3" t="n">
        <v>11717.694807</v>
      </c>
      <c r="F3" t="n">
        <v>3780694.28668864</v>
      </c>
      <c r="G3" t="n">
        <v>0.0601679800547526</v>
      </c>
      <c r="H3" t="n">
        <v>0.648126</v>
      </c>
      <c r="I3" t="n">
        <v>0.021833</v>
      </c>
      <c r="J3" t="n">
        <v>0.02759</v>
      </c>
      <c r="K3" t="s">
        <v>178</v>
      </c>
      <c r="L3" t="e">
        <f t="shared" si="0"/>
        <v>#N/A</v>
      </c>
      <c r="M3" t="e">
        <f t="shared" si="1"/>
        <v>#N/A</v>
      </c>
      <c r="N3" t="e">
        <f t="shared" si="2"/>
        <v>#N/A</v>
      </c>
      <c r="O3" t="n">
        <f t="shared" si="3"/>
        <v>0</v>
      </c>
      <c r="P3" t="n">
        <f t="shared" si="4"/>
        <v>0</v>
      </c>
      <c r="Q3" t="n">
        <f t="shared" si="5"/>
        <v>0</v>
      </c>
      <c r="R3" t="n">
        <f t="shared" si="6"/>
        <v>0</v>
      </c>
      <c r="S3" t="e">
        <f t="shared" si="7"/>
        <v>#N/A</v>
      </c>
      <c r="T3" t="e">
        <f t="shared" si="8"/>
        <v>#N/A</v>
      </c>
      <c r="U3" t="e">
        <f t="shared" si="9"/>
        <v>#N/A</v>
      </c>
      <c r="V3" t="e">
        <f t="shared" si="10"/>
        <v>#N/A</v>
      </c>
      <c r="W3" t="e">
        <f t="shared" si="11"/>
        <v>#N/A</v>
      </c>
      <c r="X3" t="e">
        <f t="shared" si="12"/>
        <v>#N/A</v>
      </c>
      <c r="Y3" t="e">
        <f t="shared" si="13"/>
        <v>#N/A</v>
      </c>
      <c r="Z3" t="e">
        <f t="shared" si="14"/>
        <v>#N/A</v>
      </c>
      <c r="AA3" t="e">
        <f t="shared" si="15"/>
        <v>#N/A</v>
      </c>
      <c r="AB3" t="e">
        <f t="shared" si="16"/>
        <v>#N/A</v>
      </c>
      <c r="AC3" t="e">
        <f t="shared" si="17"/>
        <v>#N/A</v>
      </c>
      <c r="AD3" t="e">
        <f t="shared" si="18"/>
        <v>#N/A</v>
      </c>
      <c r="AE3" t="e">
        <f t="shared" si="19"/>
        <v>#N/A</v>
      </c>
      <c r="AF3" t="e">
        <f t="shared" si="20"/>
        <v>#N/A</v>
      </c>
      <c r="AG3" t="e">
        <f t="shared" si="21"/>
        <v>#N/A</v>
      </c>
      <c r="AH3" t="e">
        <f t="shared" si="22"/>
        <v>#N/A</v>
      </c>
      <c r="AI3" t="e">
        <f t="shared" si="23"/>
        <v>#N/A</v>
      </c>
      <c r="AJ3" t="e">
        <f t="shared" si="24"/>
        <v>#N/A</v>
      </c>
    </row>
    <row r="4">
      <c r="A4" s="2" t="n">
        <v>42248</v>
      </c>
      <c r="B4" t="n">
        <v>552613</v>
      </c>
      <c r="C4" t="n">
        <v>291248</v>
      </c>
      <c r="D4" t="n">
        <v>107.8</v>
      </c>
      <c r="E4" t="n">
        <v>11769.74154</v>
      </c>
      <c r="F4" t="n">
        <v>3812822.61758583</v>
      </c>
      <c r="G4" t="n">
        <v>0.0617866365869272</v>
      </c>
      <c r="H4" t="n">
        <v>0.649889</v>
      </c>
      <c r="I4" t="n">
        <v>0.0215</v>
      </c>
      <c r="J4" t="n">
        <v>0.0279466666666667</v>
      </c>
      <c r="K4" t="s">
        <v>178</v>
      </c>
      <c r="L4" t="e">
        <f t="shared" si="0"/>
        <v>#N/A</v>
      </c>
      <c r="M4" t="e">
        <f t="shared" si="1"/>
        <v>#N/A</v>
      </c>
      <c r="N4" t="e">
        <f t="shared" si="2"/>
        <v>#N/A</v>
      </c>
      <c r="O4" t="n">
        <f t="shared" si="3"/>
        <v>0</v>
      </c>
      <c r="P4" t="n">
        <f t="shared" si="4"/>
        <v>0</v>
      </c>
      <c r="Q4" t="n">
        <f t="shared" si="5"/>
        <v>0</v>
      </c>
      <c r="R4" t="n">
        <f t="shared" si="6"/>
        <v>0</v>
      </c>
      <c r="S4" t="e">
        <f t="shared" si="7"/>
        <v>#N/A</v>
      </c>
      <c r="T4" t="e">
        <f t="shared" si="8"/>
        <v>#N/A</v>
      </c>
      <c r="U4" t="e">
        <f t="shared" si="9"/>
        <v>#N/A</v>
      </c>
      <c r="V4" t="e">
        <f t="shared" si="10"/>
        <v>#N/A</v>
      </c>
      <c r="W4" t="e">
        <f t="shared" si="11"/>
        <v>#N/A</v>
      </c>
      <c r="X4" t="e">
        <f t="shared" si="12"/>
        <v>#N/A</v>
      </c>
      <c r="Y4" t="e">
        <f t="shared" si="13"/>
        <v>#N/A</v>
      </c>
      <c r="Z4" t="e">
        <f t="shared" si="14"/>
        <v>#N/A</v>
      </c>
      <c r="AA4" t="e">
        <f t="shared" si="15"/>
        <v>#N/A</v>
      </c>
      <c r="AB4" t="e">
        <f t="shared" si="16"/>
        <v>#N/A</v>
      </c>
      <c r="AC4" t="e">
        <f t="shared" si="17"/>
        <v>#N/A</v>
      </c>
      <c r="AD4" t="e">
        <f t="shared" si="18"/>
        <v>#N/A</v>
      </c>
      <c r="AE4" t="e">
        <f t="shared" si="19"/>
        <v>#N/A</v>
      </c>
      <c r="AF4" t="e">
        <f t="shared" si="20"/>
        <v>#N/A</v>
      </c>
      <c r="AG4" t="e">
        <f t="shared" si="21"/>
        <v>#N/A</v>
      </c>
      <c r="AH4" t="e">
        <f t="shared" si="22"/>
        <v>#N/A</v>
      </c>
      <c r="AI4" t="e">
        <f t="shared" si="23"/>
        <v>#N/A</v>
      </c>
      <c r="AJ4" t="e">
        <f t="shared" si="24"/>
        <v>#N/A</v>
      </c>
    </row>
    <row r="5">
      <c r="A5" s="2" t="n">
        <v>42339</v>
      </c>
      <c r="B5" t="n">
        <v>556043</v>
      </c>
      <c r="C5" t="n">
        <v>292696</v>
      </c>
      <c r="D5" t="n">
        <v>108.3</v>
      </c>
      <c r="E5" t="n">
        <v>11887.446556</v>
      </c>
      <c r="F5" t="n">
        <v>3823914.13136967</v>
      </c>
      <c r="G5" t="n">
        <v>0.0583482820901764</v>
      </c>
      <c r="H5" t="n">
        <v>0.651735</v>
      </c>
      <c r="I5" t="n">
        <v>0.022367</v>
      </c>
      <c r="J5" t="n">
        <v>0.0279933333333333</v>
      </c>
      <c r="K5" t="s">
        <v>178</v>
      </c>
      <c r="L5" t="e">
        <f t="shared" si="0"/>
        <v>#N/A</v>
      </c>
      <c r="M5" t="e">
        <f t="shared" si="1"/>
        <v>#N/A</v>
      </c>
      <c r="N5" t="e">
        <f t="shared" si="2"/>
        <v>#N/A</v>
      </c>
      <c r="O5" t="n">
        <f t="shared" si="3"/>
        <v>0</v>
      </c>
      <c r="P5" t="n">
        <f t="shared" si="4"/>
        <v>0</v>
      </c>
      <c r="Q5" t="n">
        <f t="shared" si="5"/>
        <v>0</v>
      </c>
      <c r="R5" t="n">
        <f t="shared" si="6"/>
        <v>0</v>
      </c>
      <c r="S5" t="e">
        <f t="shared" si="7"/>
        <v>#N/A</v>
      </c>
      <c r="T5" t="e">
        <f t="shared" si="8"/>
        <v>#N/A</v>
      </c>
      <c r="U5" t="e">
        <f t="shared" si="9"/>
        <v>#N/A</v>
      </c>
      <c r="V5" t="e">
        <f t="shared" si="10"/>
        <v>#N/A</v>
      </c>
      <c r="W5" t="e">
        <f t="shared" si="11"/>
        <v>#N/A</v>
      </c>
      <c r="X5" t="e">
        <f t="shared" si="12"/>
        <v>#N/A</v>
      </c>
      <c r="Y5" t="e">
        <f t="shared" si="13"/>
        <v>#N/A</v>
      </c>
      <c r="Z5" t="e">
        <f t="shared" si="14"/>
        <v>#N/A</v>
      </c>
      <c r="AA5" t="e">
        <f t="shared" si="15"/>
        <v>#N/A</v>
      </c>
      <c r="AB5" t="e">
        <f t="shared" si="16"/>
        <v>#N/A</v>
      </c>
      <c r="AC5" t="e">
        <f t="shared" si="17"/>
        <v>#N/A</v>
      </c>
      <c r="AD5" t="e">
        <f t="shared" si="18"/>
        <v>#N/A</v>
      </c>
      <c r="AE5" t="e">
        <f t="shared" si="19"/>
        <v>#N/A</v>
      </c>
      <c r="AF5" t="e">
        <f t="shared" si="20"/>
        <v>#N/A</v>
      </c>
      <c r="AG5" t="e">
        <f t="shared" si="21"/>
        <v>#N/A</v>
      </c>
      <c r="AH5" t="e">
        <f t="shared" si="22"/>
        <v>#N/A</v>
      </c>
      <c r="AI5" t="e">
        <f t="shared" si="23"/>
        <v>#N/A</v>
      </c>
      <c r="AJ5" t="e">
        <f t="shared" si="24"/>
        <v>#N/A</v>
      </c>
    </row>
    <row r="6">
      <c r="A6" s="2" t="n">
        <v>42430</v>
      </c>
      <c r="B6" t="n">
        <v>561139</v>
      </c>
      <c r="C6" t="n">
        <v>295146</v>
      </c>
      <c r="D6" t="n">
        <v>108.2</v>
      </c>
      <c r="E6" t="n">
        <v>11926.963195</v>
      </c>
      <c r="F6" t="n">
        <v>3835902.03791273</v>
      </c>
      <c r="G6" t="n">
        <v>0.0579634872433593</v>
      </c>
      <c r="H6" t="n">
        <v>0.650715</v>
      </c>
      <c r="I6" t="n">
        <v>0.022967</v>
      </c>
      <c r="J6" t="n">
        <v>0.02578</v>
      </c>
      <c r="K6" t="s">
        <v>178</v>
      </c>
      <c r="L6" t="e">
        <f t="shared" si="0"/>
        <v>#N/A</v>
      </c>
      <c r="M6" t="e">
        <f t="shared" si="1"/>
        <v>#N/A</v>
      </c>
      <c r="N6" t="e">
        <f t="shared" si="2"/>
        <v>#N/A</v>
      </c>
      <c r="O6" t="n">
        <f t="shared" si="3"/>
        <v>0</v>
      </c>
      <c r="P6" t="n">
        <f t="shared" si="4"/>
        <v>0</v>
      </c>
      <c r="Q6" t="n">
        <f t="shared" si="5"/>
        <v>0</v>
      </c>
      <c r="R6" t="n">
        <f t="shared" si="6"/>
        <v>0</v>
      </c>
      <c r="S6" t="e">
        <f t="shared" si="7"/>
        <v>#N/A</v>
      </c>
      <c r="T6" t="e">
        <f t="shared" si="8"/>
        <v>#N/A</v>
      </c>
      <c r="U6" t="e">
        <f t="shared" si="9"/>
        <v>#N/A</v>
      </c>
      <c r="V6" t="e">
        <f t="shared" si="10"/>
        <v>#N/A</v>
      </c>
      <c r="W6" t="e">
        <f t="shared" si="11"/>
        <v>#N/A</v>
      </c>
      <c r="X6" t="e">
        <f t="shared" si="12"/>
        <v>#N/A</v>
      </c>
      <c r="Y6" t="e">
        <f t="shared" si="13"/>
        <v>#N/A</v>
      </c>
      <c r="Z6" t="e">
        <f t="shared" si="14"/>
        <v>#N/A</v>
      </c>
      <c r="AA6" t="e">
        <f t="shared" si="15"/>
        <v>#N/A</v>
      </c>
      <c r="AB6" t="e">
        <f t="shared" si="16"/>
        <v>#N/A</v>
      </c>
      <c r="AC6" t="e">
        <f t="shared" si="17"/>
        <v>#N/A</v>
      </c>
      <c r="AD6" t="e">
        <f t="shared" si="18"/>
        <v>#N/A</v>
      </c>
      <c r="AE6" t="e">
        <f t="shared" si="19"/>
        <v>#N/A</v>
      </c>
      <c r="AF6" t="e">
        <f t="shared" si="20"/>
        <v>#N/A</v>
      </c>
      <c r="AG6" t="e">
        <f t="shared" si="21"/>
        <v>#N/A</v>
      </c>
      <c r="AH6" t="e">
        <f t="shared" si="22"/>
        <v>#N/A</v>
      </c>
      <c r="AI6" t="e">
        <f t="shared" si="23"/>
        <v>#N/A</v>
      </c>
      <c r="AJ6" t="e">
        <f t="shared" si="24"/>
        <v>#N/A</v>
      </c>
    </row>
    <row r="7">
      <c r="A7" s="2" t="n">
        <v>42522</v>
      </c>
      <c r="B7" t="n">
        <v>564835</v>
      </c>
      <c r="C7" t="n">
        <v>296578</v>
      </c>
      <c r="D7" t="n">
        <v>108.8</v>
      </c>
      <c r="E7" t="n">
        <v>11950.907038</v>
      </c>
      <c r="F7" t="n">
        <v>3811952.083356</v>
      </c>
      <c r="G7" t="n">
        <v>0.0568709502282777</v>
      </c>
      <c r="H7" t="n">
        <v>0.648702</v>
      </c>
      <c r="I7" t="n">
        <v>0.020833</v>
      </c>
      <c r="J7" t="n">
        <v>0.0231966666666667</v>
      </c>
      <c r="K7" t="s">
        <v>178</v>
      </c>
      <c r="L7" t="e">
        <f t="shared" si="0"/>
        <v>#N/A</v>
      </c>
      <c r="M7" t="e">
        <f t="shared" si="1"/>
        <v>#N/A</v>
      </c>
      <c r="N7" t="e">
        <f t="shared" si="2"/>
        <v>#N/A</v>
      </c>
      <c r="O7" t="n">
        <f t="shared" si="3"/>
        <v>0</v>
      </c>
      <c r="P7" t="n">
        <f t="shared" si="4"/>
        <v>0</v>
      </c>
      <c r="Q7" t="n">
        <f t="shared" si="5"/>
        <v>0</v>
      </c>
      <c r="R7" t="n">
        <f t="shared" si="6"/>
        <v>0</v>
      </c>
      <c r="S7" t="e">
        <f t="shared" si="7"/>
        <v>#N/A</v>
      </c>
      <c r="T7" t="e">
        <f t="shared" si="8"/>
        <v>#N/A</v>
      </c>
      <c r="U7" t="e">
        <f t="shared" si="9"/>
        <v>#N/A</v>
      </c>
      <c r="V7" t="e">
        <f t="shared" si="10"/>
        <v>#N/A</v>
      </c>
      <c r="W7" t="e">
        <f t="shared" si="11"/>
        <v>#N/A</v>
      </c>
      <c r="X7" t="e">
        <f t="shared" si="12"/>
        <v>#N/A</v>
      </c>
      <c r="Y7" t="e">
        <f t="shared" si="13"/>
        <v>#N/A</v>
      </c>
      <c r="Z7" t="e">
        <f t="shared" si="14"/>
        <v>#N/A</v>
      </c>
      <c r="AA7" t="e">
        <f t="shared" si="15"/>
        <v>#N/A</v>
      </c>
      <c r="AB7" t="e">
        <f t="shared" si="16"/>
        <v>#N/A</v>
      </c>
      <c r="AC7" t="e">
        <f t="shared" si="17"/>
        <v>#N/A</v>
      </c>
      <c r="AD7" t="e">
        <f t="shared" si="18"/>
        <v>#N/A</v>
      </c>
      <c r="AE7" t="e">
        <f t="shared" si="19"/>
        <v>#N/A</v>
      </c>
      <c r="AF7" t="e">
        <f t="shared" si="20"/>
        <v>#N/A</v>
      </c>
      <c r="AG7" t="e">
        <f t="shared" si="21"/>
        <v>#N/A</v>
      </c>
      <c r="AH7" t="e">
        <f t="shared" si="22"/>
        <v>#N/A</v>
      </c>
      <c r="AI7" t="e">
        <f t="shared" si="23"/>
        <v>#N/A</v>
      </c>
      <c r="AJ7" t="e">
        <f t="shared" si="24"/>
        <v>#N/A</v>
      </c>
    </row>
    <row r="8">
      <c r="A8" s="2" t="n">
        <v>42614</v>
      </c>
      <c r="B8" t="n">
        <v>564782</v>
      </c>
      <c r="C8" t="n">
        <v>298417</v>
      </c>
      <c r="D8" t="n">
        <v>109.3</v>
      </c>
      <c r="E8" t="n">
        <v>11964.826742</v>
      </c>
      <c r="F8" t="n">
        <v>3804612.82840373</v>
      </c>
      <c r="G8" t="n">
        <v>0.0565779985288589</v>
      </c>
      <c r="H8" t="n">
        <v>0.646575</v>
      </c>
      <c r="I8" t="n">
        <v>0.018067</v>
      </c>
      <c r="J8" t="n">
        <v>0.01944</v>
      </c>
      <c r="K8" t="s">
        <v>178</v>
      </c>
      <c r="L8" t="e">
        <f t="shared" si="0"/>
        <v>#N/A</v>
      </c>
      <c r="M8" t="e">
        <f t="shared" si="1"/>
        <v>#N/A</v>
      </c>
      <c r="N8" t="e">
        <f t="shared" si="2"/>
        <v>#N/A</v>
      </c>
      <c r="O8" t="n">
        <f t="shared" si="3"/>
        <v>0</v>
      </c>
      <c r="P8" t="n">
        <f t="shared" si="4"/>
        <v>0</v>
      </c>
      <c r="Q8" t="n">
        <f t="shared" si="5"/>
        <v>0</v>
      </c>
      <c r="R8" t="n">
        <f t="shared" si="6"/>
        <v>0</v>
      </c>
      <c r="S8" t="e">
        <f t="shared" si="7"/>
        <v>#N/A</v>
      </c>
      <c r="T8" t="e">
        <f t="shared" si="8"/>
        <v>#N/A</v>
      </c>
      <c r="U8" t="e">
        <f t="shared" si="9"/>
        <v>#N/A</v>
      </c>
      <c r="V8" t="e">
        <f t="shared" si="10"/>
        <v>#N/A</v>
      </c>
      <c r="W8" t="e">
        <f t="shared" si="11"/>
        <v>#N/A</v>
      </c>
      <c r="X8" t="e">
        <f t="shared" si="12"/>
        <v>#N/A</v>
      </c>
      <c r="Y8" t="e">
        <f t="shared" si="13"/>
        <v>#N/A</v>
      </c>
      <c r="Z8" t="e">
        <f t="shared" si="14"/>
        <v>#N/A</v>
      </c>
      <c r="AA8" t="e">
        <f t="shared" si="15"/>
        <v>#N/A</v>
      </c>
      <c r="AB8" t="e">
        <f t="shared" si="16"/>
        <v>#N/A</v>
      </c>
      <c r="AC8" t="e">
        <f t="shared" si="17"/>
        <v>#N/A</v>
      </c>
      <c r="AD8" t="e">
        <f t="shared" si="18"/>
        <v>#N/A</v>
      </c>
      <c r="AE8" t="e">
        <f t="shared" si="19"/>
        <v>#N/A</v>
      </c>
      <c r="AF8" t="e">
        <f t="shared" si="20"/>
        <v>#N/A</v>
      </c>
      <c r="AG8" t="e">
        <f t="shared" si="21"/>
        <v>#N/A</v>
      </c>
      <c r="AH8" t="e">
        <f t="shared" si="22"/>
        <v>#N/A</v>
      </c>
      <c r="AI8" t="e">
        <f t="shared" si="23"/>
        <v>#N/A</v>
      </c>
      <c r="AJ8" t="e">
        <f t="shared" si="24"/>
        <v>#N/A</v>
      </c>
    </row>
    <row r="9">
      <c r="A9" s="2" t="n">
        <v>42705</v>
      </c>
      <c r="B9" t="n">
        <v>571367</v>
      </c>
      <c r="C9" t="n">
        <v>300485</v>
      </c>
      <c r="D9" t="n">
        <v>109.8</v>
      </c>
      <c r="E9" t="n">
        <v>11988.801731</v>
      </c>
      <c r="F9" t="n">
        <v>3821223.09008564</v>
      </c>
      <c r="G9" t="n">
        <v>0.057342796322902</v>
      </c>
      <c r="H9" t="n">
        <v>0.645826</v>
      </c>
      <c r="I9" t="n">
        <v>0.0176</v>
      </c>
      <c r="J9" t="n">
        <v>0.0252166666666667</v>
      </c>
      <c r="K9" t="s">
        <v>178</v>
      </c>
      <c r="L9" t="e">
        <f t="shared" si="0"/>
        <v>#N/A</v>
      </c>
      <c r="M9" t="e">
        <f t="shared" si="1"/>
        <v>#N/A</v>
      </c>
      <c r="N9" t="e">
        <f t="shared" si="2"/>
        <v>#N/A</v>
      </c>
      <c r="O9" t="n">
        <f t="shared" si="3"/>
        <v>0</v>
      </c>
      <c r="P9" t="n">
        <f t="shared" si="4"/>
        <v>0</v>
      </c>
      <c r="Q9" t="n">
        <f t="shared" si="5"/>
        <v>0</v>
      </c>
      <c r="R9" t="n">
        <f t="shared" si="6"/>
        <v>0</v>
      </c>
      <c r="S9" t="e">
        <f t="shared" si="7"/>
        <v>#N/A</v>
      </c>
      <c r="T9" t="e">
        <f t="shared" si="8"/>
        <v>#N/A</v>
      </c>
      <c r="U9" t="e">
        <f t="shared" si="9"/>
        <v>#N/A</v>
      </c>
      <c r="V9" t="e">
        <f t="shared" si="10"/>
        <v>#N/A</v>
      </c>
      <c r="W9" t="e">
        <f t="shared" si="11"/>
        <v>#N/A</v>
      </c>
      <c r="X9" t="e">
        <f t="shared" si="12"/>
        <v>#N/A</v>
      </c>
      <c r="Y9" t="e">
        <f t="shared" si="13"/>
        <v>#N/A</v>
      </c>
      <c r="Z9" t="e">
        <f t="shared" si="14"/>
        <v>#N/A</v>
      </c>
      <c r="AA9" t="e">
        <f t="shared" si="15"/>
        <v>#N/A</v>
      </c>
      <c r="AB9" t="e">
        <f t="shared" si="16"/>
        <v>#N/A</v>
      </c>
      <c r="AC9" t="e">
        <f t="shared" si="17"/>
        <v>#N/A</v>
      </c>
      <c r="AD9" t="e">
        <f t="shared" si="18"/>
        <v>#N/A</v>
      </c>
      <c r="AE9" t="e">
        <f t="shared" si="19"/>
        <v>#N/A</v>
      </c>
      <c r="AF9" t="e">
        <f t="shared" si="20"/>
        <v>#N/A</v>
      </c>
      <c r="AG9" t="e">
        <f t="shared" si="21"/>
        <v>#N/A</v>
      </c>
      <c r="AH9" t="e">
        <f t="shared" si="22"/>
        <v>#N/A</v>
      </c>
      <c r="AI9" t="e">
        <f t="shared" si="23"/>
        <v>#N/A</v>
      </c>
      <c r="AJ9" t="e">
        <f t="shared" si="24"/>
        <v>#N/A</v>
      </c>
    </row>
    <row r="10">
      <c r="A10" s="2" t="n">
        <v>42795</v>
      </c>
      <c r="B10" t="n">
        <v>573149</v>
      </c>
      <c r="C10" t="n">
        <v>302058</v>
      </c>
      <c r="D10" t="n">
        <v>110.5</v>
      </c>
      <c r="E10" t="n">
        <v>12043.410558</v>
      </c>
      <c r="F10" t="n">
        <v>3868609.59164237</v>
      </c>
      <c r="G10" t="n">
        <v>0.0580743791081485</v>
      </c>
      <c r="H10" t="n">
        <v>0.646085</v>
      </c>
      <c r="I10" t="n">
        <v>0.017833</v>
      </c>
      <c r="J10" t="n">
        <v>0.02751</v>
      </c>
      <c r="K10" t="s">
        <v>178</v>
      </c>
      <c r="L10" t="e">
        <f t="shared" si="0"/>
        <v>#N/A</v>
      </c>
      <c r="M10" t="e">
        <f t="shared" si="1"/>
        <v>#N/A</v>
      </c>
      <c r="N10" t="e">
        <f t="shared" si="2"/>
        <v>#N/A</v>
      </c>
      <c r="O10" t="n">
        <f t="shared" si="3"/>
        <v>0</v>
      </c>
      <c r="P10" t="n">
        <f t="shared" si="4"/>
        <v>0</v>
      </c>
      <c r="Q10" t="n">
        <f t="shared" si="5"/>
        <v>0</v>
      </c>
      <c r="R10" t="n">
        <f t="shared" si="6"/>
        <v>0</v>
      </c>
      <c r="S10" t="e">
        <f t="shared" si="7"/>
        <v>#N/A</v>
      </c>
      <c r="T10" t="e">
        <f t="shared" si="8"/>
        <v>#N/A</v>
      </c>
      <c r="U10" t="e">
        <f t="shared" si="9"/>
        <v>#N/A</v>
      </c>
      <c r="V10" t="e">
        <f t="shared" si="10"/>
        <v>#N/A</v>
      </c>
      <c r="W10" t="e">
        <f t="shared" si="11"/>
        <v>#N/A</v>
      </c>
      <c r="X10" t="e">
        <f t="shared" si="12"/>
        <v>#N/A</v>
      </c>
      <c r="Y10" t="e">
        <f t="shared" si="13"/>
        <v>#N/A</v>
      </c>
      <c r="Z10" t="e">
        <f t="shared" si="14"/>
        <v>#N/A</v>
      </c>
      <c r="AA10" t="e">
        <f t="shared" si="15"/>
        <v>#N/A</v>
      </c>
      <c r="AB10" t="e">
        <f t="shared" si="16"/>
        <v>#N/A</v>
      </c>
      <c r="AC10" t="e">
        <f t="shared" si="17"/>
        <v>#N/A</v>
      </c>
      <c r="AD10" t="e">
        <f t="shared" si="18"/>
        <v>#N/A</v>
      </c>
      <c r="AE10" t="e">
        <f t="shared" si="19"/>
        <v>#N/A</v>
      </c>
      <c r="AF10" t="e">
        <f t="shared" si="20"/>
        <v>#N/A</v>
      </c>
      <c r="AG10" t="e">
        <f t="shared" si="21"/>
        <v>#N/A</v>
      </c>
      <c r="AH10" t="e">
        <f t="shared" si="22"/>
        <v>#N/A</v>
      </c>
      <c r="AI10" t="e">
        <f t="shared" si="23"/>
        <v>#N/A</v>
      </c>
      <c r="AJ10" t="e">
        <f t="shared" si="24"/>
        <v>#N/A</v>
      </c>
    </row>
    <row r="11">
      <c r="A11" s="2" t="n">
        <v>42887</v>
      </c>
      <c r="B11" t="n">
        <v>576579</v>
      </c>
      <c r="C11" t="n">
        <v>303774</v>
      </c>
      <c r="D11" t="n">
        <v>110.9</v>
      </c>
      <c r="E11" t="n">
        <v>12164.858767</v>
      </c>
      <c r="F11" t="n">
        <v>3906451.73308978</v>
      </c>
      <c r="G11" t="n">
        <v>0.0559253059887055</v>
      </c>
      <c r="H11" t="n">
        <v>0.648426</v>
      </c>
      <c r="I11" t="n">
        <v>0.0174</v>
      </c>
      <c r="J11" t="n">
        <v>0.0250866666666667</v>
      </c>
      <c r="K11" t="s">
        <v>178</v>
      </c>
      <c r="L11" t="e">
        <f t="shared" si="0"/>
        <v>#N/A</v>
      </c>
      <c r="M11" t="e">
        <f t="shared" si="1"/>
        <v>#N/A</v>
      </c>
      <c r="N11" t="e">
        <f t="shared" si="2"/>
        <v>#N/A</v>
      </c>
      <c r="O11" t="n">
        <f t="shared" si="3"/>
        <v>0</v>
      </c>
      <c r="P11" t="n">
        <f t="shared" si="4"/>
        <v>0</v>
      </c>
      <c r="Q11" t="n">
        <f t="shared" si="5"/>
        <v>0</v>
      </c>
      <c r="R11" t="n">
        <f t="shared" si="6"/>
        <v>0</v>
      </c>
      <c r="S11" t="e">
        <f t="shared" si="7"/>
        <v>#N/A</v>
      </c>
      <c r="T11" t="e">
        <f t="shared" si="8"/>
        <v>#N/A</v>
      </c>
      <c r="U11" t="e">
        <f t="shared" si="9"/>
        <v>#N/A</v>
      </c>
      <c r="V11" t="e">
        <f t="shared" si="10"/>
        <v>#N/A</v>
      </c>
      <c r="W11" t="e">
        <f t="shared" si="11"/>
        <v>#N/A</v>
      </c>
      <c r="X11" t="e">
        <f t="shared" si="12"/>
        <v>#N/A</v>
      </c>
      <c r="Y11" t="e">
        <f t="shared" si="13"/>
        <v>#N/A</v>
      </c>
      <c r="Z11" t="e">
        <f t="shared" si="14"/>
        <v>#N/A</v>
      </c>
      <c r="AA11" t="e">
        <f t="shared" si="15"/>
        <v>#N/A</v>
      </c>
      <c r="AB11" t="e">
        <f t="shared" si="16"/>
        <v>#N/A</v>
      </c>
      <c r="AC11" t="e">
        <f t="shared" si="17"/>
        <v>#N/A</v>
      </c>
      <c r="AD11" t="e">
        <f t="shared" si="18"/>
        <v>#N/A</v>
      </c>
      <c r="AE11" t="e">
        <f t="shared" si="19"/>
        <v>#N/A</v>
      </c>
      <c r="AF11" t="e">
        <f t="shared" si="20"/>
        <v>#N/A</v>
      </c>
      <c r="AG11" t="e">
        <f t="shared" si="21"/>
        <v>#N/A</v>
      </c>
      <c r="AH11" t="e">
        <f t="shared" si="22"/>
        <v>#N/A</v>
      </c>
      <c r="AI11" t="e">
        <f t="shared" si="23"/>
        <v>#N/A</v>
      </c>
      <c r="AJ11" t="e">
        <f t="shared" si="24"/>
        <v>#N/A</v>
      </c>
    </row>
    <row r="12">
      <c r="A12" s="2" t="n">
        <v>42979</v>
      </c>
      <c r="B12" t="n">
        <v>582043</v>
      </c>
      <c r="C12" t="n">
        <v>305893</v>
      </c>
      <c r="D12" t="n">
        <v>111.3</v>
      </c>
      <c r="E12" t="n">
        <v>12278.939818</v>
      </c>
      <c r="F12" t="n">
        <v>3928808.04478305</v>
      </c>
      <c r="G12" t="n">
        <v>0.05532785461866</v>
      </c>
      <c r="H12" t="n">
        <v>0.651535</v>
      </c>
      <c r="I12" t="n">
        <v>0.017067</v>
      </c>
      <c r="J12" t="n">
        <v>0.0266666666666667</v>
      </c>
      <c r="K12" t="s">
        <v>178</v>
      </c>
      <c r="L12" t="e">
        <f t="shared" si="0"/>
        <v>#N/A</v>
      </c>
      <c r="M12" t="e">
        <f t="shared" si="1"/>
        <v>#N/A</v>
      </c>
      <c r="N12" t="e">
        <f t="shared" si="2"/>
        <v>#N/A</v>
      </c>
      <c r="O12" t="n">
        <f t="shared" si="3"/>
        <v>0</v>
      </c>
      <c r="P12" t="n">
        <f t="shared" si="4"/>
        <v>0</v>
      </c>
      <c r="Q12" t="n">
        <f t="shared" si="5"/>
        <v>0</v>
      </c>
      <c r="R12" t="n">
        <f t="shared" si="6"/>
        <v>0</v>
      </c>
      <c r="S12" t="e">
        <f t="shared" si="7"/>
        <v>#N/A</v>
      </c>
      <c r="T12" t="e">
        <f t="shared" si="8"/>
        <v>#N/A</v>
      </c>
      <c r="U12" t="e">
        <f t="shared" si="9"/>
        <v>#N/A</v>
      </c>
      <c r="V12" t="e">
        <f t="shared" si="10"/>
        <v>#N/A</v>
      </c>
      <c r="W12" t="e">
        <f t="shared" si="11"/>
        <v>#N/A</v>
      </c>
      <c r="X12" t="e">
        <f t="shared" si="12"/>
        <v>#N/A</v>
      </c>
      <c r="Y12" t="e">
        <f t="shared" si="13"/>
        <v>#N/A</v>
      </c>
      <c r="Z12" t="e">
        <f t="shared" si="14"/>
        <v>#N/A</v>
      </c>
      <c r="AA12" t="e">
        <f t="shared" si="15"/>
        <v>#N/A</v>
      </c>
      <c r="AB12" t="e">
        <f t="shared" si="16"/>
        <v>#N/A</v>
      </c>
      <c r="AC12" t="e">
        <f t="shared" si="17"/>
        <v>#N/A</v>
      </c>
      <c r="AD12" t="e">
        <f t="shared" si="18"/>
        <v>#N/A</v>
      </c>
      <c r="AE12" t="e">
        <f t="shared" si="19"/>
        <v>#N/A</v>
      </c>
      <c r="AF12" t="e">
        <f t="shared" si="20"/>
        <v>#N/A</v>
      </c>
      <c r="AG12" t="e">
        <f t="shared" si="21"/>
        <v>#N/A</v>
      </c>
      <c r="AH12" t="e">
        <f t="shared" si="22"/>
        <v>#N/A</v>
      </c>
      <c r="AI12" t="e">
        <f t="shared" si="23"/>
        <v>#N/A</v>
      </c>
      <c r="AJ12" t="e">
        <f t="shared" si="24"/>
        <v>#N/A</v>
      </c>
    </row>
    <row r="13">
      <c r="A13" s="2" t="n">
        <v>43070</v>
      </c>
      <c r="B13" t="n">
        <v>584367</v>
      </c>
      <c r="C13" t="n">
        <v>308870</v>
      </c>
      <c r="D13" t="n">
        <v>112.1</v>
      </c>
      <c r="E13" t="n">
        <v>12364.052443</v>
      </c>
      <c r="F13" t="n">
        <v>3963387.89007283</v>
      </c>
      <c r="G13" t="n">
        <v>0.054926167739918</v>
      </c>
      <c r="H13" t="n">
        <v>0.65356</v>
      </c>
      <c r="I13" t="n">
        <v>0.0173</v>
      </c>
      <c r="J13" t="n">
        <v>0.0263866666666667</v>
      </c>
      <c r="K13" t="s">
        <v>178</v>
      </c>
      <c r="L13" t="e">
        <f t="shared" si="0"/>
        <v>#N/A</v>
      </c>
      <c r="M13" t="e">
        <f t="shared" si="1"/>
        <v>#N/A</v>
      </c>
      <c r="N13" t="e">
        <f t="shared" si="2"/>
        <v>#N/A</v>
      </c>
      <c r="O13" t="n">
        <f t="shared" si="3"/>
        <v>0</v>
      </c>
      <c r="P13" t="n">
        <f t="shared" si="4"/>
        <v>0</v>
      </c>
      <c r="Q13" t="n">
        <f t="shared" si="5"/>
        <v>0</v>
      </c>
      <c r="R13" t="n">
        <f t="shared" si="6"/>
        <v>0</v>
      </c>
      <c r="S13" t="e">
        <f t="shared" si="7"/>
        <v>#N/A</v>
      </c>
      <c r="T13" t="e">
        <f t="shared" si="8"/>
        <v>#N/A</v>
      </c>
      <c r="U13" t="e">
        <f t="shared" si="9"/>
        <v>#N/A</v>
      </c>
      <c r="V13" t="e">
        <f t="shared" si="10"/>
        <v>#N/A</v>
      </c>
      <c r="W13" t="e">
        <f t="shared" si="11"/>
        <v>#N/A</v>
      </c>
      <c r="X13" t="e">
        <f t="shared" si="12"/>
        <v>#N/A</v>
      </c>
      <c r="Y13" t="e">
        <f t="shared" si="13"/>
        <v>#N/A</v>
      </c>
      <c r="Z13" t="e">
        <f t="shared" si="14"/>
        <v>#N/A</v>
      </c>
      <c r="AA13" t="e">
        <f t="shared" si="15"/>
        <v>#N/A</v>
      </c>
      <c r="AB13" t="e">
        <f t="shared" si="16"/>
        <v>#N/A</v>
      </c>
      <c r="AC13" t="e">
        <f t="shared" si="17"/>
        <v>#N/A</v>
      </c>
      <c r="AD13" t="e">
        <f t="shared" si="18"/>
        <v>#N/A</v>
      </c>
      <c r="AE13" t="e">
        <f t="shared" si="19"/>
        <v>#N/A</v>
      </c>
      <c r="AF13" t="e">
        <f t="shared" si="20"/>
        <v>#N/A</v>
      </c>
      <c r="AG13" t="e">
        <f t="shared" si="21"/>
        <v>#N/A</v>
      </c>
      <c r="AH13" t="e">
        <f t="shared" si="22"/>
        <v>#N/A</v>
      </c>
      <c r="AI13" t="e">
        <f t="shared" si="23"/>
        <v>#N/A</v>
      </c>
      <c r="AJ13" t="e">
        <f t="shared" si="24"/>
        <v>#N/A</v>
      </c>
    </row>
    <row r="14">
      <c r="A14" s="2" t="n">
        <v>43160</v>
      </c>
      <c r="B14" t="n">
        <v>590393</v>
      </c>
      <c r="C14" t="n">
        <v>310941</v>
      </c>
      <c r="D14" t="n">
        <v>112.7</v>
      </c>
      <c r="E14" t="n">
        <v>12433.919949</v>
      </c>
      <c r="F14" t="n">
        <v>3940737.69103142</v>
      </c>
      <c r="G14" t="n">
        <v>0.0554492248274031</v>
      </c>
      <c r="H14" t="n">
        <v>0.654609</v>
      </c>
      <c r="I14" t="n">
        <v>0.0183</v>
      </c>
      <c r="J14" t="n">
        <v>0.0276833333333333</v>
      </c>
      <c r="K14" t="s">
        <v>178</v>
      </c>
      <c r="L14" t="e">
        <f t="shared" si="0"/>
        <v>#N/A</v>
      </c>
      <c r="M14" t="e">
        <f t="shared" si="1"/>
        <v>#N/A</v>
      </c>
      <c r="N14" t="e">
        <f t="shared" si="2"/>
        <v>#N/A</v>
      </c>
      <c r="O14" t="n">
        <f t="shared" si="3"/>
        <v>0</v>
      </c>
      <c r="P14" t="n">
        <f t="shared" si="4"/>
        <v>0</v>
      </c>
      <c r="Q14" t="n">
        <f t="shared" si="5"/>
        <v>0</v>
      </c>
      <c r="R14" t="n">
        <f t="shared" si="6"/>
        <v>0</v>
      </c>
      <c r="S14" t="e">
        <f t="shared" si="7"/>
        <v>#N/A</v>
      </c>
      <c r="T14" t="e">
        <f t="shared" si="8"/>
        <v>#N/A</v>
      </c>
      <c r="U14" t="e">
        <f t="shared" si="9"/>
        <v>#N/A</v>
      </c>
      <c r="V14" t="e">
        <f t="shared" si="10"/>
        <v>#N/A</v>
      </c>
      <c r="W14" t="e">
        <f t="shared" si="11"/>
        <v>#N/A</v>
      </c>
      <c r="X14" t="e">
        <f t="shared" si="12"/>
        <v>#N/A</v>
      </c>
      <c r="Y14" t="e">
        <f t="shared" si="13"/>
        <v>#N/A</v>
      </c>
      <c r="Z14" t="e">
        <f t="shared" si="14"/>
        <v>#N/A</v>
      </c>
      <c r="AA14" t="e">
        <f t="shared" si="15"/>
        <v>#N/A</v>
      </c>
      <c r="AB14" t="e">
        <f t="shared" si="16"/>
        <v>#N/A</v>
      </c>
      <c r="AC14" t="e">
        <f t="shared" si="17"/>
        <v>#N/A</v>
      </c>
      <c r="AD14" t="e">
        <f t="shared" si="18"/>
        <v>#N/A</v>
      </c>
      <c r="AE14" t="e">
        <f t="shared" si="19"/>
        <v>#N/A</v>
      </c>
      <c r="AF14" t="e">
        <f t="shared" si="20"/>
        <v>#N/A</v>
      </c>
      <c r="AG14" t="e">
        <f t="shared" si="21"/>
        <v>#N/A</v>
      </c>
      <c r="AH14" t="e">
        <f t="shared" si="22"/>
        <v>#N/A</v>
      </c>
      <c r="AI14" t="e">
        <f t="shared" si="23"/>
        <v>#N/A</v>
      </c>
      <c r="AJ14" t="e">
        <f t="shared" si="24"/>
        <v>#N/A</v>
      </c>
    </row>
    <row r="15">
      <c r="A15" s="2" t="n">
        <v>43252</v>
      </c>
      <c r="B15" t="n">
        <v>594775</v>
      </c>
      <c r="C15" t="n">
        <v>313022</v>
      </c>
      <c r="D15" t="n">
        <v>113.2</v>
      </c>
      <c r="E15" t="n">
        <v>12478.009327</v>
      </c>
      <c r="F15" t="n">
        <v>3962108.26932037</v>
      </c>
      <c r="G15" t="n">
        <v>0.0543996186481243</v>
      </c>
      <c r="H15" t="n">
        <v>0.653505</v>
      </c>
      <c r="I15" t="n">
        <v>0.0203</v>
      </c>
      <c r="J15" t="n">
        <v>0.0274033333333333</v>
      </c>
      <c r="K15" t="s">
        <v>178</v>
      </c>
      <c r="L15" t="e">
        <f t="shared" si="0"/>
        <v>#N/A</v>
      </c>
      <c r="M15" t="e">
        <f t="shared" si="1"/>
        <v>#N/A</v>
      </c>
      <c r="N15" t="e">
        <f t="shared" si="2"/>
        <v>#N/A</v>
      </c>
      <c r="O15" t="n">
        <f t="shared" si="3"/>
        <v>0</v>
      </c>
      <c r="P15" t="n">
        <f t="shared" si="4"/>
        <v>0</v>
      </c>
      <c r="Q15" t="n">
        <f t="shared" si="5"/>
        <v>0</v>
      </c>
      <c r="R15" t="n">
        <f t="shared" si="6"/>
        <v>0</v>
      </c>
      <c r="S15" t="e">
        <f t="shared" si="7"/>
        <v>#N/A</v>
      </c>
      <c r="T15" t="e">
        <f t="shared" si="8"/>
        <v>#N/A</v>
      </c>
      <c r="U15" t="e">
        <f t="shared" si="9"/>
        <v>#N/A</v>
      </c>
      <c r="V15" t="e">
        <f t="shared" si="10"/>
        <v>#N/A</v>
      </c>
      <c r="W15" t="e">
        <f t="shared" si="11"/>
        <v>#N/A</v>
      </c>
      <c r="X15" t="e">
        <f t="shared" si="12"/>
        <v>#N/A</v>
      </c>
      <c r="Y15" t="e">
        <f t="shared" si="13"/>
        <v>#N/A</v>
      </c>
      <c r="Z15" t="e">
        <f t="shared" si="14"/>
        <v>#N/A</v>
      </c>
      <c r="AA15" t="e">
        <f t="shared" si="15"/>
        <v>#N/A</v>
      </c>
      <c r="AB15" t="e">
        <f t="shared" si="16"/>
        <v>#N/A</v>
      </c>
      <c r="AC15" t="e">
        <f t="shared" si="17"/>
        <v>#N/A</v>
      </c>
      <c r="AD15" t="e">
        <f t="shared" si="18"/>
        <v>#N/A</v>
      </c>
      <c r="AE15" t="e">
        <f t="shared" si="19"/>
        <v>#N/A</v>
      </c>
      <c r="AF15" t="e">
        <f t="shared" si="20"/>
        <v>#N/A</v>
      </c>
      <c r="AG15" t="e">
        <f t="shared" si="21"/>
        <v>#N/A</v>
      </c>
      <c r="AH15" t="e">
        <f t="shared" si="22"/>
        <v>#N/A</v>
      </c>
      <c r="AI15" t="e">
        <f t="shared" si="23"/>
        <v>#N/A</v>
      </c>
      <c r="AJ15" t="e">
        <f t="shared" si="24"/>
        <v>#N/A</v>
      </c>
    </row>
    <row r="16">
      <c r="A16" s="2" t="n">
        <v>43344</v>
      </c>
      <c r="B16" t="n">
        <v>597020</v>
      </c>
      <c r="C16" t="n">
        <v>313517</v>
      </c>
      <c r="D16" t="n">
        <v>113.5</v>
      </c>
      <c r="E16" t="n">
        <v>12570.276526</v>
      </c>
      <c r="F16" t="n">
        <v>3993100.25909113</v>
      </c>
      <c r="G16" t="n">
        <v>0.0518595543565067</v>
      </c>
      <c r="H16" t="n">
        <v>0.65384</v>
      </c>
      <c r="I16" t="n">
        <v>0.0197</v>
      </c>
      <c r="J16" t="n">
        <v>0.0261933333333333</v>
      </c>
      <c r="K16" t="s">
        <v>178</v>
      </c>
      <c r="L16" t="e">
        <f t="shared" si="0"/>
        <v>#N/A</v>
      </c>
      <c r="M16" t="e">
        <f t="shared" si="1"/>
        <v>#N/A</v>
      </c>
      <c r="N16" t="e">
        <f t="shared" si="2"/>
        <v>#N/A</v>
      </c>
      <c r="O16" t="n">
        <f t="shared" si="3"/>
        <v>0</v>
      </c>
      <c r="P16" t="n">
        <f t="shared" si="4"/>
        <v>0</v>
      </c>
      <c r="Q16" t="n">
        <f t="shared" si="5"/>
        <v>0</v>
      </c>
      <c r="R16" t="n">
        <f t="shared" si="6"/>
        <v>0</v>
      </c>
      <c r="S16" t="e">
        <f t="shared" si="7"/>
        <v>#N/A</v>
      </c>
      <c r="T16" t="e">
        <f t="shared" si="8"/>
        <v>#N/A</v>
      </c>
      <c r="U16" t="e">
        <f t="shared" si="9"/>
        <v>#N/A</v>
      </c>
      <c r="V16" t="e">
        <f t="shared" si="10"/>
        <v>#N/A</v>
      </c>
      <c r="W16" t="e">
        <f t="shared" si="11"/>
        <v>#N/A</v>
      </c>
      <c r="X16" t="e">
        <f t="shared" si="12"/>
        <v>#N/A</v>
      </c>
      <c r="Y16" t="e">
        <f t="shared" si="13"/>
        <v>#N/A</v>
      </c>
      <c r="Z16" t="e">
        <f t="shared" si="14"/>
        <v>#N/A</v>
      </c>
      <c r="AA16" t="e">
        <f t="shared" si="15"/>
        <v>#N/A</v>
      </c>
      <c r="AB16" t="e">
        <f t="shared" si="16"/>
        <v>#N/A</v>
      </c>
      <c r="AC16" t="e">
        <f t="shared" si="17"/>
        <v>#N/A</v>
      </c>
      <c r="AD16" t="e">
        <f t="shared" si="18"/>
        <v>#N/A</v>
      </c>
      <c r="AE16" t="e">
        <f t="shared" si="19"/>
        <v>#N/A</v>
      </c>
      <c r="AF16" t="e">
        <f t="shared" si="20"/>
        <v>#N/A</v>
      </c>
      <c r="AG16" t="e">
        <f t="shared" si="21"/>
        <v>#N/A</v>
      </c>
      <c r="AH16" t="e">
        <f t="shared" si="22"/>
        <v>#N/A</v>
      </c>
      <c r="AI16" t="e">
        <f t="shared" si="23"/>
        <v>#N/A</v>
      </c>
      <c r="AJ16" t="e">
        <f t="shared" si="24"/>
        <v>#N/A</v>
      </c>
    </row>
    <row r="17">
      <c r="A17" s="2" t="n">
        <v>43435</v>
      </c>
      <c r="B17" t="n">
        <v>598542</v>
      </c>
      <c r="C17" t="n">
        <v>314333</v>
      </c>
      <c r="D17" t="n">
        <v>114</v>
      </c>
      <c r="E17" t="n">
        <v>12646.703814</v>
      </c>
      <c r="F17" t="n">
        <v>3984524.6349049</v>
      </c>
      <c r="G17" t="n">
        <v>0.0504399106899071</v>
      </c>
      <c r="H17" t="n">
        <v>0.654362</v>
      </c>
      <c r="I17" t="n">
        <v>0.019633</v>
      </c>
      <c r="J17" t="n">
        <v>0.0259866666666667</v>
      </c>
      <c r="K17" t="s">
        <v>178</v>
      </c>
      <c r="L17" t="e">
        <f t="shared" si="0"/>
        <v>#N/A</v>
      </c>
      <c r="M17" t="e">
        <f t="shared" si="1"/>
        <v>#N/A</v>
      </c>
      <c r="N17" t="e">
        <f t="shared" si="2"/>
        <v>#N/A</v>
      </c>
      <c r="O17" t="n">
        <f t="shared" si="3"/>
        <v>0</v>
      </c>
      <c r="P17" t="n">
        <f t="shared" si="4"/>
        <v>0</v>
      </c>
      <c r="Q17" t="n">
        <f t="shared" si="5"/>
        <v>0</v>
      </c>
      <c r="R17" t="n">
        <f t="shared" si="6"/>
        <v>0</v>
      </c>
      <c r="S17" t="e">
        <f t="shared" si="7"/>
        <v>#N/A</v>
      </c>
      <c r="T17" t="e">
        <f t="shared" si="8"/>
        <v>#N/A</v>
      </c>
      <c r="U17" t="e">
        <f t="shared" si="9"/>
        <v>#N/A</v>
      </c>
      <c r="V17" t="e">
        <f t="shared" si="10"/>
        <v>#N/A</v>
      </c>
      <c r="W17" t="e">
        <f t="shared" si="11"/>
        <v>#N/A</v>
      </c>
      <c r="X17" t="e">
        <f t="shared" si="12"/>
        <v>#N/A</v>
      </c>
      <c r="Y17" t="e">
        <f t="shared" si="13"/>
        <v>#N/A</v>
      </c>
      <c r="Z17" t="e">
        <f t="shared" si="14"/>
        <v>#N/A</v>
      </c>
      <c r="AA17" t="e">
        <f t="shared" si="15"/>
        <v>#N/A</v>
      </c>
      <c r="AB17" t="e">
        <f t="shared" si="16"/>
        <v>#N/A</v>
      </c>
      <c r="AC17" t="e">
        <f t="shared" si="17"/>
        <v>#N/A</v>
      </c>
      <c r="AD17" t="e">
        <f t="shared" si="18"/>
        <v>#N/A</v>
      </c>
      <c r="AE17" t="e">
        <f t="shared" si="19"/>
        <v>#N/A</v>
      </c>
      <c r="AF17" t="e">
        <f t="shared" si="20"/>
        <v>#N/A</v>
      </c>
      <c r="AG17" t="e">
        <f t="shared" si="21"/>
        <v>#N/A</v>
      </c>
      <c r="AH17" t="e">
        <f t="shared" si="22"/>
        <v>#N/A</v>
      </c>
      <c r="AI17" t="e">
        <f t="shared" si="23"/>
        <v>#N/A</v>
      </c>
      <c r="AJ17" t="e">
        <f t="shared" si="24"/>
        <v>#N/A</v>
      </c>
    </row>
    <row r="18">
      <c r="A18" s="2" t="n">
        <v>43525</v>
      </c>
      <c r="B18" t="n">
        <v>602883</v>
      </c>
      <c r="C18" t="n">
        <v>315449</v>
      </c>
      <c r="D18" t="n">
        <v>114.1</v>
      </c>
      <c r="E18" t="n">
        <v>12729.579042</v>
      </c>
      <c r="F18" t="n">
        <v>4051144.0522932</v>
      </c>
      <c r="G18" t="n">
        <v>0.0504307754410345</v>
      </c>
      <c r="H18" t="n">
        <v>0.655638</v>
      </c>
      <c r="I18" t="n">
        <v>0.019533</v>
      </c>
      <c r="J18" t="n">
        <v>0.02118</v>
      </c>
      <c r="K18" t="s">
        <v>178</v>
      </c>
      <c r="L18" t="e">
        <f t="shared" si="0"/>
        <v>#N/A</v>
      </c>
      <c r="M18" t="e">
        <f t="shared" si="1"/>
        <v>#N/A</v>
      </c>
      <c r="N18" t="e">
        <f t="shared" si="2"/>
        <v>#N/A</v>
      </c>
      <c r="O18" t="n">
        <f t="shared" si="3"/>
        <v>0</v>
      </c>
      <c r="P18" t="n">
        <f t="shared" si="4"/>
        <v>0</v>
      </c>
      <c r="Q18" t="n">
        <f t="shared" si="5"/>
        <v>0</v>
      </c>
      <c r="R18" t="n">
        <f t="shared" si="6"/>
        <v>0</v>
      </c>
      <c r="S18" t="e">
        <f t="shared" si="7"/>
        <v>#N/A</v>
      </c>
      <c r="T18" t="e">
        <f t="shared" si="8"/>
        <v>#N/A</v>
      </c>
      <c r="U18" t="e">
        <f t="shared" si="9"/>
        <v>#N/A</v>
      </c>
      <c r="V18" t="e">
        <f t="shared" si="10"/>
        <v>#N/A</v>
      </c>
      <c r="W18" t="e">
        <f t="shared" si="11"/>
        <v>#N/A</v>
      </c>
      <c r="X18" t="e">
        <f t="shared" si="12"/>
        <v>#N/A</v>
      </c>
      <c r="Y18" t="e">
        <f t="shared" si="13"/>
        <v>#N/A</v>
      </c>
      <c r="Z18" t="e">
        <f t="shared" si="14"/>
        <v>#N/A</v>
      </c>
      <c r="AA18" t="e">
        <f t="shared" si="15"/>
        <v>#N/A</v>
      </c>
      <c r="AB18" t="e">
        <f t="shared" si="16"/>
        <v>#N/A</v>
      </c>
      <c r="AC18" t="e">
        <f t="shared" si="17"/>
        <v>#N/A</v>
      </c>
      <c r="AD18" t="e">
        <f t="shared" si="18"/>
        <v>#N/A</v>
      </c>
      <c r="AE18" t="e">
        <f t="shared" si="19"/>
        <v>#N/A</v>
      </c>
      <c r="AF18" t="e">
        <f t="shared" si="20"/>
        <v>#N/A</v>
      </c>
      <c r="AG18" t="e">
        <f t="shared" si="21"/>
        <v>#N/A</v>
      </c>
      <c r="AH18" t="e">
        <f t="shared" si="22"/>
        <v>#N/A</v>
      </c>
      <c r="AI18" t="e">
        <f t="shared" si="23"/>
        <v>#N/A</v>
      </c>
      <c r="AJ18" t="e">
        <f t="shared" si="24"/>
        <v>#N/A</v>
      </c>
    </row>
    <row r="19">
      <c r="A19" s="2" t="n">
        <v>43617</v>
      </c>
      <c r="B19" t="n">
        <v>604726</v>
      </c>
      <c r="C19" t="n">
        <v>316413</v>
      </c>
      <c r="D19" t="n">
        <v>114.9</v>
      </c>
      <c r="E19" t="n">
        <v>12793.659652</v>
      </c>
      <c r="F19" t="n">
        <v>4000342.17902584</v>
      </c>
      <c r="G19" t="n">
        <v>0.0522382976142941</v>
      </c>
      <c r="H19" t="n">
        <v>0.657779</v>
      </c>
      <c r="I19" t="n">
        <v>0.015033</v>
      </c>
      <c r="J19" t="n">
        <v>0.0163533333333333</v>
      </c>
      <c r="K19" t="s">
        <v>178</v>
      </c>
      <c r="L19" t="e">
        <f t="shared" si="0"/>
        <v>#N/A</v>
      </c>
      <c r="M19" t="e">
        <f t="shared" si="1"/>
        <v>#N/A</v>
      </c>
      <c r="N19" t="e">
        <f t="shared" si="2"/>
        <v>#N/A</v>
      </c>
      <c r="O19" t="n">
        <f t="shared" si="3"/>
        <v>0</v>
      </c>
      <c r="P19" t="n">
        <f t="shared" si="4"/>
        <v>0</v>
      </c>
      <c r="Q19" t="n">
        <f t="shared" si="5"/>
        <v>0</v>
      </c>
      <c r="R19" t="n">
        <f t="shared" si="6"/>
        <v>0</v>
      </c>
      <c r="S19" t="e">
        <f t="shared" si="7"/>
        <v>#N/A</v>
      </c>
      <c r="T19" t="e">
        <f t="shared" si="8"/>
        <v>#N/A</v>
      </c>
      <c r="U19" t="e">
        <f t="shared" si="9"/>
        <v>#N/A</v>
      </c>
      <c r="V19" t="e">
        <f t="shared" si="10"/>
        <v>#N/A</v>
      </c>
      <c r="W19" t="e">
        <f t="shared" si="11"/>
        <v>#N/A</v>
      </c>
      <c r="X19" t="e">
        <f t="shared" si="12"/>
        <v>#N/A</v>
      </c>
      <c r="Y19" t="e">
        <f t="shared" si="13"/>
        <v>#N/A</v>
      </c>
      <c r="Z19" t="e">
        <f t="shared" si="14"/>
        <v>#N/A</v>
      </c>
      <c r="AA19" t="e">
        <f t="shared" si="15"/>
        <v>#N/A</v>
      </c>
      <c r="AB19" t="e">
        <f t="shared" si="16"/>
        <v>#N/A</v>
      </c>
      <c r="AC19" t="e">
        <f t="shared" si="17"/>
        <v>#N/A</v>
      </c>
      <c r="AD19" t="e">
        <f t="shared" si="18"/>
        <v>#N/A</v>
      </c>
      <c r="AE19" t="e">
        <f t="shared" si="19"/>
        <v>#N/A</v>
      </c>
      <c r="AF19" t="e">
        <f t="shared" si="20"/>
        <v>#N/A</v>
      </c>
      <c r="AG19" t="e">
        <f t="shared" si="21"/>
        <v>#N/A</v>
      </c>
      <c r="AH19" t="e">
        <f t="shared" si="22"/>
        <v>#N/A</v>
      </c>
      <c r="AI19" t="e">
        <f t="shared" si="23"/>
        <v>#N/A</v>
      </c>
      <c r="AJ19" t="e">
        <f t="shared" si="24"/>
        <v>#N/A</v>
      </c>
    </row>
    <row r="20">
      <c r="A20" s="2" t="n">
        <v>43709</v>
      </c>
      <c r="B20" t="n">
        <v>608257</v>
      </c>
      <c r="C20" t="n">
        <v>315922</v>
      </c>
      <c r="D20" t="n">
        <v>115.4</v>
      </c>
      <c r="E20" t="n">
        <v>12874.640957</v>
      </c>
      <c r="F20" t="n">
        <v>4035359.15837796</v>
      </c>
      <c r="G20" t="n">
        <v>0.0525426238659941</v>
      </c>
      <c r="H20" t="n">
        <v>0.659533</v>
      </c>
      <c r="I20" t="n">
        <v>0.010233</v>
      </c>
      <c r="J20" t="n">
        <v>0.0110466666666667</v>
      </c>
      <c r="K20" t="s">
        <v>178</v>
      </c>
      <c r="L20" t="e">
        <f t="shared" si="0"/>
        <v>#N/A</v>
      </c>
      <c r="M20" t="e">
        <f t="shared" si="1"/>
        <v>#N/A</v>
      </c>
      <c r="N20" t="e">
        <f t="shared" si="2"/>
        <v>#N/A</v>
      </c>
      <c r="O20" t="n">
        <f t="shared" si="3"/>
        <v>0</v>
      </c>
      <c r="P20" t="n">
        <f t="shared" si="4"/>
        <v>0</v>
      </c>
      <c r="Q20" t="n">
        <f t="shared" si="5"/>
        <v>0</v>
      </c>
      <c r="R20" t="n">
        <f t="shared" si="6"/>
        <v>0</v>
      </c>
      <c r="S20" t="e">
        <f t="shared" si="7"/>
        <v>#N/A</v>
      </c>
      <c r="T20" t="e">
        <f t="shared" si="8"/>
        <v>#N/A</v>
      </c>
      <c r="U20" t="e">
        <f t="shared" si="9"/>
        <v>#N/A</v>
      </c>
      <c r="V20" t="e">
        <f t="shared" si="10"/>
        <v>#N/A</v>
      </c>
      <c r="W20" t="e">
        <f t="shared" si="11"/>
        <v>#N/A</v>
      </c>
      <c r="X20" t="e">
        <f t="shared" si="12"/>
        <v>#N/A</v>
      </c>
      <c r="Y20" t="e">
        <f t="shared" si="13"/>
        <v>#N/A</v>
      </c>
      <c r="Z20" t="e">
        <f t="shared" si="14"/>
        <v>#N/A</v>
      </c>
      <c r="AA20" t="e">
        <f t="shared" si="15"/>
        <v>#N/A</v>
      </c>
      <c r="AB20" t="e">
        <f t="shared" si="16"/>
        <v>#N/A</v>
      </c>
      <c r="AC20" t="e">
        <f t="shared" si="17"/>
        <v>#N/A</v>
      </c>
      <c r="AD20" t="e">
        <f t="shared" si="18"/>
        <v>#N/A</v>
      </c>
      <c r="AE20" t="e">
        <f t="shared" si="19"/>
        <v>#N/A</v>
      </c>
      <c r="AF20" t="e">
        <f t="shared" si="20"/>
        <v>#N/A</v>
      </c>
      <c r="AG20" t="e">
        <f t="shared" si="21"/>
        <v>#N/A</v>
      </c>
      <c r="AH20" t="e">
        <f t="shared" si="22"/>
        <v>#N/A</v>
      </c>
      <c r="AI20" t="e">
        <f t="shared" si="23"/>
        <v>#N/A</v>
      </c>
      <c r="AJ20" t="e">
        <f t="shared" si="24"/>
        <v>#N/A</v>
      </c>
    </row>
    <row r="21">
      <c r="A21" s="2" t="n">
        <v>43800</v>
      </c>
      <c r="B21" t="n">
        <v>611850</v>
      </c>
      <c r="C21" t="n">
        <v>316940</v>
      </c>
      <c r="D21" t="n">
        <v>116.1</v>
      </c>
      <c r="E21" t="n">
        <v>12884.316473</v>
      </c>
      <c r="F21" t="n">
        <v>4035883.24807196</v>
      </c>
      <c r="G21" t="n">
        <v>0.0517266784772572</v>
      </c>
      <c r="H21" t="n">
        <v>0.656882</v>
      </c>
      <c r="I21" t="n">
        <v>0.008967</v>
      </c>
      <c r="J21" t="n">
        <v>0.0113033333333333</v>
      </c>
      <c r="K21" t="s">
        <v>178</v>
      </c>
      <c r="L21" t="e">
        <f t="shared" si="0"/>
        <v>#N/A</v>
      </c>
      <c r="M21" t="e">
        <f t="shared" si="1"/>
        <v>#N/A</v>
      </c>
      <c r="N21" t="e">
        <f t="shared" si="2"/>
        <v>#N/A</v>
      </c>
      <c r="O21" t="n">
        <f t="shared" si="3"/>
        <v>0</v>
      </c>
      <c r="P21" t="n">
        <f t="shared" si="4"/>
        <v>0</v>
      </c>
      <c r="Q21" t="n">
        <f t="shared" si="5"/>
        <v>0</v>
      </c>
      <c r="R21" t="n">
        <f t="shared" si="6"/>
        <v>0</v>
      </c>
      <c r="S21" t="e">
        <f t="shared" si="7"/>
        <v>#N/A</v>
      </c>
      <c r="T21" t="e">
        <f t="shared" si="8"/>
        <v>#N/A</v>
      </c>
      <c r="U21" t="e">
        <f t="shared" si="9"/>
        <v>#N/A</v>
      </c>
      <c r="V21" t="e">
        <f t="shared" si="10"/>
        <v>#N/A</v>
      </c>
      <c r="W21" t="e">
        <f t="shared" si="11"/>
        <v>#N/A</v>
      </c>
      <c r="X21" t="e">
        <f t="shared" si="12"/>
        <v>#N/A</v>
      </c>
      <c r="Y21" t="e">
        <f t="shared" si="13"/>
        <v>#N/A</v>
      </c>
      <c r="Z21" t="e">
        <f t="shared" si="14"/>
        <v>#N/A</v>
      </c>
      <c r="AA21" t="e">
        <f t="shared" si="15"/>
        <v>#N/A</v>
      </c>
      <c r="AB21" t="e">
        <f t="shared" si="16"/>
        <v>#N/A</v>
      </c>
      <c r="AC21" t="e">
        <f t="shared" si="17"/>
        <v>#N/A</v>
      </c>
      <c r="AD21" t="e">
        <f t="shared" si="18"/>
        <v>#N/A</v>
      </c>
      <c r="AE21" t="e">
        <f t="shared" si="19"/>
        <v>#N/A</v>
      </c>
      <c r="AF21" t="e">
        <f t="shared" si="20"/>
        <v>#N/A</v>
      </c>
      <c r="AG21" t="e">
        <f t="shared" si="21"/>
        <v>#N/A</v>
      </c>
      <c r="AH21" t="e">
        <f t="shared" si="22"/>
        <v>#N/A</v>
      </c>
      <c r="AI21" t="e">
        <f t="shared" si="23"/>
        <v>#N/A</v>
      </c>
      <c r="AJ21" t="e">
        <f t="shared" si="24"/>
        <v>#N/A</v>
      </c>
    </row>
    <row r="22">
      <c r="A22" s="2" t="n">
        <v>43891</v>
      </c>
      <c r="B22" t="n">
        <v>610510</v>
      </c>
      <c r="C22" t="n">
        <v>312729</v>
      </c>
      <c r="D22" t="n">
        <v>116.7</v>
      </c>
      <c r="E22" t="n">
        <v>12929.135971</v>
      </c>
      <c r="F22" t="n">
        <v>3973874.15565184</v>
      </c>
      <c r="G22" t="n">
        <v>0.0518602080022416</v>
      </c>
      <c r="H22" t="n">
        <v>0.656401</v>
      </c>
      <c r="I22" t="n">
        <v>0.0077</v>
      </c>
      <c r="J22" t="n">
        <v>0.01009</v>
      </c>
      <c r="K22" t="s">
        <v>178</v>
      </c>
      <c r="L22" t="e">
        <f t="shared" si="0"/>
        <v>#N/A</v>
      </c>
      <c r="M22" t="e">
        <f t="shared" si="1"/>
        <v>#N/A</v>
      </c>
      <c r="N22" t="e">
        <f t="shared" si="2"/>
        <v>#N/A</v>
      </c>
      <c r="O22" t="n">
        <f t="shared" si="3"/>
        <v>0</v>
      </c>
      <c r="P22" t="n">
        <f t="shared" si="4"/>
        <v>0</v>
      </c>
      <c r="Q22" t="n">
        <f t="shared" si="5"/>
        <v>0</v>
      </c>
      <c r="R22" t="n">
        <f t="shared" si="6"/>
        <v>0</v>
      </c>
      <c r="S22" t="e">
        <f t="shared" si="7"/>
        <v>#N/A</v>
      </c>
      <c r="T22" t="e">
        <f t="shared" si="8"/>
        <v>#N/A</v>
      </c>
      <c r="U22" t="e">
        <f t="shared" si="9"/>
        <v>#N/A</v>
      </c>
      <c r="V22" t="e">
        <f t="shared" si="10"/>
        <v>#N/A</v>
      </c>
      <c r="W22" t="e">
        <f t="shared" si="11"/>
        <v>#N/A</v>
      </c>
      <c r="X22" t="e">
        <f t="shared" si="12"/>
        <v>#N/A</v>
      </c>
      <c r="Y22" t="e">
        <f t="shared" si="13"/>
        <v>#N/A</v>
      </c>
      <c r="Z22" t="e">
        <f t="shared" si="14"/>
        <v>#N/A</v>
      </c>
      <c r="AA22" t="e">
        <f t="shared" si="15"/>
        <v>#N/A</v>
      </c>
      <c r="AB22" t="e">
        <f t="shared" si="16"/>
        <v>#N/A</v>
      </c>
      <c r="AC22" t="e">
        <f t="shared" si="17"/>
        <v>#N/A</v>
      </c>
      <c r="AD22" t="e">
        <f t="shared" si="18"/>
        <v>#N/A</v>
      </c>
      <c r="AE22" t="e">
        <f t="shared" si="19"/>
        <v>#N/A</v>
      </c>
      <c r="AF22" t="e">
        <f t="shared" si="20"/>
        <v>#N/A</v>
      </c>
      <c r="AG22" t="e">
        <f t="shared" si="21"/>
        <v>#N/A</v>
      </c>
      <c r="AH22" t="e">
        <f t="shared" si="22"/>
        <v>#N/A</v>
      </c>
      <c r="AI22" t="e">
        <f t="shared" si="23"/>
        <v>#N/A</v>
      </c>
      <c r="AJ22" t="e">
        <f t="shared" si="24"/>
        <v>#N/A</v>
      </c>
    </row>
    <row r="23">
      <c r="A23" s="2" t="n">
        <v>43983</v>
      </c>
      <c r="B23" t="n">
        <v>569344</v>
      </c>
      <c r="C23" t="n">
        <v>272877</v>
      </c>
      <c r="D23" t="n">
        <v>114.5</v>
      </c>
      <c r="E23" t="n">
        <v>12225.515873</v>
      </c>
      <c r="F23" t="n">
        <v>3562780.60234676</v>
      </c>
      <c r="G23" t="n">
        <v>0.0690281934928773</v>
      </c>
      <c r="H23" t="n">
        <v>0.630689</v>
      </c>
      <c r="I23" t="n">
        <v>0.001233</v>
      </c>
      <c r="J23" t="n">
        <v>0.00895</v>
      </c>
      <c r="K23" t="s">
        <v>178</v>
      </c>
      <c r="L23" t="e">
        <f t="shared" si="0"/>
        <v>#N/A</v>
      </c>
      <c r="M23" t="e">
        <f t="shared" si="1"/>
        <v>#N/A</v>
      </c>
      <c r="N23" t="e">
        <f t="shared" si="2"/>
        <v>#N/A</v>
      </c>
      <c r="O23" t="n">
        <f t="shared" si="3"/>
        <v>0</v>
      </c>
      <c r="P23" t="n">
        <f t="shared" si="4"/>
        <v>0</v>
      </c>
      <c r="Q23" t="n">
        <f t="shared" si="5"/>
        <v>0</v>
      </c>
      <c r="R23" t="n">
        <f t="shared" si="6"/>
        <v>0</v>
      </c>
      <c r="S23" t="e">
        <f t="shared" si="7"/>
        <v>#N/A</v>
      </c>
      <c r="T23" t="e">
        <f t="shared" si="8"/>
        <v>#N/A</v>
      </c>
      <c r="U23" t="e">
        <f t="shared" si="9"/>
        <v>#N/A</v>
      </c>
      <c r="V23" t="e">
        <f t="shared" si="10"/>
        <v>#N/A</v>
      </c>
      <c r="W23" t="e">
        <f t="shared" si="11"/>
        <v>#N/A</v>
      </c>
      <c r="X23" t="e">
        <f t="shared" si="12"/>
        <v>#N/A</v>
      </c>
      <c r="Y23" t="e">
        <f t="shared" si="13"/>
        <v>#N/A</v>
      </c>
      <c r="Z23" t="e">
        <f t="shared" si="14"/>
        <v>#N/A</v>
      </c>
      <c r="AA23" t="e">
        <f t="shared" si="15"/>
        <v>#N/A</v>
      </c>
      <c r="AB23" t="e">
        <f t="shared" si="16"/>
        <v>#N/A</v>
      </c>
      <c r="AC23" t="e">
        <f t="shared" si="17"/>
        <v>#N/A</v>
      </c>
      <c r="AD23" t="e">
        <f t="shared" si="18"/>
        <v>#N/A</v>
      </c>
      <c r="AE23" t="e">
        <f t="shared" si="19"/>
        <v>#N/A</v>
      </c>
      <c r="AF23" t="e">
        <f t="shared" si="20"/>
        <v>#N/A</v>
      </c>
      <c r="AG23" t="e">
        <f t="shared" si="21"/>
        <v>#N/A</v>
      </c>
      <c r="AH23" t="e">
        <f t="shared" si="22"/>
        <v>#N/A</v>
      </c>
      <c r="AI23" t="e">
        <f t="shared" si="23"/>
        <v>#N/A</v>
      </c>
      <c r="AJ23" t="e">
        <f t="shared" si="24"/>
        <v>#N/A</v>
      </c>
    </row>
    <row r="24">
      <c r="A24" s="2" t="n">
        <v>44075</v>
      </c>
      <c r="B24" t="n">
        <v>589128</v>
      </c>
      <c r="C24" t="n">
        <v>293617</v>
      </c>
      <c r="D24" t="n">
        <v>116.2</v>
      </c>
      <c r="E24" t="n">
        <v>12496.494381</v>
      </c>
      <c r="F24" t="n">
        <v>3756792.86297449</v>
      </c>
      <c r="G24" t="n">
        <v>0.0705323842145587</v>
      </c>
      <c r="H24" t="n">
        <v>0.645676</v>
      </c>
      <c r="I24" t="n">
        <v>0.000967</v>
      </c>
      <c r="J24" t="n">
        <v>0.00898666666666667</v>
      </c>
      <c r="K24" t="s">
        <v>178</v>
      </c>
      <c r="L24" t="e">
        <f t="shared" si="0"/>
        <v>#N/A</v>
      </c>
      <c r="M24" t="e">
        <f t="shared" si="1"/>
        <v>#N/A</v>
      </c>
      <c r="N24" t="e">
        <f t="shared" si="2"/>
        <v>#N/A</v>
      </c>
      <c r="O24" t="n">
        <f t="shared" si="3"/>
        <v>0</v>
      </c>
      <c r="P24" t="n">
        <f t="shared" si="4"/>
        <v>0</v>
      </c>
      <c r="Q24" t="n">
        <f t="shared" si="5"/>
        <v>0</v>
      </c>
      <c r="R24" t="n">
        <f t="shared" si="6"/>
        <v>0</v>
      </c>
      <c r="S24" t="e">
        <f t="shared" si="7"/>
        <v>#N/A</v>
      </c>
      <c r="T24" t="e">
        <f t="shared" si="8"/>
        <v>#N/A</v>
      </c>
      <c r="U24" t="e">
        <f t="shared" si="9"/>
        <v>#N/A</v>
      </c>
      <c r="V24" t="e">
        <f t="shared" si="10"/>
        <v>#N/A</v>
      </c>
      <c r="W24" t="e">
        <f t="shared" si="11"/>
        <v>#N/A</v>
      </c>
      <c r="X24" t="e">
        <f t="shared" si="12"/>
        <v>#N/A</v>
      </c>
      <c r="Y24" t="e">
        <f t="shared" si="13"/>
        <v>#N/A</v>
      </c>
      <c r="Z24" t="e">
        <f t="shared" si="14"/>
        <v>#N/A</v>
      </c>
      <c r="AA24" t="e">
        <f t="shared" si="15"/>
        <v>#N/A</v>
      </c>
      <c r="AB24" t="e">
        <f t="shared" si="16"/>
        <v>#N/A</v>
      </c>
      <c r="AC24" t="e">
        <f t="shared" si="17"/>
        <v>#N/A</v>
      </c>
      <c r="AD24" t="e">
        <f t="shared" si="18"/>
        <v>#N/A</v>
      </c>
      <c r="AE24" t="e">
        <f t="shared" si="19"/>
        <v>#N/A</v>
      </c>
      <c r="AF24" t="e">
        <f t="shared" si="20"/>
        <v>#N/A</v>
      </c>
      <c r="AG24" t="e">
        <f t="shared" si="21"/>
        <v>#N/A</v>
      </c>
      <c r="AH24" t="e">
        <f t="shared" si="22"/>
        <v>#N/A</v>
      </c>
      <c r="AI24" t="e">
        <f t="shared" si="23"/>
        <v>#N/A</v>
      </c>
      <c r="AJ24" t="e">
        <f t="shared" si="24"/>
        <v>#N/A</v>
      </c>
    </row>
    <row r="25">
      <c r="A25" s="2" t="n">
        <v>44166</v>
      </c>
      <c r="B25" t="n">
        <v>609184</v>
      </c>
      <c r="C25" t="n">
        <v>307188</v>
      </c>
      <c r="D25" t="n">
        <v>117.2</v>
      </c>
      <c r="E25" t="n">
        <v>12733.051407</v>
      </c>
      <c r="F25" t="n">
        <v>3861754.74334653</v>
      </c>
      <c r="G25" t="n">
        <v>0.0677508883121203</v>
      </c>
      <c r="H25" t="n">
        <v>0.655935</v>
      </c>
      <c r="I25" t="n">
        <v>0.000367</v>
      </c>
      <c r="J25" t="n">
        <v>0.00878</v>
      </c>
      <c r="K25" t="s">
        <v>178</v>
      </c>
      <c r="L25" t="e">
        <f t="shared" si="0"/>
        <v>#N/A</v>
      </c>
      <c r="M25" t="e">
        <f t="shared" si="1"/>
        <v>#N/A</v>
      </c>
      <c r="N25" t="e">
        <f t="shared" si="2"/>
        <v>#N/A</v>
      </c>
      <c r="O25" t="n">
        <f t="shared" si="3"/>
        <v>0</v>
      </c>
      <c r="P25" t="n">
        <f t="shared" si="4"/>
        <v>0</v>
      </c>
      <c r="Q25" t="n">
        <f t="shared" si="5"/>
        <v>0</v>
      </c>
      <c r="R25" t="n">
        <f t="shared" si="6"/>
        <v>0</v>
      </c>
      <c r="S25" t="e">
        <f t="shared" si="7"/>
        <v>#N/A</v>
      </c>
      <c r="T25" t="e">
        <f t="shared" si="8"/>
        <v>#N/A</v>
      </c>
      <c r="U25" t="e">
        <f t="shared" si="9"/>
        <v>#N/A</v>
      </c>
      <c r="V25" t="e">
        <f t="shared" si="10"/>
        <v>#N/A</v>
      </c>
      <c r="W25" t="e">
        <f t="shared" si="11"/>
        <v>#N/A</v>
      </c>
      <c r="X25" t="e">
        <f t="shared" si="12"/>
        <v>#N/A</v>
      </c>
      <c r="Y25" t="e">
        <f t="shared" si="13"/>
        <v>#N/A</v>
      </c>
      <c r="Z25" t="e">
        <f t="shared" si="14"/>
        <v>#N/A</v>
      </c>
      <c r="AA25" t="e">
        <f t="shared" si="15"/>
        <v>#N/A</v>
      </c>
      <c r="AB25" t="e">
        <f t="shared" si="16"/>
        <v>#N/A</v>
      </c>
      <c r="AC25" t="e">
        <f t="shared" si="17"/>
        <v>#N/A</v>
      </c>
      <c r="AD25" t="e">
        <f t="shared" si="18"/>
        <v>#N/A</v>
      </c>
      <c r="AE25" t="e">
        <f t="shared" si="19"/>
        <v>#N/A</v>
      </c>
      <c r="AF25" t="e">
        <f t="shared" si="20"/>
        <v>#N/A</v>
      </c>
      <c r="AG25" t="e">
        <f t="shared" si="21"/>
        <v>#N/A</v>
      </c>
      <c r="AH25" t="e">
        <f t="shared" si="22"/>
        <v>#N/A</v>
      </c>
      <c r="AI25" t="e">
        <f t="shared" si="23"/>
        <v>#N/A</v>
      </c>
      <c r="AJ25" t="e">
        <f t="shared" si="24"/>
        <v>#N/A</v>
      </c>
    </row>
    <row r="26">
      <c r="A26" s="2" t="n">
        <v>44256</v>
      </c>
      <c r="B26" t="n">
        <v>622355</v>
      </c>
      <c r="C26" t="n">
        <v>311619</v>
      </c>
      <c r="D26" t="n">
        <v>117.8</v>
      </c>
      <c r="E26" t="n">
        <v>12895.861091</v>
      </c>
      <c r="F26" t="n">
        <v>3921788.27411452</v>
      </c>
      <c r="G26" t="n">
        <v>0.0593127498965818</v>
      </c>
      <c r="H26" t="n">
        <v>0.657915</v>
      </c>
      <c r="I26" t="n">
        <v>0.000167</v>
      </c>
      <c r="J26" t="n">
        <v>0.0136466666666667</v>
      </c>
      <c r="K26" t="s">
        <v>178</v>
      </c>
      <c r="L26" t="e">
        <f t="shared" si="0"/>
        <v>#N/A</v>
      </c>
      <c r="M26" t="e">
        <f t="shared" si="1"/>
        <v>#N/A</v>
      </c>
      <c r="N26" t="e">
        <f t="shared" si="2"/>
        <v>#N/A</v>
      </c>
      <c r="O26" t="n">
        <f t="shared" si="3"/>
        <v>0</v>
      </c>
      <c r="P26" t="n">
        <f t="shared" si="4"/>
        <v>0</v>
      </c>
      <c r="Q26" t="n">
        <f t="shared" si="5"/>
        <v>0</v>
      </c>
      <c r="R26" t="n">
        <f t="shared" si="6"/>
        <v>0</v>
      </c>
      <c r="S26" t="e">
        <f t="shared" si="7"/>
        <v>#N/A</v>
      </c>
      <c r="T26" t="e">
        <f t="shared" si="8"/>
        <v>#N/A</v>
      </c>
      <c r="U26" t="e">
        <f t="shared" si="9"/>
        <v>#N/A</v>
      </c>
      <c r="V26" t="e">
        <f t="shared" si="10"/>
        <v>#N/A</v>
      </c>
      <c r="W26" t="e">
        <f t="shared" si="11"/>
        <v>#N/A</v>
      </c>
      <c r="X26" t="e">
        <f t="shared" si="12"/>
        <v>#N/A</v>
      </c>
      <c r="Y26" t="e">
        <f t="shared" si="13"/>
        <v>#N/A</v>
      </c>
      <c r="Z26" t="e">
        <f t="shared" si="14"/>
        <v>#N/A</v>
      </c>
      <c r="AA26" t="e">
        <f t="shared" si="15"/>
        <v>#N/A</v>
      </c>
      <c r="AB26" t="e">
        <f t="shared" si="16"/>
        <v>#N/A</v>
      </c>
      <c r="AC26" t="e">
        <f t="shared" si="17"/>
        <v>#N/A</v>
      </c>
      <c r="AD26" t="e">
        <f t="shared" si="18"/>
        <v>#N/A</v>
      </c>
      <c r="AE26" t="e">
        <f t="shared" si="19"/>
        <v>#N/A</v>
      </c>
      <c r="AF26" t="e">
        <f t="shared" si="20"/>
        <v>#N/A</v>
      </c>
      <c r="AG26" t="e">
        <f t="shared" si="21"/>
        <v>#N/A</v>
      </c>
      <c r="AH26" t="e">
        <f t="shared" si="22"/>
        <v>#N/A</v>
      </c>
      <c r="AI26" t="e">
        <f t="shared" si="23"/>
        <v>#N/A</v>
      </c>
      <c r="AJ26" t="e">
        <f t="shared" si="24"/>
        <v>#N/A</v>
      </c>
    </row>
    <row r="27">
      <c r="A27" s="2" t="n">
        <v>44348</v>
      </c>
      <c r="B27" t="n">
        <v>627461</v>
      </c>
      <c r="C27" t="n">
        <v>314822</v>
      </c>
      <c r="D27" t="n">
        <v>118.8</v>
      </c>
      <c r="E27" t="n">
        <v>13014.420581</v>
      </c>
      <c r="F27" t="n">
        <v>4004280.9019018</v>
      </c>
      <c r="G27" t="n">
        <v>0.0519670410869772</v>
      </c>
      <c r="H27" t="n">
        <v>0.657996</v>
      </c>
      <c r="I27" t="n">
        <v>0.000367</v>
      </c>
      <c r="J27" t="n">
        <v>0.0162233333333333</v>
      </c>
      <c r="K27" t="s">
        <v>178</v>
      </c>
      <c r="L27" t="e">
        <f t="shared" si="0"/>
        <v>#N/A</v>
      </c>
      <c r="M27" t="e">
        <f t="shared" si="1"/>
        <v>#N/A</v>
      </c>
      <c r="N27" t="e">
        <f t="shared" si="2"/>
        <v>#N/A</v>
      </c>
      <c r="O27" t="n">
        <f t="shared" si="3"/>
        <v>0</v>
      </c>
      <c r="P27" t="n">
        <f t="shared" si="4"/>
        <v>0</v>
      </c>
      <c r="Q27" t="n">
        <f t="shared" si="5"/>
        <v>0</v>
      </c>
      <c r="R27" t="n">
        <f t="shared" si="6"/>
        <v>0</v>
      </c>
      <c r="S27" t="e">
        <f t="shared" si="7"/>
        <v>#N/A</v>
      </c>
      <c r="T27" t="e">
        <f t="shared" si="8"/>
        <v>#N/A</v>
      </c>
      <c r="U27" t="e">
        <f t="shared" si="9"/>
        <v>#N/A</v>
      </c>
      <c r="V27" t="e">
        <f t="shared" si="10"/>
        <v>#N/A</v>
      </c>
      <c r="W27" t="e">
        <f t="shared" si="11"/>
        <v>#N/A</v>
      </c>
      <c r="X27" t="e">
        <f t="shared" si="12"/>
        <v>#N/A</v>
      </c>
      <c r="Y27" t="e">
        <f t="shared" si="13"/>
        <v>#N/A</v>
      </c>
      <c r="Z27" t="e">
        <f t="shared" si="14"/>
        <v>#N/A</v>
      </c>
      <c r="AA27" t="e">
        <f t="shared" si="15"/>
        <v>#N/A</v>
      </c>
      <c r="AB27" t="e">
        <f t="shared" si="16"/>
        <v>#N/A</v>
      </c>
      <c r="AC27" t="e">
        <f t="shared" si="17"/>
        <v>#N/A</v>
      </c>
      <c r="AD27" t="e">
        <f t="shared" si="18"/>
        <v>#N/A</v>
      </c>
      <c r="AE27" t="e">
        <f t="shared" si="19"/>
        <v>#N/A</v>
      </c>
      <c r="AF27" t="e">
        <f t="shared" si="20"/>
        <v>#N/A</v>
      </c>
      <c r="AG27" t="e">
        <f t="shared" si="21"/>
        <v>#N/A</v>
      </c>
      <c r="AH27" t="e">
        <f t="shared" si="22"/>
        <v>#N/A</v>
      </c>
      <c r="AI27" t="e">
        <f t="shared" si="23"/>
        <v>#N/A</v>
      </c>
      <c r="AJ27" t="e">
        <f t="shared" si="24"/>
        <v>#N/A</v>
      </c>
    </row>
    <row r="28">
      <c r="A28" s="2" t="n">
        <v>44440</v>
      </c>
      <c r="B28" t="n">
        <v>616714</v>
      </c>
      <c r="C28" t="n">
        <v>300006</v>
      </c>
      <c r="D28" t="n">
        <v>119.7</v>
      </c>
      <c r="E28" t="n">
        <v>12955.356707</v>
      </c>
      <c r="F28" t="n">
        <v>3834416.07588947</v>
      </c>
      <c r="G28" t="n">
        <v>0.0466852634326635</v>
      </c>
      <c r="H28" t="n">
        <v>0.650655</v>
      </c>
      <c r="I28" t="n">
        <v>0.000133</v>
      </c>
      <c r="J28" t="n">
        <v>0.0122366666666667</v>
      </c>
      <c r="K28" t="s">
        <v>178</v>
      </c>
      <c r="L28" t="e">
        <f t="shared" si="0"/>
        <v>#N/A</v>
      </c>
      <c r="M28" t="e">
        <f t="shared" si="1"/>
        <v>#N/A</v>
      </c>
      <c r="N28" t="e">
        <f t="shared" si="2"/>
        <v>#N/A</v>
      </c>
      <c r="O28" t="n">
        <f t="shared" si="3"/>
        <v>0</v>
      </c>
      <c r="P28" t="n">
        <f t="shared" si="4"/>
        <v>0</v>
      </c>
      <c r="Q28" t="n">
        <f t="shared" si="5"/>
        <v>0</v>
      </c>
      <c r="R28" t="n">
        <f t="shared" si="6"/>
        <v>0</v>
      </c>
      <c r="S28" t="e">
        <f t="shared" si="7"/>
        <v>#N/A</v>
      </c>
      <c r="T28" t="e">
        <f t="shared" si="8"/>
        <v>#N/A</v>
      </c>
      <c r="U28" t="e">
        <f t="shared" si="9"/>
        <v>#N/A</v>
      </c>
      <c r="V28" t="e">
        <f t="shared" si="10"/>
        <v>#N/A</v>
      </c>
      <c r="W28" t="e">
        <f t="shared" si="11"/>
        <v>#N/A</v>
      </c>
      <c r="X28" t="e">
        <f t="shared" si="12"/>
        <v>#N/A</v>
      </c>
      <c r="Y28" t="e">
        <f t="shared" si="13"/>
        <v>#N/A</v>
      </c>
      <c r="Z28" t="e">
        <f t="shared" si="14"/>
        <v>#N/A</v>
      </c>
      <c r="AA28" t="e">
        <f t="shared" si="15"/>
        <v>#N/A</v>
      </c>
      <c r="AB28" t="e">
        <f t="shared" si="16"/>
        <v>#N/A</v>
      </c>
      <c r="AC28" t="e">
        <f t="shared" si="17"/>
        <v>#N/A</v>
      </c>
      <c r="AD28" t="e">
        <f t="shared" si="18"/>
        <v>#N/A</v>
      </c>
      <c r="AE28" t="e">
        <f t="shared" si="19"/>
        <v>#N/A</v>
      </c>
      <c r="AF28" t="e">
        <f t="shared" si="20"/>
        <v>#N/A</v>
      </c>
      <c r="AG28" t="e">
        <f t="shared" si="21"/>
        <v>#N/A</v>
      </c>
      <c r="AH28" t="e">
        <f t="shared" si="22"/>
        <v>#N/A</v>
      </c>
      <c r="AI28" t="e">
        <f t="shared" si="23"/>
        <v>#N/A</v>
      </c>
      <c r="AJ28" t="e">
        <f t="shared" si="24"/>
        <v>#N/A</v>
      </c>
    </row>
    <row r="29">
      <c r="A29" s="2" t="n">
        <v>44531</v>
      </c>
      <c r="B29" t="n">
        <v>639091</v>
      </c>
      <c r="C29" t="n">
        <v>319366</v>
      </c>
      <c r="D29" t="n">
        <v>121.4</v>
      </c>
      <c r="E29" t="n">
        <v>13050.07785</v>
      </c>
      <c r="F29" t="n">
        <v>3930065.05834721</v>
      </c>
      <c r="G29" t="n">
        <v>0.0469089134968146</v>
      </c>
      <c r="H29" t="n">
        <v>0.653976</v>
      </c>
      <c r="I29" t="n">
        <v>0.000467</v>
      </c>
      <c r="J29" t="n">
        <v>0.0170833333333333</v>
      </c>
      <c r="K29" t="s">
        <v>178</v>
      </c>
      <c r="L29" t="e">
        <f t="shared" si="0"/>
        <v>#N/A</v>
      </c>
      <c r="M29" t="e">
        <f t="shared" si="1"/>
        <v>#N/A</v>
      </c>
      <c r="N29" t="e">
        <f t="shared" si="2"/>
        <v>#N/A</v>
      </c>
      <c r="O29" t="n">
        <f t="shared" si="3"/>
        <v>0</v>
      </c>
      <c r="P29" t="n">
        <f t="shared" si="4"/>
        <v>0</v>
      </c>
      <c r="Q29" t="n">
        <f t="shared" si="5"/>
        <v>0</v>
      </c>
      <c r="R29" t="n">
        <f t="shared" si="6"/>
        <v>0</v>
      </c>
      <c r="S29" t="e">
        <f t="shared" si="7"/>
        <v>#N/A</v>
      </c>
      <c r="T29" t="e">
        <f t="shared" si="8"/>
        <v>#N/A</v>
      </c>
      <c r="U29" t="e">
        <f t="shared" si="9"/>
        <v>#N/A</v>
      </c>
      <c r="V29" t="e">
        <f t="shared" si="10"/>
        <v>#N/A</v>
      </c>
      <c r="W29" t="e">
        <f t="shared" si="11"/>
        <v>#N/A</v>
      </c>
      <c r="X29" t="e">
        <f t="shared" si="12"/>
        <v>#N/A</v>
      </c>
      <c r="Y29" t="e">
        <f t="shared" si="13"/>
        <v>#N/A</v>
      </c>
      <c r="Z29" t="e">
        <f t="shared" si="14"/>
        <v>#N/A</v>
      </c>
      <c r="AA29" t="e">
        <f t="shared" si="15"/>
        <v>#N/A</v>
      </c>
      <c r="AB29" t="e">
        <f t="shared" si="16"/>
        <v>#N/A</v>
      </c>
      <c r="AC29" t="e">
        <f t="shared" si="17"/>
        <v>#N/A</v>
      </c>
      <c r="AD29" t="e">
        <f t="shared" si="18"/>
        <v>#N/A</v>
      </c>
      <c r="AE29" t="e">
        <f t="shared" si="19"/>
        <v>#N/A</v>
      </c>
      <c r="AF29" t="e">
        <f t="shared" si="20"/>
        <v>#N/A</v>
      </c>
      <c r="AG29" t="e">
        <f t="shared" si="21"/>
        <v>#N/A</v>
      </c>
      <c r="AH29" t="e">
        <f t="shared" si="22"/>
        <v>#N/A</v>
      </c>
      <c r="AI29" t="e">
        <f t="shared" si="23"/>
        <v>#N/A</v>
      </c>
      <c r="AJ29" t="e">
        <f t="shared" si="24"/>
        <v>#N/A</v>
      </c>
    </row>
    <row r="30">
      <c r="A30" s="2" t="n">
        <v>44621</v>
      </c>
      <c r="B30" t="n">
        <v>645027</v>
      </c>
      <c r="C30" t="n">
        <v>327173</v>
      </c>
      <c r="D30" t="n">
        <v>123.9</v>
      </c>
      <c r="E30" t="n">
        <v>13349.002641</v>
      </c>
      <c r="F30" t="n">
        <v>3979722.41699728</v>
      </c>
      <c r="G30" t="n">
        <v>0.0405919990569748</v>
      </c>
      <c r="H30" t="n">
        <v>0.661077</v>
      </c>
      <c r="I30" t="n">
        <v>0.001033</v>
      </c>
      <c r="J30" t="n">
        <v>0.0216633333333333</v>
      </c>
      <c r="K30" t="s">
        <v>178</v>
      </c>
      <c r="L30" t="e">
        <f t="shared" si="0"/>
        <v>#N/A</v>
      </c>
      <c r="M30" t="e">
        <f t="shared" si="1"/>
        <v>#N/A</v>
      </c>
      <c r="N30" t="e">
        <f t="shared" si="2"/>
        <v>#N/A</v>
      </c>
      <c r="O30" t="n">
        <f t="shared" si="3"/>
        <v>0</v>
      </c>
      <c r="P30" t="n">
        <f t="shared" si="4"/>
        <v>0</v>
      </c>
      <c r="Q30" t="n">
        <f t="shared" si="5"/>
        <v>0</v>
      </c>
      <c r="R30" t="n">
        <f t="shared" si="6"/>
        <v>0</v>
      </c>
      <c r="S30" t="e">
        <f t="shared" si="7"/>
        <v>#N/A</v>
      </c>
      <c r="T30" t="e">
        <f t="shared" si="8"/>
        <v>#N/A</v>
      </c>
      <c r="U30" t="e">
        <f t="shared" si="9"/>
        <v>#N/A</v>
      </c>
      <c r="V30" t="e">
        <f t="shared" si="10"/>
        <v>#N/A</v>
      </c>
      <c r="W30" t="e">
        <f t="shared" si="11"/>
        <v>#N/A</v>
      </c>
      <c r="X30" t="e">
        <f t="shared" si="12"/>
        <v>#N/A</v>
      </c>
      <c r="Y30" t="e">
        <f t="shared" si="13"/>
        <v>#N/A</v>
      </c>
      <c r="Z30" t="e">
        <f t="shared" si="14"/>
        <v>#N/A</v>
      </c>
      <c r="AA30" t="e">
        <f t="shared" si="15"/>
        <v>#N/A</v>
      </c>
      <c r="AB30" t="e">
        <f t="shared" si="16"/>
        <v>#N/A</v>
      </c>
      <c r="AC30" t="e">
        <f t="shared" si="17"/>
        <v>#N/A</v>
      </c>
      <c r="AD30" t="e">
        <f t="shared" si="18"/>
        <v>#N/A</v>
      </c>
      <c r="AE30" t="e">
        <f t="shared" si="19"/>
        <v>#N/A</v>
      </c>
      <c r="AF30" t="e">
        <f t="shared" si="20"/>
        <v>#N/A</v>
      </c>
      <c r="AG30" t="e">
        <f t="shared" si="21"/>
        <v>#N/A</v>
      </c>
      <c r="AH30" t="e">
        <f t="shared" si="22"/>
        <v>#N/A</v>
      </c>
      <c r="AI30" t="e">
        <f t="shared" si="23"/>
        <v>#N/A</v>
      </c>
      <c r="AJ30" t="e">
        <f t="shared" si="24"/>
        <v>#N/A</v>
      </c>
    </row>
    <row r="31">
      <c r="A31" s="2" t="n">
        <v>44713</v>
      </c>
      <c r="B31" t="n">
        <v>651417</v>
      </c>
      <c r="C31" t="n">
        <v>333484</v>
      </c>
      <c r="D31" t="n">
        <v>126.1</v>
      </c>
      <c r="E31" t="n">
        <v>13506.008714</v>
      </c>
      <c r="F31" t="n">
        <v>4117512.75338365</v>
      </c>
      <c r="G31" t="n">
        <v>0.0379588046758488</v>
      </c>
      <c r="H31" t="n">
        <v>0.663506</v>
      </c>
      <c r="I31" t="n">
        <v>0.010033</v>
      </c>
      <c r="J31" t="n">
        <v>0.0338533333333333</v>
      </c>
      <c r="K31" t="s">
        <v>178</v>
      </c>
      <c r="L31" t="e">
        <f t="shared" si="0"/>
        <v>#N/A</v>
      </c>
      <c r="M31" t="e">
        <f t="shared" si="1"/>
        <v>#N/A</v>
      </c>
      <c r="N31" t="e">
        <f t="shared" si="2"/>
        <v>#N/A</v>
      </c>
      <c r="O31" t="n">
        <f t="shared" si="3"/>
        <v>0</v>
      </c>
      <c r="P31" t="n">
        <f t="shared" si="4"/>
        <v>0</v>
      </c>
      <c r="Q31" t="n">
        <f t="shared" si="5"/>
        <v>0</v>
      </c>
      <c r="R31" t="n">
        <f t="shared" si="6"/>
        <v>0</v>
      </c>
      <c r="S31" t="e">
        <f t="shared" si="7"/>
        <v>#N/A</v>
      </c>
      <c r="T31" t="e">
        <f t="shared" si="8"/>
        <v>#N/A</v>
      </c>
      <c r="U31" t="e">
        <f t="shared" si="9"/>
        <v>#N/A</v>
      </c>
      <c r="V31" t="e">
        <f t="shared" si="10"/>
        <v>#N/A</v>
      </c>
      <c r="W31" t="e">
        <f t="shared" si="11"/>
        <v>#N/A</v>
      </c>
      <c r="X31" t="e">
        <f t="shared" si="12"/>
        <v>#N/A</v>
      </c>
      <c r="Y31" t="e">
        <f t="shared" si="13"/>
        <v>#N/A</v>
      </c>
      <c r="Z31" t="e">
        <f t="shared" si="14"/>
        <v>#N/A</v>
      </c>
      <c r="AA31" t="e">
        <f t="shared" si="15"/>
        <v>#N/A</v>
      </c>
      <c r="AB31" t="e">
        <f t="shared" si="16"/>
        <v>#N/A</v>
      </c>
      <c r="AC31" t="e">
        <f t="shared" si="17"/>
        <v>#N/A</v>
      </c>
      <c r="AD31" t="e">
        <f t="shared" si="18"/>
        <v>#N/A</v>
      </c>
      <c r="AE31" t="e">
        <f t="shared" si="19"/>
        <v>#N/A</v>
      </c>
      <c r="AF31" t="e">
        <f t="shared" si="20"/>
        <v>#N/A</v>
      </c>
      <c r="AG31" t="e">
        <f t="shared" si="21"/>
        <v>#N/A</v>
      </c>
      <c r="AH31" t="e">
        <f t="shared" si="22"/>
        <v>#N/A</v>
      </c>
      <c r="AI31" t="e">
        <f t="shared" si="23"/>
        <v>#N/A</v>
      </c>
      <c r="AJ31" t="e">
        <f t="shared" si="24"/>
        <v>#N/A</v>
      </c>
    </row>
    <row r="32">
      <c r="A32" s="2" t="n">
        <v>44805</v>
      </c>
      <c r="B32" t="n">
        <v>654547</v>
      </c>
      <c r="C32" t="n">
        <v>337055</v>
      </c>
      <c r="D32" t="n">
        <v>128.4</v>
      </c>
      <c r="E32" t="n">
        <v>13644.972892</v>
      </c>
      <c r="F32" t="n">
        <v>4193904.33854654</v>
      </c>
      <c r="G32" t="n">
        <v>0.0352684223454813</v>
      </c>
      <c r="H32" t="n">
        <v>0.664339</v>
      </c>
      <c r="I32" t="n">
        <v>0.0238</v>
      </c>
      <c r="J32" t="n">
        <v>0.0351233333333333</v>
      </c>
      <c r="K32" t="s">
        <v>178</v>
      </c>
      <c r="L32" t="e">
        <f t="shared" si="0"/>
        <v>#N/A</v>
      </c>
      <c r="M32" t="e">
        <f t="shared" si="1"/>
        <v>#N/A</v>
      </c>
      <c r="N32" t="e">
        <f t="shared" si="2"/>
        <v>#N/A</v>
      </c>
      <c r="O32" t="n">
        <f t="shared" si="3"/>
        <v>0</v>
      </c>
      <c r="P32" t="n">
        <f t="shared" si="4"/>
        <v>0</v>
      </c>
      <c r="Q32" t="n">
        <f t="shared" si="5"/>
        <v>0</v>
      </c>
      <c r="R32" t="n">
        <f t="shared" si="6"/>
        <v>0</v>
      </c>
      <c r="S32" t="e">
        <f t="shared" si="7"/>
        <v>#N/A</v>
      </c>
      <c r="T32" t="e">
        <f t="shared" si="8"/>
        <v>#N/A</v>
      </c>
      <c r="U32" t="e">
        <f t="shared" si="9"/>
        <v>#N/A</v>
      </c>
      <c r="V32" t="e">
        <f t="shared" si="10"/>
        <v>#N/A</v>
      </c>
      <c r="W32" t="e">
        <f t="shared" si="11"/>
        <v>#N/A</v>
      </c>
      <c r="X32" t="e">
        <f t="shared" si="12"/>
        <v>#N/A</v>
      </c>
      <c r="Y32" t="e">
        <f t="shared" si="13"/>
        <v>#N/A</v>
      </c>
      <c r="Z32" t="e">
        <f t="shared" si="14"/>
        <v>#N/A</v>
      </c>
      <c r="AA32" t="e">
        <f t="shared" si="15"/>
        <v>#N/A</v>
      </c>
      <c r="AB32" t="e">
        <f t="shared" si="16"/>
        <v>#N/A</v>
      </c>
      <c r="AC32" t="e">
        <f t="shared" si="17"/>
        <v>#N/A</v>
      </c>
      <c r="AD32" t="e">
        <f t="shared" si="18"/>
        <v>#N/A</v>
      </c>
      <c r="AE32" t="e">
        <f t="shared" si="19"/>
        <v>#N/A</v>
      </c>
      <c r="AF32" t="e">
        <f t="shared" si="20"/>
        <v>#N/A</v>
      </c>
      <c r="AG32" t="e">
        <f t="shared" si="21"/>
        <v>#N/A</v>
      </c>
      <c r="AH32" t="e">
        <f t="shared" si="22"/>
        <v>#N/A</v>
      </c>
      <c r="AI32" t="e">
        <f t="shared" si="23"/>
        <v>#N/A</v>
      </c>
      <c r="AJ32" t="e">
        <f t="shared" si="24"/>
        <v>#N/A</v>
      </c>
    </row>
    <row r="33">
      <c r="A33" s="2" t="n">
        <v>44896</v>
      </c>
      <c r="B33" t="n">
        <v>659948</v>
      </c>
      <c r="C33" t="n">
        <v>340288</v>
      </c>
      <c r="D33" t="n">
        <v>131</v>
      </c>
      <c r="E33" t="n">
        <v>13758.089693</v>
      </c>
      <c r="F33" t="n">
        <v>4276699.30271261</v>
      </c>
      <c r="G33" t="n">
        <v>0.0349457150685535</v>
      </c>
      <c r="H33" t="n">
        <v>0.665023</v>
      </c>
      <c r="I33" t="n">
        <v>0.0306</v>
      </c>
      <c r="J33" t="n">
        <v>0.03722</v>
      </c>
      <c r="K33" t="s">
        <v>178</v>
      </c>
      <c r="L33" t="e">
        <f t="shared" si="0"/>
        <v>#N/A</v>
      </c>
      <c r="M33" t="e">
        <f t="shared" si="1"/>
        <v>#N/A</v>
      </c>
      <c r="N33" t="e">
        <f t="shared" si="2"/>
        <v>#N/A</v>
      </c>
      <c r="O33" t="n">
        <f t="shared" si="3"/>
        <v>0</v>
      </c>
      <c r="P33" t="n">
        <f t="shared" si="4"/>
        <v>0</v>
      </c>
      <c r="Q33" t="n">
        <f t="shared" si="5"/>
        <v>0</v>
      </c>
      <c r="R33" t="n">
        <f t="shared" si="6"/>
        <v>0</v>
      </c>
      <c r="S33" t="e">
        <f t="shared" si="7"/>
        <v>#N/A</v>
      </c>
      <c r="T33" t="e">
        <f t="shared" si="8"/>
        <v>#N/A</v>
      </c>
      <c r="U33" t="e">
        <f t="shared" si="9"/>
        <v>#N/A</v>
      </c>
      <c r="V33" t="e">
        <f t="shared" si="10"/>
        <v>#N/A</v>
      </c>
      <c r="W33" t="e">
        <f t="shared" si="11"/>
        <v>#N/A</v>
      </c>
      <c r="X33" t="e">
        <f t="shared" si="12"/>
        <v>#N/A</v>
      </c>
      <c r="Y33" t="e">
        <f t="shared" si="13"/>
        <v>#N/A</v>
      </c>
      <c r="Z33" t="e">
        <f t="shared" si="14"/>
        <v>#N/A</v>
      </c>
      <c r="AA33" t="e">
        <f t="shared" si="15"/>
        <v>#N/A</v>
      </c>
      <c r="AB33" t="e">
        <f t="shared" si="16"/>
        <v>#N/A</v>
      </c>
      <c r="AC33" t="e">
        <f t="shared" si="17"/>
        <v>#N/A</v>
      </c>
      <c r="AD33" t="e">
        <f t="shared" si="18"/>
        <v>#N/A</v>
      </c>
      <c r="AE33" t="e">
        <f t="shared" si="19"/>
        <v>#N/A</v>
      </c>
      <c r="AF33" t="e">
        <f t="shared" si="20"/>
        <v>#N/A</v>
      </c>
      <c r="AG33" t="e">
        <f t="shared" si="21"/>
        <v>#N/A</v>
      </c>
      <c r="AH33" t="e">
        <f t="shared" si="22"/>
        <v>#N/A</v>
      </c>
      <c r="AI33" t="e">
        <f t="shared" si="23"/>
        <v>#N/A</v>
      </c>
      <c r="AJ33" t="e">
        <f t="shared" si="24"/>
        <v>#N/A</v>
      </c>
    </row>
    <row r="34">
      <c r="A34" s="2" t="n">
        <v>44986</v>
      </c>
      <c r="B34" t="n">
        <v>663102</v>
      </c>
      <c r="C34" t="n">
        <v>342730</v>
      </c>
      <c r="D34" t="n">
        <v>132.7</v>
      </c>
      <c r="E34" t="n">
        <v>13856.299855</v>
      </c>
      <c r="F34" t="n">
        <v>4278451.32937078</v>
      </c>
      <c r="G34" t="n">
        <v>0.0362092240928786</v>
      </c>
      <c r="H34" t="n">
        <v>0.665194</v>
      </c>
      <c r="I34" t="n">
        <v>0.034733</v>
      </c>
      <c r="J34" t="n">
        <v>0.0359133333333333</v>
      </c>
      <c r="K34" t="s">
        <v>178</v>
      </c>
      <c r="L34" t="e">
        <f t="shared" ref="L34:L65" si="25">IF(ROW()&lt;=5,NA(),IFERROR(100*(B34/INDEX(B:B,ROW()-4)-1),NA()))</f>
        <v>#N/A</v>
      </c>
      <c r="M34" t="e">
        <f t="shared" ref="M34:M65" si="26">IF(ROW()&lt;=5,NA(),IFERROR(100*(C34/INDEX(C:C,ROW()-4)-1),NA()))</f>
        <v>#N/A</v>
      </c>
      <c r="N34" t="e">
        <f t="shared" ref="N34:N65" si="27">IF(ROW()&lt;=5,NA(),IFERROR(100*(D34/INDEX(D:D,ROW()-4)-1),NA()))</f>
        <v>#N/A</v>
      </c>
      <c r="O34" t="n">
        <f t="shared" ref="O34:O65" si="28">100*G34</f>
        <v>0</v>
      </c>
      <c r="P34" t="n">
        <f t="shared" ref="P34:P65" si="29">100*H34</f>
        <v>0</v>
      </c>
      <c r="Q34" t="n">
        <f t="shared" ref="Q34:Q65" si="30">100*I34</f>
        <v>0</v>
      </c>
      <c r="R34" t="n">
        <f t="shared" ref="R34:R65" si="31">100*J34</f>
        <v>0</v>
      </c>
      <c r="S34" t="e">
        <f t="shared" ref="S34:S65" si="32">IFERROR(100*E34/INDEX(E:E,MATCH(DATE(2024,12,1),A:A,0)),NA())</f>
        <v>#N/A</v>
      </c>
      <c r="T34" t="e">
        <f t="shared" ref="T34:T65" si="33">IFERROR(100*F34/INDEX(F:F,MATCH(DATE(2024,12,1),A:A,0)),NA())</f>
        <v>#N/A</v>
      </c>
      <c r="U34" t="e">
        <f t="shared" ref="U34:U65" si="34">IF($K34="Actual",L34,NA())</f>
        <v>#N/A</v>
      </c>
      <c r="V34" t="e">
        <f t="shared" ref="V34:V65" si="35">IF($A34&gt;=DATE(2024,12,1),L34,NA())</f>
        <v>#N/A</v>
      </c>
      <c r="W34" t="e">
        <f t="shared" ref="W34:W65" si="36">IF($K34="Actual",M34,NA())</f>
        <v>#N/A</v>
      </c>
      <c r="X34" t="e">
        <f t="shared" ref="X34:X65" si="37">IF($A34&gt;=DATE(2024,12,1),M34,NA())</f>
        <v>#N/A</v>
      </c>
      <c r="Y34" t="e">
        <f t="shared" ref="Y34:Y65" si="38">IF($K34="Actual",S34,NA())</f>
        <v>#N/A</v>
      </c>
      <c r="Z34" t="e">
        <f t="shared" ref="Z34:Z65" si="39">IF($A34&gt;=DATE(2024,12,1),S34,NA())</f>
        <v>#N/A</v>
      </c>
      <c r="AA34" t="e">
        <f t="shared" ref="AA34:AA65" si="40">IF($K34="Actual",T34,NA())</f>
        <v>#N/A</v>
      </c>
      <c r="AB34" t="e">
        <f t="shared" ref="AB34:AB65" si="41">IF($A34&gt;=DATE(2024,12,1),T34,NA())</f>
        <v>#N/A</v>
      </c>
      <c r="AC34" t="e">
        <f t="shared" ref="AC34:AC65" si="42">IF($K34="Actual",O34,NA())</f>
        <v>#N/A</v>
      </c>
      <c r="AD34" t="e">
        <f t="shared" ref="AD34:AD65" si="43">IF($A34&gt;=DATE(2024,12,1),O34,NA())</f>
        <v>#N/A</v>
      </c>
      <c r="AE34" t="e">
        <f t="shared" ref="AE34:AE65" si="44">IF($K34="Actual",Q34,NA())</f>
        <v>#N/A</v>
      </c>
      <c r="AF34" t="e">
        <f t="shared" ref="AF34:AF65" si="45">IF($A34&gt;=DATE(2024,12,1),Q34,NA())</f>
        <v>#N/A</v>
      </c>
      <c r="AG34" t="e">
        <f t="shared" ref="AG34:AG65" si="46">IF($K34="Actual",R34,NA())</f>
        <v>#N/A</v>
      </c>
      <c r="AH34" t="e">
        <f t="shared" ref="AH34:AH65" si="47">IF($A34&gt;=DATE(2024,12,1),R34,NA())</f>
        <v>#N/A</v>
      </c>
      <c r="AI34" t="e">
        <f t="shared" ref="AI34:AI65" si="48">IF($K34="Actual",N34,NA())</f>
        <v>#N/A</v>
      </c>
      <c r="AJ34" t="e">
        <f t="shared" ref="AJ34:AJ65" si="49">IF($A34&gt;=DATE(2024,12,1),N34,NA())</f>
        <v>#N/A</v>
      </c>
    </row>
    <row r="35">
      <c r="A35" s="2" t="n">
        <v>45078</v>
      </c>
      <c r="B35" t="n">
        <v>666120</v>
      </c>
      <c r="C35" t="n">
        <v>344199</v>
      </c>
      <c r="D35" t="n">
        <v>133.8</v>
      </c>
      <c r="E35" t="n">
        <v>13991.100267</v>
      </c>
      <c r="F35" t="n">
        <v>4332739.12898743</v>
      </c>
      <c r="G35" t="n">
        <v>0.0359961860534151</v>
      </c>
      <c r="H35" t="n">
        <v>0.666657</v>
      </c>
      <c r="I35" t="n">
        <v>0.039367</v>
      </c>
      <c r="J35" t="n">
        <v>0.0358633333333333</v>
      </c>
      <c r="K35" t="s">
        <v>178</v>
      </c>
      <c r="L35" t="e">
        <f t="shared" si="25"/>
        <v>#N/A</v>
      </c>
      <c r="M35" t="e">
        <f t="shared" si="26"/>
        <v>#N/A</v>
      </c>
      <c r="N35" t="e">
        <f t="shared" si="27"/>
        <v>#N/A</v>
      </c>
      <c r="O35" t="n">
        <f t="shared" si="28"/>
        <v>0</v>
      </c>
      <c r="P35" t="n">
        <f t="shared" si="29"/>
        <v>0</v>
      </c>
      <c r="Q35" t="n">
        <f t="shared" si="30"/>
        <v>0</v>
      </c>
      <c r="R35" t="n">
        <f t="shared" si="31"/>
        <v>0</v>
      </c>
      <c r="S35" t="e">
        <f t="shared" si="32"/>
        <v>#N/A</v>
      </c>
      <c r="T35" t="e">
        <f t="shared" si="33"/>
        <v>#N/A</v>
      </c>
      <c r="U35" t="e">
        <f t="shared" si="34"/>
        <v>#N/A</v>
      </c>
      <c r="V35" t="e">
        <f t="shared" si="35"/>
        <v>#N/A</v>
      </c>
      <c r="W35" t="e">
        <f t="shared" si="36"/>
        <v>#N/A</v>
      </c>
      <c r="X35" t="e">
        <f t="shared" si="37"/>
        <v>#N/A</v>
      </c>
      <c r="Y35" t="e">
        <f t="shared" si="38"/>
        <v>#N/A</v>
      </c>
      <c r="Z35" t="e">
        <f t="shared" si="39"/>
        <v>#N/A</v>
      </c>
      <c r="AA35" t="e">
        <f t="shared" si="40"/>
        <v>#N/A</v>
      </c>
      <c r="AB35" t="e">
        <f t="shared" si="41"/>
        <v>#N/A</v>
      </c>
      <c r="AC35" t="e">
        <f t="shared" si="42"/>
        <v>#N/A</v>
      </c>
      <c r="AD35" t="e">
        <f t="shared" si="43"/>
        <v>#N/A</v>
      </c>
      <c r="AE35" t="e">
        <f t="shared" si="44"/>
        <v>#N/A</v>
      </c>
      <c r="AF35" t="e">
        <f t="shared" si="45"/>
        <v>#N/A</v>
      </c>
      <c r="AG35" t="e">
        <f t="shared" si="46"/>
        <v>#N/A</v>
      </c>
      <c r="AH35" t="e">
        <f t="shared" si="47"/>
        <v>#N/A</v>
      </c>
      <c r="AI35" t="e">
        <f t="shared" si="48"/>
        <v>#N/A</v>
      </c>
      <c r="AJ35" t="e">
        <f t="shared" si="49"/>
        <v>#N/A</v>
      </c>
    </row>
    <row r="36">
      <c r="A36" s="2" t="n">
        <v>45170</v>
      </c>
      <c r="B36" t="n">
        <v>668806</v>
      </c>
      <c r="C36" t="n">
        <v>343778</v>
      </c>
      <c r="D36" t="n">
        <v>135.2</v>
      </c>
      <c r="E36" t="n">
        <v>14075.518732</v>
      </c>
      <c r="F36" t="n">
        <v>4298576.62099267</v>
      </c>
      <c r="G36" t="n">
        <v>0.0365386456051881</v>
      </c>
      <c r="H36" t="n">
        <v>0.666233</v>
      </c>
      <c r="I36" t="n">
        <v>0.041933</v>
      </c>
      <c r="J36" t="n">
        <v>0.04125</v>
      </c>
      <c r="K36" t="s">
        <v>178</v>
      </c>
      <c r="L36" t="e">
        <f t="shared" si="25"/>
        <v>#N/A</v>
      </c>
      <c r="M36" t="e">
        <f t="shared" si="26"/>
        <v>#N/A</v>
      </c>
      <c r="N36" t="e">
        <f t="shared" si="27"/>
        <v>#N/A</v>
      </c>
      <c r="O36" t="n">
        <f t="shared" si="28"/>
        <v>0</v>
      </c>
      <c r="P36" t="n">
        <f t="shared" si="29"/>
        <v>0</v>
      </c>
      <c r="Q36" t="n">
        <f t="shared" si="30"/>
        <v>0</v>
      </c>
      <c r="R36" t="n">
        <f t="shared" si="31"/>
        <v>0</v>
      </c>
      <c r="S36" t="e">
        <f t="shared" si="32"/>
        <v>#N/A</v>
      </c>
      <c r="T36" t="e">
        <f t="shared" si="33"/>
        <v>#N/A</v>
      </c>
      <c r="U36" t="e">
        <f t="shared" si="34"/>
        <v>#N/A</v>
      </c>
      <c r="V36" t="e">
        <f t="shared" si="35"/>
        <v>#N/A</v>
      </c>
      <c r="W36" t="e">
        <f t="shared" si="36"/>
        <v>#N/A</v>
      </c>
      <c r="X36" t="e">
        <f t="shared" si="37"/>
        <v>#N/A</v>
      </c>
      <c r="Y36" t="e">
        <f t="shared" si="38"/>
        <v>#N/A</v>
      </c>
      <c r="Z36" t="e">
        <f t="shared" si="39"/>
        <v>#N/A</v>
      </c>
      <c r="AA36" t="e">
        <f t="shared" si="40"/>
        <v>#N/A</v>
      </c>
      <c r="AB36" t="e">
        <f t="shared" si="41"/>
        <v>#N/A</v>
      </c>
      <c r="AC36" t="e">
        <f t="shared" si="42"/>
        <v>#N/A</v>
      </c>
      <c r="AD36" t="e">
        <f t="shared" si="43"/>
        <v>#N/A</v>
      </c>
      <c r="AE36" t="e">
        <f t="shared" si="44"/>
        <v>#N/A</v>
      </c>
      <c r="AF36" t="e">
        <f t="shared" si="45"/>
        <v>#N/A</v>
      </c>
      <c r="AG36" t="e">
        <f t="shared" si="46"/>
        <v>#N/A</v>
      </c>
      <c r="AH36" t="e">
        <f t="shared" si="47"/>
        <v>#N/A</v>
      </c>
      <c r="AI36" t="e">
        <f t="shared" si="48"/>
        <v>#N/A</v>
      </c>
      <c r="AJ36" t="e">
        <f t="shared" si="49"/>
        <v>#N/A</v>
      </c>
    </row>
    <row r="37">
      <c r="A37" s="2" t="n">
        <v>45261</v>
      </c>
      <c r="B37" t="n">
        <v>668754</v>
      </c>
      <c r="C37" t="n">
        <v>343920</v>
      </c>
      <c r="D37" t="n">
        <v>136.3</v>
      </c>
      <c r="E37" t="n">
        <v>14166.989552</v>
      </c>
      <c r="F37" t="n">
        <v>4279725.11762097</v>
      </c>
      <c r="G37" t="n">
        <v>0.0390093830373431</v>
      </c>
      <c r="H37" t="n">
        <v>0.668105</v>
      </c>
      <c r="I37" t="n">
        <v>0.043133</v>
      </c>
      <c r="J37" t="n">
        <v>0.04466</v>
      </c>
      <c r="K37" t="s">
        <v>178</v>
      </c>
      <c r="L37" t="e">
        <f t="shared" si="25"/>
        <v>#N/A</v>
      </c>
      <c r="M37" t="e">
        <f t="shared" si="26"/>
        <v>#N/A</v>
      </c>
      <c r="N37" t="e">
        <f t="shared" si="27"/>
        <v>#N/A</v>
      </c>
      <c r="O37" t="n">
        <f t="shared" si="28"/>
        <v>0</v>
      </c>
      <c r="P37" t="n">
        <f t="shared" si="29"/>
        <v>0</v>
      </c>
      <c r="Q37" t="n">
        <f t="shared" si="30"/>
        <v>0</v>
      </c>
      <c r="R37" t="n">
        <f t="shared" si="31"/>
        <v>0</v>
      </c>
      <c r="S37" t="e">
        <f t="shared" si="32"/>
        <v>#N/A</v>
      </c>
      <c r="T37" t="e">
        <f t="shared" si="33"/>
        <v>#N/A</v>
      </c>
      <c r="U37" t="e">
        <f t="shared" si="34"/>
        <v>#N/A</v>
      </c>
      <c r="V37" t="e">
        <f t="shared" si="35"/>
        <v>#N/A</v>
      </c>
      <c r="W37" t="e">
        <f t="shared" si="36"/>
        <v>#N/A</v>
      </c>
      <c r="X37" t="e">
        <f t="shared" si="37"/>
        <v>#N/A</v>
      </c>
      <c r="Y37" t="e">
        <f t="shared" si="38"/>
        <v>#N/A</v>
      </c>
      <c r="Z37" t="e">
        <f t="shared" si="39"/>
        <v>#N/A</v>
      </c>
      <c r="AA37" t="e">
        <f t="shared" si="40"/>
        <v>#N/A</v>
      </c>
      <c r="AB37" t="e">
        <f t="shared" si="41"/>
        <v>#N/A</v>
      </c>
      <c r="AC37" t="e">
        <f t="shared" si="42"/>
        <v>#N/A</v>
      </c>
      <c r="AD37" t="e">
        <f t="shared" si="43"/>
        <v>#N/A</v>
      </c>
      <c r="AE37" t="e">
        <f t="shared" si="44"/>
        <v>#N/A</v>
      </c>
      <c r="AF37" t="e">
        <f t="shared" si="45"/>
        <v>#N/A</v>
      </c>
      <c r="AG37" t="e">
        <f t="shared" si="46"/>
        <v>#N/A</v>
      </c>
      <c r="AH37" t="e">
        <f t="shared" si="47"/>
        <v>#N/A</v>
      </c>
      <c r="AI37" t="e">
        <f t="shared" si="48"/>
        <v>#N/A</v>
      </c>
      <c r="AJ37" t="e">
        <f t="shared" si="49"/>
        <v>#N/A</v>
      </c>
    </row>
    <row r="38">
      <c r="A38" s="2" t="n">
        <v>45352</v>
      </c>
      <c r="B38" t="n">
        <v>670388</v>
      </c>
      <c r="C38" t="n">
        <v>345893</v>
      </c>
      <c r="D38" t="n">
        <v>137.5</v>
      </c>
      <c r="E38" t="n">
        <v>14208.53199</v>
      </c>
      <c r="F38" t="n">
        <v>4245746.09507492</v>
      </c>
      <c r="G38" t="n">
        <v>0.0390837834383326</v>
      </c>
      <c r="H38" t="n">
        <v>0.665831</v>
      </c>
      <c r="I38" t="n">
        <v>0.043467</v>
      </c>
      <c r="J38" t="n">
        <v>0.0411133333333333</v>
      </c>
      <c r="K38" t="s">
        <v>178</v>
      </c>
      <c r="L38" t="e">
        <f t="shared" si="25"/>
        <v>#N/A</v>
      </c>
      <c r="M38" t="e">
        <f t="shared" si="26"/>
        <v>#N/A</v>
      </c>
      <c r="N38" t="e">
        <f t="shared" si="27"/>
        <v>#N/A</v>
      </c>
      <c r="O38" t="n">
        <f t="shared" si="28"/>
        <v>0</v>
      </c>
      <c r="P38" t="n">
        <f t="shared" si="29"/>
        <v>0</v>
      </c>
      <c r="Q38" t="n">
        <f t="shared" si="30"/>
        <v>0</v>
      </c>
      <c r="R38" t="n">
        <f t="shared" si="31"/>
        <v>0</v>
      </c>
      <c r="S38" t="e">
        <f t="shared" si="32"/>
        <v>#N/A</v>
      </c>
      <c r="T38" t="e">
        <f t="shared" si="33"/>
        <v>#N/A</v>
      </c>
      <c r="U38" t="e">
        <f t="shared" si="34"/>
        <v>#N/A</v>
      </c>
      <c r="V38" t="e">
        <f t="shared" si="35"/>
        <v>#N/A</v>
      </c>
      <c r="W38" t="e">
        <f t="shared" si="36"/>
        <v>#N/A</v>
      </c>
      <c r="X38" t="e">
        <f t="shared" si="37"/>
        <v>#N/A</v>
      </c>
      <c r="Y38" t="e">
        <f t="shared" si="38"/>
        <v>#N/A</v>
      </c>
      <c r="Z38" t="e">
        <f t="shared" si="39"/>
        <v>#N/A</v>
      </c>
      <c r="AA38" t="e">
        <f t="shared" si="40"/>
        <v>#N/A</v>
      </c>
      <c r="AB38" t="e">
        <f t="shared" si="41"/>
        <v>#N/A</v>
      </c>
      <c r="AC38" t="e">
        <f t="shared" si="42"/>
        <v>#N/A</v>
      </c>
      <c r="AD38" t="e">
        <f t="shared" si="43"/>
        <v>#N/A</v>
      </c>
      <c r="AE38" t="e">
        <f t="shared" si="44"/>
        <v>#N/A</v>
      </c>
      <c r="AF38" t="e">
        <f t="shared" si="45"/>
        <v>#N/A</v>
      </c>
      <c r="AG38" t="e">
        <f t="shared" si="46"/>
        <v>#N/A</v>
      </c>
      <c r="AH38" t="e">
        <f t="shared" si="47"/>
        <v>#N/A</v>
      </c>
      <c r="AI38" t="e">
        <f t="shared" si="48"/>
        <v>#N/A</v>
      </c>
      <c r="AJ38" t="e">
        <f t="shared" si="49"/>
        <v>#N/A</v>
      </c>
    </row>
    <row r="39">
      <c r="A39" s="2" t="n">
        <v>45444</v>
      </c>
      <c r="B39" t="n">
        <v>672076</v>
      </c>
      <c r="C39" t="n">
        <v>344825</v>
      </c>
      <c r="D39" t="n">
        <v>138.9</v>
      </c>
      <c r="E39" t="n">
        <v>14294.694591</v>
      </c>
      <c r="F39" t="n">
        <v>4274602.44546671</v>
      </c>
      <c r="G39" t="n">
        <v>0.0403470551307376</v>
      </c>
      <c r="H39" t="n">
        <v>0.667638</v>
      </c>
      <c r="I39" t="n">
        <v>0.043733</v>
      </c>
      <c r="J39" t="n">
        <v>0.0427833333333333</v>
      </c>
      <c r="K39" t="s">
        <v>178</v>
      </c>
      <c r="L39" t="e">
        <f t="shared" si="25"/>
        <v>#N/A</v>
      </c>
      <c r="M39" t="e">
        <f t="shared" si="26"/>
        <v>#N/A</v>
      </c>
      <c r="N39" t="e">
        <f t="shared" si="27"/>
        <v>#N/A</v>
      </c>
      <c r="O39" t="n">
        <f t="shared" si="28"/>
        <v>0</v>
      </c>
      <c r="P39" t="n">
        <f t="shared" si="29"/>
        <v>0</v>
      </c>
      <c r="Q39" t="n">
        <f t="shared" si="30"/>
        <v>0</v>
      </c>
      <c r="R39" t="n">
        <f t="shared" si="31"/>
        <v>0</v>
      </c>
      <c r="S39" t="e">
        <f t="shared" si="32"/>
        <v>#N/A</v>
      </c>
      <c r="T39" t="e">
        <f t="shared" si="33"/>
        <v>#N/A</v>
      </c>
      <c r="U39" t="e">
        <f t="shared" si="34"/>
        <v>#N/A</v>
      </c>
      <c r="V39" t="e">
        <f t="shared" si="35"/>
        <v>#N/A</v>
      </c>
      <c r="W39" t="e">
        <f t="shared" si="36"/>
        <v>#N/A</v>
      </c>
      <c r="X39" t="e">
        <f t="shared" si="37"/>
        <v>#N/A</v>
      </c>
      <c r="Y39" t="e">
        <f t="shared" si="38"/>
        <v>#N/A</v>
      </c>
      <c r="Z39" t="e">
        <f t="shared" si="39"/>
        <v>#N/A</v>
      </c>
      <c r="AA39" t="e">
        <f t="shared" si="40"/>
        <v>#N/A</v>
      </c>
      <c r="AB39" t="e">
        <f t="shared" si="41"/>
        <v>#N/A</v>
      </c>
      <c r="AC39" t="e">
        <f t="shared" si="42"/>
        <v>#N/A</v>
      </c>
      <c r="AD39" t="e">
        <f t="shared" si="43"/>
        <v>#N/A</v>
      </c>
      <c r="AE39" t="e">
        <f t="shared" si="44"/>
        <v>#N/A</v>
      </c>
      <c r="AF39" t="e">
        <f t="shared" si="45"/>
        <v>#N/A</v>
      </c>
      <c r="AG39" t="e">
        <f t="shared" si="46"/>
        <v>#N/A</v>
      </c>
      <c r="AH39" t="e">
        <f t="shared" si="47"/>
        <v>#N/A</v>
      </c>
      <c r="AI39" t="e">
        <f t="shared" si="48"/>
        <v>#N/A</v>
      </c>
      <c r="AJ39" t="e">
        <f t="shared" si="49"/>
        <v>#N/A</v>
      </c>
    </row>
    <row r="40">
      <c r="A40" s="2" t="n">
        <v>45536</v>
      </c>
      <c r="B40" t="n">
        <v>674130</v>
      </c>
      <c r="C40" t="n">
        <v>345185</v>
      </c>
      <c r="D40" t="n">
        <v>139.1</v>
      </c>
      <c r="E40" t="n">
        <v>14411.248641</v>
      </c>
      <c r="F40" t="n">
        <v>4308933.38674943</v>
      </c>
      <c r="G40" t="n">
        <v>0.0411696778876828</v>
      </c>
      <c r="H40" t="n">
        <v>0.670805</v>
      </c>
      <c r="I40" t="n">
        <v>0.0442</v>
      </c>
      <c r="J40" t="n">
        <v>0.0407466666666667</v>
      </c>
      <c r="K40" t="s">
        <v>178</v>
      </c>
      <c r="L40" t="e">
        <f t="shared" si="25"/>
        <v>#N/A</v>
      </c>
      <c r="M40" t="e">
        <f t="shared" si="26"/>
        <v>#N/A</v>
      </c>
      <c r="N40" t="e">
        <f t="shared" si="27"/>
        <v>#N/A</v>
      </c>
      <c r="O40" t="n">
        <f t="shared" si="28"/>
        <v>0</v>
      </c>
      <c r="P40" t="n">
        <f t="shared" si="29"/>
        <v>0</v>
      </c>
      <c r="Q40" t="n">
        <f t="shared" si="30"/>
        <v>0</v>
      </c>
      <c r="R40" t="n">
        <f t="shared" si="31"/>
        <v>0</v>
      </c>
      <c r="S40" t="e">
        <f t="shared" si="32"/>
        <v>#N/A</v>
      </c>
      <c r="T40" t="e">
        <f t="shared" si="33"/>
        <v>#N/A</v>
      </c>
      <c r="U40" t="e">
        <f t="shared" si="34"/>
        <v>#N/A</v>
      </c>
      <c r="V40" t="e">
        <f t="shared" si="35"/>
        <v>#N/A</v>
      </c>
      <c r="W40" t="e">
        <f t="shared" si="36"/>
        <v>#N/A</v>
      </c>
      <c r="X40" t="e">
        <f t="shared" si="37"/>
        <v>#N/A</v>
      </c>
      <c r="Y40" t="e">
        <f t="shared" si="38"/>
        <v>#N/A</v>
      </c>
      <c r="Z40" t="e">
        <f t="shared" si="39"/>
        <v>#N/A</v>
      </c>
      <c r="AA40" t="e">
        <f t="shared" si="40"/>
        <v>#N/A</v>
      </c>
      <c r="AB40" t="e">
        <f t="shared" si="41"/>
        <v>#N/A</v>
      </c>
      <c r="AC40" t="e">
        <f t="shared" si="42"/>
        <v>#N/A</v>
      </c>
      <c r="AD40" t="e">
        <f t="shared" si="43"/>
        <v>#N/A</v>
      </c>
      <c r="AE40" t="e">
        <f t="shared" si="44"/>
        <v>#N/A</v>
      </c>
      <c r="AF40" t="e">
        <f t="shared" si="45"/>
        <v>#N/A</v>
      </c>
      <c r="AG40" t="e">
        <f t="shared" si="46"/>
        <v>#N/A</v>
      </c>
      <c r="AH40" t="e">
        <f t="shared" si="47"/>
        <v>#N/A</v>
      </c>
      <c r="AI40" t="e">
        <f t="shared" si="48"/>
        <v>#N/A</v>
      </c>
      <c r="AJ40" t="e">
        <f t="shared" si="49"/>
        <v>#N/A</v>
      </c>
    </row>
    <row r="41">
      <c r="A41" s="2" t="n">
        <v>45627</v>
      </c>
      <c r="B41" t="n">
        <v>677077</v>
      </c>
      <c r="C41" t="n">
        <v>347360</v>
      </c>
      <c r="D41" t="n">
        <v>139.6</v>
      </c>
      <c r="E41" t="n">
        <v>14473.697393</v>
      </c>
      <c r="F41" t="n">
        <v>4317010.24503452</v>
      </c>
      <c r="G41" t="n">
        <v>0.0401043172136999</v>
      </c>
      <c r="H41" t="n">
        <v>0.670117</v>
      </c>
      <c r="I41" t="n">
        <v>0.044233</v>
      </c>
      <c r="J41" t="n">
        <v>0.0437466666666667</v>
      </c>
      <c r="K41" t="s">
        <v>178</v>
      </c>
      <c r="L41" t="e">
        <f t="shared" si="25"/>
        <v>#N/A</v>
      </c>
      <c r="M41" t="e">
        <f t="shared" si="26"/>
        <v>#N/A</v>
      </c>
      <c r="N41" t="e">
        <f t="shared" si="27"/>
        <v>#N/A</v>
      </c>
      <c r="O41" t="n">
        <f t="shared" si="28"/>
        <v>0</v>
      </c>
      <c r="P41" t="n">
        <f t="shared" si="29"/>
        <v>0</v>
      </c>
      <c r="Q41" t="n">
        <f t="shared" si="30"/>
        <v>0</v>
      </c>
      <c r="R41" t="n">
        <f t="shared" si="31"/>
        <v>0</v>
      </c>
      <c r="S41" t="e">
        <f t="shared" si="32"/>
        <v>#N/A</v>
      </c>
      <c r="T41" t="e">
        <f t="shared" si="33"/>
        <v>#N/A</v>
      </c>
      <c r="U41" t="e">
        <f t="shared" si="34"/>
        <v>#N/A</v>
      </c>
      <c r="V41" t="e">
        <f t="shared" si="35"/>
        <v>#N/A</v>
      </c>
      <c r="W41" t="e">
        <f t="shared" si="36"/>
        <v>#N/A</v>
      </c>
      <c r="X41" t="e">
        <f t="shared" si="37"/>
        <v>#N/A</v>
      </c>
      <c r="Y41" t="e">
        <f t="shared" si="38"/>
        <v>#N/A</v>
      </c>
      <c r="Z41" t="e">
        <f t="shared" si="39"/>
        <v>#N/A</v>
      </c>
      <c r="AA41" t="e">
        <f t="shared" si="40"/>
        <v>#N/A</v>
      </c>
      <c r="AB41" t="e">
        <f t="shared" si="41"/>
        <v>#N/A</v>
      </c>
      <c r="AC41" t="e">
        <f t="shared" si="42"/>
        <v>#N/A</v>
      </c>
      <c r="AD41" t="e">
        <f t="shared" si="43"/>
        <v>#N/A</v>
      </c>
      <c r="AE41" t="e">
        <f t="shared" si="44"/>
        <v>#N/A</v>
      </c>
      <c r="AF41" t="e">
        <f t="shared" si="45"/>
        <v>#N/A</v>
      </c>
      <c r="AG41" t="e">
        <f t="shared" si="46"/>
        <v>#N/A</v>
      </c>
      <c r="AH41" t="e">
        <f t="shared" si="47"/>
        <v>#N/A</v>
      </c>
      <c r="AI41" t="e">
        <f t="shared" si="48"/>
        <v>#N/A</v>
      </c>
      <c r="AJ41" t="e">
        <f t="shared" si="49"/>
        <v>#N/A</v>
      </c>
    </row>
    <row r="42">
      <c r="A42" s="2" t="n">
        <v>45717</v>
      </c>
      <c r="B42" t="n">
        <v>682056.331589137</v>
      </c>
      <c r="C42" t="n">
        <v>350569.786020005</v>
      </c>
      <c r="D42" t="n">
        <v>140.031862754532</v>
      </c>
      <c r="E42" t="n">
        <v>14584.999574711</v>
      </c>
      <c r="F42" t="n">
        <v>4333739.76004055</v>
      </c>
      <c r="G42" t="n">
        <v>0.0392687294678991</v>
      </c>
      <c r="H42" t="n">
        <v>0.669951756248767</v>
      </c>
      <c r="I42" t="n">
        <v>0.0437782648188369</v>
      </c>
      <c r="J42" t="n">
        <v>0.0436439237058131</v>
      </c>
      <c r="K42" t="s">
        <v>179</v>
      </c>
      <c r="L42" t="e">
        <f t="shared" si="25"/>
        <v>#N/A</v>
      </c>
      <c r="M42" t="e">
        <f t="shared" si="26"/>
        <v>#N/A</v>
      </c>
      <c r="N42" t="e">
        <f t="shared" si="27"/>
        <v>#N/A</v>
      </c>
      <c r="O42" t="n">
        <f t="shared" si="28"/>
        <v>0</v>
      </c>
      <c r="P42" t="n">
        <f t="shared" si="29"/>
        <v>0</v>
      </c>
      <c r="Q42" t="n">
        <f t="shared" si="30"/>
        <v>0</v>
      </c>
      <c r="R42" t="n">
        <f t="shared" si="31"/>
        <v>0</v>
      </c>
      <c r="S42" t="e">
        <f t="shared" si="32"/>
        <v>#N/A</v>
      </c>
      <c r="T42" t="e">
        <f t="shared" si="33"/>
        <v>#N/A</v>
      </c>
      <c r="U42" t="e">
        <f t="shared" si="34"/>
        <v>#N/A</v>
      </c>
      <c r="V42" t="e">
        <f t="shared" si="35"/>
        <v>#N/A</v>
      </c>
      <c r="W42" t="e">
        <f t="shared" si="36"/>
        <v>#N/A</v>
      </c>
      <c r="X42" t="e">
        <f t="shared" si="37"/>
        <v>#N/A</v>
      </c>
      <c r="Y42" t="e">
        <f t="shared" si="38"/>
        <v>#N/A</v>
      </c>
      <c r="Z42" t="e">
        <f t="shared" si="39"/>
        <v>#N/A</v>
      </c>
      <c r="AA42" t="e">
        <f t="shared" si="40"/>
        <v>#N/A</v>
      </c>
      <c r="AB42" t="e">
        <f t="shared" si="41"/>
        <v>#N/A</v>
      </c>
      <c r="AC42" t="e">
        <f t="shared" si="42"/>
        <v>#N/A</v>
      </c>
      <c r="AD42" t="e">
        <f t="shared" si="43"/>
        <v>#N/A</v>
      </c>
      <c r="AE42" t="e">
        <f t="shared" si="44"/>
        <v>#N/A</v>
      </c>
      <c r="AF42" t="e">
        <f t="shared" si="45"/>
        <v>#N/A</v>
      </c>
      <c r="AG42" t="e">
        <f t="shared" si="46"/>
        <v>#N/A</v>
      </c>
      <c r="AH42" t="e">
        <f t="shared" si="47"/>
        <v>#N/A</v>
      </c>
      <c r="AI42" t="e">
        <f t="shared" si="48"/>
        <v>#N/A</v>
      </c>
      <c r="AJ42" t="e">
        <f t="shared" si="49"/>
        <v>#N/A</v>
      </c>
    </row>
    <row r="43">
      <c r="A43" s="2" t="n">
        <v>45809</v>
      </c>
      <c r="B43" t="n">
        <v>687310.132940827</v>
      </c>
      <c r="C43" t="n">
        <v>353180.572988745</v>
      </c>
      <c r="D43" t="n">
        <v>140.599706676254</v>
      </c>
      <c r="E43" t="n">
        <v>14687.2577686923</v>
      </c>
      <c r="F43" t="n">
        <v>4343514.23094248</v>
      </c>
      <c r="G43" t="n">
        <v>0.0390740674259115</v>
      </c>
      <c r="H43" t="n">
        <v>0.669799231562062</v>
      </c>
      <c r="I43" t="n">
        <v>0.0386090978853748</v>
      </c>
      <c r="J43" t="n">
        <v>0.0432359645697224</v>
      </c>
      <c r="K43" t="s">
        <v>179</v>
      </c>
      <c r="L43" t="e">
        <f t="shared" si="25"/>
        <v>#N/A</v>
      </c>
      <c r="M43" t="e">
        <f t="shared" si="26"/>
        <v>#N/A</v>
      </c>
      <c r="N43" t="e">
        <f t="shared" si="27"/>
        <v>#N/A</v>
      </c>
      <c r="O43" t="n">
        <f t="shared" si="28"/>
        <v>0</v>
      </c>
      <c r="P43" t="n">
        <f t="shared" si="29"/>
        <v>0</v>
      </c>
      <c r="Q43" t="n">
        <f t="shared" si="30"/>
        <v>0</v>
      </c>
      <c r="R43" t="n">
        <f t="shared" si="31"/>
        <v>0</v>
      </c>
      <c r="S43" t="e">
        <f t="shared" si="32"/>
        <v>#N/A</v>
      </c>
      <c r="T43" t="e">
        <f t="shared" si="33"/>
        <v>#N/A</v>
      </c>
      <c r="U43" t="e">
        <f t="shared" si="34"/>
        <v>#N/A</v>
      </c>
      <c r="V43" t="e">
        <f t="shared" si="35"/>
        <v>#N/A</v>
      </c>
      <c r="W43" t="e">
        <f t="shared" si="36"/>
        <v>#N/A</v>
      </c>
      <c r="X43" t="e">
        <f t="shared" si="37"/>
        <v>#N/A</v>
      </c>
      <c r="Y43" t="e">
        <f t="shared" si="38"/>
        <v>#N/A</v>
      </c>
      <c r="Z43" t="e">
        <f t="shared" si="39"/>
        <v>#N/A</v>
      </c>
      <c r="AA43" t="e">
        <f t="shared" si="40"/>
        <v>#N/A</v>
      </c>
      <c r="AB43" t="e">
        <f t="shared" si="41"/>
        <v>#N/A</v>
      </c>
      <c r="AC43" t="e">
        <f t="shared" si="42"/>
        <v>#N/A</v>
      </c>
      <c r="AD43" t="e">
        <f t="shared" si="43"/>
        <v>#N/A</v>
      </c>
      <c r="AE43" t="e">
        <f t="shared" si="44"/>
        <v>#N/A</v>
      </c>
      <c r="AF43" t="e">
        <f t="shared" si="45"/>
        <v>#N/A</v>
      </c>
      <c r="AG43" t="e">
        <f t="shared" si="46"/>
        <v>#N/A</v>
      </c>
      <c r="AH43" t="e">
        <f t="shared" si="47"/>
        <v>#N/A</v>
      </c>
      <c r="AI43" t="e">
        <f t="shared" si="48"/>
        <v>#N/A</v>
      </c>
      <c r="AJ43" t="e">
        <f t="shared" si="49"/>
        <v>#N/A</v>
      </c>
    </row>
    <row r="44">
      <c r="A44" s="2" t="n">
        <v>45901</v>
      </c>
      <c r="B44" t="n">
        <v>691271.520754247</v>
      </c>
      <c r="C44" t="n">
        <v>355998.931293701</v>
      </c>
      <c r="D44" t="n">
        <v>141.329719995302</v>
      </c>
      <c r="E44" t="n">
        <v>14752.8573612502</v>
      </c>
      <c r="F44" t="n">
        <v>4348345.43914147</v>
      </c>
      <c r="G44" t="n">
        <v>0.0385981525179423</v>
      </c>
      <c r="H44" t="n">
        <v>0.669539090710189</v>
      </c>
      <c r="I44" t="n">
        <v>0.0372744417276959</v>
      </c>
      <c r="J44" t="n">
        <v>0.042775335038333</v>
      </c>
      <c r="K44" t="s">
        <v>179</v>
      </c>
      <c r="L44" t="e">
        <f t="shared" si="25"/>
        <v>#N/A</v>
      </c>
      <c r="M44" t="e">
        <f t="shared" si="26"/>
        <v>#N/A</v>
      </c>
      <c r="N44" t="e">
        <f t="shared" si="27"/>
        <v>#N/A</v>
      </c>
      <c r="O44" t="n">
        <f t="shared" si="28"/>
        <v>0</v>
      </c>
      <c r="P44" t="n">
        <f t="shared" si="29"/>
        <v>0</v>
      </c>
      <c r="Q44" t="n">
        <f t="shared" si="30"/>
        <v>0</v>
      </c>
      <c r="R44" t="n">
        <f t="shared" si="31"/>
        <v>0</v>
      </c>
      <c r="S44" t="e">
        <f t="shared" si="32"/>
        <v>#N/A</v>
      </c>
      <c r="T44" t="e">
        <f t="shared" si="33"/>
        <v>#N/A</v>
      </c>
      <c r="U44" t="e">
        <f t="shared" si="34"/>
        <v>#N/A</v>
      </c>
      <c r="V44" t="e">
        <f t="shared" si="35"/>
        <v>#N/A</v>
      </c>
      <c r="W44" t="e">
        <f t="shared" si="36"/>
        <v>#N/A</v>
      </c>
      <c r="X44" t="e">
        <f t="shared" si="37"/>
        <v>#N/A</v>
      </c>
      <c r="Y44" t="e">
        <f t="shared" si="38"/>
        <v>#N/A</v>
      </c>
      <c r="Z44" t="e">
        <f t="shared" si="39"/>
        <v>#N/A</v>
      </c>
      <c r="AA44" t="e">
        <f t="shared" si="40"/>
        <v>#N/A</v>
      </c>
      <c r="AB44" t="e">
        <f t="shared" si="41"/>
        <v>#N/A</v>
      </c>
      <c r="AC44" t="e">
        <f t="shared" si="42"/>
        <v>#N/A</v>
      </c>
      <c r="AD44" t="e">
        <f t="shared" si="43"/>
        <v>#N/A</v>
      </c>
      <c r="AE44" t="e">
        <f t="shared" si="44"/>
        <v>#N/A</v>
      </c>
      <c r="AF44" t="e">
        <f t="shared" si="45"/>
        <v>#N/A</v>
      </c>
      <c r="AG44" t="e">
        <f t="shared" si="46"/>
        <v>#N/A</v>
      </c>
      <c r="AH44" t="e">
        <f t="shared" si="47"/>
        <v>#N/A</v>
      </c>
      <c r="AI44" t="e">
        <f t="shared" si="48"/>
        <v>#N/A</v>
      </c>
      <c r="AJ44" t="e">
        <f t="shared" si="49"/>
        <v>#N/A</v>
      </c>
    </row>
    <row r="45">
      <c r="A45" s="2" t="n">
        <v>45992</v>
      </c>
      <c r="B45" t="n">
        <v>695751.354395851</v>
      </c>
      <c r="C45" t="n">
        <v>358795.838872174</v>
      </c>
      <c r="D45" t="n">
        <v>142.196179582441</v>
      </c>
      <c r="E45" t="n">
        <v>14813.1402780935</v>
      </c>
      <c r="F45" t="n">
        <v>4351622.62841456</v>
      </c>
      <c r="G45" t="n">
        <v>0.0386392866724199</v>
      </c>
      <c r="H45" t="n">
        <v>0.669394561974283</v>
      </c>
      <c r="I45" t="n">
        <v>0.0368362461908914</v>
      </c>
      <c r="J45" t="n">
        <v>0.0423197968645285</v>
      </c>
      <c r="K45" t="s">
        <v>179</v>
      </c>
      <c r="L45" t="e">
        <f t="shared" si="25"/>
        <v>#N/A</v>
      </c>
      <c r="M45" t="e">
        <f t="shared" si="26"/>
        <v>#N/A</v>
      </c>
      <c r="N45" t="e">
        <f t="shared" si="27"/>
        <v>#N/A</v>
      </c>
      <c r="O45" t="n">
        <f t="shared" si="28"/>
        <v>0</v>
      </c>
      <c r="P45" t="n">
        <f t="shared" si="29"/>
        <v>0</v>
      </c>
      <c r="Q45" t="n">
        <f t="shared" si="30"/>
        <v>0</v>
      </c>
      <c r="R45" t="n">
        <f t="shared" si="31"/>
        <v>0</v>
      </c>
      <c r="S45" t="e">
        <f t="shared" si="32"/>
        <v>#N/A</v>
      </c>
      <c r="T45" t="e">
        <f t="shared" si="33"/>
        <v>#N/A</v>
      </c>
      <c r="U45" t="e">
        <f t="shared" si="34"/>
        <v>#N/A</v>
      </c>
      <c r="V45" t="e">
        <f t="shared" si="35"/>
        <v>#N/A</v>
      </c>
      <c r="W45" t="e">
        <f t="shared" si="36"/>
        <v>#N/A</v>
      </c>
      <c r="X45" t="e">
        <f t="shared" si="37"/>
        <v>#N/A</v>
      </c>
      <c r="Y45" t="e">
        <f t="shared" si="38"/>
        <v>#N/A</v>
      </c>
      <c r="Z45" t="e">
        <f t="shared" si="39"/>
        <v>#N/A</v>
      </c>
      <c r="AA45" t="e">
        <f t="shared" si="40"/>
        <v>#N/A</v>
      </c>
      <c r="AB45" t="e">
        <f t="shared" si="41"/>
        <v>#N/A</v>
      </c>
      <c r="AC45" t="e">
        <f t="shared" si="42"/>
        <v>#N/A</v>
      </c>
      <c r="AD45" t="e">
        <f t="shared" si="43"/>
        <v>#N/A</v>
      </c>
      <c r="AE45" t="e">
        <f t="shared" si="44"/>
        <v>#N/A</v>
      </c>
      <c r="AF45" t="e">
        <f t="shared" si="45"/>
        <v>#N/A</v>
      </c>
      <c r="AG45" t="e">
        <f t="shared" si="46"/>
        <v>#N/A</v>
      </c>
      <c r="AH45" t="e">
        <f t="shared" si="47"/>
        <v>#N/A</v>
      </c>
      <c r="AI45" t="e">
        <f t="shared" si="48"/>
        <v>#N/A</v>
      </c>
      <c r="AJ45" t="e">
        <f t="shared" si="49"/>
        <v>#N/A</v>
      </c>
    </row>
    <row r="46">
      <c r="A46" s="2" t="n">
        <v>46082</v>
      </c>
      <c r="B46" t="n">
        <v>700726.559077568</v>
      </c>
      <c r="C46" t="n">
        <v>361791.147315457</v>
      </c>
      <c r="D46" t="n">
        <v>143.220125637523</v>
      </c>
      <c r="E46" t="n">
        <v>14877.1973303458</v>
      </c>
      <c r="F46" t="n">
        <v>4358240.88890556</v>
      </c>
      <c r="G46" t="n">
        <v>0.0386115994873672</v>
      </c>
      <c r="H46" t="n">
        <v>0.669369702640581</v>
      </c>
      <c r="I46" t="n">
        <v>0.0386649324962645</v>
      </c>
      <c r="J46" t="n">
        <v>0.0420059376465676</v>
      </c>
      <c r="K46" t="s">
        <v>179</v>
      </c>
      <c r="L46" t="e">
        <f t="shared" si="25"/>
        <v>#N/A</v>
      </c>
      <c r="M46" t="e">
        <f t="shared" si="26"/>
        <v>#N/A</v>
      </c>
      <c r="N46" t="e">
        <f t="shared" si="27"/>
        <v>#N/A</v>
      </c>
      <c r="O46" t="n">
        <f t="shared" si="28"/>
        <v>0</v>
      </c>
      <c r="P46" t="n">
        <f t="shared" si="29"/>
        <v>0</v>
      </c>
      <c r="Q46" t="n">
        <f t="shared" si="30"/>
        <v>0</v>
      </c>
      <c r="R46" t="n">
        <f t="shared" si="31"/>
        <v>0</v>
      </c>
      <c r="S46" t="e">
        <f t="shared" si="32"/>
        <v>#N/A</v>
      </c>
      <c r="T46" t="e">
        <f t="shared" si="33"/>
        <v>#N/A</v>
      </c>
      <c r="U46" t="e">
        <f t="shared" si="34"/>
        <v>#N/A</v>
      </c>
      <c r="V46" t="e">
        <f t="shared" si="35"/>
        <v>#N/A</v>
      </c>
      <c r="W46" t="e">
        <f t="shared" si="36"/>
        <v>#N/A</v>
      </c>
      <c r="X46" t="e">
        <f t="shared" si="37"/>
        <v>#N/A</v>
      </c>
      <c r="Y46" t="e">
        <f t="shared" si="38"/>
        <v>#N/A</v>
      </c>
      <c r="Z46" t="e">
        <f t="shared" si="39"/>
        <v>#N/A</v>
      </c>
      <c r="AA46" t="e">
        <f t="shared" si="40"/>
        <v>#N/A</v>
      </c>
      <c r="AB46" t="e">
        <f t="shared" si="41"/>
        <v>#N/A</v>
      </c>
      <c r="AC46" t="e">
        <f t="shared" si="42"/>
        <v>#N/A</v>
      </c>
      <c r="AD46" t="e">
        <f t="shared" si="43"/>
        <v>#N/A</v>
      </c>
      <c r="AE46" t="e">
        <f t="shared" si="44"/>
        <v>#N/A</v>
      </c>
      <c r="AF46" t="e">
        <f t="shared" si="45"/>
        <v>#N/A</v>
      </c>
      <c r="AG46" t="e">
        <f t="shared" si="46"/>
        <v>#N/A</v>
      </c>
      <c r="AH46" t="e">
        <f t="shared" si="47"/>
        <v>#N/A</v>
      </c>
      <c r="AI46" t="e">
        <f t="shared" si="48"/>
        <v>#N/A</v>
      </c>
      <c r="AJ46" t="e">
        <f t="shared" si="49"/>
        <v>#N/A</v>
      </c>
    </row>
    <row r="47">
      <c r="A47" s="2" t="n">
        <v>46174</v>
      </c>
      <c r="B47" t="n">
        <v>705495.009977356</v>
      </c>
      <c r="C47" t="n">
        <v>364559.917672748</v>
      </c>
      <c r="D47" t="n">
        <v>144.372331198218</v>
      </c>
      <c r="E47" t="n">
        <v>14942.6348786702</v>
      </c>
      <c r="F47" t="n">
        <v>4366205.88184033</v>
      </c>
      <c r="G47" t="n">
        <v>0.0386323521850818</v>
      </c>
      <c r="H47" t="n">
        <v>0.669436768632958</v>
      </c>
      <c r="I47" t="n">
        <v>0.0419154055477493</v>
      </c>
      <c r="J47" t="n">
        <v>0.041909936212782</v>
      </c>
      <c r="K47" t="s">
        <v>179</v>
      </c>
      <c r="L47" t="e">
        <f t="shared" si="25"/>
        <v>#N/A</v>
      </c>
      <c r="M47" t="e">
        <f t="shared" si="26"/>
        <v>#N/A</v>
      </c>
      <c r="N47" t="e">
        <f t="shared" si="27"/>
        <v>#N/A</v>
      </c>
      <c r="O47" t="n">
        <f t="shared" si="28"/>
        <v>0</v>
      </c>
      <c r="P47" t="n">
        <f t="shared" si="29"/>
        <v>0</v>
      </c>
      <c r="Q47" t="n">
        <f t="shared" si="30"/>
        <v>0</v>
      </c>
      <c r="R47" t="n">
        <f t="shared" si="31"/>
        <v>0</v>
      </c>
      <c r="S47" t="e">
        <f t="shared" si="32"/>
        <v>#N/A</v>
      </c>
      <c r="T47" t="e">
        <f t="shared" si="33"/>
        <v>#N/A</v>
      </c>
      <c r="U47" t="e">
        <f t="shared" si="34"/>
        <v>#N/A</v>
      </c>
      <c r="V47" t="e">
        <f t="shared" si="35"/>
        <v>#N/A</v>
      </c>
      <c r="W47" t="e">
        <f t="shared" si="36"/>
        <v>#N/A</v>
      </c>
      <c r="X47" t="e">
        <f t="shared" si="37"/>
        <v>#N/A</v>
      </c>
      <c r="Y47" t="e">
        <f t="shared" si="38"/>
        <v>#N/A</v>
      </c>
      <c r="Z47" t="e">
        <f t="shared" si="39"/>
        <v>#N/A</v>
      </c>
      <c r="AA47" t="e">
        <f t="shared" si="40"/>
        <v>#N/A</v>
      </c>
      <c r="AB47" t="e">
        <f t="shared" si="41"/>
        <v>#N/A</v>
      </c>
      <c r="AC47" t="e">
        <f t="shared" si="42"/>
        <v>#N/A</v>
      </c>
      <c r="AD47" t="e">
        <f t="shared" si="43"/>
        <v>#N/A</v>
      </c>
      <c r="AE47" t="e">
        <f t="shared" si="44"/>
        <v>#N/A</v>
      </c>
      <c r="AF47" t="e">
        <f t="shared" si="45"/>
        <v>#N/A</v>
      </c>
      <c r="AG47" t="e">
        <f t="shared" si="46"/>
        <v>#N/A</v>
      </c>
      <c r="AH47" t="e">
        <f t="shared" si="47"/>
        <v>#N/A</v>
      </c>
      <c r="AI47" t="e">
        <f t="shared" si="48"/>
        <v>#N/A</v>
      </c>
      <c r="AJ47" t="e">
        <f t="shared" si="49"/>
        <v>#N/A</v>
      </c>
    </row>
    <row r="48">
      <c r="A48" s="2" t="n">
        <v>46266</v>
      </c>
      <c r="B48" t="n">
        <v>710301.861727193</v>
      </c>
      <c r="C48" t="n">
        <v>367439.624277036</v>
      </c>
      <c r="D48" t="n">
        <v>145.639061748736</v>
      </c>
      <c r="E48" t="n">
        <v>15006.3003515153</v>
      </c>
      <c r="F48" t="n">
        <v>4375355.35750404</v>
      </c>
      <c r="G48" t="n">
        <v>0.0384063852631822</v>
      </c>
      <c r="H48" t="n">
        <v>0.669552716442287</v>
      </c>
      <c r="I48" t="n">
        <v>0.0464019111382157</v>
      </c>
      <c r="J48" t="n">
        <v>0.0420915308080125</v>
      </c>
      <c r="K48" t="s">
        <v>179</v>
      </c>
      <c r="L48" t="e">
        <f t="shared" si="25"/>
        <v>#N/A</v>
      </c>
      <c r="M48" t="e">
        <f t="shared" si="26"/>
        <v>#N/A</v>
      </c>
      <c r="N48" t="e">
        <f t="shared" si="27"/>
        <v>#N/A</v>
      </c>
      <c r="O48" t="n">
        <f t="shared" si="28"/>
        <v>0</v>
      </c>
      <c r="P48" t="n">
        <f t="shared" si="29"/>
        <v>0</v>
      </c>
      <c r="Q48" t="n">
        <f t="shared" si="30"/>
        <v>0</v>
      </c>
      <c r="R48" t="n">
        <f t="shared" si="31"/>
        <v>0</v>
      </c>
      <c r="S48" t="e">
        <f t="shared" si="32"/>
        <v>#N/A</v>
      </c>
      <c r="T48" t="e">
        <f t="shared" si="33"/>
        <v>#N/A</v>
      </c>
      <c r="U48" t="e">
        <f t="shared" si="34"/>
        <v>#N/A</v>
      </c>
      <c r="V48" t="e">
        <f t="shared" si="35"/>
        <v>#N/A</v>
      </c>
      <c r="W48" t="e">
        <f t="shared" si="36"/>
        <v>#N/A</v>
      </c>
      <c r="X48" t="e">
        <f t="shared" si="37"/>
        <v>#N/A</v>
      </c>
      <c r="Y48" t="e">
        <f t="shared" si="38"/>
        <v>#N/A</v>
      </c>
      <c r="Z48" t="e">
        <f t="shared" si="39"/>
        <v>#N/A</v>
      </c>
      <c r="AA48" t="e">
        <f t="shared" si="40"/>
        <v>#N/A</v>
      </c>
      <c r="AB48" t="e">
        <f t="shared" si="41"/>
        <v>#N/A</v>
      </c>
      <c r="AC48" t="e">
        <f t="shared" si="42"/>
        <v>#N/A</v>
      </c>
      <c r="AD48" t="e">
        <f t="shared" si="43"/>
        <v>#N/A</v>
      </c>
      <c r="AE48" t="e">
        <f t="shared" si="44"/>
        <v>#N/A</v>
      </c>
      <c r="AF48" t="e">
        <f t="shared" si="45"/>
        <v>#N/A</v>
      </c>
      <c r="AG48" t="e">
        <f t="shared" si="46"/>
        <v>#N/A</v>
      </c>
      <c r="AH48" t="e">
        <f t="shared" si="47"/>
        <v>#N/A</v>
      </c>
      <c r="AI48" t="e">
        <f t="shared" si="48"/>
        <v>#N/A</v>
      </c>
      <c r="AJ48" t="e">
        <f t="shared" si="49"/>
        <v>#N/A</v>
      </c>
    </row>
    <row r="49">
      <c r="A49" s="2" t="n">
        <v>46357</v>
      </c>
      <c r="B49" t="n">
        <v>714904.104764168</v>
      </c>
      <c r="C49" t="n">
        <v>370255.314382408</v>
      </c>
      <c r="D49" t="n">
        <v>147.004263036338</v>
      </c>
      <c r="E49" t="n">
        <v>15069.5372193607</v>
      </c>
      <c r="F49" t="n">
        <v>4384278.4035685</v>
      </c>
      <c r="G49" t="n">
        <v>0.0382893797724542</v>
      </c>
      <c r="H49" t="n">
        <v>0.669720345206143</v>
      </c>
      <c r="I49" t="n">
        <v>0.051166793547428</v>
      </c>
      <c r="J49" t="n">
        <v>0.0425485170090851</v>
      </c>
      <c r="K49" t="s">
        <v>179</v>
      </c>
      <c r="L49" t="e">
        <f t="shared" si="25"/>
        <v>#N/A</v>
      </c>
      <c r="M49" t="e">
        <f t="shared" si="26"/>
        <v>#N/A</v>
      </c>
      <c r="N49" t="e">
        <f t="shared" si="27"/>
        <v>#N/A</v>
      </c>
      <c r="O49" t="n">
        <f t="shared" si="28"/>
        <v>0</v>
      </c>
      <c r="P49" t="n">
        <f t="shared" si="29"/>
        <v>0</v>
      </c>
      <c r="Q49" t="n">
        <f t="shared" si="30"/>
        <v>0</v>
      </c>
      <c r="R49" t="n">
        <f t="shared" si="31"/>
        <v>0</v>
      </c>
      <c r="S49" t="e">
        <f t="shared" si="32"/>
        <v>#N/A</v>
      </c>
      <c r="T49" t="e">
        <f t="shared" si="33"/>
        <v>#N/A</v>
      </c>
      <c r="U49" t="e">
        <f t="shared" si="34"/>
        <v>#N/A</v>
      </c>
      <c r="V49" t="e">
        <f t="shared" si="35"/>
        <v>#N/A</v>
      </c>
      <c r="W49" t="e">
        <f t="shared" si="36"/>
        <v>#N/A</v>
      </c>
      <c r="X49" t="e">
        <f t="shared" si="37"/>
        <v>#N/A</v>
      </c>
      <c r="Y49" t="e">
        <f t="shared" si="38"/>
        <v>#N/A</v>
      </c>
      <c r="Z49" t="e">
        <f t="shared" si="39"/>
        <v>#N/A</v>
      </c>
      <c r="AA49" t="e">
        <f t="shared" si="40"/>
        <v>#N/A</v>
      </c>
      <c r="AB49" t="e">
        <f t="shared" si="41"/>
        <v>#N/A</v>
      </c>
      <c r="AC49" t="e">
        <f t="shared" si="42"/>
        <v>#N/A</v>
      </c>
      <c r="AD49" t="e">
        <f t="shared" si="43"/>
        <v>#N/A</v>
      </c>
      <c r="AE49" t="e">
        <f t="shared" si="44"/>
        <v>#N/A</v>
      </c>
      <c r="AF49" t="e">
        <f t="shared" si="45"/>
        <v>#N/A</v>
      </c>
      <c r="AG49" t="e">
        <f t="shared" si="46"/>
        <v>#N/A</v>
      </c>
      <c r="AH49" t="e">
        <f t="shared" si="47"/>
        <v>#N/A</v>
      </c>
      <c r="AI49" t="e">
        <f t="shared" si="48"/>
        <v>#N/A</v>
      </c>
      <c r="AJ49" t="e">
        <f t="shared" si="49"/>
        <v>#N/A</v>
      </c>
    </row>
    <row r="50">
      <c r="A50" s="2" t="n">
        <v>46447</v>
      </c>
      <c r="B50" t="n">
        <v>719216.098101294</v>
      </c>
      <c r="C50" t="n">
        <v>372799.672679197</v>
      </c>
      <c r="D50" t="n">
        <v>148.43961866706</v>
      </c>
      <c r="E50" t="n">
        <v>15127.5358072883</v>
      </c>
      <c r="F50" t="n">
        <v>4390067.38701164</v>
      </c>
      <c r="G50" t="n">
        <v>0.0385048442483449</v>
      </c>
      <c r="H50" t="n">
        <v>0.669882716226483</v>
      </c>
      <c r="I50" t="n">
        <v>0.0553220581492405</v>
      </c>
      <c r="J50" t="n">
        <v>0.043225199985203</v>
      </c>
      <c r="K50" t="s">
        <v>179</v>
      </c>
      <c r="L50" t="e">
        <f t="shared" si="25"/>
        <v>#N/A</v>
      </c>
      <c r="M50" t="e">
        <f t="shared" si="26"/>
        <v>#N/A</v>
      </c>
      <c r="N50" t="e">
        <f t="shared" si="27"/>
        <v>#N/A</v>
      </c>
      <c r="O50" t="n">
        <f t="shared" si="28"/>
        <v>0</v>
      </c>
      <c r="P50" t="n">
        <f t="shared" si="29"/>
        <v>0</v>
      </c>
      <c r="Q50" t="n">
        <f t="shared" si="30"/>
        <v>0</v>
      </c>
      <c r="R50" t="n">
        <f t="shared" si="31"/>
        <v>0</v>
      </c>
      <c r="S50" t="e">
        <f t="shared" si="32"/>
        <v>#N/A</v>
      </c>
      <c r="T50" t="e">
        <f t="shared" si="33"/>
        <v>#N/A</v>
      </c>
      <c r="U50" t="e">
        <f t="shared" si="34"/>
        <v>#N/A</v>
      </c>
      <c r="V50" t="e">
        <f t="shared" si="35"/>
        <v>#N/A</v>
      </c>
      <c r="W50" t="e">
        <f t="shared" si="36"/>
        <v>#N/A</v>
      </c>
      <c r="X50" t="e">
        <f t="shared" si="37"/>
        <v>#N/A</v>
      </c>
      <c r="Y50" t="e">
        <f t="shared" si="38"/>
        <v>#N/A</v>
      </c>
      <c r="Z50" t="e">
        <f t="shared" si="39"/>
        <v>#N/A</v>
      </c>
      <c r="AA50" t="e">
        <f t="shared" si="40"/>
        <v>#N/A</v>
      </c>
      <c r="AB50" t="e">
        <f t="shared" si="41"/>
        <v>#N/A</v>
      </c>
      <c r="AC50" t="e">
        <f t="shared" si="42"/>
        <v>#N/A</v>
      </c>
      <c r="AD50" t="e">
        <f t="shared" si="43"/>
        <v>#N/A</v>
      </c>
      <c r="AE50" t="e">
        <f t="shared" si="44"/>
        <v>#N/A</v>
      </c>
      <c r="AF50" t="e">
        <f t="shared" si="45"/>
        <v>#N/A</v>
      </c>
      <c r="AG50" t="e">
        <f t="shared" si="46"/>
        <v>#N/A</v>
      </c>
      <c r="AH50" t="e">
        <f t="shared" si="47"/>
        <v>#N/A</v>
      </c>
      <c r="AI50" t="e">
        <f t="shared" si="48"/>
        <v>#N/A</v>
      </c>
      <c r="AJ50" t="e">
        <f t="shared" si="49"/>
        <v>#N/A</v>
      </c>
    </row>
    <row r="51">
      <c r="A51" s="2" t="n">
        <v>46539</v>
      </c>
      <c r="B51" t="n">
        <v>723406.532859782</v>
      </c>
      <c r="C51" t="n">
        <v>375029.72479978</v>
      </c>
      <c r="D51" t="n">
        <v>149.948025862154</v>
      </c>
      <c r="E51" t="n">
        <v>15181.3954571645</v>
      </c>
      <c r="F51" t="n">
        <v>4393806.27341372</v>
      </c>
      <c r="G51" t="n">
        <v>0.0388834447648027</v>
      </c>
      <c r="H51" t="n">
        <v>0.669973160287017</v>
      </c>
      <c r="I51" t="n">
        <v>0.0588790736887421</v>
      </c>
      <c r="J51" t="n">
        <v>0.044070387784405</v>
      </c>
      <c r="K51" t="s">
        <v>179</v>
      </c>
      <c r="L51" t="e">
        <f t="shared" si="25"/>
        <v>#N/A</v>
      </c>
      <c r="M51" t="e">
        <f t="shared" si="26"/>
        <v>#N/A</v>
      </c>
      <c r="N51" t="e">
        <f t="shared" si="27"/>
        <v>#N/A</v>
      </c>
      <c r="O51" t="n">
        <f t="shared" si="28"/>
        <v>0</v>
      </c>
      <c r="P51" t="n">
        <f t="shared" si="29"/>
        <v>0</v>
      </c>
      <c r="Q51" t="n">
        <f t="shared" si="30"/>
        <v>0</v>
      </c>
      <c r="R51" t="n">
        <f t="shared" si="31"/>
        <v>0</v>
      </c>
      <c r="S51" t="e">
        <f t="shared" si="32"/>
        <v>#N/A</v>
      </c>
      <c r="T51" t="e">
        <f t="shared" si="33"/>
        <v>#N/A</v>
      </c>
      <c r="U51" t="e">
        <f t="shared" si="34"/>
        <v>#N/A</v>
      </c>
      <c r="V51" t="e">
        <f t="shared" si="35"/>
        <v>#N/A</v>
      </c>
      <c r="W51" t="e">
        <f t="shared" si="36"/>
        <v>#N/A</v>
      </c>
      <c r="X51" t="e">
        <f t="shared" si="37"/>
        <v>#N/A</v>
      </c>
      <c r="Y51" t="e">
        <f t="shared" si="38"/>
        <v>#N/A</v>
      </c>
      <c r="Z51" t="e">
        <f t="shared" si="39"/>
        <v>#N/A</v>
      </c>
      <c r="AA51" t="e">
        <f t="shared" si="40"/>
        <v>#N/A</v>
      </c>
      <c r="AB51" t="e">
        <f t="shared" si="41"/>
        <v>#N/A</v>
      </c>
      <c r="AC51" t="e">
        <f t="shared" si="42"/>
        <v>#N/A</v>
      </c>
      <c r="AD51" t="e">
        <f t="shared" si="43"/>
        <v>#N/A</v>
      </c>
      <c r="AE51" t="e">
        <f t="shared" si="44"/>
        <v>#N/A</v>
      </c>
      <c r="AF51" t="e">
        <f t="shared" si="45"/>
        <v>#N/A</v>
      </c>
      <c r="AG51" t="e">
        <f t="shared" si="46"/>
        <v>#N/A</v>
      </c>
      <c r="AH51" t="e">
        <f t="shared" si="47"/>
        <v>#N/A</v>
      </c>
      <c r="AI51" t="e">
        <f t="shared" si="48"/>
        <v>#N/A</v>
      </c>
      <c r="AJ51" t="e">
        <f t="shared" si="49"/>
        <v>#N/A</v>
      </c>
    </row>
    <row r="52">
      <c r="A52" s="2" t="n">
        <v>46631</v>
      </c>
      <c r="B52" t="n">
        <v>726629.706805515</v>
      </c>
      <c r="C52" t="n">
        <v>377104.873185019</v>
      </c>
      <c r="D52" t="n">
        <v>151.505515085874</v>
      </c>
      <c r="E52" t="n">
        <v>15225.4228374055</v>
      </c>
      <c r="F52" t="n">
        <v>4393153.70273539</v>
      </c>
      <c r="G52" t="n">
        <v>0.0396166089239728</v>
      </c>
      <c r="H52" t="n">
        <v>0.669998136675722</v>
      </c>
      <c r="I52" t="n">
        <v>0.061330349349501</v>
      </c>
      <c r="J52" t="n">
        <v>0.0450057398435711</v>
      </c>
      <c r="K52" t="s">
        <v>179</v>
      </c>
      <c r="L52" t="e">
        <f t="shared" si="25"/>
        <v>#N/A</v>
      </c>
      <c r="M52" t="e">
        <f t="shared" si="26"/>
        <v>#N/A</v>
      </c>
      <c r="N52" t="e">
        <f t="shared" si="27"/>
        <v>#N/A</v>
      </c>
      <c r="O52" t="n">
        <f t="shared" si="28"/>
        <v>0</v>
      </c>
      <c r="P52" t="n">
        <f t="shared" si="29"/>
        <v>0</v>
      </c>
      <c r="Q52" t="n">
        <f t="shared" si="30"/>
        <v>0</v>
      </c>
      <c r="R52" t="n">
        <f t="shared" si="31"/>
        <v>0</v>
      </c>
      <c r="S52" t="e">
        <f t="shared" si="32"/>
        <v>#N/A</v>
      </c>
      <c r="T52" t="e">
        <f t="shared" si="33"/>
        <v>#N/A</v>
      </c>
      <c r="U52" t="e">
        <f t="shared" si="34"/>
        <v>#N/A</v>
      </c>
      <c r="V52" t="e">
        <f t="shared" si="35"/>
        <v>#N/A</v>
      </c>
      <c r="W52" t="e">
        <f t="shared" si="36"/>
        <v>#N/A</v>
      </c>
      <c r="X52" t="e">
        <f t="shared" si="37"/>
        <v>#N/A</v>
      </c>
      <c r="Y52" t="e">
        <f t="shared" si="38"/>
        <v>#N/A</v>
      </c>
      <c r="Z52" t="e">
        <f t="shared" si="39"/>
        <v>#N/A</v>
      </c>
      <c r="AA52" t="e">
        <f t="shared" si="40"/>
        <v>#N/A</v>
      </c>
      <c r="AB52" t="e">
        <f t="shared" si="41"/>
        <v>#N/A</v>
      </c>
      <c r="AC52" t="e">
        <f t="shared" si="42"/>
        <v>#N/A</v>
      </c>
      <c r="AD52" t="e">
        <f t="shared" si="43"/>
        <v>#N/A</v>
      </c>
      <c r="AE52" t="e">
        <f t="shared" si="44"/>
        <v>#N/A</v>
      </c>
      <c r="AF52" t="e">
        <f t="shared" si="45"/>
        <v>#N/A</v>
      </c>
      <c r="AG52" t="e">
        <f t="shared" si="46"/>
        <v>#N/A</v>
      </c>
      <c r="AH52" t="e">
        <f t="shared" si="47"/>
        <v>#N/A</v>
      </c>
      <c r="AI52" t="e">
        <f t="shared" si="48"/>
        <v>#N/A</v>
      </c>
      <c r="AJ52" t="e">
        <f t="shared" si="49"/>
        <v>#N/A</v>
      </c>
    </row>
    <row r="53">
      <c r="A53" s="2" t="n">
        <v>46722</v>
      </c>
      <c r="B53" t="n">
        <v>730413.706740859</v>
      </c>
      <c r="C53" t="n">
        <v>379284.862843887</v>
      </c>
      <c r="D53" t="n">
        <v>153.113850479583</v>
      </c>
      <c r="E53" t="n">
        <v>15267.9461756248</v>
      </c>
      <c r="F53" t="n">
        <v>4392291.60662099</v>
      </c>
      <c r="G53" t="n">
        <v>0.0403081846741093</v>
      </c>
      <c r="H53" t="n">
        <v>0.669929001299299</v>
      </c>
      <c r="I53" t="n">
        <v>0.0632243535815134</v>
      </c>
      <c r="J53" t="n">
        <v>0.0459914149280081</v>
      </c>
      <c r="K53" t="s">
        <v>179</v>
      </c>
      <c r="L53" t="e">
        <f t="shared" si="25"/>
        <v>#N/A</v>
      </c>
      <c r="M53" t="e">
        <f t="shared" si="26"/>
        <v>#N/A</v>
      </c>
      <c r="N53" t="e">
        <f t="shared" si="27"/>
        <v>#N/A</v>
      </c>
      <c r="O53" t="n">
        <f t="shared" si="28"/>
        <v>0</v>
      </c>
      <c r="P53" t="n">
        <f t="shared" si="29"/>
        <v>0</v>
      </c>
      <c r="Q53" t="n">
        <f t="shared" si="30"/>
        <v>0</v>
      </c>
      <c r="R53" t="n">
        <f t="shared" si="31"/>
        <v>0</v>
      </c>
      <c r="S53" t="e">
        <f t="shared" si="32"/>
        <v>#N/A</v>
      </c>
      <c r="T53" t="e">
        <f t="shared" si="33"/>
        <v>#N/A</v>
      </c>
      <c r="U53" t="e">
        <f t="shared" si="34"/>
        <v>#N/A</v>
      </c>
      <c r="V53" t="e">
        <f t="shared" si="35"/>
        <v>#N/A</v>
      </c>
      <c r="W53" t="e">
        <f t="shared" si="36"/>
        <v>#N/A</v>
      </c>
      <c r="X53" t="e">
        <f t="shared" si="37"/>
        <v>#N/A</v>
      </c>
      <c r="Y53" t="e">
        <f t="shared" si="38"/>
        <v>#N/A</v>
      </c>
      <c r="Z53" t="e">
        <f t="shared" si="39"/>
        <v>#N/A</v>
      </c>
      <c r="AA53" t="e">
        <f t="shared" si="40"/>
        <v>#N/A</v>
      </c>
      <c r="AB53" t="e">
        <f t="shared" si="41"/>
        <v>#N/A</v>
      </c>
      <c r="AC53" t="e">
        <f t="shared" si="42"/>
        <v>#N/A</v>
      </c>
      <c r="AD53" t="e">
        <f t="shared" si="43"/>
        <v>#N/A</v>
      </c>
      <c r="AE53" t="e">
        <f t="shared" si="44"/>
        <v>#N/A</v>
      </c>
      <c r="AF53" t="e">
        <f t="shared" si="45"/>
        <v>#N/A</v>
      </c>
      <c r="AG53" t="e">
        <f t="shared" si="46"/>
        <v>#N/A</v>
      </c>
      <c r="AH53" t="e">
        <f t="shared" si="47"/>
        <v>#N/A</v>
      </c>
      <c r="AI53" t="e">
        <f t="shared" si="48"/>
        <v>#N/A</v>
      </c>
      <c r="AJ53" t="e">
        <f t="shared" si="49"/>
        <v>#N/A</v>
      </c>
    </row>
    <row r="54">
      <c r="A54" s="2" t="n">
        <v>46813</v>
      </c>
      <c r="B54" t="n">
        <v>734173.574825043</v>
      </c>
      <c r="C54" t="n">
        <v>381517.407898264</v>
      </c>
      <c r="D54" t="n">
        <v>154.764042586615</v>
      </c>
      <c r="E54" t="n">
        <v>15309.7658461772</v>
      </c>
      <c r="F54" t="n">
        <v>4391284.42208094</v>
      </c>
      <c r="G54" t="n">
        <v>0.0409975119476579</v>
      </c>
      <c r="H54" t="n">
        <v>0.669828761118828</v>
      </c>
      <c r="I54" t="n">
        <v>0.0645712674355491</v>
      </c>
      <c r="J54" t="n">
        <v>0.0469909166727895</v>
      </c>
      <c r="K54" t="s">
        <v>179</v>
      </c>
      <c r="L54" t="e">
        <f t="shared" si="25"/>
        <v>#N/A</v>
      </c>
      <c r="M54" t="e">
        <f t="shared" si="26"/>
        <v>#N/A</v>
      </c>
      <c r="N54" t="e">
        <f t="shared" si="27"/>
        <v>#N/A</v>
      </c>
      <c r="O54" t="n">
        <f t="shared" si="28"/>
        <v>0</v>
      </c>
      <c r="P54" t="n">
        <f t="shared" si="29"/>
        <v>0</v>
      </c>
      <c r="Q54" t="n">
        <f t="shared" si="30"/>
        <v>0</v>
      </c>
      <c r="R54" t="n">
        <f t="shared" si="31"/>
        <v>0</v>
      </c>
      <c r="S54" t="e">
        <f t="shared" si="32"/>
        <v>#N/A</v>
      </c>
      <c r="T54" t="e">
        <f t="shared" si="33"/>
        <v>#N/A</v>
      </c>
      <c r="U54" t="e">
        <f t="shared" si="34"/>
        <v>#N/A</v>
      </c>
      <c r="V54" t="e">
        <f t="shared" si="35"/>
        <v>#N/A</v>
      </c>
      <c r="W54" t="e">
        <f t="shared" si="36"/>
        <v>#N/A</v>
      </c>
      <c r="X54" t="e">
        <f t="shared" si="37"/>
        <v>#N/A</v>
      </c>
      <c r="Y54" t="e">
        <f t="shared" si="38"/>
        <v>#N/A</v>
      </c>
      <c r="Z54" t="e">
        <f t="shared" si="39"/>
        <v>#N/A</v>
      </c>
      <c r="AA54" t="e">
        <f t="shared" si="40"/>
        <v>#N/A</v>
      </c>
      <c r="AB54" t="e">
        <f t="shared" si="41"/>
        <v>#N/A</v>
      </c>
      <c r="AC54" t="e">
        <f t="shared" si="42"/>
        <v>#N/A</v>
      </c>
      <c r="AD54" t="e">
        <f t="shared" si="43"/>
        <v>#N/A</v>
      </c>
      <c r="AE54" t="e">
        <f t="shared" si="44"/>
        <v>#N/A</v>
      </c>
      <c r="AF54" t="e">
        <f t="shared" si="45"/>
        <v>#N/A</v>
      </c>
      <c r="AG54" t="e">
        <f t="shared" si="46"/>
        <v>#N/A</v>
      </c>
      <c r="AH54" t="e">
        <f t="shared" si="47"/>
        <v>#N/A</v>
      </c>
      <c r="AI54" t="e">
        <f t="shared" si="48"/>
        <v>#N/A</v>
      </c>
      <c r="AJ54" t="e">
        <f t="shared" si="49"/>
        <v>#N/A</v>
      </c>
    </row>
    <row r="55">
      <c r="A55" s="2" t="n">
        <v>46905</v>
      </c>
      <c r="B55" t="n">
        <v>738166.901448307</v>
      </c>
      <c r="C55" t="n">
        <v>383602.853548622</v>
      </c>
      <c r="D55" t="n">
        <v>156.456361528517</v>
      </c>
      <c r="E55" t="n">
        <v>15352.8538991259</v>
      </c>
      <c r="F55" t="n">
        <v>4391209.49559037</v>
      </c>
      <c r="G55" t="n">
        <v>0.0415789260786963</v>
      </c>
      <c r="H55" t="n">
        <v>0.669709863447765</v>
      </c>
      <c r="I55" t="n">
        <v>0.0655766001224467</v>
      </c>
      <c r="J55" t="n">
        <v>0.0479826636648478</v>
      </c>
      <c r="K55" t="s">
        <v>179</v>
      </c>
      <c r="L55" t="e">
        <f t="shared" si="25"/>
        <v>#N/A</v>
      </c>
      <c r="M55" t="e">
        <f t="shared" si="26"/>
        <v>#N/A</v>
      </c>
      <c r="N55" t="e">
        <f t="shared" si="27"/>
        <v>#N/A</v>
      </c>
      <c r="O55" t="n">
        <f t="shared" si="28"/>
        <v>0</v>
      </c>
      <c r="P55" t="n">
        <f t="shared" si="29"/>
        <v>0</v>
      </c>
      <c r="Q55" t="n">
        <f t="shared" si="30"/>
        <v>0</v>
      </c>
      <c r="R55" t="n">
        <f t="shared" si="31"/>
        <v>0</v>
      </c>
      <c r="S55" t="e">
        <f t="shared" si="32"/>
        <v>#N/A</v>
      </c>
      <c r="T55" t="e">
        <f t="shared" si="33"/>
        <v>#N/A</v>
      </c>
      <c r="U55" t="e">
        <f t="shared" si="34"/>
        <v>#N/A</v>
      </c>
      <c r="V55" t="e">
        <f t="shared" si="35"/>
        <v>#N/A</v>
      </c>
      <c r="W55" t="e">
        <f t="shared" si="36"/>
        <v>#N/A</v>
      </c>
      <c r="X55" t="e">
        <f t="shared" si="37"/>
        <v>#N/A</v>
      </c>
      <c r="Y55" t="e">
        <f t="shared" si="38"/>
        <v>#N/A</v>
      </c>
      <c r="Z55" t="e">
        <f t="shared" si="39"/>
        <v>#N/A</v>
      </c>
      <c r="AA55" t="e">
        <f t="shared" si="40"/>
        <v>#N/A</v>
      </c>
      <c r="AB55" t="e">
        <f t="shared" si="41"/>
        <v>#N/A</v>
      </c>
      <c r="AC55" t="e">
        <f t="shared" si="42"/>
        <v>#N/A</v>
      </c>
      <c r="AD55" t="e">
        <f t="shared" si="43"/>
        <v>#N/A</v>
      </c>
      <c r="AE55" t="e">
        <f t="shared" si="44"/>
        <v>#N/A</v>
      </c>
      <c r="AF55" t="e">
        <f t="shared" si="45"/>
        <v>#N/A</v>
      </c>
      <c r="AG55" t="e">
        <f t="shared" si="46"/>
        <v>#N/A</v>
      </c>
      <c r="AH55" t="e">
        <f t="shared" si="47"/>
        <v>#N/A</v>
      </c>
      <c r="AI55" t="e">
        <f t="shared" si="48"/>
        <v>#N/A</v>
      </c>
      <c r="AJ55" t="e">
        <f t="shared" si="49"/>
        <v>#N/A</v>
      </c>
    </row>
    <row r="56">
      <c r="A56" s="2" t="n">
        <v>46997</v>
      </c>
      <c r="B56" t="n">
        <v>740695.565959707</v>
      </c>
      <c r="C56" t="n">
        <v>385431.962576448</v>
      </c>
      <c r="D56" t="n">
        <v>158.148707378578</v>
      </c>
      <c r="E56" t="n">
        <v>15382.8414478653</v>
      </c>
      <c r="F56" t="n">
        <v>4386538.65057154</v>
      </c>
      <c r="G56" t="n">
        <v>0.0428983231576381</v>
      </c>
      <c r="H56" t="n">
        <v>0.669572118538407</v>
      </c>
      <c r="I56" t="n">
        <v>0.0648592762524967</v>
      </c>
      <c r="J56" t="n">
        <v>0.0488631260349396</v>
      </c>
      <c r="K56" t="s">
        <v>179</v>
      </c>
      <c r="L56" t="e">
        <f t="shared" si="25"/>
        <v>#N/A</v>
      </c>
      <c r="M56" t="e">
        <f t="shared" si="26"/>
        <v>#N/A</v>
      </c>
      <c r="N56" t="e">
        <f t="shared" si="27"/>
        <v>#N/A</v>
      </c>
      <c r="O56" t="n">
        <f t="shared" si="28"/>
        <v>0</v>
      </c>
      <c r="P56" t="n">
        <f t="shared" si="29"/>
        <v>0</v>
      </c>
      <c r="Q56" t="n">
        <f t="shared" si="30"/>
        <v>0</v>
      </c>
      <c r="R56" t="n">
        <f t="shared" si="31"/>
        <v>0</v>
      </c>
      <c r="S56" t="e">
        <f t="shared" si="32"/>
        <v>#N/A</v>
      </c>
      <c r="T56" t="e">
        <f t="shared" si="33"/>
        <v>#N/A</v>
      </c>
      <c r="U56" t="e">
        <f t="shared" si="34"/>
        <v>#N/A</v>
      </c>
      <c r="V56" t="e">
        <f t="shared" si="35"/>
        <v>#N/A</v>
      </c>
      <c r="W56" t="e">
        <f t="shared" si="36"/>
        <v>#N/A</v>
      </c>
      <c r="X56" t="e">
        <f t="shared" si="37"/>
        <v>#N/A</v>
      </c>
      <c r="Y56" t="e">
        <f t="shared" si="38"/>
        <v>#N/A</v>
      </c>
      <c r="Z56" t="e">
        <f t="shared" si="39"/>
        <v>#N/A</v>
      </c>
      <c r="AA56" t="e">
        <f t="shared" si="40"/>
        <v>#N/A</v>
      </c>
      <c r="AB56" t="e">
        <f t="shared" si="41"/>
        <v>#N/A</v>
      </c>
      <c r="AC56" t="e">
        <f t="shared" si="42"/>
        <v>#N/A</v>
      </c>
      <c r="AD56" t="e">
        <f t="shared" si="43"/>
        <v>#N/A</v>
      </c>
      <c r="AE56" t="e">
        <f t="shared" si="44"/>
        <v>#N/A</v>
      </c>
      <c r="AF56" t="e">
        <f t="shared" si="45"/>
        <v>#N/A</v>
      </c>
      <c r="AG56" t="e">
        <f t="shared" si="46"/>
        <v>#N/A</v>
      </c>
      <c r="AH56" t="e">
        <f t="shared" si="47"/>
        <v>#N/A</v>
      </c>
      <c r="AI56" t="e">
        <f t="shared" si="48"/>
        <v>#N/A</v>
      </c>
      <c r="AJ56" t="e">
        <f t="shared" si="49"/>
        <v>#N/A</v>
      </c>
    </row>
    <row r="57">
      <c r="A57" s="2" t="n">
        <v>47088</v>
      </c>
      <c r="B57" t="n">
        <v>743841.738322759</v>
      </c>
      <c r="C57" t="n">
        <v>387466.243146817</v>
      </c>
      <c r="D57" t="n">
        <v>159.86824945787</v>
      </c>
      <c r="E57" t="n">
        <v>15411.9466617547</v>
      </c>
      <c r="F57" t="n">
        <v>4382336.43238942</v>
      </c>
      <c r="G57" t="n">
        <v>0.0440806742693279</v>
      </c>
      <c r="H57" t="n">
        <v>0.669304951483236</v>
      </c>
      <c r="I57" t="n">
        <v>0.0638022081441815</v>
      </c>
      <c r="J57" t="n">
        <v>0.0496194057629149</v>
      </c>
      <c r="K57" t="s">
        <v>179</v>
      </c>
      <c r="L57" t="e">
        <f t="shared" si="25"/>
        <v>#N/A</v>
      </c>
      <c r="M57" t="e">
        <f t="shared" si="26"/>
        <v>#N/A</v>
      </c>
      <c r="N57" t="e">
        <f t="shared" si="27"/>
        <v>#N/A</v>
      </c>
      <c r="O57" t="n">
        <f t="shared" si="28"/>
        <v>0</v>
      </c>
      <c r="P57" t="n">
        <f t="shared" si="29"/>
        <v>0</v>
      </c>
      <c r="Q57" t="n">
        <f t="shared" si="30"/>
        <v>0</v>
      </c>
      <c r="R57" t="n">
        <f t="shared" si="31"/>
        <v>0</v>
      </c>
      <c r="S57" t="e">
        <f t="shared" si="32"/>
        <v>#N/A</v>
      </c>
      <c r="T57" t="e">
        <f t="shared" si="33"/>
        <v>#N/A</v>
      </c>
      <c r="U57" t="e">
        <f t="shared" si="34"/>
        <v>#N/A</v>
      </c>
      <c r="V57" t="e">
        <f t="shared" si="35"/>
        <v>#N/A</v>
      </c>
      <c r="W57" t="e">
        <f t="shared" si="36"/>
        <v>#N/A</v>
      </c>
      <c r="X57" t="e">
        <f t="shared" si="37"/>
        <v>#N/A</v>
      </c>
      <c r="Y57" t="e">
        <f t="shared" si="38"/>
        <v>#N/A</v>
      </c>
      <c r="Z57" t="e">
        <f t="shared" si="39"/>
        <v>#N/A</v>
      </c>
      <c r="AA57" t="e">
        <f t="shared" si="40"/>
        <v>#N/A</v>
      </c>
      <c r="AB57" t="e">
        <f t="shared" si="41"/>
        <v>#N/A</v>
      </c>
      <c r="AC57" t="e">
        <f t="shared" si="42"/>
        <v>#N/A</v>
      </c>
      <c r="AD57" t="e">
        <f t="shared" si="43"/>
        <v>#N/A</v>
      </c>
      <c r="AE57" t="e">
        <f t="shared" si="44"/>
        <v>#N/A</v>
      </c>
      <c r="AF57" t="e">
        <f t="shared" si="45"/>
        <v>#N/A</v>
      </c>
      <c r="AG57" t="e">
        <f t="shared" si="46"/>
        <v>#N/A</v>
      </c>
      <c r="AH57" t="e">
        <f t="shared" si="47"/>
        <v>#N/A</v>
      </c>
      <c r="AI57" t="e">
        <f t="shared" si="48"/>
        <v>#N/A</v>
      </c>
      <c r="AJ57" t="e">
        <f t="shared" si="49"/>
        <v>#N/A</v>
      </c>
    </row>
    <row r="58">
      <c r="A58" s="2" t="n">
        <v>47178</v>
      </c>
      <c r="B58" t="n">
        <v>747020.99584957</v>
      </c>
      <c r="C58" t="n">
        <v>389643.059315583</v>
      </c>
      <c r="D58" t="n">
        <v>161.607011372269</v>
      </c>
      <c r="E58" t="n">
        <v>15441.8247629023</v>
      </c>
      <c r="F58" t="n">
        <v>4378916.66302517</v>
      </c>
      <c r="G58" t="n">
        <v>0.0451705521932834</v>
      </c>
      <c r="H58" t="n">
        <v>0.669011292804413</v>
      </c>
      <c r="I58" t="n">
        <v>0.0624341553319498</v>
      </c>
      <c r="J58" t="n">
        <v>0.0502412258695847</v>
      </c>
      <c r="K58" t="s">
        <v>179</v>
      </c>
      <c r="L58" t="e">
        <f t="shared" si="25"/>
        <v>#N/A</v>
      </c>
      <c r="M58" t="e">
        <f t="shared" si="26"/>
        <v>#N/A</v>
      </c>
      <c r="N58" t="e">
        <f t="shared" si="27"/>
        <v>#N/A</v>
      </c>
      <c r="O58" t="n">
        <f t="shared" si="28"/>
        <v>0</v>
      </c>
      <c r="P58" t="n">
        <f t="shared" si="29"/>
        <v>0</v>
      </c>
      <c r="Q58" t="n">
        <f t="shared" si="30"/>
        <v>0</v>
      </c>
      <c r="R58" t="n">
        <f t="shared" si="31"/>
        <v>0</v>
      </c>
      <c r="S58" t="e">
        <f t="shared" si="32"/>
        <v>#N/A</v>
      </c>
      <c r="T58" t="e">
        <f t="shared" si="33"/>
        <v>#N/A</v>
      </c>
      <c r="U58" t="e">
        <f t="shared" si="34"/>
        <v>#N/A</v>
      </c>
      <c r="V58" t="e">
        <f t="shared" si="35"/>
        <v>#N/A</v>
      </c>
      <c r="W58" t="e">
        <f t="shared" si="36"/>
        <v>#N/A</v>
      </c>
      <c r="X58" t="e">
        <f t="shared" si="37"/>
        <v>#N/A</v>
      </c>
      <c r="Y58" t="e">
        <f t="shared" si="38"/>
        <v>#N/A</v>
      </c>
      <c r="Z58" t="e">
        <f t="shared" si="39"/>
        <v>#N/A</v>
      </c>
      <c r="AA58" t="e">
        <f t="shared" si="40"/>
        <v>#N/A</v>
      </c>
      <c r="AB58" t="e">
        <f t="shared" si="41"/>
        <v>#N/A</v>
      </c>
      <c r="AC58" t="e">
        <f t="shared" si="42"/>
        <v>#N/A</v>
      </c>
      <c r="AD58" t="e">
        <f t="shared" si="43"/>
        <v>#N/A</v>
      </c>
      <c r="AE58" t="e">
        <f t="shared" si="44"/>
        <v>#N/A</v>
      </c>
      <c r="AF58" t="e">
        <f t="shared" si="45"/>
        <v>#N/A</v>
      </c>
      <c r="AG58" t="e">
        <f t="shared" si="46"/>
        <v>#N/A</v>
      </c>
      <c r="AH58" t="e">
        <f t="shared" si="47"/>
        <v>#N/A</v>
      </c>
      <c r="AI58" t="e">
        <f t="shared" si="48"/>
        <v>#N/A</v>
      </c>
      <c r="AJ58" t="e">
        <f t="shared" si="49"/>
        <v>#N/A</v>
      </c>
    </row>
    <row r="59">
      <c r="A59" s="2" t="n">
        <v>47270</v>
      </c>
      <c r="B59" t="n">
        <v>749824.399125121</v>
      </c>
      <c r="C59" t="n">
        <v>391610.103392981</v>
      </c>
      <c r="D59" t="n">
        <v>163.361277725096</v>
      </c>
      <c r="E59" t="n">
        <v>15470.5948169616</v>
      </c>
      <c r="F59" t="n">
        <v>4375125.58663593</v>
      </c>
      <c r="G59" t="n">
        <v>0.0463051404752305</v>
      </c>
      <c r="H59" t="n">
        <v>0.668705623544291</v>
      </c>
      <c r="I59" t="n">
        <v>0.0605866391446929</v>
      </c>
      <c r="J59" t="n">
        <v>0.0507088361788923</v>
      </c>
      <c r="K59" t="s">
        <v>179</v>
      </c>
      <c r="L59" t="e">
        <f t="shared" si="25"/>
        <v>#N/A</v>
      </c>
      <c r="M59" t="e">
        <f t="shared" si="26"/>
        <v>#N/A</v>
      </c>
      <c r="N59" t="e">
        <f t="shared" si="27"/>
        <v>#N/A</v>
      </c>
      <c r="O59" t="n">
        <f t="shared" si="28"/>
        <v>0</v>
      </c>
      <c r="P59" t="n">
        <f t="shared" si="29"/>
        <v>0</v>
      </c>
      <c r="Q59" t="n">
        <f t="shared" si="30"/>
        <v>0</v>
      </c>
      <c r="R59" t="n">
        <f t="shared" si="31"/>
        <v>0</v>
      </c>
      <c r="S59" t="e">
        <f t="shared" si="32"/>
        <v>#N/A</v>
      </c>
      <c r="T59" t="e">
        <f t="shared" si="33"/>
        <v>#N/A</v>
      </c>
      <c r="U59" t="e">
        <f t="shared" si="34"/>
        <v>#N/A</v>
      </c>
      <c r="V59" t="e">
        <f t="shared" si="35"/>
        <v>#N/A</v>
      </c>
      <c r="W59" t="e">
        <f t="shared" si="36"/>
        <v>#N/A</v>
      </c>
      <c r="X59" t="e">
        <f t="shared" si="37"/>
        <v>#N/A</v>
      </c>
      <c r="Y59" t="e">
        <f t="shared" si="38"/>
        <v>#N/A</v>
      </c>
      <c r="Z59" t="e">
        <f t="shared" si="39"/>
        <v>#N/A</v>
      </c>
      <c r="AA59" t="e">
        <f t="shared" si="40"/>
        <v>#N/A</v>
      </c>
      <c r="AB59" t="e">
        <f t="shared" si="41"/>
        <v>#N/A</v>
      </c>
      <c r="AC59" t="e">
        <f t="shared" si="42"/>
        <v>#N/A</v>
      </c>
      <c r="AD59" t="e">
        <f t="shared" si="43"/>
        <v>#N/A</v>
      </c>
      <c r="AE59" t="e">
        <f t="shared" si="44"/>
        <v>#N/A</v>
      </c>
      <c r="AF59" t="e">
        <f t="shared" si="45"/>
        <v>#N/A</v>
      </c>
      <c r="AG59" t="e">
        <f t="shared" si="46"/>
        <v>#N/A</v>
      </c>
      <c r="AH59" t="e">
        <f t="shared" si="47"/>
        <v>#N/A</v>
      </c>
      <c r="AI59" t="e">
        <f t="shared" si="48"/>
        <v>#N/A</v>
      </c>
      <c r="AJ59" t="e">
        <f t="shared" si="49"/>
        <v>#N/A</v>
      </c>
    </row>
    <row r="60">
      <c r="A60" s="2" t="n">
        <v>47362</v>
      </c>
      <c r="B60" t="n">
        <v>752912.68867117</v>
      </c>
      <c r="C60" t="n">
        <v>393781.997663888</v>
      </c>
      <c r="D60" t="n">
        <v>165.14157795204</v>
      </c>
      <c r="E60" t="n">
        <v>15500.8253365974</v>
      </c>
      <c r="F60" t="n">
        <v>4372693.98382519</v>
      </c>
      <c r="G60" t="n">
        <v>0.0472010800355525</v>
      </c>
      <c r="H60" t="n">
        <v>0.668383991565772</v>
      </c>
      <c r="I60" t="n">
        <v>0.0589412696578986</v>
      </c>
      <c r="J60" t="n">
        <v>0.0510450140619169</v>
      </c>
      <c r="K60" t="s">
        <v>179</v>
      </c>
      <c r="L60" t="e">
        <f t="shared" si="25"/>
        <v>#N/A</v>
      </c>
      <c r="M60" t="e">
        <f t="shared" si="26"/>
        <v>#N/A</v>
      </c>
      <c r="N60" t="e">
        <f t="shared" si="27"/>
        <v>#N/A</v>
      </c>
      <c r="O60" t="n">
        <f t="shared" si="28"/>
        <v>0</v>
      </c>
      <c r="P60" t="n">
        <f t="shared" si="29"/>
        <v>0</v>
      </c>
      <c r="Q60" t="n">
        <f t="shared" si="30"/>
        <v>0</v>
      </c>
      <c r="R60" t="n">
        <f t="shared" si="31"/>
        <v>0</v>
      </c>
      <c r="S60" t="e">
        <f t="shared" si="32"/>
        <v>#N/A</v>
      </c>
      <c r="T60" t="e">
        <f t="shared" si="33"/>
        <v>#N/A</v>
      </c>
      <c r="U60" t="e">
        <f t="shared" si="34"/>
        <v>#N/A</v>
      </c>
      <c r="V60" t="e">
        <f t="shared" si="35"/>
        <v>#N/A</v>
      </c>
      <c r="W60" t="e">
        <f t="shared" si="36"/>
        <v>#N/A</v>
      </c>
      <c r="X60" t="e">
        <f t="shared" si="37"/>
        <v>#N/A</v>
      </c>
      <c r="Y60" t="e">
        <f t="shared" si="38"/>
        <v>#N/A</v>
      </c>
      <c r="Z60" t="e">
        <f t="shared" si="39"/>
        <v>#N/A</v>
      </c>
      <c r="AA60" t="e">
        <f t="shared" si="40"/>
        <v>#N/A</v>
      </c>
      <c r="AB60" t="e">
        <f t="shared" si="41"/>
        <v>#N/A</v>
      </c>
      <c r="AC60" t="e">
        <f t="shared" si="42"/>
        <v>#N/A</v>
      </c>
      <c r="AD60" t="e">
        <f t="shared" si="43"/>
        <v>#N/A</v>
      </c>
      <c r="AE60" t="e">
        <f t="shared" si="44"/>
        <v>#N/A</v>
      </c>
      <c r="AF60" t="e">
        <f t="shared" si="45"/>
        <v>#N/A</v>
      </c>
      <c r="AG60" t="e">
        <f t="shared" si="46"/>
        <v>#N/A</v>
      </c>
      <c r="AH60" t="e">
        <f t="shared" si="47"/>
        <v>#N/A</v>
      </c>
      <c r="AI60" t="e">
        <f t="shared" si="48"/>
        <v>#N/A</v>
      </c>
      <c r="AJ60" t="e">
        <f t="shared" si="49"/>
        <v>#N/A</v>
      </c>
    </row>
    <row r="61">
      <c r="A61" s="2" t="n">
        <v>47453</v>
      </c>
      <c r="B61" t="n">
        <v>756009.275970578</v>
      </c>
      <c r="C61" t="n">
        <v>396128.479287384</v>
      </c>
      <c r="D61" t="n">
        <v>166.940658585809</v>
      </c>
      <c r="E61" t="n">
        <v>15533.2268667754</v>
      </c>
      <c r="F61" t="n">
        <v>4371320.84328195</v>
      </c>
      <c r="G61" t="n">
        <v>0.0480169615273496</v>
      </c>
      <c r="H61" t="n">
        <v>0.668103764190531</v>
      </c>
      <c r="I61" t="n">
        <v>0.0573000265577333</v>
      </c>
      <c r="J61" t="n">
        <v>0.0512590143266541</v>
      </c>
      <c r="K61" t="s">
        <v>179</v>
      </c>
      <c r="L61" t="e">
        <f t="shared" si="25"/>
        <v>#N/A</v>
      </c>
      <c r="M61" t="e">
        <f t="shared" si="26"/>
        <v>#N/A</v>
      </c>
      <c r="N61" t="e">
        <f t="shared" si="27"/>
        <v>#N/A</v>
      </c>
      <c r="O61" t="n">
        <f t="shared" si="28"/>
        <v>0</v>
      </c>
      <c r="P61" t="n">
        <f t="shared" si="29"/>
        <v>0</v>
      </c>
      <c r="Q61" t="n">
        <f t="shared" si="30"/>
        <v>0</v>
      </c>
      <c r="R61" t="n">
        <f t="shared" si="31"/>
        <v>0</v>
      </c>
      <c r="S61" t="e">
        <f t="shared" si="32"/>
        <v>#N/A</v>
      </c>
      <c r="T61" t="e">
        <f t="shared" si="33"/>
        <v>#N/A</v>
      </c>
      <c r="U61" t="e">
        <f t="shared" si="34"/>
        <v>#N/A</v>
      </c>
      <c r="V61" t="e">
        <f t="shared" si="35"/>
        <v>#N/A</v>
      </c>
      <c r="W61" t="e">
        <f t="shared" si="36"/>
        <v>#N/A</v>
      </c>
      <c r="X61" t="e">
        <f t="shared" si="37"/>
        <v>#N/A</v>
      </c>
      <c r="Y61" t="e">
        <f t="shared" si="38"/>
        <v>#N/A</v>
      </c>
      <c r="Z61" t="e">
        <f t="shared" si="39"/>
        <v>#N/A</v>
      </c>
      <c r="AA61" t="e">
        <f t="shared" si="40"/>
        <v>#N/A</v>
      </c>
      <c r="AB61" t="e">
        <f t="shared" si="41"/>
        <v>#N/A</v>
      </c>
      <c r="AC61" t="e">
        <f t="shared" si="42"/>
        <v>#N/A</v>
      </c>
      <c r="AD61" t="e">
        <f t="shared" si="43"/>
        <v>#N/A</v>
      </c>
      <c r="AE61" t="e">
        <f t="shared" si="44"/>
        <v>#N/A</v>
      </c>
      <c r="AF61" t="e">
        <f t="shared" si="45"/>
        <v>#N/A</v>
      </c>
      <c r="AG61" t="e">
        <f t="shared" si="46"/>
        <v>#N/A</v>
      </c>
      <c r="AH61" t="e">
        <f t="shared" si="47"/>
        <v>#N/A</v>
      </c>
      <c r="AI61" t="e">
        <f t="shared" si="48"/>
        <v>#N/A</v>
      </c>
      <c r="AJ61" t="e">
        <f t="shared" si="49"/>
        <v>#N/A</v>
      </c>
    </row>
    <row r="62">
      <c r="A62" s="2" t="n">
        <v>47543</v>
      </c>
      <c r="B62" t="n">
        <v>759192.788664545</v>
      </c>
      <c r="C62" t="n">
        <v>398632.05398897</v>
      </c>
      <c r="D62" t="n">
        <v>168.762496402075</v>
      </c>
      <c r="E62" t="n">
        <v>15568.3564698186</v>
      </c>
      <c r="F62" t="n">
        <v>4371371.94411108</v>
      </c>
      <c r="G62" t="n">
        <v>0.0486810094753953</v>
      </c>
      <c r="H62" t="n">
        <v>0.667837645377789</v>
      </c>
      <c r="I62" t="n">
        <v>0.0558435594072501</v>
      </c>
      <c r="J62" t="n">
        <v>0.0513703702275362</v>
      </c>
      <c r="K62" t="s">
        <v>179</v>
      </c>
      <c r="L62" t="e">
        <f t="shared" si="25"/>
        <v>#N/A</v>
      </c>
      <c r="M62" t="e">
        <f t="shared" si="26"/>
        <v>#N/A</v>
      </c>
      <c r="N62" t="e">
        <f t="shared" si="27"/>
        <v>#N/A</v>
      </c>
      <c r="O62" t="n">
        <f t="shared" si="28"/>
        <v>0</v>
      </c>
      <c r="P62" t="n">
        <f t="shared" si="29"/>
        <v>0</v>
      </c>
      <c r="Q62" t="n">
        <f t="shared" si="30"/>
        <v>0</v>
      </c>
      <c r="R62" t="n">
        <f t="shared" si="31"/>
        <v>0</v>
      </c>
      <c r="S62" t="e">
        <f t="shared" si="32"/>
        <v>#N/A</v>
      </c>
      <c r="T62" t="e">
        <f t="shared" si="33"/>
        <v>#N/A</v>
      </c>
      <c r="U62" t="e">
        <f t="shared" si="34"/>
        <v>#N/A</v>
      </c>
      <c r="V62" t="e">
        <f t="shared" si="35"/>
        <v>#N/A</v>
      </c>
      <c r="W62" t="e">
        <f t="shared" si="36"/>
        <v>#N/A</v>
      </c>
      <c r="X62" t="e">
        <f t="shared" si="37"/>
        <v>#N/A</v>
      </c>
      <c r="Y62" t="e">
        <f t="shared" si="38"/>
        <v>#N/A</v>
      </c>
      <c r="Z62" t="e">
        <f t="shared" si="39"/>
        <v>#N/A</v>
      </c>
      <c r="AA62" t="e">
        <f t="shared" si="40"/>
        <v>#N/A</v>
      </c>
      <c r="AB62" t="e">
        <f t="shared" si="41"/>
        <v>#N/A</v>
      </c>
      <c r="AC62" t="e">
        <f t="shared" si="42"/>
        <v>#N/A</v>
      </c>
      <c r="AD62" t="e">
        <f t="shared" si="43"/>
        <v>#N/A</v>
      </c>
      <c r="AE62" t="e">
        <f t="shared" si="44"/>
        <v>#N/A</v>
      </c>
      <c r="AF62" t="e">
        <f t="shared" si="45"/>
        <v>#N/A</v>
      </c>
      <c r="AG62" t="e">
        <f t="shared" si="46"/>
        <v>#N/A</v>
      </c>
      <c r="AH62" t="e">
        <f t="shared" si="47"/>
        <v>#N/A</v>
      </c>
      <c r="AI62" t="e">
        <f t="shared" si="48"/>
        <v>#N/A</v>
      </c>
      <c r="AJ62" t="e">
        <f t="shared" si="49"/>
        <v>#N/A</v>
      </c>
    </row>
    <row r="63">
      <c r="A63" s="2" t="n">
        <v>47635</v>
      </c>
      <c r="B63" t="n">
        <v>761913.529711362</v>
      </c>
      <c r="C63" t="n">
        <v>400872.187783373</v>
      </c>
      <c r="D63" t="n">
        <v>170.599726611923</v>
      </c>
      <c r="E63" t="n">
        <v>15602.6266129602</v>
      </c>
      <c r="F63" t="n">
        <v>4370906.73510824</v>
      </c>
      <c r="G63" t="n">
        <v>0.0494300962784344</v>
      </c>
      <c r="H63" t="n">
        <v>0.667597436162315</v>
      </c>
      <c r="I63" t="n">
        <v>0.05423350340282</v>
      </c>
      <c r="J63" t="n">
        <v>0.0513768368912261</v>
      </c>
      <c r="K63" t="s">
        <v>179</v>
      </c>
      <c r="L63" t="e">
        <f t="shared" si="25"/>
        <v>#N/A</v>
      </c>
      <c r="M63" t="e">
        <f t="shared" si="26"/>
        <v>#N/A</v>
      </c>
      <c r="N63" t="e">
        <f t="shared" si="27"/>
        <v>#N/A</v>
      </c>
      <c r="O63" t="n">
        <f t="shared" si="28"/>
        <v>0</v>
      </c>
      <c r="P63" t="n">
        <f t="shared" si="29"/>
        <v>0</v>
      </c>
      <c r="Q63" t="n">
        <f t="shared" si="30"/>
        <v>0</v>
      </c>
      <c r="R63" t="n">
        <f t="shared" si="31"/>
        <v>0</v>
      </c>
      <c r="S63" t="e">
        <f t="shared" si="32"/>
        <v>#N/A</v>
      </c>
      <c r="T63" t="e">
        <f t="shared" si="33"/>
        <v>#N/A</v>
      </c>
      <c r="U63" t="e">
        <f t="shared" si="34"/>
        <v>#N/A</v>
      </c>
      <c r="V63" t="e">
        <f t="shared" si="35"/>
        <v>#N/A</v>
      </c>
      <c r="W63" t="e">
        <f t="shared" si="36"/>
        <v>#N/A</v>
      </c>
      <c r="X63" t="e">
        <f t="shared" si="37"/>
        <v>#N/A</v>
      </c>
      <c r="Y63" t="e">
        <f t="shared" si="38"/>
        <v>#N/A</v>
      </c>
      <c r="Z63" t="e">
        <f t="shared" si="39"/>
        <v>#N/A</v>
      </c>
      <c r="AA63" t="e">
        <f t="shared" si="40"/>
        <v>#N/A</v>
      </c>
      <c r="AB63" t="e">
        <f t="shared" si="41"/>
        <v>#N/A</v>
      </c>
      <c r="AC63" t="e">
        <f t="shared" si="42"/>
        <v>#N/A</v>
      </c>
      <c r="AD63" t="e">
        <f t="shared" si="43"/>
        <v>#N/A</v>
      </c>
      <c r="AE63" t="e">
        <f t="shared" si="44"/>
        <v>#N/A</v>
      </c>
      <c r="AF63" t="e">
        <f t="shared" si="45"/>
        <v>#N/A</v>
      </c>
      <c r="AG63" t="e">
        <f t="shared" si="46"/>
        <v>#N/A</v>
      </c>
      <c r="AH63" t="e">
        <f t="shared" si="47"/>
        <v>#N/A</v>
      </c>
      <c r="AI63" t="e">
        <f t="shared" si="48"/>
        <v>#N/A</v>
      </c>
      <c r="AJ63" t="e">
        <f t="shared" si="49"/>
        <v>#N/A</v>
      </c>
    </row>
    <row r="64">
      <c r="A64" s="2" t="n">
        <v>47727</v>
      </c>
      <c r="B64" t="n">
        <v>764992.992370151</v>
      </c>
      <c r="C64" t="n">
        <v>403261.175593451</v>
      </c>
      <c r="D64" t="n">
        <v>172.460386726461</v>
      </c>
      <c r="E64" t="n">
        <v>15639.5046869279</v>
      </c>
      <c r="F64" t="n">
        <v>4371723.216262</v>
      </c>
      <c r="G64" t="n">
        <v>0.050026132192193</v>
      </c>
      <c r="H64" t="n">
        <v>0.667355915820956</v>
      </c>
      <c r="I64" t="n">
        <v>0.0528393344740737</v>
      </c>
      <c r="J64" t="n">
        <v>0.051298642341798</v>
      </c>
      <c r="K64" t="s">
        <v>179</v>
      </c>
      <c r="L64" t="e">
        <f t="shared" si="25"/>
        <v>#N/A</v>
      </c>
      <c r="M64" t="e">
        <f t="shared" si="26"/>
        <v>#N/A</v>
      </c>
      <c r="N64" t="e">
        <f t="shared" si="27"/>
        <v>#N/A</v>
      </c>
      <c r="O64" t="n">
        <f t="shared" si="28"/>
        <v>0</v>
      </c>
      <c r="P64" t="n">
        <f t="shared" si="29"/>
        <v>0</v>
      </c>
      <c r="Q64" t="n">
        <f t="shared" si="30"/>
        <v>0</v>
      </c>
      <c r="R64" t="n">
        <f t="shared" si="31"/>
        <v>0</v>
      </c>
      <c r="S64" t="e">
        <f t="shared" si="32"/>
        <v>#N/A</v>
      </c>
      <c r="T64" t="e">
        <f t="shared" si="33"/>
        <v>#N/A</v>
      </c>
      <c r="U64" t="e">
        <f t="shared" si="34"/>
        <v>#N/A</v>
      </c>
      <c r="V64" t="e">
        <f t="shared" si="35"/>
        <v>#N/A</v>
      </c>
      <c r="W64" t="e">
        <f t="shared" si="36"/>
        <v>#N/A</v>
      </c>
      <c r="X64" t="e">
        <f t="shared" si="37"/>
        <v>#N/A</v>
      </c>
      <c r="Y64" t="e">
        <f t="shared" si="38"/>
        <v>#N/A</v>
      </c>
      <c r="Z64" t="e">
        <f t="shared" si="39"/>
        <v>#N/A</v>
      </c>
      <c r="AA64" t="e">
        <f t="shared" si="40"/>
        <v>#N/A</v>
      </c>
      <c r="AB64" t="e">
        <f t="shared" si="41"/>
        <v>#N/A</v>
      </c>
      <c r="AC64" t="e">
        <f t="shared" si="42"/>
        <v>#N/A</v>
      </c>
      <c r="AD64" t="e">
        <f t="shared" si="43"/>
        <v>#N/A</v>
      </c>
      <c r="AE64" t="e">
        <f t="shared" si="44"/>
        <v>#N/A</v>
      </c>
      <c r="AF64" t="e">
        <f t="shared" si="45"/>
        <v>#N/A</v>
      </c>
      <c r="AG64" t="e">
        <f t="shared" si="46"/>
        <v>#N/A</v>
      </c>
      <c r="AH64" t="e">
        <f t="shared" si="47"/>
        <v>#N/A</v>
      </c>
      <c r="AI64" t="e">
        <f t="shared" si="48"/>
        <v>#N/A</v>
      </c>
      <c r="AJ64" t="e">
        <f t="shared" si="49"/>
        <v>#N/A</v>
      </c>
    </row>
    <row r="65">
      <c r="A65" s="2" t="n">
        <v>47818</v>
      </c>
      <c r="B65" t="n">
        <v>768018.677880552</v>
      </c>
      <c r="C65" t="n">
        <v>405817.120423883</v>
      </c>
      <c r="D65" t="n">
        <v>174.339854165942</v>
      </c>
      <c r="E65" t="n">
        <v>15678.0679494142</v>
      </c>
      <c r="F65" t="n">
        <v>4373308.28032539</v>
      </c>
      <c r="G65" t="n">
        <v>0.0505506418945779</v>
      </c>
      <c r="H65" t="n">
        <v>0.667138583256789</v>
      </c>
      <c r="I65" t="n">
        <v>0.051561459905307</v>
      </c>
      <c r="J65" t="n">
        <v>0.0511486124733081</v>
      </c>
      <c r="K65" t="s">
        <v>179</v>
      </c>
      <c r="L65" t="e">
        <f t="shared" si="25"/>
        <v>#N/A</v>
      </c>
      <c r="M65" t="e">
        <f t="shared" si="26"/>
        <v>#N/A</v>
      </c>
      <c r="N65" t="e">
        <f t="shared" si="27"/>
        <v>#N/A</v>
      </c>
      <c r="O65" t="n">
        <f t="shared" si="28"/>
        <v>0</v>
      </c>
      <c r="P65" t="n">
        <f t="shared" si="29"/>
        <v>0</v>
      </c>
      <c r="Q65" t="n">
        <f t="shared" si="30"/>
        <v>0</v>
      </c>
      <c r="R65" t="n">
        <f t="shared" si="31"/>
        <v>0</v>
      </c>
      <c r="S65" t="e">
        <f t="shared" si="32"/>
        <v>#N/A</v>
      </c>
      <c r="T65" t="e">
        <f t="shared" si="33"/>
        <v>#N/A</v>
      </c>
      <c r="U65" t="e">
        <f t="shared" si="34"/>
        <v>#N/A</v>
      </c>
      <c r="V65" t="e">
        <f t="shared" si="35"/>
        <v>#N/A</v>
      </c>
      <c r="W65" t="e">
        <f t="shared" si="36"/>
        <v>#N/A</v>
      </c>
      <c r="X65" t="e">
        <f t="shared" si="37"/>
        <v>#N/A</v>
      </c>
      <c r="Y65" t="e">
        <f t="shared" si="38"/>
        <v>#N/A</v>
      </c>
      <c r="Z65" t="e">
        <f t="shared" si="39"/>
        <v>#N/A</v>
      </c>
      <c r="AA65" t="e">
        <f t="shared" si="40"/>
        <v>#N/A</v>
      </c>
      <c r="AB65" t="e">
        <f t="shared" si="41"/>
        <v>#N/A</v>
      </c>
      <c r="AC65" t="e">
        <f t="shared" si="42"/>
        <v>#N/A</v>
      </c>
      <c r="AD65" t="e">
        <f t="shared" si="43"/>
        <v>#N/A</v>
      </c>
      <c r="AE65" t="e">
        <f t="shared" si="44"/>
        <v>#N/A</v>
      </c>
      <c r="AF65" t="e">
        <f t="shared" si="45"/>
        <v>#N/A</v>
      </c>
      <c r="AG65" t="e">
        <f t="shared" si="46"/>
        <v>#N/A</v>
      </c>
      <c r="AH65" t="e">
        <f t="shared" si="47"/>
        <v>#N/A</v>
      </c>
      <c r="AI65" t="e">
        <f t="shared" si="48"/>
        <v>#N/A</v>
      </c>
      <c r="AJ65" t="e">
        <f t="shared" si="49"/>
        <v>#N/A</v>
      </c>
    </row>
    <row r="66">
      <c r="A66" s="2" t="n">
        <v>47908</v>
      </c>
      <c r="B66" t="n">
        <v>771134.419153049</v>
      </c>
      <c r="C66" t="n">
        <v>408498.312529432</v>
      </c>
      <c r="D66" t="n">
        <v>176.238948247898</v>
      </c>
      <c r="E66" t="n">
        <v>15718.7616019257</v>
      </c>
      <c r="F66" t="n">
        <v>4375875.07805387</v>
      </c>
      <c r="G66" t="n">
        <v>0.0509746324325546</v>
      </c>
      <c r="H66" t="n">
        <v>0.666943300653046</v>
      </c>
      <c r="I66" t="n">
        <v>0.0504456422903688</v>
      </c>
      <c r="J66" t="n">
        <v>0.0509414587692223</v>
      </c>
      <c r="K66" t="s">
        <v>179</v>
      </c>
      <c r="L66" t="e">
        <f t="shared" ref="L66:L97" si="50">IF(ROW()&lt;=5,NA(),IFERROR(100*(B66/INDEX(B:B,ROW()-4)-1),NA()))</f>
        <v>#N/A</v>
      </c>
      <c r="M66" t="e">
        <f t="shared" ref="M66:M97" si="51">IF(ROW()&lt;=5,NA(),IFERROR(100*(C66/INDEX(C:C,ROW()-4)-1),NA()))</f>
        <v>#N/A</v>
      </c>
      <c r="N66" t="e">
        <f t="shared" ref="N66:N97" si="52">IF(ROW()&lt;=5,NA(),IFERROR(100*(D66/INDEX(D:D,ROW()-4)-1),NA()))</f>
        <v>#N/A</v>
      </c>
      <c r="O66" t="n">
        <f t="shared" ref="O66:O97" si="53">100*G66</f>
        <v>0</v>
      </c>
      <c r="P66" t="n">
        <f t="shared" ref="P66:P97" si="54">100*H66</f>
        <v>0</v>
      </c>
      <c r="Q66" t="n">
        <f t="shared" ref="Q66:Q97" si="55">100*I66</f>
        <v>0</v>
      </c>
      <c r="R66" t="n">
        <f t="shared" ref="R66:R97" si="56">100*J66</f>
        <v>0</v>
      </c>
      <c r="S66" t="e">
        <f t="shared" ref="S66:S97" si="57">IFERROR(100*E66/INDEX(E:E,MATCH(DATE(2024,12,1),A:A,0)),NA())</f>
        <v>#N/A</v>
      </c>
      <c r="T66" t="e">
        <f t="shared" ref="T66:T97" si="58">IFERROR(100*F66/INDEX(F:F,MATCH(DATE(2024,12,1),A:A,0)),NA())</f>
        <v>#N/A</v>
      </c>
      <c r="U66" t="e">
        <f t="shared" ref="U66:U97" si="59">IF($K66="Actual",L66,NA())</f>
        <v>#N/A</v>
      </c>
      <c r="V66" t="e">
        <f t="shared" ref="V66:V97" si="60">IF($A66&gt;=DATE(2024,12,1),L66,NA())</f>
        <v>#N/A</v>
      </c>
      <c r="W66" t="e">
        <f t="shared" ref="W66:W97" si="61">IF($K66="Actual",M66,NA())</f>
        <v>#N/A</v>
      </c>
      <c r="X66" t="e">
        <f t="shared" ref="X66:X97" si="62">IF($A66&gt;=DATE(2024,12,1),M66,NA())</f>
        <v>#N/A</v>
      </c>
      <c r="Y66" t="e">
        <f t="shared" ref="Y66:Y97" si="63">IF($K66="Actual",S66,NA())</f>
        <v>#N/A</v>
      </c>
      <c r="Z66" t="e">
        <f t="shared" ref="Z66:Z97" si="64">IF($A66&gt;=DATE(2024,12,1),S66,NA())</f>
        <v>#N/A</v>
      </c>
      <c r="AA66" t="e">
        <f t="shared" ref="AA66:AA97" si="65">IF($K66="Actual",T66,NA())</f>
        <v>#N/A</v>
      </c>
      <c r="AB66" t="e">
        <f t="shared" ref="AB66:AB97" si="66">IF($A66&gt;=DATE(2024,12,1),T66,NA())</f>
        <v>#N/A</v>
      </c>
      <c r="AC66" t="e">
        <f t="shared" ref="AC66:AC97" si="67">IF($K66="Actual",O66,NA())</f>
        <v>#N/A</v>
      </c>
      <c r="AD66" t="e">
        <f t="shared" ref="AD66:AD97" si="68">IF($A66&gt;=DATE(2024,12,1),O66,NA())</f>
        <v>#N/A</v>
      </c>
      <c r="AE66" t="e">
        <f t="shared" ref="AE66:AE97" si="69">IF($K66="Actual",Q66,NA())</f>
        <v>#N/A</v>
      </c>
      <c r="AF66" t="e">
        <f t="shared" ref="AF66:AF97" si="70">IF($A66&gt;=DATE(2024,12,1),Q66,NA())</f>
        <v>#N/A</v>
      </c>
      <c r="AG66" t="e">
        <f t="shared" ref="AG66:AG97" si="71">IF($K66="Actual",R66,NA())</f>
        <v>#N/A</v>
      </c>
      <c r="AH66" t="e">
        <f t="shared" ref="AH66:AH97" si="72">IF($A66&gt;=DATE(2024,12,1),R66,NA())</f>
        <v>#N/A</v>
      </c>
      <c r="AI66" t="e">
        <f t="shared" ref="AI66:AI97" si="73">IF($K66="Actual",N66,NA())</f>
        <v>#N/A</v>
      </c>
      <c r="AJ66" t="e">
        <f t="shared" ref="AJ66:AJ97" si="74">IF($A66&gt;=DATE(2024,12,1),N66,NA())</f>
        <v>#N/A</v>
      </c>
    </row>
    <row r="67">
      <c r="A67" s="2" t="n">
        <v>48000</v>
      </c>
      <c r="B67" t="n">
        <v>774001.213183132</v>
      </c>
      <c r="C67" t="n">
        <v>410918.282681266</v>
      </c>
      <c r="D67" t="n">
        <v>178.153058960589</v>
      </c>
      <c r="E67" t="n">
        <v>15759.3115612654</v>
      </c>
      <c r="F67" t="n">
        <v>4378269.78225659</v>
      </c>
      <c r="G67" t="n">
        <v>0.0514374644007083</v>
      </c>
      <c r="H67" t="n">
        <v>0.666770982346455</v>
      </c>
      <c r="I67" t="n">
        <v>0.0492826471078849</v>
      </c>
      <c r="J67" t="n">
        <v>0.050678245390711</v>
      </c>
      <c r="K67" t="s">
        <v>179</v>
      </c>
      <c r="L67" t="e">
        <f t="shared" si="50"/>
        <v>#N/A</v>
      </c>
      <c r="M67" t="e">
        <f t="shared" si="51"/>
        <v>#N/A</v>
      </c>
      <c r="N67" t="e">
        <f t="shared" si="52"/>
        <v>#N/A</v>
      </c>
      <c r="O67" t="n">
        <f t="shared" si="53"/>
        <v>0</v>
      </c>
      <c r="P67" t="n">
        <f t="shared" si="54"/>
        <v>0</v>
      </c>
      <c r="Q67" t="n">
        <f t="shared" si="55"/>
        <v>0</v>
      </c>
      <c r="R67" t="n">
        <f t="shared" si="56"/>
        <v>0</v>
      </c>
      <c r="S67" t="e">
        <f t="shared" si="57"/>
        <v>#N/A</v>
      </c>
      <c r="T67" t="e">
        <f t="shared" si="58"/>
        <v>#N/A</v>
      </c>
      <c r="U67" t="e">
        <f t="shared" si="59"/>
        <v>#N/A</v>
      </c>
      <c r="V67" t="e">
        <f t="shared" si="60"/>
        <v>#N/A</v>
      </c>
      <c r="W67" t="e">
        <f t="shared" si="61"/>
        <v>#N/A</v>
      </c>
      <c r="X67" t="e">
        <f t="shared" si="62"/>
        <v>#N/A</v>
      </c>
      <c r="Y67" t="e">
        <f t="shared" si="63"/>
        <v>#N/A</v>
      </c>
      <c r="Z67" t="e">
        <f t="shared" si="64"/>
        <v>#N/A</v>
      </c>
      <c r="AA67" t="e">
        <f t="shared" si="65"/>
        <v>#N/A</v>
      </c>
      <c r="AB67" t="e">
        <f t="shared" si="66"/>
        <v>#N/A</v>
      </c>
      <c r="AC67" t="e">
        <f t="shared" si="67"/>
        <v>#N/A</v>
      </c>
      <c r="AD67" t="e">
        <f t="shared" si="68"/>
        <v>#N/A</v>
      </c>
      <c r="AE67" t="e">
        <f t="shared" si="69"/>
        <v>#N/A</v>
      </c>
      <c r="AF67" t="e">
        <f t="shared" si="70"/>
        <v>#N/A</v>
      </c>
      <c r="AG67" t="e">
        <f t="shared" si="71"/>
        <v>#N/A</v>
      </c>
      <c r="AH67" t="e">
        <f t="shared" si="72"/>
        <v>#N/A</v>
      </c>
      <c r="AI67" t="e">
        <f t="shared" si="73"/>
        <v>#N/A</v>
      </c>
      <c r="AJ67" t="e">
        <f t="shared" si="74"/>
        <v>#N/A</v>
      </c>
    </row>
    <row r="68">
      <c r="A68" s="2" t="n">
        <v>48092</v>
      </c>
      <c r="B68" t="n">
        <v>777018.446669993</v>
      </c>
      <c r="C68" t="n">
        <v>413479.725044692</v>
      </c>
      <c r="D68" t="n">
        <v>180.088948774833</v>
      </c>
      <c r="E68" t="n">
        <v>15800.8388898375</v>
      </c>
      <c r="F68" t="n">
        <v>4381339.7613037</v>
      </c>
      <c r="G68" t="n">
        <v>0.0517451222948922</v>
      </c>
      <c r="H68" t="n">
        <v>0.666607971341531</v>
      </c>
      <c r="I68" t="n">
        <v>0.0483696869482906</v>
      </c>
      <c r="J68" t="n">
        <v>0.0503779174256857</v>
      </c>
      <c r="K68" t="s">
        <v>179</v>
      </c>
      <c r="L68" t="e">
        <f t="shared" si="50"/>
        <v>#N/A</v>
      </c>
      <c r="M68" t="e">
        <f t="shared" si="51"/>
        <v>#N/A</v>
      </c>
      <c r="N68" t="e">
        <f t="shared" si="52"/>
        <v>#N/A</v>
      </c>
      <c r="O68" t="n">
        <f t="shared" si="53"/>
        <v>0</v>
      </c>
      <c r="P68" t="n">
        <f t="shared" si="54"/>
        <v>0</v>
      </c>
      <c r="Q68" t="n">
        <f t="shared" si="55"/>
        <v>0</v>
      </c>
      <c r="R68" t="n">
        <f t="shared" si="56"/>
        <v>0</v>
      </c>
      <c r="S68" t="e">
        <f t="shared" si="57"/>
        <v>#N/A</v>
      </c>
      <c r="T68" t="e">
        <f t="shared" si="58"/>
        <v>#N/A</v>
      </c>
      <c r="U68" t="e">
        <f t="shared" si="59"/>
        <v>#N/A</v>
      </c>
      <c r="V68" t="e">
        <f t="shared" si="60"/>
        <v>#N/A</v>
      </c>
      <c r="W68" t="e">
        <f t="shared" si="61"/>
        <v>#N/A</v>
      </c>
      <c r="X68" t="e">
        <f t="shared" si="62"/>
        <v>#N/A</v>
      </c>
      <c r="Y68" t="e">
        <f t="shared" si="63"/>
        <v>#N/A</v>
      </c>
      <c r="Z68" t="e">
        <f t="shared" si="64"/>
        <v>#N/A</v>
      </c>
      <c r="AA68" t="e">
        <f t="shared" si="65"/>
        <v>#N/A</v>
      </c>
      <c r="AB68" t="e">
        <f t="shared" si="66"/>
        <v>#N/A</v>
      </c>
      <c r="AC68" t="e">
        <f t="shared" si="67"/>
        <v>#N/A</v>
      </c>
      <c r="AD68" t="e">
        <f t="shared" si="68"/>
        <v>#N/A</v>
      </c>
      <c r="AE68" t="e">
        <f t="shared" si="69"/>
        <v>#N/A</v>
      </c>
      <c r="AF68" t="e">
        <f t="shared" si="70"/>
        <v>#N/A</v>
      </c>
      <c r="AG68" t="e">
        <f t="shared" si="71"/>
        <v>#N/A</v>
      </c>
      <c r="AH68" t="e">
        <f t="shared" si="72"/>
        <v>#N/A</v>
      </c>
      <c r="AI68" t="e">
        <f t="shared" si="73"/>
        <v>#N/A</v>
      </c>
      <c r="AJ68" t="e">
        <f t="shared" si="74"/>
        <v>#N/A</v>
      </c>
    </row>
    <row r="69">
      <c r="A69" s="2" t="n">
        <v>48183</v>
      </c>
      <c r="B69" t="n">
        <v>780143.873852708</v>
      </c>
      <c r="C69" t="n">
        <v>416192.360269139</v>
      </c>
      <c r="D69" t="n">
        <v>182.042101605875</v>
      </c>
      <c r="E69" t="n">
        <v>15844.1543616334</v>
      </c>
      <c r="F69" t="n">
        <v>4385157.01322144</v>
      </c>
      <c r="G69" t="n">
        <v>0.0519852566698578</v>
      </c>
      <c r="H69" t="n">
        <v>0.666474297007358</v>
      </c>
      <c r="I69" t="n">
        <v>0.0475814269913548</v>
      </c>
      <c r="J69" t="n">
        <v>0.0500505507230739</v>
      </c>
      <c r="K69" t="s">
        <v>179</v>
      </c>
      <c r="L69" t="e">
        <f t="shared" si="50"/>
        <v>#N/A</v>
      </c>
      <c r="M69" t="e">
        <f t="shared" si="51"/>
        <v>#N/A</v>
      </c>
      <c r="N69" t="e">
        <f t="shared" si="52"/>
        <v>#N/A</v>
      </c>
      <c r="O69" t="n">
        <f t="shared" si="53"/>
        <v>0</v>
      </c>
      <c r="P69" t="n">
        <f t="shared" si="54"/>
        <v>0</v>
      </c>
      <c r="Q69" t="n">
        <f t="shared" si="55"/>
        <v>0</v>
      </c>
      <c r="R69" t="n">
        <f t="shared" si="56"/>
        <v>0</v>
      </c>
      <c r="S69" t="e">
        <f t="shared" si="57"/>
        <v>#N/A</v>
      </c>
      <c r="T69" t="e">
        <f t="shared" si="58"/>
        <v>#N/A</v>
      </c>
      <c r="U69" t="e">
        <f t="shared" si="59"/>
        <v>#N/A</v>
      </c>
      <c r="V69" t="e">
        <f t="shared" si="60"/>
        <v>#N/A</v>
      </c>
      <c r="W69" t="e">
        <f t="shared" si="61"/>
        <v>#N/A</v>
      </c>
      <c r="X69" t="e">
        <f t="shared" si="62"/>
        <v>#N/A</v>
      </c>
      <c r="Y69" t="e">
        <f t="shared" si="63"/>
        <v>#N/A</v>
      </c>
      <c r="Z69" t="e">
        <f t="shared" si="64"/>
        <v>#N/A</v>
      </c>
      <c r="AA69" t="e">
        <f t="shared" si="65"/>
        <v>#N/A</v>
      </c>
      <c r="AB69" t="e">
        <f t="shared" si="66"/>
        <v>#N/A</v>
      </c>
      <c r="AC69" t="e">
        <f t="shared" si="67"/>
        <v>#N/A</v>
      </c>
      <c r="AD69" t="e">
        <f t="shared" si="68"/>
        <v>#N/A</v>
      </c>
      <c r="AE69" t="e">
        <f t="shared" si="69"/>
        <v>#N/A</v>
      </c>
      <c r="AF69" t="e">
        <f t="shared" si="70"/>
        <v>#N/A</v>
      </c>
      <c r="AG69" t="e">
        <f t="shared" si="71"/>
        <v>#N/A</v>
      </c>
      <c r="AH69" t="e">
        <f t="shared" si="72"/>
        <v>#N/A</v>
      </c>
      <c r="AI69" t="e">
        <f t="shared" si="73"/>
        <v>#N/A</v>
      </c>
      <c r="AJ69" t="e">
        <f t="shared" si="74"/>
        <v>#N/A</v>
      </c>
    </row>
    <row r="70">
      <c r="A70" s="2" t="n">
        <v>48274</v>
      </c>
      <c r="B70" t="n">
        <v>783362.614487101</v>
      </c>
      <c r="C70" t="n">
        <v>419029.167211491</v>
      </c>
      <c r="D70" t="n">
        <v>184.015421843889</v>
      </c>
      <c r="E70" t="n">
        <v>15890.0810160059</v>
      </c>
      <c r="F70" t="n">
        <v>4390135.04991909</v>
      </c>
      <c r="G70" t="n">
        <v>0.0521024621132365</v>
      </c>
      <c r="H70" t="n">
        <v>0.666364843252076</v>
      </c>
      <c r="I70" t="n">
        <v>0.0470132169394001</v>
      </c>
      <c r="J70" t="n">
        <v>0.0497112905785479</v>
      </c>
      <c r="K70" t="s">
        <v>179</v>
      </c>
      <c r="L70" t="e">
        <f t="shared" si="50"/>
        <v>#N/A</v>
      </c>
      <c r="M70" t="e">
        <f t="shared" si="51"/>
        <v>#N/A</v>
      </c>
      <c r="N70" t="e">
        <f t="shared" si="52"/>
        <v>#N/A</v>
      </c>
      <c r="O70" t="n">
        <f t="shared" si="53"/>
        <v>0</v>
      </c>
      <c r="P70" t="n">
        <f t="shared" si="54"/>
        <v>0</v>
      </c>
      <c r="Q70" t="n">
        <f t="shared" si="55"/>
        <v>0</v>
      </c>
      <c r="R70" t="n">
        <f t="shared" si="56"/>
        <v>0</v>
      </c>
      <c r="S70" t="e">
        <f t="shared" si="57"/>
        <v>#N/A</v>
      </c>
      <c r="T70" t="e">
        <f t="shared" si="58"/>
        <v>#N/A</v>
      </c>
      <c r="U70" t="e">
        <f t="shared" si="59"/>
        <v>#N/A</v>
      </c>
      <c r="V70" t="e">
        <f t="shared" si="60"/>
        <v>#N/A</v>
      </c>
      <c r="W70" t="e">
        <f t="shared" si="61"/>
        <v>#N/A</v>
      </c>
      <c r="X70" t="e">
        <f t="shared" si="62"/>
        <v>#N/A</v>
      </c>
      <c r="Y70" t="e">
        <f t="shared" si="63"/>
        <v>#N/A</v>
      </c>
      <c r="Z70" t="e">
        <f t="shared" si="64"/>
        <v>#N/A</v>
      </c>
      <c r="AA70" t="e">
        <f t="shared" si="65"/>
        <v>#N/A</v>
      </c>
      <c r="AB70" t="e">
        <f t="shared" si="66"/>
        <v>#N/A</v>
      </c>
      <c r="AC70" t="e">
        <f t="shared" si="67"/>
        <v>#N/A</v>
      </c>
      <c r="AD70" t="e">
        <f t="shared" si="68"/>
        <v>#N/A</v>
      </c>
      <c r="AE70" t="e">
        <f t="shared" si="69"/>
        <v>#N/A</v>
      </c>
      <c r="AF70" t="e">
        <f t="shared" si="70"/>
        <v>#N/A</v>
      </c>
      <c r="AG70" t="e">
        <f t="shared" si="71"/>
        <v>#N/A</v>
      </c>
      <c r="AH70" t="e">
        <f t="shared" si="72"/>
        <v>#N/A</v>
      </c>
      <c r="AI70" t="e">
        <f t="shared" si="73"/>
        <v>#N/A</v>
      </c>
      <c r="AJ70" t="e">
        <f t="shared" si="74"/>
        <v>#N/A</v>
      </c>
    </row>
    <row r="71">
      <c r="A71" s="2" t="n">
        <v>48366</v>
      </c>
      <c r="B71" t="n">
        <v>785866.273360823</v>
      </c>
      <c r="C71" t="n">
        <v>421477.217660733</v>
      </c>
      <c r="D71" t="n">
        <v>185.999467730928</v>
      </c>
      <c r="E71" t="n">
        <v>15932.7996136155</v>
      </c>
      <c r="F71" t="n">
        <v>4393416.64399948</v>
      </c>
      <c r="G71" t="n">
        <v>0.0524445443714409</v>
      </c>
      <c r="H71" t="n">
        <v>0.666279822177756</v>
      </c>
      <c r="I71" t="n">
        <v>0.0461039414526211</v>
      </c>
      <c r="J71" t="n">
        <v>0.0493403490341537</v>
      </c>
      <c r="K71" t="s">
        <v>179</v>
      </c>
      <c r="L71" t="e">
        <f t="shared" si="50"/>
        <v>#N/A</v>
      </c>
      <c r="M71" t="e">
        <f t="shared" si="51"/>
        <v>#N/A</v>
      </c>
      <c r="N71" t="e">
        <f t="shared" si="52"/>
        <v>#N/A</v>
      </c>
      <c r="O71" t="n">
        <f t="shared" si="53"/>
        <v>0</v>
      </c>
      <c r="P71" t="n">
        <f t="shared" si="54"/>
        <v>0</v>
      </c>
      <c r="Q71" t="n">
        <f t="shared" si="55"/>
        <v>0</v>
      </c>
      <c r="R71" t="n">
        <f t="shared" si="56"/>
        <v>0</v>
      </c>
      <c r="S71" t="e">
        <f t="shared" si="57"/>
        <v>#N/A</v>
      </c>
      <c r="T71" t="e">
        <f t="shared" si="58"/>
        <v>#N/A</v>
      </c>
      <c r="U71" t="e">
        <f t="shared" si="59"/>
        <v>#N/A</v>
      </c>
      <c r="V71" t="e">
        <f t="shared" si="60"/>
        <v>#N/A</v>
      </c>
      <c r="W71" t="e">
        <f t="shared" si="61"/>
        <v>#N/A</v>
      </c>
      <c r="X71" t="e">
        <f t="shared" si="62"/>
        <v>#N/A</v>
      </c>
      <c r="Y71" t="e">
        <f t="shared" si="63"/>
        <v>#N/A</v>
      </c>
      <c r="Z71" t="e">
        <f t="shared" si="64"/>
        <v>#N/A</v>
      </c>
      <c r="AA71" t="e">
        <f t="shared" si="65"/>
        <v>#N/A</v>
      </c>
      <c r="AB71" t="e">
        <f t="shared" si="66"/>
        <v>#N/A</v>
      </c>
      <c r="AC71" t="e">
        <f t="shared" si="67"/>
        <v>#N/A</v>
      </c>
      <c r="AD71" t="e">
        <f t="shared" si="68"/>
        <v>#N/A</v>
      </c>
      <c r="AE71" t="e">
        <f t="shared" si="69"/>
        <v>#N/A</v>
      </c>
      <c r="AF71" t="e">
        <f t="shared" si="70"/>
        <v>#N/A</v>
      </c>
      <c r="AG71" t="e">
        <f t="shared" si="71"/>
        <v>#N/A</v>
      </c>
      <c r="AH71" t="e">
        <f t="shared" si="72"/>
        <v>#N/A</v>
      </c>
      <c r="AI71" t="e">
        <f t="shared" si="73"/>
        <v>#N/A</v>
      </c>
      <c r="AJ71" t="e">
        <f t="shared" si="74"/>
        <v>#N/A</v>
      </c>
    </row>
    <row r="72">
      <c r="A72" s="2" t="n">
        <v>48458</v>
      </c>
      <c r="B72" t="n">
        <v>789106.067456277</v>
      </c>
      <c r="C72" t="n">
        <v>424111.418509631</v>
      </c>
      <c r="D72" t="n">
        <v>188.009681493195</v>
      </c>
      <c r="E72" t="n">
        <v>15978.4233598879</v>
      </c>
      <c r="F72" t="n">
        <v>4398370.98107401</v>
      </c>
      <c r="G72" t="n">
        <v>0.0525049437757247</v>
      </c>
      <c r="H72" t="n">
        <v>0.666177363827818</v>
      </c>
      <c r="I72" t="n">
        <v>0.0456472101824892</v>
      </c>
      <c r="J72" t="n">
        <v>0.0489672338716038</v>
      </c>
      <c r="K72" t="s">
        <v>179</v>
      </c>
      <c r="L72" t="e">
        <f t="shared" si="50"/>
        <v>#N/A</v>
      </c>
      <c r="M72" t="e">
        <f t="shared" si="51"/>
        <v>#N/A</v>
      </c>
      <c r="N72" t="e">
        <f t="shared" si="52"/>
        <v>#N/A</v>
      </c>
      <c r="O72" t="n">
        <f t="shared" si="53"/>
        <v>0</v>
      </c>
      <c r="P72" t="n">
        <f t="shared" si="54"/>
        <v>0</v>
      </c>
      <c r="Q72" t="n">
        <f t="shared" si="55"/>
        <v>0</v>
      </c>
      <c r="R72" t="n">
        <f t="shared" si="56"/>
        <v>0</v>
      </c>
      <c r="S72" t="e">
        <f t="shared" si="57"/>
        <v>#N/A</v>
      </c>
      <c r="T72" t="e">
        <f t="shared" si="58"/>
        <v>#N/A</v>
      </c>
      <c r="U72" t="e">
        <f t="shared" si="59"/>
        <v>#N/A</v>
      </c>
      <c r="V72" t="e">
        <f t="shared" si="60"/>
        <v>#N/A</v>
      </c>
      <c r="W72" t="e">
        <f t="shared" si="61"/>
        <v>#N/A</v>
      </c>
      <c r="X72" t="e">
        <f t="shared" si="62"/>
        <v>#N/A</v>
      </c>
      <c r="Y72" t="e">
        <f t="shared" si="63"/>
        <v>#N/A</v>
      </c>
      <c r="Z72" t="e">
        <f t="shared" si="64"/>
        <v>#N/A</v>
      </c>
      <c r="AA72" t="e">
        <f t="shared" si="65"/>
        <v>#N/A</v>
      </c>
      <c r="AB72" t="e">
        <f t="shared" si="66"/>
        <v>#N/A</v>
      </c>
      <c r="AC72" t="e">
        <f t="shared" si="67"/>
        <v>#N/A</v>
      </c>
      <c r="AD72" t="e">
        <f t="shared" si="68"/>
        <v>#N/A</v>
      </c>
      <c r="AE72" t="e">
        <f t="shared" si="69"/>
        <v>#N/A</v>
      </c>
      <c r="AF72" t="e">
        <f t="shared" si="70"/>
        <v>#N/A</v>
      </c>
      <c r="AG72" t="e">
        <f t="shared" si="71"/>
        <v>#N/A</v>
      </c>
      <c r="AH72" t="e">
        <f t="shared" si="72"/>
        <v>#N/A</v>
      </c>
      <c r="AI72" t="e">
        <f t="shared" si="73"/>
        <v>#N/A</v>
      </c>
      <c r="AJ72" t="e">
        <f t="shared" si="74"/>
        <v>#N/A</v>
      </c>
    </row>
    <row r="73">
      <c r="A73" s="2" t="n">
        <v>48549</v>
      </c>
      <c r="B73" t="n">
        <v>792066.219675151</v>
      </c>
      <c r="C73" t="n">
        <v>426831.334873674</v>
      </c>
      <c r="D73" t="n">
        <v>190.034665207412</v>
      </c>
      <c r="E73" t="n">
        <v>16024.4027895356</v>
      </c>
      <c r="F73" t="n">
        <v>4403311.0951772</v>
      </c>
      <c r="G73" t="n">
        <v>0.052601505619043</v>
      </c>
      <c r="H73" t="n">
        <v>0.666115577069368</v>
      </c>
      <c r="I73" t="n">
        <v>0.0451606998827933</v>
      </c>
      <c r="J73" t="n">
        <v>0.048590295149898</v>
      </c>
      <c r="K73" t="s">
        <v>179</v>
      </c>
      <c r="L73" t="e">
        <f t="shared" si="50"/>
        <v>#N/A</v>
      </c>
      <c r="M73" t="e">
        <f t="shared" si="51"/>
        <v>#N/A</v>
      </c>
      <c r="N73" t="e">
        <f t="shared" si="52"/>
        <v>#N/A</v>
      </c>
      <c r="O73" t="n">
        <f t="shared" si="53"/>
        <v>0</v>
      </c>
      <c r="P73" t="n">
        <f t="shared" si="54"/>
        <v>0</v>
      </c>
      <c r="Q73" t="n">
        <f t="shared" si="55"/>
        <v>0</v>
      </c>
      <c r="R73" t="n">
        <f t="shared" si="56"/>
        <v>0</v>
      </c>
      <c r="S73" t="e">
        <f t="shared" si="57"/>
        <v>#N/A</v>
      </c>
      <c r="T73" t="e">
        <f t="shared" si="58"/>
        <v>#N/A</v>
      </c>
      <c r="U73" t="e">
        <f t="shared" si="59"/>
        <v>#N/A</v>
      </c>
      <c r="V73" t="e">
        <f t="shared" si="60"/>
        <v>#N/A</v>
      </c>
      <c r="W73" t="e">
        <f t="shared" si="61"/>
        <v>#N/A</v>
      </c>
      <c r="X73" t="e">
        <f t="shared" si="62"/>
        <v>#N/A</v>
      </c>
      <c r="Y73" t="e">
        <f t="shared" si="63"/>
        <v>#N/A</v>
      </c>
      <c r="Z73" t="e">
        <f t="shared" si="64"/>
        <v>#N/A</v>
      </c>
      <c r="AA73" t="e">
        <f t="shared" si="65"/>
        <v>#N/A</v>
      </c>
      <c r="AB73" t="e">
        <f t="shared" si="66"/>
        <v>#N/A</v>
      </c>
      <c r="AC73" t="e">
        <f t="shared" si="67"/>
        <v>#N/A</v>
      </c>
      <c r="AD73" t="e">
        <f t="shared" si="68"/>
        <v>#N/A</v>
      </c>
      <c r="AE73" t="e">
        <f t="shared" si="69"/>
        <v>#N/A</v>
      </c>
      <c r="AF73" t="e">
        <f t="shared" si="70"/>
        <v>#N/A</v>
      </c>
      <c r="AG73" t="e">
        <f t="shared" si="71"/>
        <v>#N/A</v>
      </c>
      <c r="AH73" t="e">
        <f t="shared" si="72"/>
        <v>#N/A</v>
      </c>
      <c r="AI73" t="e">
        <f t="shared" si="73"/>
        <v>#N/A</v>
      </c>
      <c r="AJ73" t="e">
        <f t="shared" si="74"/>
        <v>#N/A</v>
      </c>
    </row>
    <row r="74">
      <c r="A74" s="2" t="n">
        <v>48639</v>
      </c>
      <c r="B74" t="n">
        <v>795129.94373341</v>
      </c>
      <c r="C74" t="n">
        <v>429620.214759845</v>
      </c>
      <c r="D74" t="n">
        <v>192.079652551578</v>
      </c>
      <c r="E74" t="n">
        <v>16071.4476788532</v>
      </c>
      <c r="F74" t="n">
        <v>4408701.31732064</v>
      </c>
      <c r="G74" t="n">
        <v>0.0526454053610854</v>
      </c>
      <c r="H74" t="n">
        <v>0.666061290594567</v>
      </c>
      <c r="I74" t="n">
        <v>0.0447739661669404</v>
      </c>
      <c r="J74" t="n">
        <v>0.0482158220978467</v>
      </c>
      <c r="K74" t="s">
        <v>179</v>
      </c>
      <c r="L74" t="e">
        <f t="shared" si="50"/>
        <v>#N/A</v>
      </c>
      <c r="M74" t="e">
        <f t="shared" si="51"/>
        <v>#N/A</v>
      </c>
      <c r="N74" t="e">
        <f t="shared" si="52"/>
        <v>#N/A</v>
      </c>
      <c r="O74" t="n">
        <f t="shared" si="53"/>
        <v>0</v>
      </c>
      <c r="P74" t="n">
        <f t="shared" si="54"/>
        <v>0</v>
      </c>
      <c r="Q74" t="n">
        <f t="shared" si="55"/>
        <v>0</v>
      </c>
      <c r="R74" t="n">
        <f t="shared" si="56"/>
        <v>0</v>
      </c>
      <c r="S74" t="e">
        <f t="shared" si="57"/>
        <v>#N/A</v>
      </c>
      <c r="T74" t="e">
        <f t="shared" si="58"/>
        <v>#N/A</v>
      </c>
      <c r="U74" t="e">
        <f t="shared" si="59"/>
        <v>#N/A</v>
      </c>
      <c r="V74" t="e">
        <f t="shared" si="60"/>
        <v>#N/A</v>
      </c>
      <c r="W74" t="e">
        <f t="shared" si="61"/>
        <v>#N/A</v>
      </c>
      <c r="X74" t="e">
        <f t="shared" si="62"/>
        <v>#N/A</v>
      </c>
      <c r="Y74" t="e">
        <f t="shared" si="63"/>
        <v>#N/A</v>
      </c>
      <c r="Z74" t="e">
        <f t="shared" si="64"/>
        <v>#N/A</v>
      </c>
      <c r="AA74" t="e">
        <f t="shared" si="65"/>
        <v>#N/A</v>
      </c>
      <c r="AB74" t="e">
        <f t="shared" si="66"/>
        <v>#N/A</v>
      </c>
      <c r="AC74" t="e">
        <f t="shared" si="67"/>
        <v>#N/A</v>
      </c>
      <c r="AD74" t="e">
        <f t="shared" si="68"/>
        <v>#N/A</v>
      </c>
      <c r="AE74" t="e">
        <f t="shared" si="69"/>
        <v>#N/A</v>
      </c>
      <c r="AF74" t="e">
        <f t="shared" si="70"/>
        <v>#N/A</v>
      </c>
      <c r="AG74" t="e">
        <f t="shared" si="71"/>
        <v>#N/A</v>
      </c>
      <c r="AH74" t="e">
        <f t="shared" si="72"/>
        <v>#N/A</v>
      </c>
      <c r="AI74" t="e">
        <f t="shared" si="73"/>
        <v>#N/A</v>
      </c>
      <c r="AJ74" t="e">
        <f t="shared" si="74"/>
        <v>#N/A</v>
      </c>
    </row>
    <row r="75">
      <c r="A75" s="2" t="n">
        <v>48731</v>
      </c>
      <c r="B75" t="n">
        <v>797926.962030986</v>
      </c>
      <c r="C75" t="n">
        <v>432068.010626061</v>
      </c>
      <c r="D75" t="n">
        <v>194.139658585201</v>
      </c>
      <c r="E75" t="n">
        <v>16117.3020025781</v>
      </c>
      <c r="F75" t="n">
        <v>4413429.41166626</v>
      </c>
      <c r="G75" t="n">
        <v>0.0527764855406062</v>
      </c>
      <c r="H75" t="n">
        <v>0.66601920734667</v>
      </c>
      <c r="I75" t="n">
        <v>0.0442806643699795</v>
      </c>
      <c r="J75" t="n">
        <v>0.0478372082703706</v>
      </c>
      <c r="K75" t="s">
        <v>179</v>
      </c>
      <c r="L75" t="e">
        <f t="shared" si="50"/>
        <v>#N/A</v>
      </c>
      <c r="M75" t="e">
        <f t="shared" si="51"/>
        <v>#N/A</v>
      </c>
      <c r="N75" t="e">
        <f t="shared" si="52"/>
        <v>#N/A</v>
      </c>
      <c r="O75" t="n">
        <f t="shared" si="53"/>
        <v>0</v>
      </c>
      <c r="P75" t="n">
        <f t="shared" si="54"/>
        <v>0</v>
      </c>
      <c r="Q75" t="n">
        <f t="shared" si="55"/>
        <v>0</v>
      </c>
      <c r="R75" t="n">
        <f t="shared" si="56"/>
        <v>0</v>
      </c>
      <c r="S75" t="e">
        <f t="shared" si="57"/>
        <v>#N/A</v>
      </c>
      <c r="T75" t="e">
        <f t="shared" si="58"/>
        <v>#N/A</v>
      </c>
      <c r="U75" t="e">
        <f t="shared" si="59"/>
        <v>#N/A</v>
      </c>
      <c r="V75" t="e">
        <f t="shared" si="60"/>
        <v>#N/A</v>
      </c>
      <c r="W75" t="e">
        <f t="shared" si="61"/>
        <v>#N/A</v>
      </c>
      <c r="X75" t="e">
        <f t="shared" si="62"/>
        <v>#N/A</v>
      </c>
      <c r="Y75" t="e">
        <f t="shared" si="63"/>
        <v>#N/A</v>
      </c>
      <c r="Z75" t="e">
        <f t="shared" si="64"/>
        <v>#N/A</v>
      </c>
      <c r="AA75" t="e">
        <f t="shared" si="65"/>
        <v>#N/A</v>
      </c>
      <c r="AB75" t="e">
        <f t="shared" si="66"/>
        <v>#N/A</v>
      </c>
      <c r="AC75" t="e">
        <f t="shared" si="67"/>
        <v>#N/A</v>
      </c>
      <c r="AD75" t="e">
        <f t="shared" si="68"/>
        <v>#N/A</v>
      </c>
      <c r="AE75" t="e">
        <f t="shared" si="69"/>
        <v>#N/A</v>
      </c>
      <c r="AF75" t="e">
        <f t="shared" si="70"/>
        <v>#N/A</v>
      </c>
      <c r="AG75" t="e">
        <f t="shared" si="71"/>
        <v>#N/A</v>
      </c>
      <c r="AH75" t="e">
        <f t="shared" si="72"/>
        <v>#N/A</v>
      </c>
      <c r="AI75" t="e">
        <f t="shared" si="73"/>
        <v>#N/A</v>
      </c>
      <c r="AJ75" t="e">
        <f t="shared" si="74"/>
        <v>#N/A</v>
      </c>
    </row>
    <row r="76">
      <c r="A76" s="2" t="n">
        <v>48823</v>
      </c>
      <c r="B76" t="n">
        <v>800800.624846803</v>
      </c>
      <c r="C76" t="n">
        <v>434573.17106672</v>
      </c>
      <c r="D76" t="n">
        <v>196.219442814874</v>
      </c>
      <c r="E76" t="n">
        <v>16162.9446989985</v>
      </c>
      <c r="F76" t="n">
        <v>4418152.29842559</v>
      </c>
      <c r="G76" t="n">
        <v>0.0528705356449133</v>
      </c>
      <c r="H76" t="n">
        <v>0.665973769928464</v>
      </c>
      <c r="I76" t="n">
        <v>0.0438380316716759</v>
      </c>
      <c r="J76" t="n">
        <v>0.0474577981756829</v>
      </c>
      <c r="K76" t="s">
        <v>179</v>
      </c>
      <c r="L76" t="e">
        <f t="shared" si="50"/>
        <v>#N/A</v>
      </c>
      <c r="M76" t="e">
        <f t="shared" si="51"/>
        <v>#N/A</v>
      </c>
      <c r="N76" t="e">
        <f t="shared" si="52"/>
        <v>#N/A</v>
      </c>
      <c r="O76" t="n">
        <f t="shared" si="53"/>
        <v>0</v>
      </c>
      <c r="P76" t="n">
        <f t="shared" si="54"/>
        <v>0</v>
      </c>
      <c r="Q76" t="n">
        <f t="shared" si="55"/>
        <v>0</v>
      </c>
      <c r="R76" t="n">
        <f t="shared" si="56"/>
        <v>0</v>
      </c>
      <c r="S76" t="e">
        <f t="shared" si="57"/>
        <v>#N/A</v>
      </c>
      <c r="T76" t="e">
        <f t="shared" si="58"/>
        <v>#N/A</v>
      </c>
      <c r="U76" t="e">
        <f t="shared" si="59"/>
        <v>#N/A</v>
      </c>
      <c r="V76" t="e">
        <f t="shared" si="60"/>
        <v>#N/A</v>
      </c>
      <c r="W76" t="e">
        <f t="shared" si="61"/>
        <v>#N/A</v>
      </c>
      <c r="X76" t="e">
        <f t="shared" si="62"/>
        <v>#N/A</v>
      </c>
      <c r="Y76" t="e">
        <f t="shared" si="63"/>
        <v>#N/A</v>
      </c>
      <c r="Z76" t="e">
        <f t="shared" si="64"/>
        <v>#N/A</v>
      </c>
      <c r="AA76" t="e">
        <f t="shared" si="65"/>
        <v>#N/A</v>
      </c>
      <c r="AB76" t="e">
        <f t="shared" si="66"/>
        <v>#N/A</v>
      </c>
      <c r="AC76" t="e">
        <f t="shared" si="67"/>
        <v>#N/A</v>
      </c>
      <c r="AD76" t="e">
        <f t="shared" si="68"/>
        <v>#N/A</v>
      </c>
      <c r="AE76" t="e">
        <f t="shared" si="69"/>
        <v>#N/A</v>
      </c>
      <c r="AF76" t="e">
        <f t="shared" si="70"/>
        <v>#N/A</v>
      </c>
      <c r="AG76" t="e">
        <f t="shared" si="71"/>
        <v>#N/A</v>
      </c>
      <c r="AH76" t="e">
        <f t="shared" si="72"/>
        <v>#N/A</v>
      </c>
      <c r="AI76" t="e">
        <f t="shared" si="73"/>
        <v>#N/A</v>
      </c>
      <c r="AJ76" t="e">
        <f t="shared" si="74"/>
        <v>#N/A</v>
      </c>
    </row>
    <row r="77">
      <c r="A77" s="2" t="n">
        <v>48914</v>
      </c>
      <c r="B77" t="n">
        <v>803781.267504392</v>
      </c>
      <c r="C77" t="n">
        <v>437203.807584838</v>
      </c>
      <c r="D77" t="n">
        <v>198.317669352106</v>
      </c>
      <c r="E77" t="n">
        <v>16209.3992786704</v>
      </c>
      <c r="F77" t="n">
        <v>4423218.67977284</v>
      </c>
      <c r="G77" t="n">
        <v>0.0529200051367122</v>
      </c>
      <c r="H77" t="n">
        <v>0.665930724122717</v>
      </c>
      <c r="I77" t="n">
        <v>0.043477890187448</v>
      </c>
      <c r="J77" t="n">
        <v>0.0470826294529621</v>
      </c>
      <c r="K77" t="s">
        <v>179</v>
      </c>
      <c r="L77" t="e">
        <f t="shared" si="50"/>
        <v>#N/A</v>
      </c>
      <c r="M77" t="e">
        <f t="shared" si="51"/>
        <v>#N/A</v>
      </c>
      <c r="N77" t="e">
        <f t="shared" si="52"/>
        <v>#N/A</v>
      </c>
      <c r="O77" t="n">
        <f t="shared" si="53"/>
        <v>0</v>
      </c>
      <c r="P77" t="n">
        <f t="shared" si="54"/>
        <v>0</v>
      </c>
      <c r="Q77" t="n">
        <f t="shared" si="55"/>
        <v>0</v>
      </c>
      <c r="R77" t="n">
        <f t="shared" si="56"/>
        <v>0</v>
      </c>
      <c r="S77" t="e">
        <f t="shared" si="57"/>
        <v>#N/A</v>
      </c>
      <c r="T77" t="e">
        <f t="shared" si="58"/>
        <v>#N/A</v>
      </c>
      <c r="U77" t="e">
        <f t="shared" si="59"/>
        <v>#N/A</v>
      </c>
      <c r="V77" t="e">
        <f t="shared" si="60"/>
        <v>#N/A</v>
      </c>
      <c r="W77" t="e">
        <f t="shared" si="61"/>
        <v>#N/A</v>
      </c>
      <c r="X77" t="e">
        <f t="shared" si="62"/>
        <v>#N/A</v>
      </c>
      <c r="Y77" t="e">
        <f t="shared" si="63"/>
        <v>#N/A</v>
      </c>
      <c r="Z77" t="e">
        <f t="shared" si="64"/>
        <v>#N/A</v>
      </c>
      <c r="AA77" t="e">
        <f t="shared" si="65"/>
        <v>#N/A</v>
      </c>
      <c r="AB77" t="e">
        <f t="shared" si="66"/>
        <v>#N/A</v>
      </c>
      <c r="AC77" t="e">
        <f t="shared" si="67"/>
        <v>#N/A</v>
      </c>
      <c r="AD77" t="e">
        <f t="shared" si="68"/>
        <v>#N/A</v>
      </c>
      <c r="AE77" t="e">
        <f t="shared" si="69"/>
        <v>#N/A</v>
      </c>
      <c r="AF77" t="e">
        <f t="shared" si="70"/>
        <v>#N/A</v>
      </c>
      <c r="AG77" t="e">
        <f t="shared" si="71"/>
        <v>#N/A</v>
      </c>
      <c r="AH77" t="e">
        <f t="shared" si="72"/>
        <v>#N/A</v>
      </c>
      <c r="AI77" t="e">
        <f t="shared" si="73"/>
        <v>#N/A</v>
      </c>
      <c r="AJ77" t="e">
        <f t="shared" si="74"/>
        <v>#N/A</v>
      </c>
    </row>
    <row r="78">
      <c r="A78" s="2" t="n">
        <v>49004</v>
      </c>
      <c r="B78" t="n">
        <v>806790.053580935</v>
      </c>
      <c r="C78" t="n">
        <v>439890.351987598</v>
      </c>
      <c r="D78" t="n">
        <v>200.434420988199</v>
      </c>
      <c r="E78" t="n">
        <v>16256.6581124714</v>
      </c>
      <c r="F78" t="n">
        <v>4428588.36674539</v>
      </c>
      <c r="G78" t="n">
        <v>0.0529392274876428</v>
      </c>
      <c r="H78" t="n">
        <v>0.665899541495939</v>
      </c>
      <c r="I78" t="n">
        <v>0.0431747075029965</v>
      </c>
      <c r="J78" t="n">
        <v>0.0467148522233547</v>
      </c>
      <c r="K78" t="s">
        <v>179</v>
      </c>
      <c r="L78" t="e">
        <f t="shared" si="50"/>
        <v>#N/A</v>
      </c>
      <c r="M78" t="e">
        <f t="shared" si="51"/>
        <v>#N/A</v>
      </c>
      <c r="N78" t="e">
        <f t="shared" si="52"/>
        <v>#N/A</v>
      </c>
      <c r="O78" t="n">
        <f t="shared" si="53"/>
        <v>0</v>
      </c>
      <c r="P78" t="n">
        <f t="shared" si="54"/>
        <v>0</v>
      </c>
      <c r="Q78" t="n">
        <f t="shared" si="55"/>
        <v>0</v>
      </c>
      <c r="R78" t="n">
        <f t="shared" si="56"/>
        <v>0</v>
      </c>
      <c r="S78" t="e">
        <f t="shared" si="57"/>
        <v>#N/A</v>
      </c>
      <c r="T78" t="e">
        <f t="shared" si="58"/>
        <v>#N/A</v>
      </c>
      <c r="U78" t="e">
        <f t="shared" si="59"/>
        <v>#N/A</v>
      </c>
      <c r="V78" t="e">
        <f t="shared" si="60"/>
        <v>#N/A</v>
      </c>
      <c r="W78" t="e">
        <f t="shared" si="61"/>
        <v>#N/A</v>
      </c>
      <c r="X78" t="e">
        <f t="shared" si="62"/>
        <v>#N/A</v>
      </c>
      <c r="Y78" t="e">
        <f t="shared" si="63"/>
        <v>#N/A</v>
      </c>
      <c r="Z78" t="e">
        <f t="shared" si="64"/>
        <v>#N/A</v>
      </c>
      <c r="AA78" t="e">
        <f t="shared" si="65"/>
        <v>#N/A</v>
      </c>
      <c r="AB78" t="e">
        <f t="shared" si="66"/>
        <v>#N/A</v>
      </c>
      <c r="AC78" t="e">
        <f t="shared" si="67"/>
        <v>#N/A</v>
      </c>
      <c r="AD78" t="e">
        <f t="shared" si="68"/>
        <v>#N/A</v>
      </c>
      <c r="AE78" t="e">
        <f t="shared" si="69"/>
        <v>#N/A</v>
      </c>
      <c r="AF78" t="e">
        <f t="shared" si="70"/>
        <v>#N/A</v>
      </c>
      <c r="AG78" t="e">
        <f t="shared" si="71"/>
        <v>#N/A</v>
      </c>
      <c r="AH78" t="e">
        <f t="shared" si="72"/>
        <v>#N/A</v>
      </c>
      <c r="AI78" t="e">
        <f t="shared" si="73"/>
        <v>#N/A</v>
      </c>
      <c r="AJ78" t="e">
        <f t="shared" si="74"/>
        <v>#N/A</v>
      </c>
    </row>
    <row r="79">
      <c r="A79" s="2" t="n">
        <v>49096</v>
      </c>
      <c r="B79" t="n">
        <v>809513.907375128</v>
      </c>
      <c r="C79" t="n">
        <v>442222.43984065</v>
      </c>
      <c r="D79" t="n">
        <v>202.566000470008</v>
      </c>
      <c r="E79" t="n">
        <v>16302.3809167292</v>
      </c>
      <c r="F79" t="n">
        <v>4433156.71363377</v>
      </c>
      <c r="G79" t="n">
        <v>0.0530563312484757</v>
      </c>
      <c r="H79" t="n">
        <v>0.665874439670637</v>
      </c>
      <c r="I79" t="n">
        <v>0.0427246308681462</v>
      </c>
      <c r="J79" t="n">
        <v>0.0463450865509561</v>
      </c>
      <c r="K79" t="s">
        <v>179</v>
      </c>
      <c r="L79" t="e">
        <f t="shared" si="50"/>
        <v>#N/A</v>
      </c>
      <c r="M79" t="e">
        <f t="shared" si="51"/>
        <v>#N/A</v>
      </c>
      <c r="N79" t="e">
        <f t="shared" si="52"/>
        <v>#N/A</v>
      </c>
      <c r="O79" t="n">
        <f t="shared" si="53"/>
        <v>0</v>
      </c>
      <c r="P79" t="n">
        <f t="shared" si="54"/>
        <v>0</v>
      </c>
      <c r="Q79" t="n">
        <f t="shared" si="55"/>
        <v>0</v>
      </c>
      <c r="R79" t="n">
        <f t="shared" si="56"/>
        <v>0</v>
      </c>
      <c r="S79" t="e">
        <f t="shared" si="57"/>
        <v>#N/A</v>
      </c>
      <c r="T79" t="e">
        <f t="shared" si="58"/>
        <v>#N/A</v>
      </c>
      <c r="U79" t="e">
        <f t="shared" si="59"/>
        <v>#N/A</v>
      </c>
      <c r="V79" t="e">
        <f t="shared" si="60"/>
        <v>#N/A</v>
      </c>
      <c r="W79" t="e">
        <f t="shared" si="61"/>
        <v>#N/A</v>
      </c>
      <c r="X79" t="e">
        <f t="shared" si="62"/>
        <v>#N/A</v>
      </c>
      <c r="Y79" t="e">
        <f t="shared" si="63"/>
        <v>#N/A</v>
      </c>
      <c r="Z79" t="e">
        <f t="shared" si="64"/>
        <v>#N/A</v>
      </c>
      <c r="AA79" t="e">
        <f t="shared" si="65"/>
        <v>#N/A</v>
      </c>
      <c r="AB79" t="e">
        <f t="shared" si="66"/>
        <v>#N/A</v>
      </c>
      <c r="AC79" t="e">
        <f t="shared" si="67"/>
        <v>#N/A</v>
      </c>
      <c r="AD79" t="e">
        <f t="shared" si="68"/>
        <v>#N/A</v>
      </c>
      <c r="AE79" t="e">
        <f t="shared" si="69"/>
        <v>#N/A</v>
      </c>
      <c r="AF79" t="e">
        <f t="shared" si="70"/>
        <v>#N/A</v>
      </c>
      <c r="AG79" t="e">
        <f t="shared" si="71"/>
        <v>#N/A</v>
      </c>
      <c r="AH79" t="e">
        <f t="shared" si="72"/>
        <v>#N/A</v>
      </c>
      <c r="AI79" t="e">
        <f t="shared" si="73"/>
        <v>#N/A</v>
      </c>
      <c r="AJ79" t="e">
        <f t="shared" si="74"/>
        <v>#N/A</v>
      </c>
    </row>
    <row r="80">
      <c r="A80" s="2" t="n">
        <v>49188</v>
      </c>
      <c r="B80" t="n">
        <v>812329.591700811</v>
      </c>
      <c r="C80" t="n">
        <v>444628.398675269</v>
      </c>
      <c r="D80" t="n">
        <v>204.71888383637</v>
      </c>
      <c r="E80" t="n">
        <v>16347.5932303249</v>
      </c>
      <c r="F80" t="n">
        <v>4437691.3051535</v>
      </c>
      <c r="G80" t="n">
        <v>0.0531085885987919</v>
      </c>
      <c r="H80" t="n">
        <v>0.665839995977804</v>
      </c>
      <c r="I80" t="n">
        <v>0.0423779785256065</v>
      </c>
      <c r="J80" t="n">
        <v>0.0459797162738858</v>
      </c>
      <c r="K80" t="s">
        <v>179</v>
      </c>
      <c r="L80" t="e">
        <f t="shared" si="50"/>
        <v>#N/A</v>
      </c>
      <c r="M80" t="e">
        <f t="shared" si="51"/>
        <v>#N/A</v>
      </c>
      <c r="N80" t="e">
        <f t="shared" si="52"/>
        <v>#N/A</v>
      </c>
      <c r="O80" t="n">
        <f t="shared" si="53"/>
        <v>0</v>
      </c>
      <c r="P80" t="n">
        <f t="shared" si="54"/>
        <v>0</v>
      </c>
      <c r="Q80" t="n">
        <f t="shared" si="55"/>
        <v>0</v>
      </c>
      <c r="R80" t="n">
        <f t="shared" si="56"/>
        <v>0</v>
      </c>
      <c r="S80" t="e">
        <f t="shared" si="57"/>
        <v>#N/A</v>
      </c>
      <c r="T80" t="e">
        <f t="shared" si="58"/>
        <v>#N/A</v>
      </c>
      <c r="U80" t="e">
        <f t="shared" si="59"/>
        <v>#N/A</v>
      </c>
      <c r="V80" t="e">
        <f t="shared" si="60"/>
        <v>#N/A</v>
      </c>
      <c r="W80" t="e">
        <f t="shared" si="61"/>
        <v>#N/A</v>
      </c>
      <c r="X80" t="e">
        <f t="shared" si="62"/>
        <v>#N/A</v>
      </c>
      <c r="Y80" t="e">
        <f t="shared" si="63"/>
        <v>#N/A</v>
      </c>
      <c r="Z80" t="e">
        <f t="shared" si="64"/>
        <v>#N/A</v>
      </c>
      <c r="AA80" t="e">
        <f t="shared" si="65"/>
        <v>#N/A</v>
      </c>
      <c r="AB80" t="e">
        <f t="shared" si="66"/>
        <v>#N/A</v>
      </c>
      <c r="AC80" t="e">
        <f t="shared" si="67"/>
        <v>#N/A</v>
      </c>
      <c r="AD80" t="e">
        <f t="shared" si="68"/>
        <v>#N/A</v>
      </c>
      <c r="AE80" t="e">
        <f t="shared" si="69"/>
        <v>#N/A</v>
      </c>
      <c r="AF80" t="e">
        <f t="shared" si="70"/>
        <v>#N/A</v>
      </c>
      <c r="AG80" t="e">
        <f t="shared" si="71"/>
        <v>#N/A</v>
      </c>
      <c r="AH80" t="e">
        <f t="shared" si="72"/>
        <v>#N/A</v>
      </c>
      <c r="AI80" t="e">
        <f t="shared" si="73"/>
        <v>#N/A</v>
      </c>
      <c r="AJ80" t="e">
        <f t="shared" si="74"/>
        <v>#N/A</v>
      </c>
    </row>
    <row r="81">
      <c r="A81" s="2" t="n">
        <v>49279</v>
      </c>
      <c r="B81" t="n">
        <v>815234.174702791</v>
      </c>
      <c r="C81" t="n">
        <v>447149.71257049</v>
      </c>
      <c r="D81" t="n">
        <v>206.889671219782</v>
      </c>
      <c r="E81" t="n">
        <v>16393.3796987277</v>
      </c>
      <c r="F81" t="n">
        <v>4442433.01856902</v>
      </c>
      <c r="G81" t="n">
        <v>0.0531384736833085</v>
      </c>
      <c r="H81" t="n">
        <v>0.665813557273051</v>
      </c>
      <c r="I81" t="n">
        <v>0.0420729916826968</v>
      </c>
      <c r="J81" t="n">
        <v>0.0456209571312714</v>
      </c>
      <c r="K81" t="s">
        <v>179</v>
      </c>
      <c r="L81" t="e">
        <f t="shared" si="50"/>
        <v>#N/A</v>
      </c>
      <c r="M81" t="e">
        <f t="shared" si="51"/>
        <v>#N/A</v>
      </c>
      <c r="N81" t="e">
        <f t="shared" si="52"/>
        <v>#N/A</v>
      </c>
      <c r="O81" t="n">
        <f t="shared" si="53"/>
        <v>0</v>
      </c>
      <c r="P81" t="n">
        <f t="shared" si="54"/>
        <v>0</v>
      </c>
      <c r="Q81" t="n">
        <f t="shared" si="55"/>
        <v>0</v>
      </c>
      <c r="R81" t="n">
        <f t="shared" si="56"/>
        <v>0</v>
      </c>
      <c r="S81" t="e">
        <f t="shared" si="57"/>
        <v>#N/A</v>
      </c>
      <c r="T81" t="e">
        <f t="shared" si="58"/>
        <v>#N/A</v>
      </c>
      <c r="U81" t="e">
        <f t="shared" si="59"/>
        <v>#N/A</v>
      </c>
      <c r="V81" t="e">
        <f t="shared" si="60"/>
        <v>#N/A</v>
      </c>
      <c r="W81" t="e">
        <f t="shared" si="61"/>
        <v>#N/A</v>
      </c>
      <c r="X81" t="e">
        <f t="shared" si="62"/>
        <v>#N/A</v>
      </c>
      <c r="Y81" t="e">
        <f t="shared" si="63"/>
        <v>#N/A</v>
      </c>
      <c r="Z81" t="e">
        <f t="shared" si="64"/>
        <v>#N/A</v>
      </c>
      <c r="AA81" t="e">
        <f t="shared" si="65"/>
        <v>#N/A</v>
      </c>
      <c r="AB81" t="e">
        <f t="shared" si="66"/>
        <v>#N/A</v>
      </c>
      <c r="AC81" t="e">
        <f t="shared" si="67"/>
        <v>#N/A</v>
      </c>
      <c r="AD81" t="e">
        <f t="shared" si="68"/>
        <v>#N/A</v>
      </c>
      <c r="AE81" t="e">
        <f t="shared" si="69"/>
        <v>#N/A</v>
      </c>
      <c r="AF81" t="e">
        <f t="shared" si="70"/>
        <v>#N/A</v>
      </c>
      <c r="AG81" t="e">
        <f t="shared" si="71"/>
        <v>#N/A</v>
      </c>
      <c r="AH81" t="e">
        <f t="shared" si="72"/>
        <v>#N/A</v>
      </c>
      <c r="AI81" t="e">
        <f t="shared" si="73"/>
        <v>#N/A</v>
      </c>
      <c r="AJ81" t="e">
        <f t="shared" si="74"/>
        <v>#N/A</v>
      </c>
    </row>
    <row r="82">
      <c r="A82" s="2" t="n">
        <v>49369</v>
      </c>
      <c r="B82" t="n">
        <v>818154.71609854</v>
      </c>
      <c r="C82" t="n">
        <v>449723.710946837</v>
      </c>
      <c r="D82" t="n">
        <v>209.079209289457</v>
      </c>
      <c r="E82" t="n">
        <v>16439.7024354948</v>
      </c>
      <c r="F82" t="n">
        <v>4447371.1401667</v>
      </c>
      <c r="G82" t="n">
        <v>0.0531450444081242</v>
      </c>
      <c r="H82" t="n">
        <v>0.665792725688036</v>
      </c>
      <c r="I82" t="n">
        <v>0.0418126783413797</v>
      </c>
      <c r="J82" t="n">
        <v>0.0452710547488647</v>
      </c>
      <c r="K82" t="s">
        <v>179</v>
      </c>
      <c r="L82" t="e">
        <f t="shared" si="50"/>
        <v>#N/A</v>
      </c>
      <c r="M82" t="e">
        <f t="shared" si="51"/>
        <v>#N/A</v>
      </c>
      <c r="N82" t="e">
        <f t="shared" si="52"/>
        <v>#N/A</v>
      </c>
      <c r="O82" t="n">
        <f t="shared" si="53"/>
        <v>0</v>
      </c>
      <c r="P82" t="n">
        <f t="shared" si="54"/>
        <v>0</v>
      </c>
      <c r="Q82" t="n">
        <f t="shared" si="55"/>
        <v>0</v>
      </c>
      <c r="R82" t="n">
        <f t="shared" si="56"/>
        <v>0</v>
      </c>
      <c r="S82" t="e">
        <f t="shared" si="57"/>
        <v>#N/A</v>
      </c>
      <c r="T82" t="e">
        <f t="shared" si="58"/>
        <v>#N/A</v>
      </c>
      <c r="U82" t="e">
        <f t="shared" si="59"/>
        <v>#N/A</v>
      </c>
      <c r="V82" t="e">
        <f t="shared" si="60"/>
        <v>#N/A</v>
      </c>
      <c r="W82" t="e">
        <f t="shared" si="61"/>
        <v>#N/A</v>
      </c>
      <c r="X82" t="e">
        <f t="shared" si="62"/>
        <v>#N/A</v>
      </c>
      <c r="Y82" t="e">
        <f t="shared" si="63"/>
        <v>#N/A</v>
      </c>
      <c r="Z82" t="e">
        <f t="shared" si="64"/>
        <v>#N/A</v>
      </c>
      <c r="AA82" t="e">
        <f t="shared" si="65"/>
        <v>#N/A</v>
      </c>
      <c r="AB82" t="e">
        <f t="shared" si="66"/>
        <v>#N/A</v>
      </c>
      <c r="AC82" t="e">
        <f t="shared" si="67"/>
        <v>#N/A</v>
      </c>
      <c r="AD82" t="e">
        <f t="shared" si="68"/>
        <v>#N/A</v>
      </c>
      <c r="AE82" t="e">
        <f t="shared" si="69"/>
        <v>#N/A</v>
      </c>
      <c r="AF82" t="e">
        <f t="shared" si="70"/>
        <v>#N/A</v>
      </c>
      <c r="AG82" t="e">
        <f t="shared" si="71"/>
        <v>#N/A</v>
      </c>
      <c r="AH82" t="e">
        <f t="shared" si="72"/>
        <v>#N/A</v>
      </c>
      <c r="AI82" t="e">
        <f t="shared" si="73"/>
        <v>#N/A</v>
      </c>
      <c r="AJ82" t="e">
        <f t="shared" si="74"/>
        <v>#N/A</v>
      </c>
    </row>
    <row r="83">
      <c r="A83" s="2" t="n">
        <v>49461</v>
      </c>
      <c r="B83" t="n">
        <v>820771.334626896</v>
      </c>
      <c r="C83" t="n">
        <v>451927.006967574</v>
      </c>
      <c r="D83" t="n">
        <v>211.28316315863</v>
      </c>
      <c r="E83" t="n">
        <v>16484.1865440316</v>
      </c>
      <c r="F83" t="n">
        <v>4451379.61510934</v>
      </c>
      <c r="G83" t="n">
        <v>0.0532621385210844</v>
      </c>
      <c r="H83" t="n">
        <v>0.665775515517613</v>
      </c>
      <c r="I83" t="n">
        <v>0.0413825638971479</v>
      </c>
      <c r="J83" t="n">
        <v>0.0449191450313133</v>
      </c>
      <c r="K83" t="s">
        <v>179</v>
      </c>
      <c r="L83" t="e">
        <f t="shared" si="50"/>
        <v>#N/A</v>
      </c>
      <c r="M83" t="e">
        <f t="shared" si="51"/>
        <v>#N/A</v>
      </c>
      <c r="N83" t="e">
        <f t="shared" si="52"/>
        <v>#N/A</v>
      </c>
      <c r="O83" t="n">
        <f t="shared" si="53"/>
        <v>0</v>
      </c>
      <c r="P83" t="n">
        <f t="shared" si="54"/>
        <v>0</v>
      </c>
      <c r="Q83" t="n">
        <f t="shared" si="55"/>
        <v>0</v>
      </c>
      <c r="R83" t="n">
        <f t="shared" si="56"/>
        <v>0</v>
      </c>
      <c r="S83" t="e">
        <f t="shared" si="57"/>
        <v>#N/A</v>
      </c>
      <c r="T83" t="e">
        <f t="shared" si="58"/>
        <v>#N/A</v>
      </c>
      <c r="U83" t="e">
        <f t="shared" si="59"/>
        <v>#N/A</v>
      </c>
      <c r="V83" t="e">
        <f t="shared" si="60"/>
        <v>#N/A</v>
      </c>
      <c r="W83" t="e">
        <f t="shared" si="61"/>
        <v>#N/A</v>
      </c>
      <c r="X83" t="e">
        <f t="shared" si="62"/>
        <v>#N/A</v>
      </c>
      <c r="Y83" t="e">
        <f t="shared" si="63"/>
        <v>#N/A</v>
      </c>
      <c r="Z83" t="e">
        <f t="shared" si="64"/>
        <v>#N/A</v>
      </c>
      <c r="AA83" t="e">
        <f t="shared" si="65"/>
        <v>#N/A</v>
      </c>
      <c r="AB83" t="e">
        <f t="shared" si="66"/>
        <v>#N/A</v>
      </c>
      <c r="AC83" t="e">
        <f t="shared" si="67"/>
        <v>#N/A</v>
      </c>
      <c r="AD83" t="e">
        <f t="shared" si="68"/>
        <v>#N/A</v>
      </c>
      <c r="AE83" t="e">
        <f t="shared" si="69"/>
        <v>#N/A</v>
      </c>
      <c r="AF83" t="e">
        <f t="shared" si="70"/>
        <v>#N/A</v>
      </c>
      <c r="AG83" t="e">
        <f t="shared" si="71"/>
        <v>#N/A</v>
      </c>
      <c r="AH83" t="e">
        <f t="shared" si="72"/>
        <v>#N/A</v>
      </c>
      <c r="AI83" t="e">
        <f t="shared" si="73"/>
        <v>#N/A</v>
      </c>
      <c r="AJ83" t="e">
        <f t="shared" si="74"/>
        <v>#N/A</v>
      </c>
    </row>
    <row r="84">
      <c r="A84" s="2" t="n">
        <v>49553</v>
      </c>
      <c r="B84" t="n">
        <v>823438.093848951</v>
      </c>
      <c r="C84" t="n">
        <v>454164.237983189</v>
      </c>
      <c r="D84" t="n">
        <v>213.504569801471</v>
      </c>
      <c r="E84" t="n">
        <v>16528.0189785387</v>
      </c>
      <c r="F84" t="n">
        <v>4455096.84216469</v>
      </c>
      <c r="G84" t="n">
        <v>0.0533981660114532</v>
      </c>
      <c r="H84" t="n">
        <v>0.665743523968919</v>
      </c>
      <c r="I84" t="n">
        <v>0.0409019747207556</v>
      </c>
      <c r="J84" t="n">
        <v>0.044562316470472</v>
      </c>
      <c r="K84" t="s">
        <v>179</v>
      </c>
      <c r="L84" t="e">
        <f t="shared" si="50"/>
        <v>#N/A</v>
      </c>
      <c r="M84" t="e">
        <f t="shared" si="51"/>
        <v>#N/A</v>
      </c>
      <c r="N84" t="e">
        <f t="shared" si="52"/>
        <v>#N/A</v>
      </c>
      <c r="O84" t="n">
        <f t="shared" si="53"/>
        <v>0</v>
      </c>
      <c r="P84" t="n">
        <f t="shared" si="54"/>
        <v>0</v>
      </c>
      <c r="Q84" t="n">
        <f t="shared" si="55"/>
        <v>0</v>
      </c>
      <c r="R84" t="n">
        <f t="shared" si="56"/>
        <v>0</v>
      </c>
      <c r="S84" t="e">
        <f t="shared" si="57"/>
        <v>#N/A</v>
      </c>
      <c r="T84" t="e">
        <f t="shared" si="58"/>
        <v>#N/A</v>
      </c>
      <c r="U84" t="e">
        <f t="shared" si="59"/>
        <v>#N/A</v>
      </c>
      <c r="V84" t="e">
        <f t="shared" si="60"/>
        <v>#N/A</v>
      </c>
      <c r="W84" t="e">
        <f t="shared" si="61"/>
        <v>#N/A</v>
      </c>
      <c r="X84" t="e">
        <f t="shared" si="62"/>
        <v>#N/A</v>
      </c>
      <c r="Y84" t="e">
        <f t="shared" si="63"/>
        <v>#N/A</v>
      </c>
      <c r="Z84" t="e">
        <f t="shared" si="64"/>
        <v>#N/A</v>
      </c>
      <c r="AA84" t="e">
        <f t="shared" si="65"/>
        <v>#N/A</v>
      </c>
      <c r="AB84" t="e">
        <f t="shared" si="66"/>
        <v>#N/A</v>
      </c>
      <c r="AC84" t="e">
        <f t="shared" si="67"/>
        <v>#N/A</v>
      </c>
      <c r="AD84" t="e">
        <f t="shared" si="68"/>
        <v>#N/A</v>
      </c>
      <c r="AE84" t="e">
        <f t="shared" si="69"/>
        <v>#N/A</v>
      </c>
      <c r="AF84" t="e">
        <f t="shared" si="70"/>
        <v>#N/A</v>
      </c>
      <c r="AG84" t="e">
        <f t="shared" si="71"/>
        <v>#N/A</v>
      </c>
      <c r="AH84" t="e">
        <f t="shared" si="72"/>
        <v>#N/A</v>
      </c>
      <c r="AI84" t="e">
        <f t="shared" si="73"/>
        <v>#N/A</v>
      </c>
      <c r="AJ84" t="e">
        <f t="shared" si="74"/>
        <v>#N/A</v>
      </c>
    </row>
    <row r="85">
      <c r="A85" s="2" t="n">
        <v>49644</v>
      </c>
      <c r="B85" t="n">
        <v>826202.954548032</v>
      </c>
      <c r="C85" t="n">
        <v>456534.452954729</v>
      </c>
      <c r="D85" t="n">
        <v>215.743729131753</v>
      </c>
      <c r="E85" t="n">
        <v>16572.2716951998</v>
      </c>
      <c r="F85" t="n">
        <v>4459005.802412</v>
      </c>
      <c r="G85" t="n">
        <v>0.0534982085787796</v>
      </c>
      <c r="H85" t="n">
        <v>0.665703777863118</v>
      </c>
      <c r="I85" t="n">
        <v>0.0404621986663455</v>
      </c>
      <c r="J85" t="n">
        <v>0.0442033715125667</v>
      </c>
      <c r="K85" t="s">
        <v>179</v>
      </c>
      <c r="L85" t="e">
        <f t="shared" si="50"/>
        <v>#N/A</v>
      </c>
      <c r="M85" t="e">
        <f t="shared" si="51"/>
        <v>#N/A</v>
      </c>
      <c r="N85" t="e">
        <f t="shared" si="52"/>
        <v>#N/A</v>
      </c>
      <c r="O85" t="n">
        <f t="shared" si="53"/>
        <v>0</v>
      </c>
      <c r="P85" t="n">
        <f t="shared" si="54"/>
        <v>0</v>
      </c>
      <c r="Q85" t="n">
        <f t="shared" si="55"/>
        <v>0</v>
      </c>
      <c r="R85" t="n">
        <f t="shared" si="56"/>
        <v>0</v>
      </c>
      <c r="S85" t="e">
        <f t="shared" si="57"/>
        <v>#N/A</v>
      </c>
      <c r="T85" t="e">
        <f t="shared" si="58"/>
        <v>#N/A</v>
      </c>
      <c r="U85" t="e">
        <f t="shared" si="59"/>
        <v>#N/A</v>
      </c>
      <c r="V85" t="e">
        <f t="shared" si="60"/>
        <v>#N/A</v>
      </c>
      <c r="W85" t="e">
        <f t="shared" si="61"/>
        <v>#N/A</v>
      </c>
      <c r="X85" t="e">
        <f t="shared" si="62"/>
        <v>#N/A</v>
      </c>
      <c r="Y85" t="e">
        <f t="shared" si="63"/>
        <v>#N/A</v>
      </c>
      <c r="Z85" t="e">
        <f t="shared" si="64"/>
        <v>#N/A</v>
      </c>
      <c r="AA85" t="e">
        <f t="shared" si="65"/>
        <v>#N/A</v>
      </c>
      <c r="AB85" t="e">
        <f t="shared" si="66"/>
        <v>#N/A</v>
      </c>
      <c r="AC85" t="e">
        <f t="shared" si="67"/>
        <v>#N/A</v>
      </c>
      <c r="AD85" t="e">
        <f t="shared" si="68"/>
        <v>#N/A</v>
      </c>
      <c r="AE85" t="e">
        <f t="shared" si="69"/>
        <v>#N/A</v>
      </c>
      <c r="AF85" t="e">
        <f t="shared" si="70"/>
        <v>#N/A</v>
      </c>
      <c r="AG85" t="e">
        <f t="shared" si="71"/>
        <v>#N/A</v>
      </c>
      <c r="AH85" t="e">
        <f t="shared" si="72"/>
        <v>#N/A</v>
      </c>
      <c r="AI85" t="e">
        <f t="shared" si="73"/>
        <v>#N/A</v>
      </c>
      <c r="AJ85" t="e">
        <f t="shared" si="74"/>
        <v>#N/A</v>
      </c>
    </row>
    <row r="86">
      <c r="A86" s="2" t="n">
        <v>49735</v>
      </c>
      <c r="B86" t="n">
        <v>828983.61420137</v>
      </c>
      <c r="C86" t="n">
        <v>458968.03457598</v>
      </c>
      <c r="D86" t="n">
        <v>218.000363363015</v>
      </c>
      <c r="E86" t="n">
        <v>16617.0142518489</v>
      </c>
      <c r="F86" t="n">
        <v>4463098.9763926</v>
      </c>
      <c r="G86" t="n">
        <v>0.0535738195143452</v>
      </c>
      <c r="H86" t="n">
        <v>0.665667042298681</v>
      </c>
      <c r="I86" t="n">
        <v>0.0400503759692404</v>
      </c>
      <c r="J86" t="n">
        <v>0.0438441437595871</v>
      </c>
      <c r="K86" t="s">
        <v>179</v>
      </c>
      <c r="L86" t="e">
        <f t="shared" si="50"/>
        <v>#N/A</v>
      </c>
      <c r="M86" t="e">
        <f t="shared" si="51"/>
        <v>#N/A</v>
      </c>
      <c r="N86" t="e">
        <f t="shared" si="52"/>
        <v>#N/A</v>
      </c>
      <c r="O86" t="n">
        <f t="shared" si="53"/>
        <v>0</v>
      </c>
      <c r="P86" t="n">
        <f t="shared" si="54"/>
        <v>0</v>
      </c>
      <c r="Q86" t="n">
        <f t="shared" si="55"/>
        <v>0</v>
      </c>
      <c r="R86" t="n">
        <f t="shared" si="56"/>
        <v>0</v>
      </c>
      <c r="S86" t="e">
        <f t="shared" si="57"/>
        <v>#N/A</v>
      </c>
      <c r="T86" t="e">
        <f t="shared" si="58"/>
        <v>#N/A</v>
      </c>
      <c r="U86" t="e">
        <f t="shared" si="59"/>
        <v>#N/A</v>
      </c>
      <c r="V86" t="e">
        <f t="shared" si="60"/>
        <v>#N/A</v>
      </c>
      <c r="W86" t="e">
        <f t="shared" si="61"/>
        <v>#N/A</v>
      </c>
      <c r="X86" t="e">
        <f t="shared" si="62"/>
        <v>#N/A</v>
      </c>
      <c r="Y86" t="e">
        <f t="shared" si="63"/>
        <v>#N/A</v>
      </c>
      <c r="Z86" t="e">
        <f t="shared" si="64"/>
        <v>#N/A</v>
      </c>
      <c r="AA86" t="e">
        <f t="shared" si="65"/>
        <v>#N/A</v>
      </c>
      <c r="AB86" t="e">
        <f t="shared" si="66"/>
        <v>#N/A</v>
      </c>
      <c r="AC86" t="e">
        <f t="shared" si="67"/>
        <v>#N/A</v>
      </c>
      <c r="AD86" t="e">
        <f t="shared" si="68"/>
        <v>#N/A</v>
      </c>
      <c r="AE86" t="e">
        <f t="shared" si="69"/>
        <v>#N/A</v>
      </c>
      <c r="AF86" t="e">
        <f t="shared" si="70"/>
        <v>#N/A</v>
      </c>
      <c r="AG86" t="e">
        <f t="shared" si="71"/>
        <v>#N/A</v>
      </c>
      <c r="AH86" t="e">
        <f t="shared" si="72"/>
        <v>#N/A</v>
      </c>
      <c r="AI86" t="e">
        <f t="shared" si="73"/>
        <v>#N/A</v>
      </c>
      <c r="AJ86" t="e">
        <f t="shared" si="74"/>
        <v>#N/A</v>
      </c>
    </row>
    <row r="87">
      <c r="A87" s="2" t="n">
        <v>49827</v>
      </c>
      <c r="B87" t="n">
        <v>830737.764883198</v>
      </c>
      <c r="C87" t="n">
        <v>460897.29878781</v>
      </c>
      <c r="D87" t="n">
        <v>220.262158618861</v>
      </c>
      <c r="E87" t="n">
        <v>16655.3026282284</v>
      </c>
      <c r="F87" t="n">
        <v>4464132.81905333</v>
      </c>
      <c r="G87" t="n">
        <v>0.0540086988765067</v>
      </c>
      <c r="H87" t="n">
        <v>0.665625618452987</v>
      </c>
      <c r="I87" t="n">
        <v>0.0390330876817905</v>
      </c>
      <c r="J87" t="n">
        <v>0.0434480779829274</v>
      </c>
      <c r="K87" t="s">
        <v>179</v>
      </c>
      <c r="L87" t="e">
        <f t="shared" si="50"/>
        <v>#N/A</v>
      </c>
      <c r="M87" t="e">
        <f t="shared" si="51"/>
        <v>#N/A</v>
      </c>
      <c r="N87" t="e">
        <f t="shared" si="52"/>
        <v>#N/A</v>
      </c>
      <c r="O87" t="n">
        <f t="shared" si="53"/>
        <v>0</v>
      </c>
      <c r="P87" t="n">
        <f t="shared" si="54"/>
        <v>0</v>
      </c>
      <c r="Q87" t="n">
        <f t="shared" si="55"/>
        <v>0</v>
      </c>
      <c r="R87" t="n">
        <f t="shared" si="56"/>
        <v>0</v>
      </c>
      <c r="S87" t="e">
        <f t="shared" si="57"/>
        <v>#N/A</v>
      </c>
      <c r="T87" t="e">
        <f t="shared" si="58"/>
        <v>#N/A</v>
      </c>
      <c r="U87" t="e">
        <f t="shared" si="59"/>
        <v>#N/A</v>
      </c>
      <c r="V87" t="e">
        <f t="shared" si="60"/>
        <v>#N/A</v>
      </c>
      <c r="W87" t="e">
        <f t="shared" si="61"/>
        <v>#N/A</v>
      </c>
      <c r="X87" t="e">
        <f t="shared" si="62"/>
        <v>#N/A</v>
      </c>
      <c r="Y87" t="e">
        <f t="shared" si="63"/>
        <v>#N/A</v>
      </c>
      <c r="Z87" t="e">
        <f t="shared" si="64"/>
        <v>#N/A</v>
      </c>
      <c r="AA87" t="e">
        <f t="shared" si="65"/>
        <v>#N/A</v>
      </c>
      <c r="AB87" t="e">
        <f t="shared" si="66"/>
        <v>#N/A</v>
      </c>
      <c r="AC87" t="e">
        <f t="shared" si="67"/>
        <v>#N/A</v>
      </c>
      <c r="AD87" t="e">
        <f t="shared" si="68"/>
        <v>#N/A</v>
      </c>
      <c r="AE87" t="e">
        <f t="shared" si="69"/>
        <v>#N/A</v>
      </c>
      <c r="AF87" t="e">
        <f t="shared" si="70"/>
        <v>#N/A</v>
      </c>
      <c r="AG87" t="e">
        <f t="shared" si="71"/>
        <v>#N/A</v>
      </c>
      <c r="AH87" t="e">
        <f t="shared" si="72"/>
        <v>#N/A</v>
      </c>
      <c r="AI87" t="e">
        <f t="shared" si="73"/>
        <v>#N/A</v>
      </c>
      <c r="AJ87" t="e">
        <f t="shared" si="74"/>
        <v>#N/A</v>
      </c>
    </row>
    <row r="88">
      <c r="A88" s="2" t="n">
        <v>49919</v>
      </c>
      <c r="B88" t="n">
        <v>833367.464496681</v>
      </c>
      <c r="C88" t="n">
        <v>462990.965352124</v>
      </c>
      <c r="D88" t="n">
        <v>222.546000641149</v>
      </c>
      <c r="E88" t="n">
        <v>16695.6380575897</v>
      </c>
      <c r="F88" t="n">
        <v>4466322.48833445</v>
      </c>
      <c r="G88" t="n">
        <v>0.0542395005412845</v>
      </c>
      <c r="H88" t="n">
        <v>0.66553159889491</v>
      </c>
      <c r="I88" t="n">
        <v>0.0382913248424236</v>
      </c>
      <c r="J88" t="n">
        <v>0.0430343420435857</v>
      </c>
      <c r="K88" t="s">
        <v>179</v>
      </c>
      <c r="L88" t="e">
        <f t="shared" si="50"/>
        <v>#N/A</v>
      </c>
      <c r="M88" t="e">
        <f t="shared" si="51"/>
        <v>#N/A</v>
      </c>
      <c r="N88" t="e">
        <f t="shared" si="52"/>
        <v>#N/A</v>
      </c>
      <c r="O88" t="n">
        <f t="shared" si="53"/>
        <v>0</v>
      </c>
      <c r="P88" t="n">
        <f t="shared" si="54"/>
        <v>0</v>
      </c>
      <c r="Q88" t="n">
        <f t="shared" si="55"/>
        <v>0</v>
      </c>
      <c r="R88" t="n">
        <f t="shared" si="56"/>
        <v>0</v>
      </c>
      <c r="S88" t="e">
        <f t="shared" si="57"/>
        <v>#N/A</v>
      </c>
      <c r="T88" t="e">
        <f t="shared" si="58"/>
        <v>#N/A</v>
      </c>
      <c r="U88" t="e">
        <f t="shared" si="59"/>
        <v>#N/A</v>
      </c>
      <c r="V88" t="e">
        <f t="shared" si="60"/>
        <v>#N/A</v>
      </c>
      <c r="W88" t="e">
        <f t="shared" si="61"/>
        <v>#N/A</v>
      </c>
      <c r="X88" t="e">
        <f t="shared" si="62"/>
        <v>#N/A</v>
      </c>
      <c r="Y88" t="e">
        <f t="shared" si="63"/>
        <v>#N/A</v>
      </c>
      <c r="Z88" t="e">
        <f t="shared" si="64"/>
        <v>#N/A</v>
      </c>
      <c r="AA88" t="e">
        <f t="shared" si="65"/>
        <v>#N/A</v>
      </c>
      <c r="AB88" t="e">
        <f t="shared" si="66"/>
        <v>#N/A</v>
      </c>
      <c r="AC88" t="e">
        <f t="shared" si="67"/>
        <v>#N/A</v>
      </c>
      <c r="AD88" t="e">
        <f t="shared" si="68"/>
        <v>#N/A</v>
      </c>
      <c r="AE88" t="e">
        <f t="shared" si="69"/>
        <v>#N/A</v>
      </c>
      <c r="AF88" t="e">
        <f t="shared" si="70"/>
        <v>#N/A</v>
      </c>
      <c r="AG88" t="e">
        <f t="shared" si="71"/>
        <v>#N/A</v>
      </c>
      <c r="AH88" t="e">
        <f t="shared" si="72"/>
        <v>#N/A</v>
      </c>
      <c r="AI88" t="e">
        <f t="shared" si="73"/>
        <v>#N/A</v>
      </c>
      <c r="AJ88" t="e">
        <f t="shared" si="74"/>
        <v>#N/A</v>
      </c>
    </row>
    <row r="89">
      <c r="A89" s="2" t="n">
        <v>50010</v>
      </c>
      <c r="B89" t="n">
        <v>835586.290105598</v>
      </c>
      <c r="C89" t="n">
        <v>465173.583542319</v>
      </c>
      <c r="D89" t="n">
        <v>224.839944632737</v>
      </c>
      <c r="E89" t="n">
        <v>16734.9941979838</v>
      </c>
      <c r="F89" t="n">
        <v>4467979.46322197</v>
      </c>
      <c r="G89" t="n">
        <v>0.0545438200964858</v>
      </c>
      <c r="H89" t="n">
        <v>0.66545176922196</v>
      </c>
      <c r="I89" t="n">
        <v>0.0373997546624957</v>
      </c>
      <c r="J89" t="n">
        <v>0.0425950972006611</v>
      </c>
      <c r="K89" t="s">
        <v>179</v>
      </c>
      <c r="L89" t="e">
        <f t="shared" si="50"/>
        <v>#N/A</v>
      </c>
      <c r="M89" t="e">
        <f t="shared" si="51"/>
        <v>#N/A</v>
      </c>
      <c r="N89" t="e">
        <f t="shared" si="52"/>
        <v>#N/A</v>
      </c>
      <c r="O89" t="n">
        <f t="shared" si="53"/>
        <v>0</v>
      </c>
      <c r="P89" t="n">
        <f t="shared" si="54"/>
        <v>0</v>
      </c>
      <c r="Q89" t="n">
        <f t="shared" si="55"/>
        <v>0</v>
      </c>
      <c r="R89" t="n">
        <f t="shared" si="56"/>
        <v>0</v>
      </c>
      <c r="S89" t="e">
        <f t="shared" si="57"/>
        <v>#N/A</v>
      </c>
      <c r="T89" t="e">
        <f t="shared" si="58"/>
        <v>#N/A</v>
      </c>
      <c r="U89" t="e">
        <f t="shared" si="59"/>
        <v>#N/A</v>
      </c>
      <c r="V89" t="e">
        <f t="shared" si="60"/>
        <v>#N/A</v>
      </c>
      <c r="W89" t="e">
        <f t="shared" si="61"/>
        <v>#N/A</v>
      </c>
      <c r="X89" t="e">
        <f t="shared" si="62"/>
        <v>#N/A</v>
      </c>
      <c r="Y89" t="e">
        <f t="shared" si="63"/>
        <v>#N/A</v>
      </c>
      <c r="Z89" t="e">
        <f t="shared" si="64"/>
        <v>#N/A</v>
      </c>
      <c r="AA89" t="e">
        <f t="shared" si="65"/>
        <v>#N/A</v>
      </c>
      <c r="AB89" t="e">
        <f t="shared" si="66"/>
        <v>#N/A</v>
      </c>
      <c r="AC89" t="e">
        <f t="shared" si="67"/>
        <v>#N/A</v>
      </c>
      <c r="AD89" t="e">
        <f t="shared" si="68"/>
        <v>#N/A</v>
      </c>
      <c r="AE89" t="e">
        <f t="shared" si="69"/>
        <v>#N/A</v>
      </c>
      <c r="AF89" t="e">
        <f t="shared" si="70"/>
        <v>#N/A</v>
      </c>
      <c r="AG89" t="e">
        <f t="shared" si="71"/>
        <v>#N/A</v>
      </c>
      <c r="AH89" t="e">
        <f t="shared" si="72"/>
        <v>#N/A</v>
      </c>
      <c r="AI89" t="e">
        <f t="shared" si="73"/>
        <v>#N/A</v>
      </c>
      <c r="AJ89" t="e">
        <f t="shared" si="74"/>
        <v>#N/A</v>
      </c>
    </row>
    <row r="90">
      <c r="A90" s="2"/>
      <c r="L90" t="e">
        <f t="shared" si="50"/>
        <v>#N/A</v>
      </c>
      <c r="M90" t="e">
        <f t="shared" si="51"/>
        <v>#N/A</v>
      </c>
      <c r="N90" t="e">
        <f t="shared" si="52"/>
        <v>#N/A</v>
      </c>
      <c r="O90" t="n">
        <f t="shared" si="53"/>
        <v>0</v>
      </c>
      <c r="P90" t="n">
        <f t="shared" si="54"/>
        <v>0</v>
      </c>
      <c r="Q90" t="n">
        <f t="shared" si="55"/>
        <v>0</v>
      </c>
      <c r="R90" t="n">
        <f t="shared" si="56"/>
        <v>0</v>
      </c>
      <c r="S90" t="e">
        <f t="shared" si="57"/>
        <v>#N/A</v>
      </c>
      <c r="T90" t="e">
        <f t="shared" si="58"/>
        <v>#N/A</v>
      </c>
      <c r="U90" t="e">
        <f t="shared" si="59"/>
        <v>#N/A</v>
      </c>
      <c r="V90" t="e">
        <f t="shared" si="60"/>
        <v>#N/A</v>
      </c>
      <c r="W90" t="e">
        <f t="shared" si="61"/>
        <v>#N/A</v>
      </c>
      <c r="X90" t="e">
        <f t="shared" si="62"/>
        <v>#N/A</v>
      </c>
      <c r="Y90" t="e">
        <f t="shared" si="63"/>
        <v>#N/A</v>
      </c>
      <c r="Z90" t="e">
        <f t="shared" si="64"/>
        <v>#N/A</v>
      </c>
      <c r="AA90" t="e">
        <f t="shared" si="65"/>
        <v>#N/A</v>
      </c>
      <c r="AB90" t="e">
        <f t="shared" si="66"/>
        <v>#N/A</v>
      </c>
      <c r="AC90" t="e">
        <f t="shared" si="67"/>
        <v>#N/A</v>
      </c>
      <c r="AD90" t="e">
        <f t="shared" si="68"/>
        <v>#N/A</v>
      </c>
      <c r="AE90" t="e">
        <f t="shared" si="69"/>
        <v>#N/A</v>
      </c>
      <c r="AF90" t="e">
        <f t="shared" si="70"/>
        <v>#N/A</v>
      </c>
      <c r="AG90" t="e">
        <f t="shared" si="71"/>
        <v>#N/A</v>
      </c>
      <c r="AH90" t="e">
        <f t="shared" si="72"/>
        <v>#N/A</v>
      </c>
      <c r="AI90" t="e">
        <f t="shared" si="73"/>
        <v>#N/A</v>
      </c>
      <c r="AJ90" t="e">
        <f t="shared" si="74"/>
        <v>#N/A</v>
      </c>
    </row>
    <row r="91">
      <c r="A91" s="2"/>
      <c r="L91" t="e">
        <f t="shared" si="50"/>
        <v>#N/A</v>
      </c>
      <c r="M91" t="e">
        <f t="shared" si="51"/>
        <v>#N/A</v>
      </c>
      <c r="N91" t="e">
        <f t="shared" si="52"/>
        <v>#N/A</v>
      </c>
      <c r="O91" t="n">
        <f t="shared" si="53"/>
        <v>0</v>
      </c>
      <c r="P91" t="n">
        <f t="shared" si="54"/>
        <v>0</v>
      </c>
      <c r="Q91" t="n">
        <f t="shared" si="55"/>
        <v>0</v>
      </c>
      <c r="R91" t="n">
        <f t="shared" si="56"/>
        <v>0</v>
      </c>
      <c r="S91" t="e">
        <f t="shared" si="57"/>
        <v>#N/A</v>
      </c>
      <c r="T91" t="e">
        <f t="shared" si="58"/>
        <v>#N/A</v>
      </c>
      <c r="U91" t="e">
        <f t="shared" si="59"/>
        <v>#N/A</v>
      </c>
      <c r="V91" t="e">
        <f t="shared" si="60"/>
        <v>#N/A</v>
      </c>
      <c r="W91" t="e">
        <f t="shared" si="61"/>
        <v>#N/A</v>
      </c>
      <c r="X91" t="e">
        <f t="shared" si="62"/>
        <v>#N/A</v>
      </c>
      <c r="Y91" t="e">
        <f t="shared" si="63"/>
        <v>#N/A</v>
      </c>
      <c r="Z91" t="e">
        <f t="shared" si="64"/>
        <v>#N/A</v>
      </c>
      <c r="AA91" t="e">
        <f t="shared" si="65"/>
        <v>#N/A</v>
      </c>
      <c r="AB91" t="e">
        <f t="shared" si="66"/>
        <v>#N/A</v>
      </c>
      <c r="AC91" t="e">
        <f t="shared" si="67"/>
        <v>#N/A</v>
      </c>
      <c r="AD91" t="e">
        <f t="shared" si="68"/>
        <v>#N/A</v>
      </c>
      <c r="AE91" t="e">
        <f t="shared" si="69"/>
        <v>#N/A</v>
      </c>
      <c r="AF91" t="e">
        <f t="shared" si="70"/>
        <v>#N/A</v>
      </c>
      <c r="AG91" t="e">
        <f t="shared" si="71"/>
        <v>#N/A</v>
      </c>
      <c r="AH91" t="e">
        <f t="shared" si="72"/>
        <v>#N/A</v>
      </c>
      <c r="AI91" t="e">
        <f t="shared" si="73"/>
        <v>#N/A</v>
      </c>
      <c r="AJ91" t="e">
        <f t="shared" si="74"/>
        <v>#N/A</v>
      </c>
    </row>
    <row r="92">
      <c r="A92" s="2"/>
      <c r="L92" t="e">
        <f t="shared" si="50"/>
        <v>#N/A</v>
      </c>
      <c r="M92" t="e">
        <f t="shared" si="51"/>
        <v>#N/A</v>
      </c>
      <c r="N92" t="e">
        <f t="shared" si="52"/>
        <v>#N/A</v>
      </c>
      <c r="O92" t="n">
        <f t="shared" si="53"/>
        <v>0</v>
      </c>
      <c r="P92" t="n">
        <f t="shared" si="54"/>
        <v>0</v>
      </c>
      <c r="Q92" t="n">
        <f t="shared" si="55"/>
        <v>0</v>
      </c>
      <c r="R92" t="n">
        <f t="shared" si="56"/>
        <v>0</v>
      </c>
      <c r="S92" t="e">
        <f t="shared" si="57"/>
        <v>#N/A</v>
      </c>
      <c r="T92" t="e">
        <f t="shared" si="58"/>
        <v>#N/A</v>
      </c>
      <c r="U92" t="e">
        <f t="shared" si="59"/>
        <v>#N/A</v>
      </c>
      <c r="V92" t="e">
        <f t="shared" si="60"/>
        <v>#N/A</v>
      </c>
      <c r="W92" t="e">
        <f t="shared" si="61"/>
        <v>#N/A</v>
      </c>
      <c r="X92" t="e">
        <f t="shared" si="62"/>
        <v>#N/A</v>
      </c>
      <c r="Y92" t="e">
        <f t="shared" si="63"/>
        <v>#N/A</v>
      </c>
      <c r="Z92" t="e">
        <f t="shared" si="64"/>
        <v>#N/A</v>
      </c>
      <c r="AA92" t="e">
        <f t="shared" si="65"/>
        <v>#N/A</v>
      </c>
      <c r="AB92" t="e">
        <f t="shared" si="66"/>
        <v>#N/A</v>
      </c>
      <c r="AC92" t="e">
        <f t="shared" si="67"/>
        <v>#N/A</v>
      </c>
      <c r="AD92" t="e">
        <f t="shared" si="68"/>
        <v>#N/A</v>
      </c>
      <c r="AE92" t="e">
        <f t="shared" si="69"/>
        <v>#N/A</v>
      </c>
      <c r="AF92" t="e">
        <f t="shared" si="70"/>
        <v>#N/A</v>
      </c>
      <c r="AG92" t="e">
        <f t="shared" si="71"/>
        <v>#N/A</v>
      </c>
      <c r="AH92" t="e">
        <f t="shared" si="72"/>
        <v>#N/A</v>
      </c>
      <c r="AI92" t="e">
        <f t="shared" si="73"/>
        <v>#N/A</v>
      </c>
      <c r="AJ92" t="e">
        <f t="shared" si="74"/>
        <v>#N/A</v>
      </c>
    </row>
    <row r="93">
      <c r="A93" s="2"/>
      <c r="L93" t="e">
        <f t="shared" si="50"/>
        <v>#N/A</v>
      </c>
      <c r="M93" t="e">
        <f t="shared" si="51"/>
        <v>#N/A</v>
      </c>
      <c r="N93" t="e">
        <f t="shared" si="52"/>
        <v>#N/A</v>
      </c>
      <c r="O93" t="n">
        <f t="shared" si="53"/>
        <v>0</v>
      </c>
      <c r="P93" t="n">
        <f t="shared" si="54"/>
        <v>0</v>
      </c>
      <c r="Q93" t="n">
        <f t="shared" si="55"/>
        <v>0</v>
      </c>
      <c r="R93" t="n">
        <f t="shared" si="56"/>
        <v>0</v>
      </c>
      <c r="S93" t="e">
        <f t="shared" si="57"/>
        <v>#N/A</v>
      </c>
      <c r="T93" t="e">
        <f t="shared" si="58"/>
        <v>#N/A</v>
      </c>
      <c r="U93" t="e">
        <f t="shared" si="59"/>
        <v>#N/A</v>
      </c>
      <c r="V93" t="e">
        <f t="shared" si="60"/>
        <v>#N/A</v>
      </c>
      <c r="W93" t="e">
        <f t="shared" si="61"/>
        <v>#N/A</v>
      </c>
      <c r="X93" t="e">
        <f t="shared" si="62"/>
        <v>#N/A</v>
      </c>
      <c r="Y93" t="e">
        <f t="shared" si="63"/>
        <v>#N/A</v>
      </c>
      <c r="Z93" t="e">
        <f t="shared" si="64"/>
        <v>#N/A</v>
      </c>
      <c r="AA93" t="e">
        <f t="shared" si="65"/>
        <v>#N/A</v>
      </c>
      <c r="AB93" t="e">
        <f t="shared" si="66"/>
        <v>#N/A</v>
      </c>
      <c r="AC93" t="e">
        <f t="shared" si="67"/>
        <v>#N/A</v>
      </c>
      <c r="AD93" t="e">
        <f t="shared" si="68"/>
        <v>#N/A</v>
      </c>
      <c r="AE93" t="e">
        <f t="shared" si="69"/>
        <v>#N/A</v>
      </c>
      <c r="AF93" t="e">
        <f t="shared" si="70"/>
        <v>#N/A</v>
      </c>
      <c r="AG93" t="e">
        <f t="shared" si="71"/>
        <v>#N/A</v>
      </c>
      <c r="AH93" t="e">
        <f t="shared" si="72"/>
        <v>#N/A</v>
      </c>
      <c r="AI93" t="e">
        <f t="shared" si="73"/>
        <v>#N/A</v>
      </c>
      <c r="AJ93" t="e">
        <f t="shared" si="74"/>
        <v>#N/A</v>
      </c>
    </row>
    <row r="94">
      <c r="A94" s="2"/>
      <c r="L94" t="e">
        <f t="shared" si="50"/>
        <v>#N/A</v>
      </c>
      <c r="M94" t="e">
        <f t="shared" si="51"/>
        <v>#N/A</v>
      </c>
      <c r="N94" t="e">
        <f t="shared" si="52"/>
        <v>#N/A</v>
      </c>
      <c r="O94" t="n">
        <f t="shared" si="53"/>
        <v>0</v>
      </c>
      <c r="P94" t="n">
        <f t="shared" si="54"/>
        <v>0</v>
      </c>
      <c r="Q94" t="n">
        <f t="shared" si="55"/>
        <v>0</v>
      </c>
      <c r="R94" t="n">
        <f t="shared" si="56"/>
        <v>0</v>
      </c>
      <c r="S94" t="e">
        <f t="shared" si="57"/>
        <v>#N/A</v>
      </c>
      <c r="T94" t="e">
        <f t="shared" si="58"/>
        <v>#N/A</v>
      </c>
      <c r="U94" t="e">
        <f t="shared" si="59"/>
        <v>#N/A</v>
      </c>
      <c r="V94" t="e">
        <f t="shared" si="60"/>
        <v>#N/A</v>
      </c>
      <c r="W94" t="e">
        <f t="shared" si="61"/>
        <v>#N/A</v>
      </c>
      <c r="X94" t="e">
        <f t="shared" si="62"/>
        <v>#N/A</v>
      </c>
      <c r="Y94" t="e">
        <f t="shared" si="63"/>
        <v>#N/A</v>
      </c>
      <c r="Z94" t="e">
        <f t="shared" si="64"/>
        <v>#N/A</v>
      </c>
      <c r="AA94" t="e">
        <f t="shared" si="65"/>
        <v>#N/A</v>
      </c>
      <c r="AB94" t="e">
        <f t="shared" si="66"/>
        <v>#N/A</v>
      </c>
      <c r="AC94" t="e">
        <f t="shared" si="67"/>
        <v>#N/A</v>
      </c>
      <c r="AD94" t="e">
        <f t="shared" si="68"/>
        <v>#N/A</v>
      </c>
      <c r="AE94" t="e">
        <f t="shared" si="69"/>
        <v>#N/A</v>
      </c>
      <c r="AF94" t="e">
        <f t="shared" si="70"/>
        <v>#N/A</v>
      </c>
      <c r="AG94" t="e">
        <f t="shared" si="71"/>
        <v>#N/A</v>
      </c>
      <c r="AH94" t="e">
        <f t="shared" si="72"/>
        <v>#N/A</v>
      </c>
      <c r="AI94" t="e">
        <f t="shared" si="73"/>
        <v>#N/A</v>
      </c>
      <c r="AJ94" t="e">
        <f t="shared" si="74"/>
        <v>#N/A</v>
      </c>
    </row>
    <row r="95">
      <c r="A95" s="2"/>
      <c r="L95" t="e">
        <f t="shared" si="50"/>
        <v>#N/A</v>
      </c>
      <c r="M95" t="e">
        <f t="shared" si="51"/>
        <v>#N/A</v>
      </c>
      <c r="N95" t="e">
        <f t="shared" si="52"/>
        <v>#N/A</v>
      </c>
      <c r="O95" t="n">
        <f t="shared" si="53"/>
        <v>0</v>
      </c>
      <c r="P95" t="n">
        <f t="shared" si="54"/>
        <v>0</v>
      </c>
      <c r="Q95" t="n">
        <f t="shared" si="55"/>
        <v>0</v>
      </c>
      <c r="R95" t="n">
        <f t="shared" si="56"/>
        <v>0</v>
      </c>
      <c r="S95" t="e">
        <f t="shared" si="57"/>
        <v>#N/A</v>
      </c>
      <c r="T95" t="e">
        <f t="shared" si="58"/>
        <v>#N/A</v>
      </c>
      <c r="U95" t="e">
        <f t="shared" si="59"/>
        <v>#N/A</v>
      </c>
      <c r="V95" t="e">
        <f t="shared" si="60"/>
        <v>#N/A</v>
      </c>
      <c r="W95" t="e">
        <f t="shared" si="61"/>
        <v>#N/A</v>
      </c>
      <c r="X95" t="e">
        <f t="shared" si="62"/>
        <v>#N/A</v>
      </c>
      <c r="Y95" t="e">
        <f t="shared" si="63"/>
        <v>#N/A</v>
      </c>
      <c r="Z95" t="e">
        <f t="shared" si="64"/>
        <v>#N/A</v>
      </c>
      <c r="AA95" t="e">
        <f t="shared" si="65"/>
        <v>#N/A</v>
      </c>
      <c r="AB95" t="e">
        <f t="shared" si="66"/>
        <v>#N/A</v>
      </c>
      <c r="AC95" t="e">
        <f t="shared" si="67"/>
        <v>#N/A</v>
      </c>
      <c r="AD95" t="e">
        <f t="shared" si="68"/>
        <v>#N/A</v>
      </c>
      <c r="AE95" t="e">
        <f t="shared" si="69"/>
        <v>#N/A</v>
      </c>
      <c r="AF95" t="e">
        <f t="shared" si="70"/>
        <v>#N/A</v>
      </c>
      <c r="AG95" t="e">
        <f t="shared" si="71"/>
        <v>#N/A</v>
      </c>
      <c r="AH95" t="e">
        <f t="shared" si="72"/>
        <v>#N/A</v>
      </c>
      <c r="AI95" t="e">
        <f t="shared" si="73"/>
        <v>#N/A</v>
      </c>
      <c r="AJ95" t="e">
        <f t="shared" si="74"/>
        <v>#N/A</v>
      </c>
    </row>
    <row r="96">
      <c r="A96" s="2"/>
      <c r="L96" t="e">
        <f t="shared" si="50"/>
        <v>#N/A</v>
      </c>
      <c r="M96" t="e">
        <f t="shared" si="51"/>
        <v>#N/A</v>
      </c>
      <c r="N96" t="e">
        <f t="shared" si="52"/>
        <v>#N/A</v>
      </c>
      <c r="O96" t="n">
        <f t="shared" si="53"/>
        <v>0</v>
      </c>
      <c r="P96" t="n">
        <f t="shared" si="54"/>
        <v>0</v>
      </c>
      <c r="Q96" t="n">
        <f t="shared" si="55"/>
        <v>0</v>
      </c>
      <c r="R96" t="n">
        <f t="shared" si="56"/>
        <v>0</v>
      </c>
      <c r="S96" t="e">
        <f t="shared" si="57"/>
        <v>#N/A</v>
      </c>
      <c r="T96" t="e">
        <f t="shared" si="58"/>
        <v>#N/A</v>
      </c>
      <c r="U96" t="e">
        <f t="shared" si="59"/>
        <v>#N/A</v>
      </c>
      <c r="V96" t="e">
        <f t="shared" si="60"/>
        <v>#N/A</v>
      </c>
      <c r="W96" t="e">
        <f t="shared" si="61"/>
        <v>#N/A</v>
      </c>
      <c r="X96" t="e">
        <f t="shared" si="62"/>
        <v>#N/A</v>
      </c>
      <c r="Y96" t="e">
        <f t="shared" si="63"/>
        <v>#N/A</v>
      </c>
      <c r="Z96" t="e">
        <f t="shared" si="64"/>
        <v>#N/A</v>
      </c>
      <c r="AA96" t="e">
        <f t="shared" si="65"/>
        <v>#N/A</v>
      </c>
      <c r="AB96" t="e">
        <f t="shared" si="66"/>
        <v>#N/A</v>
      </c>
      <c r="AC96" t="e">
        <f t="shared" si="67"/>
        <v>#N/A</v>
      </c>
      <c r="AD96" t="e">
        <f t="shared" si="68"/>
        <v>#N/A</v>
      </c>
      <c r="AE96" t="e">
        <f t="shared" si="69"/>
        <v>#N/A</v>
      </c>
      <c r="AF96" t="e">
        <f t="shared" si="70"/>
        <v>#N/A</v>
      </c>
      <c r="AG96" t="e">
        <f t="shared" si="71"/>
        <v>#N/A</v>
      </c>
      <c r="AH96" t="e">
        <f t="shared" si="72"/>
        <v>#N/A</v>
      </c>
      <c r="AI96" t="e">
        <f t="shared" si="73"/>
        <v>#N/A</v>
      </c>
      <c r="AJ96" t="e">
        <f t="shared" si="74"/>
        <v>#N/A</v>
      </c>
    </row>
    <row r="97">
      <c r="A97" s="2"/>
      <c r="L97" t="e">
        <f t="shared" si="50"/>
        <v>#N/A</v>
      </c>
      <c r="M97" t="e">
        <f t="shared" si="51"/>
        <v>#N/A</v>
      </c>
      <c r="N97" t="e">
        <f t="shared" si="52"/>
        <v>#N/A</v>
      </c>
      <c r="O97" t="n">
        <f t="shared" si="53"/>
        <v>0</v>
      </c>
      <c r="P97" t="n">
        <f t="shared" si="54"/>
        <v>0</v>
      </c>
      <c r="Q97" t="n">
        <f t="shared" si="55"/>
        <v>0</v>
      </c>
      <c r="R97" t="n">
        <f t="shared" si="56"/>
        <v>0</v>
      </c>
      <c r="S97" t="e">
        <f t="shared" si="57"/>
        <v>#N/A</v>
      </c>
      <c r="T97" t="e">
        <f t="shared" si="58"/>
        <v>#N/A</v>
      </c>
      <c r="U97" t="e">
        <f t="shared" si="59"/>
        <v>#N/A</v>
      </c>
      <c r="V97" t="e">
        <f t="shared" si="60"/>
        <v>#N/A</v>
      </c>
      <c r="W97" t="e">
        <f t="shared" si="61"/>
        <v>#N/A</v>
      </c>
      <c r="X97" t="e">
        <f t="shared" si="62"/>
        <v>#N/A</v>
      </c>
      <c r="Y97" t="e">
        <f t="shared" si="63"/>
        <v>#N/A</v>
      </c>
      <c r="Z97" t="e">
        <f t="shared" si="64"/>
        <v>#N/A</v>
      </c>
      <c r="AA97" t="e">
        <f t="shared" si="65"/>
        <v>#N/A</v>
      </c>
      <c r="AB97" t="e">
        <f t="shared" si="66"/>
        <v>#N/A</v>
      </c>
      <c r="AC97" t="e">
        <f t="shared" si="67"/>
        <v>#N/A</v>
      </c>
      <c r="AD97" t="e">
        <f t="shared" si="68"/>
        <v>#N/A</v>
      </c>
      <c r="AE97" t="e">
        <f t="shared" si="69"/>
        <v>#N/A</v>
      </c>
      <c r="AF97" t="e">
        <f t="shared" si="70"/>
        <v>#N/A</v>
      </c>
      <c r="AG97" t="e">
        <f t="shared" si="71"/>
        <v>#N/A</v>
      </c>
      <c r="AH97" t="e">
        <f t="shared" si="72"/>
        <v>#N/A</v>
      </c>
      <c r="AI97" t="e">
        <f t="shared" si="73"/>
        <v>#N/A</v>
      </c>
      <c r="AJ97" t="e">
        <f t="shared" si="74"/>
        <v>#N/A</v>
      </c>
    </row>
    <row r="98">
      <c r="A98" s="2"/>
      <c r="L98" t="e">
        <f t="shared" ref="L98:L129" si="75">IF(ROW()&lt;=5,NA(),IFERROR(100*(B98/INDEX(B:B,ROW()-4)-1),NA()))</f>
        <v>#N/A</v>
      </c>
      <c r="M98" t="e">
        <f t="shared" ref="M98:M129" si="76">IF(ROW()&lt;=5,NA(),IFERROR(100*(C98/INDEX(C:C,ROW()-4)-1),NA()))</f>
        <v>#N/A</v>
      </c>
      <c r="N98" t="e">
        <f t="shared" ref="N98:N129" si="77">IF(ROW()&lt;=5,NA(),IFERROR(100*(D98/INDEX(D:D,ROW()-4)-1),NA()))</f>
        <v>#N/A</v>
      </c>
      <c r="O98" t="n">
        <f t="shared" ref="O98:O129" si="78">100*G98</f>
        <v>0</v>
      </c>
      <c r="P98" t="n">
        <f t="shared" ref="P98:P129" si="79">100*H98</f>
        <v>0</v>
      </c>
      <c r="Q98" t="n">
        <f t="shared" ref="Q98:Q129" si="80">100*I98</f>
        <v>0</v>
      </c>
      <c r="R98" t="n">
        <f t="shared" ref="R98:R129" si="81">100*J98</f>
        <v>0</v>
      </c>
      <c r="S98" t="e">
        <f t="shared" ref="S98:S129" si="82">IFERROR(100*E98/INDEX(E:E,MATCH(DATE(2024,12,1),A:A,0)),NA())</f>
        <v>#N/A</v>
      </c>
      <c r="T98" t="e">
        <f t="shared" ref="T98:T129" si="83">IFERROR(100*F98/INDEX(F:F,MATCH(DATE(2024,12,1),A:A,0)),NA())</f>
        <v>#N/A</v>
      </c>
      <c r="U98" t="e">
        <f t="shared" ref="U98:U129" si="84">IF($K98="Actual",L98,NA())</f>
        <v>#N/A</v>
      </c>
      <c r="V98" t="e">
        <f t="shared" ref="V98:V129" si="85">IF($A98&gt;=DATE(2024,12,1),L98,NA())</f>
        <v>#N/A</v>
      </c>
      <c r="W98" t="e">
        <f t="shared" ref="W98:W129" si="86">IF($K98="Actual",M98,NA())</f>
        <v>#N/A</v>
      </c>
      <c r="X98" t="e">
        <f t="shared" ref="X98:X129" si="87">IF($A98&gt;=DATE(2024,12,1),M98,NA())</f>
        <v>#N/A</v>
      </c>
      <c r="Y98" t="e">
        <f t="shared" ref="Y98:Y129" si="88">IF($K98="Actual",S98,NA())</f>
        <v>#N/A</v>
      </c>
      <c r="Z98" t="e">
        <f t="shared" ref="Z98:Z129" si="89">IF($A98&gt;=DATE(2024,12,1),S98,NA())</f>
        <v>#N/A</v>
      </c>
      <c r="AA98" t="e">
        <f t="shared" ref="AA98:AA129" si="90">IF($K98="Actual",T98,NA())</f>
        <v>#N/A</v>
      </c>
      <c r="AB98" t="e">
        <f t="shared" ref="AB98:AB129" si="91">IF($A98&gt;=DATE(2024,12,1),T98,NA())</f>
        <v>#N/A</v>
      </c>
      <c r="AC98" t="e">
        <f t="shared" ref="AC98:AC129" si="92">IF($K98="Actual",O98,NA())</f>
        <v>#N/A</v>
      </c>
      <c r="AD98" t="e">
        <f t="shared" ref="AD98:AD129" si="93">IF($A98&gt;=DATE(2024,12,1),O98,NA())</f>
        <v>#N/A</v>
      </c>
      <c r="AE98" t="e">
        <f t="shared" ref="AE98:AE129" si="94">IF($K98="Actual",Q98,NA())</f>
        <v>#N/A</v>
      </c>
      <c r="AF98" t="e">
        <f t="shared" ref="AF98:AF129" si="95">IF($A98&gt;=DATE(2024,12,1),Q98,NA())</f>
        <v>#N/A</v>
      </c>
      <c r="AG98" t="e">
        <f t="shared" ref="AG98:AG129" si="96">IF($K98="Actual",R98,NA())</f>
        <v>#N/A</v>
      </c>
      <c r="AH98" t="e">
        <f t="shared" ref="AH98:AH129" si="97">IF($A98&gt;=DATE(2024,12,1),R98,NA())</f>
        <v>#N/A</v>
      </c>
      <c r="AI98" t="e">
        <f t="shared" ref="AI98:AI129" si="98">IF($K98="Actual",N98,NA())</f>
        <v>#N/A</v>
      </c>
      <c r="AJ98" t="e">
        <f t="shared" ref="AJ98:AJ129" si="99">IF($A98&gt;=DATE(2024,12,1),N98,NA())</f>
        <v>#N/A</v>
      </c>
    </row>
    <row r="99">
      <c r="A99" s="2"/>
      <c r="L99" t="e">
        <f t="shared" si="75"/>
        <v>#N/A</v>
      </c>
      <c r="M99" t="e">
        <f t="shared" si="76"/>
        <v>#N/A</v>
      </c>
      <c r="N99" t="e">
        <f t="shared" si="77"/>
        <v>#N/A</v>
      </c>
      <c r="O99" t="n">
        <f t="shared" si="78"/>
        <v>0</v>
      </c>
      <c r="P99" t="n">
        <f t="shared" si="79"/>
        <v>0</v>
      </c>
      <c r="Q99" t="n">
        <f t="shared" si="80"/>
        <v>0</v>
      </c>
      <c r="R99" t="n">
        <f t="shared" si="81"/>
        <v>0</v>
      </c>
      <c r="S99" t="e">
        <f t="shared" si="82"/>
        <v>#N/A</v>
      </c>
      <c r="T99" t="e">
        <f t="shared" si="83"/>
        <v>#N/A</v>
      </c>
      <c r="U99" t="e">
        <f t="shared" si="84"/>
        <v>#N/A</v>
      </c>
      <c r="V99" t="e">
        <f t="shared" si="85"/>
        <v>#N/A</v>
      </c>
      <c r="W99" t="e">
        <f t="shared" si="86"/>
        <v>#N/A</v>
      </c>
      <c r="X99" t="e">
        <f t="shared" si="87"/>
        <v>#N/A</v>
      </c>
      <c r="Y99" t="e">
        <f t="shared" si="88"/>
        <v>#N/A</v>
      </c>
      <c r="Z99" t="e">
        <f t="shared" si="89"/>
        <v>#N/A</v>
      </c>
      <c r="AA99" t="e">
        <f t="shared" si="90"/>
        <v>#N/A</v>
      </c>
      <c r="AB99" t="e">
        <f t="shared" si="91"/>
        <v>#N/A</v>
      </c>
      <c r="AC99" t="e">
        <f t="shared" si="92"/>
        <v>#N/A</v>
      </c>
      <c r="AD99" t="e">
        <f t="shared" si="93"/>
        <v>#N/A</v>
      </c>
      <c r="AE99" t="e">
        <f t="shared" si="94"/>
        <v>#N/A</v>
      </c>
      <c r="AF99" t="e">
        <f t="shared" si="95"/>
        <v>#N/A</v>
      </c>
      <c r="AG99" t="e">
        <f t="shared" si="96"/>
        <v>#N/A</v>
      </c>
      <c r="AH99" t="e">
        <f t="shared" si="97"/>
        <v>#N/A</v>
      </c>
      <c r="AI99" t="e">
        <f t="shared" si="98"/>
        <v>#N/A</v>
      </c>
      <c r="AJ99" t="e">
        <f t="shared" si="99"/>
        <v>#N/A</v>
      </c>
    </row>
    <row r="100">
      <c r="A100" s="2"/>
      <c r="L100" t="e">
        <f t="shared" si="75"/>
        <v>#N/A</v>
      </c>
      <c r="M100" t="e">
        <f t="shared" si="76"/>
        <v>#N/A</v>
      </c>
      <c r="N100" t="e">
        <f t="shared" si="77"/>
        <v>#N/A</v>
      </c>
      <c r="O100" t="n">
        <f t="shared" si="78"/>
        <v>0</v>
      </c>
      <c r="P100" t="n">
        <f t="shared" si="79"/>
        <v>0</v>
      </c>
      <c r="Q100" t="n">
        <f t="shared" si="80"/>
        <v>0</v>
      </c>
      <c r="R100" t="n">
        <f t="shared" si="81"/>
        <v>0</v>
      </c>
      <c r="S100" t="e">
        <f t="shared" si="82"/>
        <v>#N/A</v>
      </c>
      <c r="T100" t="e">
        <f t="shared" si="83"/>
        <v>#N/A</v>
      </c>
      <c r="U100" t="e">
        <f t="shared" si="84"/>
        <v>#N/A</v>
      </c>
      <c r="V100" t="e">
        <f t="shared" si="85"/>
        <v>#N/A</v>
      </c>
      <c r="W100" t="e">
        <f t="shared" si="86"/>
        <v>#N/A</v>
      </c>
      <c r="X100" t="e">
        <f t="shared" si="87"/>
        <v>#N/A</v>
      </c>
      <c r="Y100" t="e">
        <f t="shared" si="88"/>
        <v>#N/A</v>
      </c>
      <c r="Z100" t="e">
        <f t="shared" si="89"/>
        <v>#N/A</v>
      </c>
      <c r="AA100" t="e">
        <f t="shared" si="90"/>
        <v>#N/A</v>
      </c>
      <c r="AB100" t="e">
        <f t="shared" si="91"/>
        <v>#N/A</v>
      </c>
      <c r="AC100" t="e">
        <f t="shared" si="92"/>
        <v>#N/A</v>
      </c>
      <c r="AD100" t="e">
        <f t="shared" si="93"/>
        <v>#N/A</v>
      </c>
      <c r="AE100" t="e">
        <f t="shared" si="94"/>
        <v>#N/A</v>
      </c>
      <c r="AF100" t="e">
        <f t="shared" si="95"/>
        <v>#N/A</v>
      </c>
      <c r="AG100" t="e">
        <f t="shared" si="96"/>
        <v>#N/A</v>
      </c>
      <c r="AH100" t="e">
        <f t="shared" si="97"/>
        <v>#N/A</v>
      </c>
      <c r="AI100" t="e">
        <f t="shared" si="98"/>
        <v>#N/A</v>
      </c>
      <c r="AJ100" t="e">
        <f t="shared" si="99"/>
        <v>#N/A</v>
      </c>
    </row>
    <row r="101">
      <c r="A101" s="2"/>
      <c r="L101" t="e">
        <f t="shared" si="75"/>
        <v>#N/A</v>
      </c>
      <c r="M101" t="e">
        <f t="shared" si="76"/>
        <v>#N/A</v>
      </c>
      <c r="N101" t="e">
        <f t="shared" si="77"/>
        <v>#N/A</v>
      </c>
      <c r="O101" t="n">
        <f t="shared" si="78"/>
        <v>0</v>
      </c>
      <c r="P101" t="n">
        <f t="shared" si="79"/>
        <v>0</v>
      </c>
      <c r="Q101" t="n">
        <f t="shared" si="80"/>
        <v>0</v>
      </c>
      <c r="R101" t="n">
        <f t="shared" si="81"/>
        <v>0</v>
      </c>
      <c r="S101" t="e">
        <f t="shared" si="82"/>
        <v>#N/A</v>
      </c>
      <c r="T101" t="e">
        <f t="shared" si="83"/>
        <v>#N/A</v>
      </c>
      <c r="U101" t="e">
        <f t="shared" si="84"/>
        <v>#N/A</v>
      </c>
      <c r="V101" t="e">
        <f t="shared" si="85"/>
        <v>#N/A</v>
      </c>
      <c r="W101" t="e">
        <f t="shared" si="86"/>
        <v>#N/A</v>
      </c>
      <c r="X101" t="e">
        <f t="shared" si="87"/>
        <v>#N/A</v>
      </c>
      <c r="Y101" t="e">
        <f t="shared" si="88"/>
        <v>#N/A</v>
      </c>
      <c r="Z101" t="e">
        <f t="shared" si="89"/>
        <v>#N/A</v>
      </c>
      <c r="AA101" t="e">
        <f t="shared" si="90"/>
        <v>#N/A</v>
      </c>
      <c r="AB101" t="e">
        <f t="shared" si="91"/>
        <v>#N/A</v>
      </c>
      <c r="AC101" t="e">
        <f t="shared" si="92"/>
        <v>#N/A</v>
      </c>
      <c r="AD101" t="e">
        <f t="shared" si="93"/>
        <v>#N/A</v>
      </c>
      <c r="AE101" t="e">
        <f t="shared" si="94"/>
        <v>#N/A</v>
      </c>
      <c r="AF101" t="e">
        <f t="shared" si="95"/>
        <v>#N/A</v>
      </c>
      <c r="AG101" t="e">
        <f t="shared" si="96"/>
        <v>#N/A</v>
      </c>
      <c r="AH101" t="e">
        <f t="shared" si="97"/>
        <v>#N/A</v>
      </c>
      <c r="AI101" t="e">
        <f t="shared" si="98"/>
        <v>#N/A</v>
      </c>
      <c r="AJ101" t="e">
        <f t="shared" si="99"/>
        <v>#N/A</v>
      </c>
    </row>
    <row r="102">
      <c r="A102" s="2"/>
      <c r="L102" t="e">
        <f t="shared" si="75"/>
        <v>#N/A</v>
      </c>
      <c r="M102" t="e">
        <f t="shared" si="76"/>
        <v>#N/A</v>
      </c>
      <c r="N102" t="e">
        <f t="shared" si="77"/>
        <v>#N/A</v>
      </c>
      <c r="O102" t="n">
        <f t="shared" si="78"/>
        <v>0</v>
      </c>
      <c r="P102" t="n">
        <f t="shared" si="79"/>
        <v>0</v>
      </c>
      <c r="Q102" t="n">
        <f t="shared" si="80"/>
        <v>0</v>
      </c>
      <c r="R102" t="n">
        <f t="shared" si="81"/>
        <v>0</v>
      </c>
      <c r="S102" t="e">
        <f t="shared" si="82"/>
        <v>#N/A</v>
      </c>
      <c r="T102" t="e">
        <f t="shared" si="83"/>
        <v>#N/A</v>
      </c>
      <c r="U102" t="e">
        <f t="shared" si="84"/>
        <v>#N/A</v>
      </c>
      <c r="V102" t="e">
        <f t="shared" si="85"/>
        <v>#N/A</v>
      </c>
      <c r="W102" t="e">
        <f t="shared" si="86"/>
        <v>#N/A</v>
      </c>
      <c r="X102" t="e">
        <f t="shared" si="87"/>
        <v>#N/A</v>
      </c>
      <c r="Y102" t="e">
        <f t="shared" si="88"/>
        <v>#N/A</v>
      </c>
      <c r="Z102" t="e">
        <f t="shared" si="89"/>
        <v>#N/A</v>
      </c>
      <c r="AA102" t="e">
        <f t="shared" si="90"/>
        <v>#N/A</v>
      </c>
      <c r="AB102" t="e">
        <f t="shared" si="91"/>
        <v>#N/A</v>
      </c>
      <c r="AC102" t="e">
        <f t="shared" si="92"/>
        <v>#N/A</v>
      </c>
      <c r="AD102" t="e">
        <f t="shared" si="93"/>
        <v>#N/A</v>
      </c>
      <c r="AE102" t="e">
        <f t="shared" si="94"/>
        <v>#N/A</v>
      </c>
      <c r="AF102" t="e">
        <f t="shared" si="95"/>
        <v>#N/A</v>
      </c>
      <c r="AG102" t="e">
        <f t="shared" si="96"/>
        <v>#N/A</v>
      </c>
      <c r="AH102" t="e">
        <f t="shared" si="97"/>
        <v>#N/A</v>
      </c>
      <c r="AI102" t="e">
        <f t="shared" si="98"/>
        <v>#N/A</v>
      </c>
      <c r="AJ102" t="e">
        <f t="shared" si="99"/>
        <v>#N/A</v>
      </c>
    </row>
    <row r="103">
      <c r="A103" s="2"/>
      <c r="L103" t="e">
        <f t="shared" si="75"/>
        <v>#N/A</v>
      </c>
      <c r="M103" t="e">
        <f t="shared" si="76"/>
        <v>#N/A</v>
      </c>
      <c r="N103" t="e">
        <f t="shared" si="77"/>
        <v>#N/A</v>
      </c>
      <c r="O103" t="n">
        <f t="shared" si="78"/>
        <v>0</v>
      </c>
      <c r="P103" t="n">
        <f t="shared" si="79"/>
        <v>0</v>
      </c>
      <c r="Q103" t="n">
        <f t="shared" si="80"/>
        <v>0</v>
      </c>
      <c r="R103" t="n">
        <f t="shared" si="81"/>
        <v>0</v>
      </c>
      <c r="S103" t="e">
        <f t="shared" si="82"/>
        <v>#N/A</v>
      </c>
      <c r="T103" t="e">
        <f t="shared" si="83"/>
        <v>#N/A</v>
      </c>
      <c r="U103" t="e">
        <f t="shared" si="84"/>
        <v>#N/A</v>
      </c>
      <c r="V103" t="e">
        <f t="shared" si="85"/>
        <v>#N/A</v>
      </c>
      <c r="W103" t="e">
        <f t="shared" si="86"/>
        <v>#N/A</v>
      </c>
      <c r="X103" t="e">
        <f t="shared" si="87"/>
        <v>#N/A</v>
      </c>
      <c r="Y103" t="e">
        <f t="shared" si="88"/>
        <v>#N/A</v>
      </c>
      <c r="Z103" t="e">
        <f t="shared" si="89"/>
        <v>#N/A</v>
      </c>
      <c r="AA103" t="e">
        <f t="shared" si="90"/>
        <v>#N/A</v>
      </c>
      <c r="AB103" t="e">
        <f t="shared" si="91"/>
        <v>#N/A</v>
      </c>
      <c r="AC103" t="e">
        <f t="shared" si="92"/>
        <v>#N/A</v>
      </c>
      <c r="AD103" t="e">
        <f t="shared" si="93"/>
        <v>#N/A</v>
      </c>
      <c r="AE103" t="e">
        <f t="shared" si="94"/>
        <v>#N/A</v>
      </c>
      <c r="AF103" t="e">
        <f t="shared" si="95"/>
        <v>#N/A</v>
      </c>
      <c r="AG103" t="e">
        <f t="shared" si="96"/>
        <v>#N/A</v>
      </c>
      <c r="AH103" t="e">
        <f t="shared" si="97"/>
        <v>#N/A</v>
      </c>
      <c r="AI103" t="e">
        <f t="shared" si="98"/>
        <v>#N/A</v>
      </c>
      <c r="AJ103" t="e">
        <f t="shared" si="99"/>
        <v>#N/A</v>
      </c>
    </row>
    <row r="104">
      <c r="A104" s="2"/>
      <c r="L104" t="e">
        <f t="shared" si="75"/>
        <v>#N/A</v>
      </c>
      <c r="M104" t="e">
        <f t="shared" si="76"/>
        <v>#N/A</v>
      </c>
      <c r="N104" t="e">
        <f t="shared" si="77"/>
        <v>#N/A</v>
      </c>
      <c r="O104" t="n">
        <f t="shared" si="78"/>
        <v>0</v>
      </c>
      <c r="P104" t="n">
        <f t="shared" si="79"/>
        <v>0</v>
      </c>
      <c r="Q104" t="n">
        <f t="shared" si="80"/>
        <v>0</v>
      </c>
      <c r="R104" t="n">
        <f t="shared" si="81"/>
        <v>0</v>
      </c>
      <c r="S104" t="e">
        <f t="shared" si="82"/>
        <v>#N/A</v>
      </c>
      <c r="T104" t="e">
        <f t="shared" si="83"/>
        <v>#N/A</v>
      </c>
      <c r="U104" t="e">
        <f t="shared" si="84"/>
        <v>#N/A</v>
      </c>
      <c r="V104" t="e">
        <f t="shared" si="85"/>
        <v>#N/A</v>
      </c>
      <c r="W104" t="e">
        <f t="shared" si="86"/>
        <v>#N/A</v>
      </c>
      <c r="X104" t="e">
        <f t="shared" si="87"/>
        <v>#N/A</v>
      </c>
      <c r="Y104" t="e">
        <f t="shared" si="88"/>
        <v>#N/A</v>
      </c>
      <c r="Z104" t="e">
        <f t="shared" si="89"/>
        <v>#N/A</v>
      </c>
      <c r="AA104" t="e">
        <f t="shared" si="90"/>
        <v>#N/A</v>
      </c>
      <c r="AB104" t="e">
        <f t="shared" si="91"/>
        <v>#N/A</v>
      </c>
      <c r="AC104" t="e">
        <f t="shared" si="92"/>
        <v>#N/A</v>
      </c>
      <c r="AD104" t="e">
        <f t="shared" si="93"/>
        <v>#N/A</v>
      </c>
      <c r="AE104" t="e">
        <f t="shared" si="94"/>
        <v>#N/A</v>
      </c>
      <c r="AF104" t="e">
        <f t="shared" si="95"/>
        <v>#N/A</v>
      </c>
      <c r="AG104" t="e">
        <f t="shared" si="96"/>
        <v>#N/A</v>
      </c>
      <c r="AH104" t="e">
        <f t="shared" si="97"/>
        <v>#N/A</v>
      </c>
      <c r="AI104" t="e">
        <f t="shared" si="98"/>
        <v>#N/A</v>
      </c>
      <c r="AJ104" t="e">
        <f t="shared" si="99"/>
        <v>#N/A</v>
      </c>
    </row>
    <row r="105">
      <c r="A105" s="2"/>
      <c r="L105" t="e">
        <f t="shared" si="75"/>
        <v>#N/A</v>
      </c>
      <c r="M105" t="e">
        <f t="shared" si="76"/>
        <v>#N/A</v>
      </c>
      <c r="N105" t="e">
        <f t="shared" si="77"/>
        <v>#N/A</v>
      </c>
      <c r="O105" t="n">
        <f t="shared" si="78"/>
        <v>0</v>
      </c>
      <c r="P105" t="n">
        <f t="shared" si="79"/>
        <v>0</v>
      </c>
      <c r="Q105" t="n">
        <f t="shared" si="80"/>
        <v>0</v>
      </c>
      <c r="R105" t="n">
        <f t="shared" si="81"/>
        <v>0</v>
      </c>
      <c r="S105" t="e">
        <f t="shared" si="82"/>
        <v>#N/A</v>
      </c>
      <c r="T105" t="e">
        <f t="shared" si="83"/>
        <v>#N/A</v>
      </c>
      <c r="U105" t="e">
        <f t="shared" si="84"/>
        <v>#N/A</v>
      </c>
      <c r="V105" t="e">
        <f t="shared" si="85"/>
        <v>#N/A</v>
      </c>
      <c r="W105" t="e">
        <f t="shared" si="86"/>
        <v>#N/A</v>
      </c>
      <c r="X105" t="e">
        <f t="shared" si="87"/>
        <v>#N/A</v>
      </c>
      <c r="Y105" t="e">
        <f t="shared" si="88"/>
        <v>#N/A</v>
      </c>
      <c r="Z105" t="e">
        <f t="shared" si="89"/>
        <v>#N/A</v>
      </c>
      <c r="AA105" t="e">
        <f t="shared" si="90"/>
        <v>#N/A</v>
      </c>
      <c r="AB105" t="e">
        <f t="shared" si="91"/>
        <v>#N/A</v>
      </c>
      <c r="AC105" t="e">
        <f t="shared" si="92"/>
        <v>#N/A</v>
      </c>
      <c r="AD105" t="e">
        <f t="shared" si="93"/>
        <v>#N/A</v>
      </c>
      <c r="AE105" t="e">
        <f t="shared" si="94"/>
        <v>#N/A</v>
      </c>
      <c r="AF105" t="e">
        <f t="shared" si="95"/>
        <v>#N/A</v>
      </c>
      <c r="AG105" t="e">
        <f t="shared" si="96"/>
        <v>#N/A</v>
      </c>
      <c r="AH105" t="e">
        <f t="shared" si="97"/>
        <v>#N/A</v>
      </c>
      <c r="AI105" t="e">
        <f t="shared" si="98"/>
        <v>#N/A</v>
      </c>
      <c r="AJ105" t="e">
        <f t="shared" si="99"/>
        <v>#N/A</v>
      </c>
    </row>
    <row r="106">
      <c r="A106" s="2"/>
      <c r="L106" t="e">
        <f t="shared" si="75"/>
        <v>#N/A</v>
      </c>
      <c r="M106" t="e">
        <f t="shared" si="76"/>
        <v>#N/A</v>
      </c>
      <c r="N106" t="e">
        <f t="shared" si="77"/>
        <v>#N/A</v>
      </c>
      <c r="O106" t="n">
        <f t="shared" si="78"/>
        <v>0</v>
      </c>
      <c r="P106" t="n">
        <f t="shared" si="79"/>
        <v>0</v>
      </c>
      <c r="Q106" t="n">
        <f t="shared" si="80"/>
        <v>0</v>
      </c>
      <c r="R106" t="n">
        <f t="shared" si="81"/>
        <v>0</v>
      </c>
      <c r="S106" t="e">
        <f t="shared" si="82"/>
        <v>#N/A</v>
      </c>
      <c r="T106" t="e">
        <f t="shared" si="83"/>
        <v>#N/A</v>
      </c>
      <c r="U106" t="e">
        <f t="shared" si="84"/>
        <v>#N/A</v>
      </c>
      <c r="V106" t="e">
        <f t="shared" si="85"/>
        <v>#N/A</v>
      </c>
      <c r="W106" t="e">
        <f t="shared" si="86"/>
        <v>#N/A</v>
      </c>
      <c r="X106" t="e">
        <f t="shared" si="87"/>
        <v>#N/A</v>
      </c>
      <c r="Y106" t="e">
        <f t="shared" si="88"/>
        <v>#N/A</v>
      </c>
      <c r="Z106" t="e">
        <f t="shared" si="89"/>
        <v>#N/A</v>
      </c>
      <c r="AA106" t="e">
        <f t="shared" si="90"/>
        <v>#N/A</v>
      </c>
      <c r="AB106" t="e">
        <f t="shared" si="91"/>
        <v>#N/A</v>
      </c>
      <c r="AC106" t="e">
        <f t="shared" si="92"/>
        <v>#N/A</v>
      </c>
      <c r="AD106" t="e">
        <f t="shared" si="93"/>
        <v>#N/A</v>
      </c>
      <c r="AE106" t="e">
        <f t="shared" si="94"/>
        <v>#N/A</v>
      </c>
      <c r="AF106" t="e">
        <f t="shared" si="95"/>
        <v>#N/A</v>
      </c>
      <c r="AG106" t="e">
        <f t="shared" si="96"/>
        <v>#N/A</v>
      </c>
      <c r="AH106" t="e">
        <f t="shared" si="97"/>
        <v>#N/A</v>
      </c>
      <c r="AI106" t="e">
        <f t="shared" si="98"/>
        <v>#N/A</v>
      </c>
      <c r="AJ106" t="e">
        <f t="shared" si="99"/>
        <v>#N/A</v>
      </c>
    </row>
    <row r="107">
      <c r="A107" s="2"/>
      <c r="L107" t="e">
        <f t="shared" si="75"/>
        <v>#N/A</v>
      </c>
      <c r="M107" t="e">
        <f t="shared" si="76"/>
        <v>#N/A</v>
      </c>
      <c r="N107" t="e">
        <f t="shared" si="77"/>
        <v>#N/A</v>
      </c>
      <c r="O107" t="n">
        <f t="shared" si="78"/>
        <v>0</v>
      </c>
      <c r="P107" t="n">
        <f t="shared" si="79"/>
        <v>0</v>
      </c>
      <c r="Q107" t="n">
        <f t="shared" si="80"/>
        <v>0</v>
      </c>
      <c r="R107" t="n">
        <f t="shared" si="81"/>
        <v>0</v>
      </c>
      <c r="S107" t="e">
        <f t="shared" si="82"/>
        <v>#N/A</v>
      </c>
      <c r="T107" t="e">
        <f t="shared" si="83"/>
        <v>#N/A</v>
      </c>
      <c r="U107" t="e">
        <f t="shared" si="84"/>
        <v>#N/A</v>
      </c>
      <c r="V107" t="e">
        <f t="shared" si="85"/>
        <v>#N/A</v>
      </c>
      <c r="W107" t="e">
        <f t="shared" si="86"/>
        <v>#N/A</v>
      </c>
      <c r="X107" t="e">
        <f t="shared" si="87"/>
        <v>#N/A</v>
      </c>
      <c r="Y107" t="e">
        <f t="shared" si="88"/>
        <v>#N/A</v>
      </c>
      <c r="Z107" t="e">
        <f t="shared" si="89"/>
        <v>#N/A</v>
      </c>
      <c r="AA107" t="e">
        <f t="shared" si="90"/>
        <v>#N/A</v>
      </c>
      <c r="AB107" t="e">
        <f t="shared" si="91"/>
        <v>#N/A</v>
      </c>
      <c r="AC107" t="e">
        <f t="shared" si="92"/>
        <v>#N/A</v>
      </c>
      <c r="AD107" t="e">
        <f t="shared" si="93"/>
        <v>#N/A</v>
      </c>
      <c r="AE107" t="e">
        <f t="shared" si="94"/>
        <v>#N/A</v>
      </c>
      <c r="AF107" t="e">
        <f t="shared" si="95"/>
        <v>#N/A</v>
      </c>
      <c r="AG107" t="e">
        <f t="shared" si="96"/>
        <v>#N/A</v>
      </c>
      <c r="AH107" t="e">
        <f t="shared" si="97"/>
        <v>#N/A</v>
      </c>
      <c r="AI107" t="e">
        <f t="shared" si="98"/>
        <v>#N/A</v>
      </c>
      <c r="AJ107" t="e">
        <f t="shared" si="99"/>
        <v>#N/A</v>
      </c>
    </row>
    <row r="108">
      <c r="A108" s="2"/>
      <c r="L108" t="e">
        <f t="shared" si="75"/>
        <v>#N/A</v>
      </c>
      <c r="M108" t="e">
        <f t="shared" si="76"/>
        <v>#N/A</v>
      </c>
      <c r="N108" t="e">
        <f t="shared" si="77"/>
        <v>#N/A</v>
      </c>
      <c r="O108" t="n">
        <f t="shared" si="78"/>
        <v>0</v>
      </c>
      <c r="P108" t="n">
        <f t="shared" si="79"/>
        <v>0</v>
      </c>
      <c r="Q108" t="n">
        <f t="shared" si="80"/>
        <v>0</v>
      </c>
      <c r="R108" t="n">
        <f t="shared" si="81"/>
        <v>0</v>
      </c>
      <c r="S108" t="e">
        <f t="shared" si="82"/>
        <v>#N/A</v>
      </c>
      <c r="T108" t="e">
        <f t="shared" si="83"/>
        <v>#N/A</v>
      </c>
      <c r="U108" t="e">
        <f t="shared" si="84"/>
        <v>#N/A</v>
      </c>
      <c r="V108" t="e">
        <f t="shared" si="85"/>
        <v>#N/A</v>
      </c>
      <c r="W108" t="e">
        <f t="shared" si="86"/>
        <v>#N/A</v>
      </c>
      <c r="X108" t="e">
        <f t="shared" si="87"/>
        <v>#N/A</v>
      </c>
      <c r="Y108" t="e">
        <f t="shared" si="88"/>
        <v>#N/A</v>
      </c>
      <c r="Z108" t="e">
        <f t="shared" si="89"/>
        <v>#N/A</v>
      </c>
      <c r="AA108" t="e">
        <f t="shared" si="90"/>
        <v>#N/A</v>
      </c>
      <c r="AB108" t="e">
        <f t="shared" si="91"/>
        <v>#N/A</v>
      </c>
      <c r="AC108" t="e">
        <f t="shared" si="92"/>
        <v>#N/A</v>
      </c>
      <c r="AD108" t="e">
        <f t="shared" si="93"/>
        <v>#N/A</v>
      </c>
      <c r="AE108" t="e">
        <f t="shared" si="94"/>
        <v>#N/A</v>
      </c>
      <c r="AF108" t="e">
        <f t="shared" si="95"/>
        <v>#N/A</v>
      </c>
      <c r="AG108" t="e">
        <f t="shared" si="96"/>
        <v>#N/A</v>
      </c>
      <c r="AH108" t="e">
        <f t="shared" si="97"/>
        <v>#N/A</v>
      </c>
      <c r="AI108" t="e">
        <f t="shared" si="98"/>
        <v>#N/A</v>
      </c>
      <c r="AJ108" t="e">
        <f t="shared" si="99"/>
        <v>#N/A</v>
      </c>
    </row>
    <row r="109">
      <c r="A109" s="2"/>
      <c r="L109" t="e">
        <f t="shared" si="75"/>
        <v>#N/A</v>
      </c>
      <c r="M109" t="e">
        <f t="shared" si="76"/>
        <v>#N/A</v>
      </c>
      <c r="N109" t="e">
        <f t="shared" si="77"/>
        <v>#N/A</v>
      </c>
      <c r="O109" t="n">
        <f t="shared" si="78"/>
        <v>0</v>
      </c>
      <c r="P109" t="n">
        <f t="shared" si="79"/>
        <v>0</v>
      </c>
      <c r="Q109" t="n">
        <f t="shared" si="80"/>
        <v>0</v>
      </c>
      <c r="R109" t="n">
        <f t="shared" si="81"/>
        <v>0</v>
      </c>
      <c r="S109" t="e">
        <f t="shared" si="82"/>
        <v>#N/A</v>
      </c>
      <c r="T109" t="e">
        <f t="shared" si="83"/>
        <v>#N/A</v>
      </c>
      <c r="U109" t="e">
        <f t="shared" si="84"/>
        <v>#N/A</v>
      </c>
      <c r="V109" t="e">
        <f t="shared" si="85"/>
        <v>#N/A</v>
      </c>
      <c r="W109" t="e">
        <f t="shared" si="86"/>
        <v>#N/A</v>
      </c>
      <c r="X109" t="e">
        <f t="shared" si="87"/>
        <v>#N/A</v>
      </c>
      <c r="Y109" t="e">
        <f t="shared" si="88"/>
        <v>#N/A</v>
      </c>
      <c r="Z109" t="e">
        <f t="shared" si="89"/>
        <v>#N/A</v>
      </c>
      <c r="AA109" t="e">
        <f t="shared" si="90"/>
        <v>#N/A</v>
      </c>
      <c r="AB109" t="e">
        <f t="shared" si="91"/>
        <v>#N/A</v>
      </c>
      <c r="AC109" t="e">
        <f t="shared" si="92"/>
        <v>#N/A</v>
      </c>
      <c r="AD109" t="e">
        <f t="shared" si="93"/>
        <v>#N/A</v>
      </c>
      <c r="AE109" t="e">
        <f t="shared" si="94"/>
        <v>#N/A</v>
      </c>
      <c r="AF109" t="e">
        <f t="shared" si="95"/>
        <v>#N/A</v>
      </c>
      <c r="AG109" t="e">
        <f t="shared" si="96"/>
        <v>#N/A</v>
      </c>
      <c r="AH109" t="e">
        <f t="shared" si="97"/>
        <v>#N/A</v>
      </c>
      <c r="AI109" t="e">
        <f t="shared" si="98"/>
        <v>#N/A</v>
      </c>
      <c r="AJ109" t="e">
        <f t="shared" si="99"/>
        <v>#N/A</v>
      </c>
    </row>
    <row r="110">
      <c r="A110" s="2"/>
      <c r="L110" t="e">
        <f t="shared" si="75"/>
        <v>#N/A</v>
      </c>
      <c r="M110" t="e">
        <f t="shared" si="76"/>
        <v>#N/A</v>
      </c>
      <c r="N110" t="e">
        <f t="shared" si="77"/>
        <v>#N/A</v>
      </c>
      <c r="O110" t="n">
        <f t="shared" si="78"/>
        <v>0</v>
      </c>
      <c r="P110" t="n">
        <f t="shared" si="79"/>
        <v>0</v>
      </c>
      <c r="Q110" t="n">
        <f t="shared" si="80"/>
        <v>0</v>
      </c>
      <c r="R110" t="n">
        <f t="shared" si="81"/>
        <v>0</v>
      </c>
      <c r="S110" t="e">
        <f t="shared" si="82"/>
        <v>#N/A</v>
      </c>
      <c r="T110" t="e">
        <f t="shared" si="83"/>
        <v>#N/A</v>
      </c>
      <c r="U110" t="e">
        <f t="shared" si="84"/>
        <v>#N/A</v>
      </c>
      <c r="V110" t="e">
        <f t="shared" si="85"/>
        <v>#N/A</v>
      </c>
      <c r="W110" t="e">
        <f t="shared" si="86"/>
        <v>#N/A</v>
      </c>
      <c r="X110" t="e">
        <f t="shared" si="87"/>
        <v>#N/A</v>
      </c>
      <c r="Y110" t="e">
        <f t="shared" si="88"/>
        <v>#N/A</v>
      </c>
      <c r="Z110" t="e">
        <f t="shared" si="89"/>
        <v>#N/A</v>
      </c>
      <c r="AA110" t="e">
        <f t="shared" si="90"/>
        <v>#N/A</v>
      </c>
      <c r="AB110" t="e">
        <f t="shared" si="91"/>
        <v>#N/A</v>
      </c>
      <c r="AC110" t="e">
        <f t="shared" si="92"/>
        <v>#N/A</v>
      </c>
      <c r="AD110" t="e">
        <f t="shared" si="93"/>
        <v>#N/A</v>
      </c>
      <c r="AE110" t="e">
        <f t="shared" si="94"/>
        <v>#N/A</v>
      </c>
      <c r="AF110" t="e">
        <f t="shared" si="95"/>
        <v>#N/A</v>
      </c>
      <c r="AG110" t="e">
        <f t="shared" si="96"/>
        <v>#N/A</v>
      </c>
      <c r="AH110" t="e">
        <f t="shared" si="97"/>
        <v>#N/A</v>
      </c>
      <c r="AI110" t="e">
        <f t="shared" si="98"/>
        <v>#N/A</v>
      </c>
      <c r="AJ110" t="e">
        <f t="shared" si="99"/>
        <v>#N/A</v>
      </c>
    </row>
    <row r="111">
      <c r="A111" s="2"/>
      <c r="L111" t="e">
        <f t="shared" si="75"/>
        <v>#N/A</v>
      </c>
      <c r="M111" t="e">
        <f t="shared" si="76"/>
        <v>#N/A</v>
      </c>
      <c r="N111" t="e">
        <f t="shared" si="77"/>
        <v>#N/A</v>
      </c>
      <c r="O111" t="n">
        <f t="shared" si="78"/>
        <v>0</v>
      </c>
      <c r="P111" t="n">
        <f t="shared" si="79"/>
        <v>0</v>
      </c>
      <c r="Q111" t="n">
        <f t="shared" si="80"/>
        <v>0</v>
      </c>
      <c r="R111" t="n">
        <f t="shared" si="81"/>
        <v>0</v>
      </c>
      <c r="S111" t="e">
        <f t="shared" si="82"/>
        <v>#N/A</v>
      </c>
      <c r="T111" t="e">
        <f t="shared" si="83"/>
        <v>#N/A</v>
      </c>
      <c r="U111" t="e">
        <f t="shared" si="84"/>
        <v>#N/A</v>
      </c>
      <c r="V111" t="e">
        <f t="shared" si="85"/>
        <v>#N/A</v>
      </c>
      <c r="W111" t="e">
        <f t="shared" si="86"/>
        <v>#N/A</v>
      </c>
      <c r="X111" t="e">
        <f t="shared" si="87"/>
        <v>#N/A</v>
      </c>
      <c r="Y111" t="e">
        <f t="shared" si="88"/>
        <v>#N/A</v>
      </c>
      <c r="Z111" t="e">
        <f t="shared" si="89"/>
        <v>#N/A</v>
      </c>
      <c r="AA111" t="e">
        <f t="shared" si="90"/>
        <v>#N/A</v>
      </c>
      <c r="AB111" t="e">
        <f t="shared" si="91"/>
        <v>#N/A</v>
      </c>
      <c r="AC111" t="e">
        <f t="shared" si="92"/>
        <v>#N/A</v>
      </c>
      <c r="AD111" t="e">
        <f t="shared" si="93"/>
        <v>#N/A</v>
      </c>
      <c r="AE111" t="e">
        <f t="shared" si="94"/>
        <v>#N/A</v>
      </c>
      <c r="AF111" t="e">
        <f t="shared" si="95"/>
        <v>#N/A</v>
      </c>
      <c r="AG111" t="e">
        <f t="shared" si="96"/>
        <v>#N/A</v>
      </c>
      <c r="AH111" t="e">
        <f t="shared" si="97"/>
        <v>#N/A</v>
      </c>
      <c r="AI111" t="e">
        <f t="shared" si="98"/>
        <v>#N/A</v>
      </c>
      <c r="AJ111" t="e">
        <f t="shared" si="99"/>
        <v>#N/A</v>
      </c>
    </row>
    <row r="112">
      <c r="A112" s="2"/>
      <c r="L112" t="e">
        <f t="shared" si="75"/>
        <v>#N/A</v>
      </c>
      <c r="M112" t="e">
        <f t="shared" si="76"/>
        <v>#N/A</v>
      </c>
      <c r="N112" t="e">
        <f t="shared" si="77"/>
        <v>#N/A</v>
      </c>
      <c r="O112" t="n">
        <f t="shared" si="78"/>
        <v>0</v>
      </c>
      <c r="P112" t="n">
        <f t="shared" si="79"/>
        <v>0</v>
      </c>
      <c r="Q112" t="n">
        <f t="shared" si="80"/>
        <v>0</v>
      </c>
      <c r="R112" t="n">
        <f t="shared" si="81"/>
        <v>0</v>
      </c>
      <c r="S112" t="e">
        <f t="shared" si="82"/>
        <v>#N/A</v>
      </c>
      <c r="T112" t="e">
        <f t="shared" si="83"/>
        <v>#N/A</v>
      </c>
      <c r="U112" t="e">
        <f t="shared" si="84"/>
        <v>#N/A</v>
      </c>
      <c r="V112" t="e">
        <f t="shared" si="85"/>
        <v>#N/A</v>
      </c>
      <c r="W112" t="e">
        <f t="shared" si="86"/>
        <v>#N/A</v>
      </c>
      <c r="X112" t="e">
        <f t="shared" si="87"/>
        <v>#N/A</v>
      </c>
      <c r="Y112" t="e">
        <f t="shared" si="88"/>
        <v>#N/A</v>
      </c>
      <c r="Z112" t="e">
        <f t="shared" si="89"/>
        <v>#N/A</v>
      </c>
      <c r="AA112" t="e">
        <f t="shared" si="90"/>
        <v>#N/A</v>
      </c>
      <c r="AB112" t="e">
        <f t="shared" si="91"/>
        <v>#N/A</v>
      </c>
      <c r="AC112" t="e">
        <f t="shared" si="92"/>
        <v>#N/A</v>
      </c>
      <c r="AD112" t="e">
        <f t="shared" si="93"/>
        <v>#N/A</v>
      </c>
      <c r="AE112" t="e">
        <f t="shared" si="94"/>
        <v>#N/A</v>
      </c>
      <c r="AF112" t="e">
        <f t="shared" si="95"/>
        <v>#N/A</v>
      </c>
      <c r="AG112" t="e">
        <f t="shared" si="96"/>
        <v>#N/A</v>
      </c>
      <c r="AH112" t="e">
        <f t="shared" si="97"/>
        <v>#N/A</v>
      </c>
      <c r="AI112" t="e">
        <f t="shared" si="98"/>
        <v>#N/A</v>
      </c>
      <c r="AJ112" t="e">
        <f t="shared" si="99"/>
        <v>#N/A</v>
      </c>
    </row>
    <row r="113">
      <c r="A113" s="2"/>
      <c r="L113" t="e">
        <f t="shared" si="75"/>
        <v>#N/A</v>
      </c>
      <c r="M113" t="e">
        <f t="shared" si="76"/>
        <v>#N/A</v>
      </c>
      <c r="N113" t="e">
        <f t="shared" si="77"/>
        <v>#N/A</v>
      </c>
      <c r="O113" t="n">
        <f t="shared" si="78"/>
        <v>0</v>
      </c>
      <c r="P113" t="n">
        <f t="shared" si="79"/>
        <v>0</v>
      </c>
      <c r="Q113" t="n">
        <f t="shared" si="80"/>
        <v>0</v>
      </c>
      <c r="R113" t="n">
        <f t="shared" si="81"/>
        <v>0</v>
      </c>
      <c r="S113" t="e">
        <f t="shared" si="82"/>
        <v>#N/A</v>
      </c>
      <c r="T113" t="e">
        <f t="shared" si="83"/>
        <v>#N/A</v>
      </c>
      <c r="U113" t="e">
        <f t="shared" si="84"/>
        <v>#N/A</v>
      </c>
      <c r="V113" t="e">
        <f t="shared" si="85"/>
        <v>#N/A</v>
      </c>
      <c r="W113" t="e">
        <f t="shared" si="86"/>
        <v>#N/A</v>
      </c>
      <c r="X113" t="e">
        <f t="shared" si="87"/>
        <v>#N/A</v>
      </c>
      <c r="Y113" t="e">
        <f t="shared" si="88"/>
        <v>#N/A</v>
      </c>
      <c r="Z113" t="e">
        <f t="shared" si="89"/>
        <v>#N/A</v>
      </c>
      <c r="AA113" t="e">
        <f t="shared" si="90"/>
        <v>#N/A</v>
      </c>
      <c r="AB113" t="e">
        <f t="shared" si="91"/>
        <v>#N/A</v>
      </c>
      <c r="AC113" t="e">
        <f t="shared" si="92"/>
        <v>#N/A</v>
      </c>
      <c r="AD113" t="e">
        <f t="shared" si="93"/>
        <v>#N/A</v>
      </c>
      <c r="AE113" t="e">
        <f t="shared" si="94"/>
        <v>#N/A</v>
      </c>
      <c r="AF113" t="e">
        <f t="shared" si="95"/>
        <v>#N/A</v>
      </c>
      <c r="AG113" t="e">
        <f t="shared" si="96"/>
        <v>#N/A</v>
      </c>
      <c r="AH113" t="e">
        <f t="shared" si="97"/>
        <v>#N/A</v>
      </c>
      <c r="AI113" t="e">
        <f t="shared" si="98"/>
        <v>#N/A</v>
      </c>
      <c r="AJ113" t="e">
        <f t="shared" si="99"/>
        <v>#N/A</v>
      </c>
    </row>
    <row r="114">
      <c r="A114" s="2"/>
      <c r="L114" t="e">
        <f t="shared" si="75"/>
        <v>#N/A</v>
      </c>
      <c r="M114" t="e">
        <f t="shared" si="76"/>
        <v>#N/A</v>
      </c>
      <c r="N114" t="e">
        <f t="shared" si="77"/>
        <v>#N/A</v>
      </c>
      <c r="O114" t="n">
        <f t="shared" si="78"/>
        <v>0</v>
      </c>
      <c r="P114" t="n">
        <f t="shared" si="79"/>
        <v>0</v>
      </c>
      <c r="Q114" t="n">
        <f t="shared" si="80"/>
        <v>0</v>
      </c>
      <c r="R114" t="n">
        <f t="shared" si="81"/>
        <v>0</v>
      </c>
      <c r="S114" t="e">
        <f t="shared" si="82"/>
        <v>#N/A</v>
      </c>
      <c r="T114" t="e">
        <f t="shared" si="83"/>
        <v>#N/A</v>
      </c>
      <c r="U114" t="e">
        <f t="shared" si="84"/>
        <v>#N/A</v>
      </c>
      <c r="V114" t="e">
        <f t="shared" si="85"/>
        <v>#N/A</v>
      </c>
      <c r="W114" t="e">
        <f t="shared" si="86"/>
        <v>#N/A</v>
      </c>
      <c r="X114" t="e">
        <f t="shared" si="87"/>
        <v>#N/A</v>
      </c>
      <c r="Y114" t="e">
        <f t="shared" si="88"/>
        <v>#N/A</v>
      </c>
      <c r="Z114" t="e">
        <f t="shared" si="89"/>
        <v>#N/A</v>
      </c>
      <c r="AA114" t="e">
        <f t="shared" si="90"/>
        <v>#N/A</v>
      </c>
      <c r="AB114" t="e">
        <f t="shared" si="91"/>
        <v>#N/A</v>
      </c>
      <c r="AC114" t="e">
        <f t="shared" si="92"/>
        <v>#N/A</v>
      </c>
      <c r="AD114" t="e">
        <f t="shared" si="93"/>
        <v>#N/A</v>
      </c>
      <c r="AE114" t="e">
        <f t="shared" si="94"/>
        <v>#N/A</v>
      </c>
      <c r="AF114" t="e">
        <f t="shared" si="95"/>
        <v>#N/A</v>
      </c>
      <c r="AG114" t="e">
        <f t="shared" si="96"/>
        <v>#N/A</v>
      </c>
      <c r="AH114" t="e">
        <f t="shared" si="97"/>
        <v>#N/A</v>
      </c>
      <c r="AI114" t="e">
        <f t="shared" si="98"/>
        <v>#N/A</v>
      </c>
      <c r="AJ114" t="e">
        <f t="shared" si="99"/>
        <v>#N/A</v>
      </c>
    </row>
    <row r="115">
      <c r="A115" s="2"/>
      <c r="L115" t="e">
        <f t="shared" si="75"/>
        <v>#N/A</v>
      </c>
      <c r="M115" t="e">
        <f t="shared" si="76"/>
        <v>#N/A</v>
      </c>
      <c r="N115" t="e">
        <f t="shared" si="77"/>
        <v>#N/A</v>
      </c>
      <c r="O115" t="n">
        <f t="shared" si="78"/>
        <v>0</v>
      </c>
      <c r="P115" t="n">
        <f t="shared" si="79"/>
        <v>0</v>
      </c>
      <c r="Q115" t="n">
        <f t="shared" si="80"/>
        <v>0</v>
      </c>
      <c r="R115" t="n">
        <f t="shared" si="81"/>
        <v>0</v>
      </c>
      <c r="S115" t="e">
        <f t="shared" si="82"/>
        <v>#N/A</v>
      </c>
      <c r="T115" t="e">
        <f t="shared" si="83"/>
        <v>#N/A</v>
      </c>
      <c r="U115" t="e">
        <f t="shared" si="84"/>
        <v>#N/A</v>
      </c>
      <c r="V115" t="e">
        <f t="shared" si="85"/>
        <v>#N/A</v>
      </c>
      <c r="W115" t="e">
        <f t="shared" si="86"/>
        <v>#N/A</v>
      </c>
      <c r="X115" t="e">
        <f t="shared" si="87"/>
        <v>#N/A</v>
      </c>
      <c r="Y115" t="e">
        <f t="shared" si="88"/>
        <v>#N/A</v>
      </c>
      <c r="Z115" t="e">
        <f t="shared" si="89"/>
        <v>#N/A</v>
      </c>
      <c r="AA115" t="e">
        <f t="shared" si="90"/>
        <v>#N/A</v>
      </c>
      <c r="AB115" t="e">
        <f t="shared" si="91"/>
        <v>#N/A</v>
      </c>
      <c r="AC115" t="e">
        <f t="shared" si="92"/>
        <v>#N/A</v>
      </c>
      <c r="AD115" t="e">
        <f t="shared" si="93"/>
        <v>#N/A</v>
      </c>
      <c r="AE115" t="e">
        <f t="shared" si="94"/>
        <v>#N/A</v>
      </c>
      <c r="AF115" t="e">
        <f t="shared" si="95"/>
        <v>#N/A</v>
      </c>
      <c r="AG115" t="e">
        <f t="shared" si="96"/>
        <v>#N/A</v>
      </c>
      <c r="AH115" t="e">
        <f t="shared" si="97"/>
        <v>#N/A</v>
      </c>
      <c r="AI115" t="e">
        <f t="shared" si="98"/>
        <v>#N/A</v>
      </c>
      <c r="AJ115" t="e">
        <f t="shared" si="99"/>
        <v>#N/A</v>
      </c>
    </row>
    <row r="116">
      <c r="A116" s="2"/>
      <c r="L116" t="e">
        <f t="shared" si="75"/>
        <v>#N/A</v>
      </c>
      <c r="M116" t="e">
        <f t="shared" si="76"/>
        <v>#N/A</v>
      </c>
      <c r="N116" t="e">
        <f t="shared" si="77"/>
        <v>#N/A</v>
      </c>
      <c r="O116" t="n">
        <f t="shared" si="78"/>
        <v>0</v>
      </c>
      <c r="P116" t="n">
        <f t="shared" si="79"/>
        <v>0</v>
      </c>
      <c r="Q116" t="n">
        <f t="shared" si="80"/>
        <v>0</v>
      </c>
      <c r="R116" t="n">
        <f t="shared" si="81"/>
        <v>0</v>
      </c>
      <c r="S116" t="e">
        <f t="shared" si="82"/>
        <v>#N/A</v>
      </c>
      <c r="T116" t="e">
        <f t="shared" si="83"/>
        <v>#N/A</v>
      </c>
      <c r="U116" t="e">
        <f t="shared" si="84"/>
        <v>#N/A</v>
      </c>
      <c r="V116" t="e">
        <f t="shared" si="85"/>
        <v>#N/A</v>
      </c>
      <c r="W116" t="e">
        <f t="shared" si="86"/>
        <v>#N/A</v>
      </c>
      <c r="X116" t="e">
        <f t="shared" si="87"/>
        <v>#N/A</v>
      </c>
      <c r="Y116" t="e">
        <f t="shared" si="88"/>
        <v>#N/A</v>
      </c>
      <c r="Z116" t="e">
        <f t="shared" si="89"/>
        <v>#N/A</v>
      </c>
      <c r="AA116" t="e">
        <f t="shared" si="90"/>
        <v>#N/A</v>
      </c>
      <c r="AB116" t="e">
        <f t="shared" si="91"/>
        <v>#N/A</v>
      </c>
      <c r="AC116" t="e">
        <f t="shared" si="92"/>
        <v>#N/A</v>
      </c>
      <c r="AD116" t="e">
        <f t="shared" si="93"/>
        <v>#N/A</v>
      </c>
      <c r="AE116" t="e">
        <f t="shared" si="94"/>
        <v>#N/A</v>
      </c>
      <c r="AF116" t="e">
        <f t="shared" si="95"/>
        <v>#N/A</v>
      </c>
      <c r="AG116" t="e">
        <f t="shared" si="96"/>
        <v>#N/A</v>
      </c>
      <c r="AH116" t="e">
        <f t="shared" si="97"/>
        <v>#N/A</v>
      </c>
      <c r="AI116" t="e">
        <f t="shared" si="98"/>
        <v>#N/A</v>
      </c>
      <c r="AJ116" t="e">
        <f t="shared" si="99"/>
        <v>#N/A</v>
      </c>
    </row>
    <row r="117">
      <c r="A117" s="2"/>
      <c r="L117" t="e">
        <f t="shared" si="75"/>
        <v>#N/A</v>
      </c>
      <c r="M117" t="e">
        <f t="shared" si="76"/>
        <v>#N/A</v>
      </c>
      <c r="N117" t="e">
        <f t="shared" si="77"/>
        <v>#N/A</v>
      </c>
      <c r="O117" t="n">
        <f t="shared" si="78"/>
        <v>0</v>
      </c>
      <c r="P117" t="n">
        <f t="shared" si="79"/>
        <v>0</v>
      </c>
      <c r="Q117" t="n">
        <f t="shared" si="80"/>
        <v>0</v>
      </c>
      <c r="R117" t="n">
        <f t="shared" si="81"/>
        <v>0</v>
      </c>
      <c r="S117" t="e">
        <f t="shared" si="82"/>
        <v>#N/A</v>
      </c>
      <c r="T117" t="e">
        <f t="shared" si="83"/>
        <v>#N/A</v>
      </c>
      <c r="U117" t="e">
        <f t="shared" si="84"/>
        <v>#N/A</v>
      </c>
      <c r="V117" t="e">
        <f t="shared" si="85"/>
        <v>#N/A</v>
      </c>
      <c r="W117" t="e">
        <f t="shared" si="86"/>
        <v>#N/A</v>
      </c>
      <c r="X117" t="e">
        <f t="shared" si="87"/>
        <v>#N/A</v>
      </c>
      <c r="Y117" t="e">
        <f t="shared" si="88"/>
        <v>#N/A</v>
      </c>
      <c r="Z117" t="e">
        <f t="shared" si="89"/>
        <v>#N/A</v>
      </c>
      <c r="AA117" t="e">
        <f t="shared" si="90"/>
        <v>#N/A</v>
      </c>
      <c r="AB117" t="e">
        <f t="shared" si="91"/>
        <v>#N/A</v>
      </c>
      <c r="AC117" t="e">
        <f t="shared" si="92"/>
        <v>#N/A</v>
      </c>
      <c r="AD117" t="e">
        <f t="shared" si="93"/>
        <v>#N/A</v>
      </c>
      <c r="AE117" t="e">
        <f t="shared" si="94"/>
        <v>#N/A</v>
      </c>
      <c r="AF117" t="e">
        <f t="shared" si="95"/>
        <v>#N/A</v>
      </c>
      <c r="AG117" t="e">
        <f t="shared" si="96"/>
        <v>#N/A</v>
      </c>
      <c r="AH117" t="e">
        <f t="shared" si="97"/>
        <v>#N/A</v>
      </c>
      <c r="AI117" t="e">
        <f t="shared" si="98"/>
        <v>#N/A</v>
      </c>
      <c r="AJ117" t="e">
        <f t="shared" si="99"/>
        <v>#N/A</v>
      </c>
    </row>
    <row r="118">
      <c r="A118" s="2"/>
      <c r="L118" t="e">
        <f t="shared" si="75"/>
        <v>#N/A</v>
      </c>
      <c r="M118" t="e">
        <f t="shared" si="76"/>
        <v>#N/A</v>
      </c>
      <c r="N118" t="e">
        <f t="shared" si="77"/>
        <v>#N/A</v>
      </c>
      <c r="O118" t="n">
        <f t="shared" si="78"/>
        <v>0</v>
      </c>
      <c r="P118" t="n">
        <f t="shared" si="79"/>
        <v>0</v>
      </c>
      <c r="Q118" t="n">
        <f t="shared" si="80"/>
        <v>0</v>
      </c>
      <c r="R118" t="n">
        <f t="shared" si="81"/>
        <v>0</v>
      </c>
      <c r="S118" t="e">
        <f t="shared" si="82"/>
        <v>#N/A</v>
      </c>
      <c r="T118" t="e">
        <f t="shared" si="83"/>
        <v>#N/A</v>
      </c>
      <c r="U118" t="e">
        <f t="shared" si="84"/>
        <v>#N/A</v>
      </c>
      <c r="V118" t="e">
        <f t="shared" si="85"/>
        <v>#N/A</v>
      </c>
      <c r="W118" t="e">
        <f t="shared" si="86"/>
        <v>#N/A</v>
      </c>
      <c r="X118" t="e">
        <f t="shared" si="87"/>
        <v>#N/A</v>
      </c>
      <c r="Y118" t="e">
        <f t="shared" si="88"/>
        <v>#N/A</v>
      </c>
      <c r="Z118" t="e">
        <f t="shared" si="89"/>
        <v>#N/A</v>
      </c>
      <c r="AA118" t="e">
        <f t="shared" si="90"/>
        <v>#N/A</v>
      </c>
      <c r="AB118" t="e">
        <f t="shared" si="91"/>
        <v>#N/A</v>
      </c>
      <c r="AC118" t="e">
        <f t="shared" si="92"/>
        <v>#N/A</v>
      </c>
      <c r="AD118" t="e">
        <f t="shared" si="93"/>
        <v>#N/A</v>
      </c>
      <c r="AE118" t="e">
        <f t="shared" si="94"/>
        <v>#N/A</v>
      </c>
      <c r="AF118" t="e">
        <f t="shared" si="95"/>
        <v>#N/A</v>
      </c>
      <c r="AG118" t="e">
        <f t="shared" si="96"/>
        <v>#N/A</v>
      </c>
      <c r="AH118" t="e">
        <f t="shared" si="97"/>
        <v>#N/A</v>
      </c>
      <c r="AI118" t="e">
        <f t="shared" si="98"/>
        <v>#N/A</v>
      </c>
      <c r="AJ118" t="e">
        <f t="shared" si="99"/>
        <v>#N/A</v>
      </c>
    </row>
    <row r="119">
      <c r="A119" s="2"/>
      <c r="L119" t="e">
        <f t="shared" si="75"/>
        <v>#N/A</v>
      </c>
      <c r="M119" t="e">
        <f t="shared" si="76"/>
        <v>#N/A</v>
      </c>
      <c r="N119" t="e">
        <f t="shared" si="77"/>
        <v>#N/A</v>
      </c>
      <c r="O119" t="n">
        <f t="shared" si="78"/>
        <v>0</v>
      </c>
      <c r="P119" t="n">
        <f t="shared" si="79"/>
        <v>0</v>
      </c>
      <c r="Q119" t="n">
        <f t="shared" si="80"/>
        <v>0</v>
      </c>
      <c r="R119" t="n">
        <f t="shared" si="81"/>
        <v>0</v>
      </c>
      <c r="S119" t="e">
        <f t="shared" si="82"/>
        <v>#N/A</v>
      </c>
      <c r="T119" t="e">
        <f t="shared" si="83"/>
        <v>#N/A</v>
      </c>
      <c r="U119" t="e">
        <f t="shared" si="84"/>
        <v>#N/A</v>
      </c>
      <c r="V119" t="e">
        <f t="shared" si="85"/>
        <v>#N/A</v>
      </c>
      <c r="W119" t="e">
        <f t="shared" si="86"/>
        <v>#N/A</v>
      </c>
      <c r="X119" t="e">
        <f t="shared" si="87"/>
        <v>#N/A</v>
      </c>
      <c r="Y119" t="e">
        <f t="shared" si="88"/>
        <v>#N/A</v>
      </c>
      <c r="Z119" t="e">
        <f t="shared" si="89"/>
        <v>#N/A</v>
      </c>
      <c r="AA119" t="e">
        <f t="shared" si="90"/>
        <v>#N/A</v>
      </c>
      <c r="AB119" t="e">
        <f t="shared" si="91"/>
        <v>#N/A</v>
      </c>
      <c r="AC119" t="e">
        <f t="shared" si="92"/>
        <v>#N/A</v>
      </c>
      <c r="AD119" t="e">
        <f t="shared" si="93"/>
        <v>#N/A</v>
      </c>
      <c r="AE119" t="e">
        <f t="shared" si="94"/>
        <v>#N/A</v>
      </c>
      <c r="AF119" t="e">
        <f t="shared" si="95"/>
        <v>#N/A</v>
      </c>
      <c r="AG119" t="e">
        <f t="shared" si="96"/>
        <v>#N/A</v>
      </c>
      <c r="AH119" t="e">
        <f t="shared" si="97"/>
        <v>#N/A</v>
      </c>
      <c r="AI119" t="e">
        <f t="shared" si="98"/>
        <v>#N/A</v>
      </c>
      <c r="AJ119" t="e">
        <f t="shared" si="99"/>
        <v>#N/A</v>
      </c>
    </row>
    <row r="120">
      <c r="A120" s="2"/>
      <c r="L120" t="e">
        <f t="shared" si="75"/>
        <v>#N/A</v>
      </c>
      <c r="M120" t="e">
        <f t="shared" si="76"/>
        <v>#N/A</v>
      </c>
      <c r="N120" t="e">
        <f t="shared" si="77"/>
        <v>#N/A</v>
      </c>
      <c r="O120" t="n">
        <f t="shared" si="78"/>
        <v>0</v>
      </c>
      <c r="P120" t="n">
        <f t="shared" si="79"/>
        <v>0</v>
      </c>
      <c r="Q120" t="n">
        <f t="shared" si="80"/>
        <v>0</v>
      </c>
      <c r="R120" t="n">
        <f t="shared" si="81"/>
        <v>0</v>
      </c>
      <c r="S120" t="e">
        <f t="shared" si="82"/>
        <v>#N/A</v>
      </c>
      <c r="T120" t="e">
        <f t="shared" si="83"/>
        <v>#N/A</v>
      </c>
      <c r="U120" t="e">
        <f t="shared" si="84"/>
        <v>#N/A</v>
      </c>
      <c r="V120" t="e">
        <f t="shared" si="85"/>
        <v>#N/A</v>
      </c>
      <c r="W120" t="e">
        <f t="shared" si="86"/>
        <v>#N/A</v>
      </c>
      <c r="X120" t="e">
        <f t="shared" si="87"/>
        <v>#N/A</v>
      </c>
      <c r="Y120" t="e">
        <f t="shared" si="88"/>
        <v>#N/A</v>
      </c>
      <c r="Z120" t="e">
        <f t="shared" si="89"/>
        <v>#N/A</v>
      </c>
      <c r="AA120" t="e">
        <f t="shared" si="90"/>
        <v>#N/A</v>
      </c>
      <c r="AB120" t="e">
        <f t="shared" si="91"/>
        <v>#N/A</v>
      </c>
      <c r="AC120" t="e">
        <f t="shared" si="92"/>
        <v>#N/A</v>
      </c>
      <c r="AD120" t="e">
        <f t="shared" si="93"/>
        <v>#N/A</v>
      </c>
      <c r="AE120" t="e">
        <f t="shared" si="94"/>
        <v>#N/A</v>
      </c>
      <c r="AF120" t="e">
        <f t="shared" si="95"/>
        <v>#N/A</v>
      </c>
      <c r="AG120" t="e">
        <f t="shared" si="96"/>
        <v>#N/A</v>
      </c>
      <c r="AH120" t="e">
        <f t="shared" si="97"/>
        <v>#N/A</v>
      </c>
      <c r="AI120" t="e">
        <f t="shared" si="98"/>
        <v>#N/A</v>
      </c>
      <c r="AJ120" t="e">
        <f t="shared" si="99"/>
        <v>#N/A</v>
      </c>
    </row>
    <row r="121">
      <c r="A121" s="2"/>
      <c r="L121" t="e">
        <f t="shared" si="75"/>
        <v>#N/A</v>
      </c>
      <c r="M121" t="e">
        <f t="shared" si="76"/>
        <v>#N/A</v>
      </c>
      <c r="N121" t="e">
        <f t="shared" si="77"/>
        <v>#N/A</v>
      </c>
      <c r="O121" t="n">
        <f t="shared" si="78"/>
        <v>0</v>
      </c>
      <c r="P121" t="n">
        <f t="shared" si="79"/>
        <v>0</v>
      </c>
      <c r="Q121" t="n">
        <f t="shared" si="80"/>
        <v>0</v>
      </c>
      <c r="R121" t="n">
        <f t="shared" si="81"/>
        <v>0</v>
      </c>
      <c r="S121" t="e">
        <f t="shared" si="82"/>
        <v>#N/A</v>
      </c>
      <c r="T121" t="e">
        <f t="shared" si="83"/>
        <v>#N/A</v>
      </c>
      <c r="U121" t="e">
        <f t="shared" si="84"/>
        <v>#N/A</v>
      </c>
      <c r="V121" t="e">
        <f t="shared" si="85"/>
        <v>#N/A</v>
      </c>
      <c r="W121" t="e">
        <f t="shared" si="86"/>
        <v>#N/A</v>
      </c>
      <c r="X121" t="e">
        <f t="shared" si="87"/>
        <v>#N/A</v>
      </c>
      <c r="Y121" t="e">
        <f t="shared" si="88"/>
        <v>#N/A</v>
      </c>
      <c r="Z121" t="e">
        <f t="shared" si="89"/>
        <v>#N/A</v>
      </c>
      <c r="AA121" t="e">
        <f t="shared" si="90"/>
        <v>#N/A</v>
      </c>
      <c r="AB121" t="e">
        <f t="shared" si="91"/>
        <v>#N/A</v>
      </c>
      <c r="AC121" t="e">
        <f t="shared" si="92"/>
        <v>#N/A</v>
      </c>
      <c r="AD121" t="e">
        <f t="shared" si="93"/>
        <v>#N/A</v>
      </c>
      <c r="AE121" t="e">
        <f t="shared" si="94"/>
        <v>#N/A</v>
      </c>
      <c r="AF121" t="e">
        <f t="shared" si="95"/>
        <v>#N/A</v>
      </c>
      <c r="AG121" t="e">
        <f t="shared" si="96"/>
        <v>#N/A</v>
      </c>
      <c r="AH121" t="e">
        <f t="shared" si="97"/>
        <v>#N/A</v>
      </c>
      <c r="AI121" t="e">
        <f t="shared" si="98"/>
        <v>#N/A</v>
      </c>
      <c r="AJ121" t="e">
        <f t="shared" si="99"/>
        <v>#N/A</v>
      </c>
    </row>
    <row r="122">
      <c r="A122" s="2"/>
      <c r="L122" t="e">
        <f t="shared" si="75"/>
        <v>#N/A</v>
      </c>
      <c r="M122" t="e">
        <f t="shared" si="76"/>
        <v>#N/A</v>
      </c>
      <c r="N122" t="e">
        <f t="shared" si="77"/>
        <v>#N/A</v>
      </c>
      <c r="O122" t="n">
        <f t="shared" si="78"/>
        <v>0</v>
      </c>
      <c r="P122" t="n">
        <f t="shared" si="79"/>
        <v>0</v>
      </c>
      <c r="Q122" t="n">
        <f t="shared" si="80"/>
        <v>0</v>
      </c>
      <c r="R122" t="n">
        <f t="shared" si="81"/>
        <v>0</v>
      </c>
      <c r="S122" t="e">
        <f t="shared" si="82"/>
        <v>#N/A</v>
      </c>
      <c r="T122" t="e">
        <f t="shared" si="83"/>
        <v>#N/A</v>
      </c>
      <c r="U122" t="e">
        <f t="shared" si="84"/>
        <v>#N/A</v>
      </c>
      <c r="V122" t="e">
        <f t="shared" si="85"/>
        <v>#N/A</v>
      </c>
      <c r="W122" t="e">
        <f t="shared" si="86"/>
        <v>#N/A</v>
      </c>
      <c r="X122" t="e">
        <f t="shared" si="87"/>
        <v>#N/A</v>
      </c>
      <c r="Y122" t="e">
        <f t="shared" si="88"/>
        <v>#N/A</v>
      </c>
      <c r="Z122" t="e">
        <f t="shared" si="89"/>
        <v>#N/A</v>
      </c>
      <c r="AA122" t="e">
        <f t="shared" si="90"/>
        <v>#N/A</v>
      </c>
      <c r="AB122" t="e">
        <f t="shared" si="91"/>
        <v>#N/A</v>
      </c>
      <c r="AC122" t="e">
        <f t="shared" si="92"/>
        <v>#N/A</v>
      </c>
      <c r="AD122" t="e">
        <f t="shared" si="93"/>
        <v>#N/A</v>
      </c>
      <c r="AE122" t="e">
        <f t="shared" si="94"/>
        <v>#N/A</v>
      </c>
      <c r="AF122" t="e">
        <f t="shared" si="95"/>
        <v>#N/A</v>
      </c>
      <c r="AG122" t="e">
        <f t="shared" si="96"/>
        <v>#N/A</v>
      </c>
      <c r="AH122" t="e">
        <f t="shared" si="97"/>
        <v>#N/A</v>
      </c>
      <c r="AI122" t="e">
        <f t="shared" si="98"/>
        <v>#N/A</v>
      </c>
      <c r="AJ122" t="e">
        <f t="shared" si="99"/>
        <v>#N/A</v>
      </c>
    </row>
    <row r="123">
      <c r="A123" s="2"/>
      <c r="L123" t="e">
        <f t="shared" si="75"/>
        <v>#N/A</v>
      </c>
      <c r="M123" t="e">
        <f t="shared" si="76"/>
        <v>#N/A</v>
      </c>
      <c r="N123" t="e">
        <f t="shared" si="77"/>
        <v>#N/A</v>
      </c>
      <c r="O123" t="n">
        <f t="shared" si="78"/>
        <v>0</v>
      </c>
      <c r="P123" t="n">
        <f t="shared" si="79"/>
        <v>0</v>
      </c>
      <c r="Q123" t="n">
        <f t="shared" si="80"/>
        <v>0</v>
      </c>
      <c r="R123" t="n">
        <f t="shared" si="81"/>
        <v>0</v>
      </c>
      <c r="S123" t="e">
        <f t="shared" si="82"/>
        <v>#N/A</v>
      </c>
      <c r="T123" t="e">
        <f t="shared" si="83"/>
        <v>#N/A</v>
      </c>
      <c r="U123" t="e">
        <f t="shared" si="84"/>
        <v>#N/A</v>
      </c>
      <c r="V123" t="e">
        <f t="shared" si="85"/>
        <v>#N/A</v>
      </c>
      <c r="W123" t="e">
        <f t="shared" si="86"/>
        <v>#N/A</v>
      </c>
      <c r="X123" t="e">
        <f t="shared" si="87"/>
        <v>#N/A</v>
      </c>
      <c r="Y123" t="e">
        <f t="shared" si="88"/>
        <v>#N/A</v>
      </c>
      <c r="Z123" t="e">
        <f t="shared" si="89"/>
        <v>#N/A</v>
      </c>
      <c r="AA123" t="e">
        <f t="shared" si="90"/>
        <v>#N/A</v>
      </c>
      <c r="AB123" t="e">
        <f t="shared" si="91"/>
        <v>#N/A</v>
      </c>
      <c r="AC123" t="e">
        <f t="shared" si="92"/>
        <v>#N/A</v>
      </c>
      <c r="AD123" t="e">
        <f t="shared" si="93"/>
        <v>#N/A</v>
      </c>
      <c r="AE123" t="e">
        <f t="shared" si="94"/>
        <v>#N/A</v>
      </c>
      <c r="AF123" t="e">
        <f t="shared" si="95"/>
        <v>#N/A</v>
      </c>
      <c r="AG123" t="e">
        <f t="shared" si="96"/>
        <v>#N/A</v>
      </c>
      <c r="AH123" t="e">
        <f t="shared" si="97"/>
        <v>#N/A</v>
      </c>
      <c r="AI123" t="e">
        <f t="shared" si="98"/>
        <v>#N/A</v>
      </c>
      <c r="AJ123" t="e">
        <f t="shared" si="99"/>
        <v>#N/A</v>
      </c>
    </row>
    <row r="124">
      <c r="A124" s="2"/>
      <c r="L124" t="e">
        <f t="shared" si="75"/>
        <v>#N/A</v>
      </c>
      <c r="M124" t="e">
        <f t="shared" si="76"/>
        <v>#N/A</v>
      </c>
      <c r="N124" t="e">
        <f t="shared" si="77"/>
        <v>#N/A</v>
      </c>
      <c r="O124" t="n">
        <f t="shared" si="78"/>
        <v>0</v>
      </c>
      <c r="P124" t="n">
        <f t="shared" si="79"/>
        <v>0</v>
      </c>
      <c r="Q124" t="n">
        <f t="shared" si="80"/>
        <v>0</v>
      </c>
      <c r="R124" t="n">
        <f t="shared" si="81"/>
        <v>0</v>
      </c>
      <c r="S124" t="e">
        <f t="shared" si="82"/>
        <v>#N/A</v>
      </c>
      <c r="T124" t="e">
        <f t="shared" si="83"/>
        <v>#N/A</v>
      </c>
      <c r="U124" t="e">
        <f t="shared" si="84"/>
        <v>#N/A</v>
      </c>
      <c r="V124" t="e">
        <f t="shared" si="85"/>
        <v>#N/A</v>
      </c>
      <c r="W124" t="e">
        <f t="shared" si="86"/>
        <v>#N/A</v>
      </c>
      <c r="X124" t="e">
        <f t="shared" si="87"/>
        <v>#N/A</v>
      </c>
      <c r="Y124" t="e">
        <f t="shared" si="88"/>
        <v>#N/A</v>
      </c>
      <c r="Z124" t="e">
        <f t="shared" si="89"/>
        <v>#N/A</v>
      </c>
      <c r="AA124" t="e">
        <f t="shared" si="90"/>
        <v>#N/A</v>
      </c>
      <c r="AB124" t="e">
        <f t="shared" si="91"/>
        <v>#N/A</v>
      </c>
      <c r="AC124" t="e">
        <f t="shared" si="92"/>
        <v>#N/A</v>
      </c>
      <c r="AD124" t="e">
        <f t="shared" si="93"/>
        <v>#N/A</v>
      </c>
      <c r="AE124" t="e">
        <f t="shared" si="94"/>
        <v>#N/A</v>
      </c>
      <c r="AF124" t="e">
        <f t="shared" si="95"/>
        <v>#N/A</v>
      </c>
      <c r="AG124" t="e">
        <f t="shared" si="96"/>
        <v>#N/A</v>
      </c>
      <c r="AH124" t="e">
        <f t="shared" si="97"/>
        <v>#N/A</v>
      </c>
      <c r="AI124" t="e">
        <f t="shared" si="98"/>
        <v>#N/A</v>
      </c>
      <c r="AJ124" t="e">
        <f t="shared" si="99"/>
        <v>#N/A</v>
      </c>
    </row>
    <row r="125">
      <c r="A125" s="2"/>
      <c r="L125" t="e">
        <f t="shared" si="75"/>
        <v>#N/A</v>
      </c>
      <c r="M125" t="e">
        <f t="shared" si="76"/>
        <v>#N/A</v>
      </c>
      <c r="N125" t="e">
        <f t="shared" si="77"/>
        <v>#N/A</v>
      </c>
      <c r="O125" t="n">
        <f t="shared" si="78"/>
        <v>0</v>
      </c>
      <c r="P125" t="n">
        <f t="shared" si="79"/>
        <v>0</v>
      </c>
      <c r="Q125" t="n">
        <f t="shared" si="80"/>
        <v>0</v>
      </c>
      <c r="R125" t="n">
        <f t="shared" si="81"/>
        <v>0</v>
      </c>
      <c r="S125" t="e">
        <f t="shared" si="82"/>
        <v>#N/A</v>
      </c>
      <c r="T125" t="e">
        <f t="shared" si="83"/>
        <v>#N/A</v>
      </c>
      <c r="U125" t="e">
        <f t="shared" si="84"/>
        <v>#N/A</v>
      </c>
      <c r="V125" t="e">
        <f t="shared" si="85"/>
        <v>#N/A</v>
      </c>
      <c r="W125" t="e">
        <f t="shared" si="86"/>
        <v>#N/A</v>
      </c>
      <c r="X125" t="e">
        <f t="shared" si="87"/>
        <v>#N/A</v>
      </c>
      <c r="Y125" t="e">
        <f t="shared" si="88"/>
        <v>#N/A</v>
      </c>
      <c r="Z125" t="e">
        <f t="shared" si="89"/>
        <v>#N/A</v>
      </c>
      <c r="AA125" t="e">
        <f t="shared" si="90"/>
        <v>#N/A</v>
      </c>
      <c r="AB125" t="e">
        <f t="shared" si="91"/>
        <v>#N/A</v>
      </c>
      <c r="AC125" t="e">
        <f t="shared" si="92"/>
        <v>#N/A</v>
      </c>
      <c r="AD125" t="e">
        <f t="shared" si="93"/>
        <v>#N/A</v>
      </c>
      <c r="AE125" t="e">
        <f t="shared" si="94"/>
        <v>#N/A</v>
      </c>
      <c r="AF125" t="e">
        <f t="shared" si="95"/>
        <v>#N/A</v>
      </c>
      <c r="AG125" t="e">
        <f t="shared" si="96"/>
        <v>#N/A</v>
      </c>
      <c r="AH125" t="e">
        <f t="shared" si="97"/>
        <v>#N/A</v>
      </c>
      <c r="AI125" t="e">
        <f t="shared" si="98"/>
        <v>#N/A</v>
      </c>
      <c r="AJ125" t="e">
        <f t="shared" si="99"/>
        <v>#N/A</v>
      </c>
    </row>
    <row r="126">
      <c r="A126" s="2"/>
      <c r="L126" t="e">
        <f t="shared" si="75"/>
        <v>#N/A</v>
      </c>
      <c r="M126" t="e">
        <f t="shared" si="76"/>
        <v>#N/A</v>
      </c>
      <c r="N126" t="e">
        <f t="shared" si="77"/>
        <v>#N/A</v>
      </c>
      <c r="O126" t="n">
        <f t="shared" si="78"/>
        <v>0</v>
      </c>
      <c r="P126" t="n">
        <f t="shared" si="79"/>
        <v>0</v>
      </c>
      <c r="Q126" t="n">
        <f t="shared" si="80"/>
        <v>0</v>
      </c>
      <c r="R126" t="n">
        <f t="shared" si="81"/>
        <v>0</v>
      </c>
      <c r="S126" t="e">
        <f t="shared" si="82"/>
        <v>#N/A</v>
      </c>
      <c r="T126" t="e">
        <f t="shared" si="83"/>
        <v>#N/A</v>
      </c>
      <c r="U126" t="e">
        <f t="shared" si="84"/>
        <v>#N/A</v>
      </c>
      <c r="V126" t="e">
        <f t="shared" si="85"/>
        <v>#N/A</v>
      </c>
      <c r="W126" t="e">
        <f t="shared" si="86"/>
        <v>#N/A</v>
      </c>
      <c r="X126" t="e">
        <f t="shared" si="87"/>
        <v>#N/A</v>
      </c>
      <c r="Y126" t="e">
        <f t="shared" si="88"/>
        <v>#N/A</v>
      </c>
      <c r="Z126" t="e">
        <f t="shared" si="89"/>
        <v>#N/A</v>
      </c>
      <c r="AA126" t="e">
        <f t="shared" si="90"/>
        <v>#N/A</v>
      </c>
      <c r="AB126" t="e">
        <f t="shared" si="91"/>
        <v>#N/A</v>
      </c>
      <c r="AC126" t="e">
        <f t="shared" si="92"/>
        <v>#N/A</v>
      </c>
      <c r="AD126" t="e">
        <f t="shared" si="93"/>
        <v>#N/A</v>
      </c>
      <c r="AE126" t="e">
        <f t="shared" si="94"/>
        <v>#N/A</v>
      </c>
      <c r="AF126" t="e">
        <f t="shared" si="95"/>
        <v>#N/A</v>
      </c>
      <c r="AG126" t="e">
        <f t="shared" si="96"/>
        <v>#N/A</v>
      </c>
      <c r="AH126" t="e">
        <f t="shared" si="97"/>
        <v>#N/A</v>
      </c>
      <c r="AI126" t="e">
        <f t="shared" si="98"/>
        <v>#N/A</v>
      </c>
      <c r="AJ126" t="e">
        <f t="shared" si="99"/>
        <v>#N/A</v>
      </c>
    </row>
    <row r="127">
      <c r="A127" s="2"/>
      <c r="L127" t="e">
        <f t="shared" si="75"/>
        <v>#N/A</v>
      </c>
      <c r="M127" t="e">
        <f t="shared" si="76"/>
        <v>#N/A</v>
      </c>
      <c r="N127" t="e">
        <f t="shared" si="77"/>
        <v>#N/A</v>
      </c>
      <c r="O127" t="n">
        <f t="shared" si="78"/>
        <v>0</v>
      </c>
      <c r="P127" t="n">
        <f t="shared" si="79"/>
        <v>0</v>
      </c>
      <c r="Q127" t="n">
        <f t="shared" si="80"/>
        <v>0</v>
      </c>
      <c r="R127" t="n">
        <f t="shared" si="81"/>
        <v>0</v>
      </c>
      <c r="S127" t="e">
        <f t="shared" si="82"/>
        <v>#N/A</v>
      </c>
      <c r="T127" t="e">
        <f t="shared" si="83"/>
        <v>#N/A</v>
      </c>
      <c r="U127" t="e">
        <f t="shared" si="84"/>
        <v>#N/A</v>
      </c>
      <c r="V127" t="e">
        <f t="shared" si="85"/>
        <v>#N/A</v>
      </c>
      <c r="W127" t="e">
        <f t="shared" si="86"/>
        <v>#N/A</v>
      </c>
      <c r="X127" t="e">
        <f t="shared" si="87"/>
        <v>#N/A</v>
      </c>
      <c r="Y127" t="e">
        <f t="shared" si="88"/>
        <v>#N/A</v>
      </c>
      <c r="Z127" t="e">
        <f t="shared" si="89"/>
        <v>#N/A</v>
      </c>
      <c r="AA127" t="e">
        <f t="shared" si="90"/>
        <v>#N/A</v>
      </c>
      <c r="AB127" t="e">
        <f t="shared" si="91"/>
        <v>#N/A</v>
      </c>
      <c r="AC127" t="e">
        <f t="shared" si="92"/>
        <v>#N/A</v>
      </c>
      <c r="AD127" t="e">
        <f t="shared" si="93"/>
        <v>#N/A</v>
      </c>
      <c r="AE127" t="e">
        <f t="shared" si="94"/>
        <v>#N/A</v>
      </c>
      <c r="AF127" t="e">
        <f t="shared" si="95"/>
        <v>#N/A</v>
      </c>
      <c r="AG127" t="e">
        <f t="shared" si="96"/>
        <v>#N/A</v>
      </c>
      <c r="AH127" t="e">
        <f t="shared" si="97"/>
        <v>#N/A</v>
      </c>
      <c r="AI127" t="e">
        <f t="shared" si="98"/>
        <v>#N/A</v>
      </c>
      <c r="AJ127" t="e">
        <f t="shared" si="99"/>
        <v>#N/A</v>
      </c>
    </row>
    <row r="128">
      <c r="A128" s="2"/>
      <c r="L128" t="e">
        <f t="shared" si="75"/>
        <v>#N/A</v>
      </c>
      <c r="M128" t="e">
        <f t="shared" si="76"/>
        <v>#N/A</v>
      </c>
      <c r="N128" t="e">
        <f t="shared" si="77"/>
        <v>#N/A</v>
      </c>
      <c r="O128" t="n">
        <f t="shared" si="78"/>
        <v>0</v>
      </c>
      <c r="P128" t="n">
        <f t="shared" si="79"/>
        <v>0</v>
      </c>
      <c r="Q128" t="n">
        <f t="shared" si="80"/>
        <v>0</v>
      </c>
      <c r="R128" t="n">
        <f t="shared" si="81"/>
        <v>0</v>
      </c>
      <c r="S128" t="e">
        <f t="shared" si="82"/>
        <v>#N/A</v>
      </c>
      <c r="T128" t="e">
        <f t="shared" si="83"/>
        <v>#N/A</v>
      </c>
      <c r="U128" t="e">
        <f t="shared" si="84"/>
        <v>#N/A</v>
      </c>
      <c r="V128" t="e">
        <f t="shared" si="85"/>
        <v>#N/A</v>
      </c>
      <c r="W128" t="e">
        <f t="shared" si="86"/>
        <v>#N/A</v>
      </c>
      <c r="X128" t="e">
        <f t="shared" si="87"/>
        <v>#N/A</v>
      </c>
      <c r="Y128" t="e">
        <f t="shared" si="88"/>
        <v>#N/A</v>
      </c>
      <c r="Z128" t="e">
        <f t="shared" si="89"/>
        <v>#N/A</v>
      </c>
      <c r="AA128" t="e">
        <f t="shared" si="90"/>
        <v>#N/A</v>
      </c>
      <c r="AB128" t="e">
        <f t="shared" si="91"/>
        <v>#N/A</v>
      </c>
      <c r="AC128" t="e">
        <f t="shared" si="92"/>
        <v>#N/A</v>
      </c>
      <c r="AD128" t="e">
        <f t="shared" si="93"/>
        <v>#N/A</v>
      </c>
      <c r="AE128" t="e">
        <f t="shared" si="94"/>
        <v>#N/A</v>
      </c>
      <c r="AF128" t="e">
        <f t="shared" si="95"/>
        <v>#N/A</v>
      </c>
      <c r="AG128" t="e">
        <f t="shared" si="96"/>
        <v>#N/A</v>
      </c>
      <c r="AH128" t="e">
        <f t="shared" si="97"/>
        <v>#N/A</v>
      </c>
      <c r="AI128" t="e">
        <f t="shared" si="98"/>
        <v>#N/A</v>
      </c>
      <c r="AJ128" t="e">
        <f t="shared" si="99"/>
        <v>#N/A</v>
      </c>
    </row>
    <row r="129">
      <c r="A129" s="2"/>
      <c r="L129" t="e">
        <f t="shared" si="75"/>
        <v>#N/A</v>
      </c>
      <c r="M129" t="e">
        <f t="shared" si="76"/>
        <v>#N/A</v>
      </c>
      <c r="N129" t="e">
        <f t="shared" si="77"/>
        <v>#N/A</v>
      </c>
      <c r="O129" t="n">
        <f t="shared" si="78"/>
        <v>0</v>
      </c>
      <c r="P129" t="n">
        <f t="shared" si="79"/>
        <v>0</v>
      </c>
      <c r="Q129" t="n">
        <f t="shared" si="80"/>
        <v>0</v>
      </c>
      <c r="R129" t="n">
        <f t="shared" si="81"/>
        <v>0</v>
      </c>
      <c r="S129" t="e">
        <f t="shared" si="82"/>
        <v>#N/A</v>
      </c>
      <c r="T129" t="e">
        <f t="shared" si="83"/>
        <v>#N/A</v>
      </c>
      <c r="U129" t="e">
        <f t="shared" si="84"/>
        <v>#N/A</v>
      </c>
      <c r="V129" t="e">
        <f t="shared" si="85"/>
        <v>#N/A</v>
      </c>
      <c r="W129" t="e">
        <f t="shared" si="86"/>
        <v>#N/A</v>
      </c>
      <c r="X129" t="e">
        <f t="shared" si="87"/>
        <v>#N/A</v>
      </c>
      <c r="Y129" t="e">
        <f t="shared" si="88"/>
        <v>#N/A</v>
      </c>
      <c r="Z129" t="e">
        <f t="shared" si="89"/>
        <v>#N/A</v>
      </c>
      <c r="AA129" t="e">
        <f t="shared" si="90"/>
        <v>#N/A</v>
      </c>
      <c r="AB129" t="e">
        <f t="shared" si="91"/>
        <v>#N/A</v>
      </c>
      <c r="AC129" t="e">
        <f t="shared" si="92"/>
        <v>#N/A</v>
      </c>
      <c r="AD129" t="e">
        <f t="shared" si="93"/>
        <v>#N/A</v>
      </c>
      <c r="AE129" t="e">
        <f t="shared" si="94"/>
        <v>#N/A</v>
      </c>
      <c r="AF129" t="e">
        <f t="shared" si="95"/>
        <v>#N/A</v>
      </c>
      <c r="AG129" t="e">
        <f t="shared" si="96"/>
        <v>#N/A</v>
      </c>
      <c r="AH129" t="e">
        <f t="shared" si="97"/>
        <v>#N/A</v>
      </c>
      <c r="AI129" t="e">
        <f t="shared" si="98"/>
        <v>#N/A</v>
      </c>
      <c r="AJ129" t="e">
        <f t="shared" si="99"/>
        <v>#N/A</v>
      </c>
    </row>
    <row r="130">
      <c r="A130" s="2"/>
      <c r="L130" t="e">
        <f t="shared" ref="L130:L161" si="100">IF(ROW()&lt;=5,NA(),IFERROR(100*(B130/INDEX(B:B,ROW()-4)-1),NA()))</f>
        <v>#N/A</v>
      </c>
      <c r="M130" t="e">
        <f t="shared" ref="M130:M161" si="101">IF(ROW()&lt;=5,NA(),IFERROR(100*(C130/INDEX(C:C,ROW()-4)-1),NA()))</f>
        <v>#N/A</v>
      </c>
      <c r="N130" t="e">
        <f t="shared" ref="N130:N161" si="102">IF(ROW()&lt;=5,NA(),IFERROR(100*(D130/INDEX(D:D,ROW()-4)-1),NA()))</f>
        <v>#N/A</v>
      </c>
      <c r="O130" t="n">
        <f t="shared" ref="O130:O161" si="103">100*G130</f>
        <v>0</v>
      </c>
      <c r="P130" t="n">
        <f t="shared" ref="P130:P161" si="104">100*H130</f>
        <v>0</v>
      </c>
      <c r="Q130" t="n">
        <f t="shared" ref="Q130:Q161" si="105">100*I130</f>
        <v>0</v>
      </c>
      <c r="R130" t="n">
        <f t="shared" ref="R130:R161" si="106">100*J130</f>
        <v>0</v>
      </c>
      <c r="S130" t="e">
        <f t="shared" ref="S130:S161" si="107">IFERROR(100*E130/INDEX(E:E,MATCH(DATE(2024,12,1),A:A,0)),NA())</f>
        <v>#N/A</v>
      </c>
      <c r="T130" t="e">
        <f t="shared" ref="T130:T161" si="108">IFERROR(100*F130/INDEX(F:F,MATCH(DATE(2024,12,1),A:A,0)),NA())</f>
        <v>#N/A</v>
      </c>
      <c r="U130" t="e">
        <f t="shared" ref="U130:U161" si="109">IF($K130="Actual",L130,NA())</f>
        <v>#N/A</v>
      </c>
      <c r="V130" t="e">
        <f t="shared" ref="V130:V161" si="110">IF($A130&gt;=DATE(2024,12,1),L130,NA())</f>
        <v>#N/A</v>
      </c>
      <c r="W130" t="e">
        <f t="shared" ref="W130:W161" si="111">IF($K130="Actual",M130,NA())</f>
        <v>#N/A</v>
      </c>
      <c r="X130" t="e">
        <f t="shared" ref="X130:X161" si="112">IF($A130&gt;=DATE(2024,12,1),M130,NA())</f>
        <v>#N/A</v>
      </c>
      <c r="Y130" t="e">
        <f t="shared" ref="Y130:Y161" si="113">IF($K130="Actual",S130,NA())</f>
        <v>#N/A</v>
      </c>
      <c r="Z130" t="e">
        <f t="shared" ref="Z130:Z161" si="114">IF($A130&gt;=DATE(2024,12,1),S130,NA())</f>
        <v>#N/A</v>
      </c>
      <c r="AA130" t="e">
        <f t="shared" ref="AA130:AA161" si="115">IF($K130="Actual",T130,NA())</f>
        <v>#N/A</v>
      </c>
      <c r="AB130" t="e">
        <f t="shared" ref="AB130:AB161" si="116">IF($A130&gt;=DATE(2024,12,1),T130,NA())</f>
        <v>#N/A</v>
      </c>
      <c r="AC130" t="e">
        <f t="shared" ref="AC130:AC161" si="117">IF($K130="Actual",O130,NA())</f>
        <v>#N/A</v>
      </c>
      <c r="AD130" t="e">
        <f t="shared" ref="AD130:AD161" si="118">IF($A130&gt;=DATE(2024,12,1),O130,NA())</f>
        <v>#N/A</v>
      </c>
      <c r="AE130" t="e">
        <f t="shared" ref="AE130:AE161" si="119">IF($K130="Actual",Q130,NA())</f>
        <v>#N/A</v>
      </c>
      <c r="AF130" t="e">
        <f t="shared" ref="AF130:AF161" si="120">IF($A130&gt;=DATE(2024,12,1),Q130,NA())</f>
        <v>#N/A</v>
      </c>
      <c r="AG130" t="e">
        <f t="shared" ref="AG130:AG161" si="121">IF($K130="Actual",R130,NA())</f>
        <v>#N/A</v>
      </c>
      <c r="AH130" t="e">
        <f t="shared" ref="AH130:AH161" si="122">IF($A130&gt;=DATE(2024,12,1),R130,NA())</f>
        <v>#N/A</v>
      </c>
      <c r="AI130" t="e">
        <f t="shared" ref="AI130:AI161" si="123">IF($K130="Actual",N130,NA())</f>
        <v>#N/A</v>
      </c>
      <c r="AJ130" t="e">
        <f t="shared" ref="AJ130:AJ161" si="124">IF($A130&gt;=DATE(2024,12,1),N130,NA())</f>
        <v>#N/A</v>
      </c>
    </row>
    <row r="131">
      <c r="A131" s="2"/>
      <c r="L131" t="e">
        <f t="shared" si="100"/>
        <v>#N/A</v>
      </c>
      <c r="M131" t="e">
        <f t="shared" si="101"/>
        <v>#N/A</v>
      </c>
      <c r="N131" t="e">
        <f t="shared" si="102"/>
        <v>#N/A</v>
      </c>
      <c r="O131" t="n">
        <f t="shared" si="103"/>
        <v>0</v>
      </c>
      <c r="P131" t="n">
        <f t="shared" si="104"/>
        <v>0</v>
      </c>
      <c r="Q131" t="n">
        <f t="shared" si="105"/>
        <v>0</v>
      </c>
      <c r="R131" t="n">
        <f t="shared" si="106"/>
        <v>0</v>
      </c>
      <c r="S131" t="e">
        <f t="shared" si="107"/>
        <v>#N/A</v>
      </c>
      <c r="T131" t="e">
        <f t="shared" si="108"/>
        <v>#N/A</v>
      </c>
      <c r="U131" t="e">
        <f t="shared" si="109"/>
        <v>#N/A</v>
      </c>
      <c r="V131" t="e">
        <f t="shared" si="110"/>
        <v>#N/A</v>
      </c>
      <c r="W131" t="e">
        <f t="shared" si="111"/>
        <v>#N/A</v>
      </c>
      <c r="X131" t="e">
        <f t="shared" si="112"/>
        <v>#N/A</v>
      </c>
      <c r="Y131" t="e">
        <f t="shared" si="113"/>
        <v>#N/A</v>
      </c>
      <c r="Z131" t="e">
        <f t="shared" si="114"/>
        <v>#N/A</v>
      </c>
      <c r="AA131" t="e">
        <f t="shared" si="115"/>
        <v>#N/A</v>
      </c>
      <c r="AB131" t="e">
        <f t="shared" si="116"/>
        <v>#N/A</v>
      </c>
      <c r="AC131" t="e">
        <f t="shared" si="117"/>
        <v>#N/A</v>
      </c>
      <c r="AD131" t="e">
        <f t="shared" si="118"/>
        <v>#N/A</v>
      </c>
      <c r="AE131" t="e">
        <f t="shared" si="119"/>
        <v>#N/A</v>
      </c>
      <c r="AF131" t="e">
        <f t="shared" si="120"/>
        <v>#N/A</v>
      </c>
      <c r="AG131" t="e">
        <f t="shared" si="121"/>
        <v>#N/A</v>
      </c>
      <c r="AH131" t="e">
        <f t="shared" si="122"/>
        <v>#N/A</v>
      </c>
      <c r="AI131" t="e">
        <f t="shared" si="123"/>
        <v>#N/A</v>
      </c>
      <c r="AJ131" t="e">
        <f t="shared" si="124"/>
        <v>#N/A</v>
      </c>
    </row>
    <row r="132">
      <c r="A132" s="2"/>
      <c r="L132" t="e">
        <f t="shared" si="100"/>
        <v>#N/A</v>
      </c>
      <c r="M132" t="e">
        <f t="shared" si="101"/>
        <v>#N/A</v>
      </c>
      <c r="N132" t="e">
        <f t="shared" si="102"/>
        <v>#N/A</v>
      </c>
      <c r="O132" t="n">
        <f t="shared" si="103"/>
        <v>0</v>
      </c>
      <c r="P132" t="n">
        <f t="shared" si="104"/>
        <v>0</v>
      </c>
      <c r="Q132" t="n">
        <f t="shared" si="105"/>
        <v>0</v>
      </c>
      <c r="R132" t="n">
        <f t="shared" si="106"/>
        <v>0</v>
      </c>
      <c r="S132" t="e">
        <f t="shared" si="107"/>
        <v>#N/A</v>
      </c>
      <c r="T132" t="e">
        <f t="shared" si="108"/>
        <v>#N/A</v>
      </c>
      <c r="U132" t="e">
        <f t="shared" si="109"/>
        <v>#N/A</v>
      </c>
      <c r="V132" t="e">
        <f t="shared" si="110"/>
        <v>#N/A</v>
      </c>
      <c r="W132" t="e">
        <f t="shared" si="111"/>
        <v>#N/A</v>
      </c>
      <c r="X132" t="e">
        <f t="shared" si="112"/>
        <v>#N/A</v>
      </c>
      <c r="Y132" t="e">
        <f t="shared" si="113"/>
        <v>#N/A</v>
      </c>
      <c r="Z132" t="e">
        <f t="shared" si="114"/>
        <v>#N/A</v>
      </c>
      <c r="AA132" t="e">
        <f t="shared" si="115"/>
        <v>#N/A</v>
      </c>
      <c r="AB132" t="e">
        <f t="shared" si="116"/>
        <v>#N/A</v>
      </c>
      <c r="AC132" t="e">
        <f t="shared" si="117"/>
        <v>#N/A</v>
      </c>
      <c r="AD132" t="e">
        <f t="shared" si="118"/>
        <v>#N/A</v>
      </c>
      <c r="AE132" t="e">
        <f t="shared" si="119"/>
        <v>#N/A</v>
      </c>
      <c r="AF132" t="e">
        <f t="shared" si="120"/>
        <v>#N/A</v>
      </c>
      <c r="AG132" t="e">
        <f t="shared" si="121"/>
        <v>#N/A</v>
      </c>
      <c r="AH132" t="e">
        <f t="shared" si="122"/>
        <v>#N/A</v>
      </c>
      <c r="AI132" t="e">
        <f t="shared" si="123"/>
        <v>#N/A</v>
      </c>
      <c r="AJ132" t="e">
        <f t="shared" si="124"/>
        <v>#N/A</v>
      </c>
    </row>
    <row r="133">
      <c r="A133" s="2"/>
      <c r="L133" t="e">
        <f t="shared" si="100"/>
        <v>#N/A</v>
      </c>
      <c r="M133" t="e">
        <f t="shared" si="101"/>
        <v>#N/A</v>
      </c>
      <c r="N133" t="e">
        <f t="shared" si="102"/>
        <v>#N/A</v>
      </c>
      <c r="O133" t="n">
        <f t="shared" si="103"/>
        <v>0</v>
      </c>
      <c r="P133" t="n">
        <f t="shared" si="104"/>
        <v>0</v>
      </c>
      <c r="Q133" t="n">
        <f t="shared" si="105"/>
        <v>0</v>
      </c>
      <c r="R133" t="n">
        <f t="shared" si="106"/>
        <v>0</v>
      </c>
      <c r="S133" t="e">
        <f t="shared" si="107"/>
        <v>#N/A</v>
      </c>
      <c r="T133" t="e">
        <f t="shared" si="108"/>
        <v>#N/A</v>
      </c>
      <c r="U133" t="e">
        <f t="shared" si="109"/>
        <v>#N/A</v>
      </c>
      <c r="V133" t="e">
        <f t="shared" si="110"/>
        <v>#N/A</v>
      </c>
      <c r="W133" t="e">
        <f t="shared" si="111"/>
        <v>#N/A</v>
      </c>
      <c r="X133" t="e">
        <f t="shared" si="112"/>
        <v>#N/A</v>
      </c>
      <c r="Y133" t="e">
        <f t="shared" si="113"/>
        <v>#N/A</v>
      </c>
      <c r="Z133" t="e">
        <f t="shared" si="114"/>
        <v>#N/A</v>
      </c>
      <c r="AA133" t="e">
        <f t="shared" si="115"/>
        <v>#N/A</v>
      </c>
      <c r="AB133" t="e">
        <f t="shared" si="116"/>
        <v>#N/A</v>
      </c>
      <c r="AC133" t="e">
        <f t="shared" si="117"/>
        <v>#N/A</v>
      </c>
      <c r="AD133" t="e">
        <f t="shared" si="118"/>
        <v>#N/A</v>
      </c>
      <c r="AE133" t="e">
        <f t="shared" si="119"/>
        <v>#N/A</v>
      </c>
      <c r="AF133" t="e">
        <f t="shared" si="120"/>
        <v>#N/A</v>
      </c>
      <c r="AG133" t="e">
        <f t="shared" si="121"/>
        <v>#N/A</v>
      </c>
      <c r="AH133" t="e">
        <f t="shared" si="122"/>
        <v>#N/A</v>
      </c>
      <c r="AI133" t="e">
        <f t="shared" si="123"/>
        <v>#N/A</v>
      </c>
      <c r="AJ133" t="e">
        <f t="shared" si="124"/>
        <v>#N/A</v>
      </c>
    </row>
    <row r="134">
      <c r="A134" s="2"/>
      <c r="L134" t="e">
        <f t="shared" si="100"/>
        <v>#N/A</v>
      </c>
      <c r="M134" t="e">
        <f t="shared" si="101"/>
        <v>#N/A</v>
      </c>
      <c r="N134" t="e">
        <f t="shared" si="102"/>
        <v>#N/A</v>
      </c>
      <c r="O134" t="n">
        <f t="shared" si="103"/>
        <v>0</v>
      </c>
      <c r="P134" t="n">
        <f t="shared" si="104"/>
        <v>0</v>
      </c>
      <c r="Q134" t="n">
        <f t="shared" si="105"/>
        <v>0</v>
      </c>
      <c r="R134" t="n">
        <f t="shared" si="106"/>
        <v>0</v>
      </c>
      <c r="S134" t="e">
        <f t="shared" si="107"/>
        <v>#N/A</v>
      </c>
      <c r="T134" t="e">
        <f t="shared" si="108"/>
        <v>#N/A</v>
      </c>
      <c r="U134" t="e">
        <f t="shared" si="109"/>
        <v>#N/A</v>
      </c>
      <c r="V134" t="e">
        <f t="shared" si="110"/>
        <v>#N/A</v>
      </c>
      <c r="W134" t="e">
        <f t="shared" si="111"/>
        <v>#N/A</v>
      </c>
      <c r="X134" t="e">
        <f t="shared" si="112"/>
        <v>#N/A</v>
      </c>
      <c r="Y134" t="e">
        <f t="shared" si="113"/>
        <v>#N/A</v>
      </c>
      <c r="Z134" t="e">
        <f t="shared" si="114"/>
        <v>#N/A</v>
      </c>
      <c r="AA134" t="e">
        <f t="shared" si="115"/>
        <v>#N/A</v>
      </c>
      <c r="AB134" t="e">
        <f t="shared" si="116"/>
        <v>#N/A</v>
      </c>
      <c r="AC134" t="e">
        <f t="shared" si="117"/>
        <v>#N/A</v>
      </c>
      <c r="AD134" t="e">
        <f t="shared" si="118"/>
        <v>#N/A</v>
      </c>
      <c r="AE134" t="e">
        <f t="shared" si="119"/>
        <v>#N/A</v>
      </c>
      <c r="AF134" t="e">
        <f t="shared" si="120"/>
        <v>#N/A</v>
      </c>
      <c r="AG134" t="e">
        <f t="shared" si="121"/>
        <v>#N/A</v>
      </c>
      <c r="AH134" t="e">
        <f t="shared" si="122"/>
        <v>#N/A</v>
      </c>
      <c r="AI134" t="e">
        <f t="shared" si="123"/>
        <v>#N/A</v>
      </c>
      <c r="AJ134" t="e">
        <f t="shared" si="124"/>
        <v>#N/A</v>
      </c>
    </row>
    <row r="135">
      <c r="A135" s="2"/>
      <c r="L135" t="e">
        <f t="shared" si="100"/>
        <v>#N/A</v>
      </c>
      <c r="M135" t="e">
        <f t="shared" si="101"/>
        <v>#N/A</v>
      </c>
      <c r="N135" t="e">
        <f t="shared" si="102"/>
        <v>#N/A</v>
      </c>
      <c r="O135" t="n">
        <f t="shared" si="103"/>
        <v>0</v>
      </c>
      <c r="P135" t="n">
        <f t="shared" si="104"/>
        <v>0</v>
      </c>
      <c r="Q135" t="n">
        <f t="shared" si="105"/>
        <v>0</v>
      </c>
      <c r="R135" t="n">
        <f t="shared" si="106"/>
        <v>0</v>
      </c>
      <c r="S135" t="e">
        <f t="shared" si="107"/>
        <v>#N/A</v>
      </c>
      <c r="T135" t="e">
        <f t="shared" si="108"/>
        <v>#N/A</v>
      </c>
      <c r="U135" t="e">
        <f t="shared" si="109"/>
        <v>#N/A</v>
      </c>
      <c r="V135" t="e">
        <f t="shared" si="110"/>
        <v>#N/A</v>
      </c>
      <c r="W135" t="e">
        <f t="shared" si="111"/>
        <v>#N/A</v>
      </c>
      <c r="X135" t="e">
        <f t="shared" si="112"/>
        <v>#N/A</v>
      </c>
      <c r="Y135" t="e">
        <f t="shared" si="113"/>
        <v>#N/A</v>
      </c>
      <c r="Z135" t="e">
        <f t="shared" si="114"/>
        <v>#N/A</v>
      </c>
      <c r="AA135" t="e">
        <f t="shared" si="115"/>
        <v>#N/A</v>
      </c>
      <c r="AB135" t="e">
        <f t="shared" si="116"/>
        <v>#N/A</v>
      </c>
      <c r="AC135" t="e">
        <f t="shared" si="117"/>
        <v>#N/A</v>
      </c>
      <c r="AD135" t="e">
        <f t="shared" si="118"/>
        <v>#N/A</v>
      </c>
      <c r="AE135" t="e">
        <f t="shared" si="119"/>
        <v>#N/A</v>
      </c>
      <c r="AF135" t="e">
        <f t="shared" si="120"/>
        <v>#N/A</v>
      </c>
      <c r="AG135" t="e">
        <f t="shared" si="121"/>
        <v>#N/A</v>
      </c>
      <c r="AH135" t="e">
        <f t="shared" si="122"/>
        <v>#N/A</v>
      </c>
      <c r="AI135" t="e">
        <f t="shared" si="123"/>
        <v>#N/A</v>
      </c>
      <c r="AJ135" t="e">
        <f t="shared" si="124"/>
        <v>#N/A</v>
      </c>
    </row>
    <row r="136">
      <c r="A136" s="2"/>
      <c r="L136" t="e">
        <f t="shared" si="100"/>
        <v>#N/A</v>
      </c>
      <c r="M136" t="e">
        <f t="shared" si="101"/>
        <v>#N/A</v>
      </c>
      <c r="N136" t="e">
        <f t="shared" si="102"/>
        <v>#N/A</v>
      </c>
      <c r="O136" t="n">
        <f t="shared" si="103"/>
        <v>0</v>
      </c>
      <c r="P136" t="n">
        <f t="shared" si="104"/>
        <v>0</v>
      </c>
      <c r="Q136" t="n">
        <f t="shared" si="105"/>
        <v>0</v>
      </c>
      <c r="R136" t="n">
        <f t="shared" si="106"/>
        <v>0</v>
      </c>
      <c r="S136" t="e">
        <f t="shared" si="107"/>
        <v>#N/A</v>
      </c>
      <c r="T136" t="e">
        <f t="shared" si="108"/>
        <v>#N/A</v>
      </c>
      <c r="U136" t="e">
        <f t="shared" si="109"/>
        <v>#N/A</v>
      </c>
      <c r="V136" t="e">
        <f t="shared" si="110"/>
        <v>#N/A</v>
      </c>
      <c r="W136" t="e">
        <f t="shared" si="111"/>
        <v>#N/A</v>
      </c>
      <c r="X136" t="e">
        <f t="shared" si="112"/>
        <v>#N/A</v>
      </c>
      <c r="Y136" t="e">
        <f t="shared" si="113"/>
        <v>#N/A</v>
      </c>
      <c r="Z136" t="e">
        <f t="shared" si="114"/>
        <v>#N/A</v>
      </c>
      <c r="AA136" t="e">
        <f t="shared" si="115"/>
        <v>#N/A</v>
      </c>
      <c r="AB136" t="e">
        <f t="shared" si="116"/>
        <v>#N/A</v>
      </c>
      <c r="AC136" t="e">
        <f t="shared" si="117"/>
        <v>#N/A</v>
      </c>
      <c r="AD136" t="e">
        <f t="shared" si="118"/>
        <v>#N/A</v>
      </c>
      <c r="AE136" t="e">
        <f t="shared" si="119"/>
        <v>#N/A</v>
      </c>
      <c r="AF136" t="e">
        <f t="shared" si="120"/>
        <v>#N/A</v>
      </c>
      <c r="AG136" t="e">
        <f t="shared" si="121"/>
        <v>#N/A</v>
      </c>
      <c r="AH136" t="e">
        <f t="shared" si="122"/>
        <v>#N/A</v>
      </c>
      <c r="AI136" t="e">
        <f t="shared" si="123"/>
        <v>#N/A</v>
      </c>
      <c r="AJ136" t="e">
        <f t="shared" si="124"/>
        <v>#N/A</v>
      </c>
    </row>
    <row r="137">
      <c r="A137" s="2"/>
      <c r="L137" t="e">
        <f t="shared" si="100"/>
        <v>#N/A</v>
      </c>
      <c r="M137" t="e">
        <f t="shared" si="101"/>
        <v>#N/A</v>
      </c>
      <c r="N137" t="e">
        <f t="shared" si="102"/>
        <v>#N/A</v>
      </c>
      <c r="O137" t="n">
        <f t="shared" si="103"/>
        <v>0</v>
      </c>
      <c r="P137" t="n">
        <f t="shared" si="104"/>
        <v>0</v>
      </c>
      <c r="Q137" t="n">
        <f t="shared" si="105"/>
        <v>0</v>
      </c>
      <c r="R137" t="n">
        <f t="shared" si="106"/>
        <v>0</v>
      </c>
      <c r="S137" t="e">
        <f t="shared" si="107"/>
        <v>#N/A</v>
      </c>
      <c r="T137" t="e">
        <f t="shared" si="108"/>
        <v>#N/A</v>
      </c>
      <c r="U137" t="e">
        <f t="shared" si="109"/>
        <v>#N/A</v>
      </c>
      <c r="V137" t="e">
        <f t="shared" si="110"/>
        <v>#N/A</v>
      </c>
      <c r="W137" t="e">
        <f t="shared" si="111"/>
        <v>#N/A</v>
      </c>
      <c r="X137" t="e">
        <f t="shared" si="112"/>
        <v>#N/A</v>
      </c>
      <c r="Y137" t="e">
        <f t="shared" si="113"/>
        <v>#N/A</v>
      </c>
      <c r="Z137" t="e">
        <f t="shared" si="114"/>
        <v>#N/A</v>
      </c>
      <c r="AA137" t="e">
        <f t="shared" si="115"/>
        <v>#N/A</v>
      </c>
      <c r="AB137" t="e">
        <f t="shared" si="116"/>
        <v>#N/A</v>
      </c>
      <c r="AC137" t="e">
        <f t="shared" si="117"/>
        <v>#N/A</v>
      </c>
      <c r="AD137" t="e">
        <f t="shared" si="118"/>
        <v>#N/A</v>
      </c>
      <c r="AE137" t="e">
        <f t="shared" si="119"/>
        <v>#N/A</v>
      </c>
      <c r="AF137" t="e">
        <f t="shared" si="120"/>
        <v>#N/A</v>
      </c>
      <c r="AG137" t="e">
        <f t="shared" si="121"/>
        <v>#N/A</v>
      </c>
      <c r="AH137" t="e">
        <f t="shared" si="122"/>
        <v>#N/A</v>
      </c>
      <c r="AI137" t="e">
        <f t="shared" si="123"/>
        <v>#N/A</v>
      </c>
      <c r="AJ137" t="e">
        <f t="shared" si="124"/>
        <v>#N/A</v>
      </c>
    </row>
    <row r="138">
      <c r="A138" s="2"/>
      <c r="L138" t="e">
        <f t="shared" si="100"/>
        <v>#N/A</v>
      </c>
      <c r="M138" t="e">
        <f t="shared" si="101"/>
        <v>#N/A</v>
      </c>
      <c r="N138" t="e">
        <f t="shared" si="102"/>
        <v>#N/A</v>
      </c>
      <c r="O138" t="n">
        <f t="shared" si="103"/>
        <v>0</v>
      </c>
      <c r="P138" t="n">
        <f t="shared" si="104"/>
        <v>0</v>
      </c>
      <c r="Q138" t="n">
        <f t="shared" si="105"/>
        <v>0</v>
      </c>
      <c r="R138" t="n">
        <f t="shared" si="106"/>
        <v>0</v>
      </c>
      <c r="S138" t="e">
        <f t="shared" si="107"/>
        <v>#N/A</v>
      </c>
      <c r="T138" t="e">
        <f t="shared" si="108"/>
        <v>#N/A</v>
      </c>
      <c r="U138" t="e">
        <f t="shared" si="109"/>
        <v>#N/A</v>
      </c>
      <c r="V138" t="e">
        <f t="shared" si="110"/>
        <v>#N/A</v>
      </c>
      <c r="W138" t="e">
        <f t="shared" si="111"/>
        <v>#N/A</v>
      </c>
      <c r="X138" t="e">
        <f t="shared" si="112"/>
        <v>#N/A</v>
      </c>
      <c r="Y138" t="e">
        <f t="shared" si="113"/>
        <v>#N/A</v>
      </c>
      <c r="Z138" t="e">
        <f t="shared" si="114"/>
        <v>#N/A</v>
      </c>
      <c r="AA138" t="e">
        <f t="shared" si="115"/>
        <v>#N/A</v>
      </c>
      <c r="AB138" t="e">
        <f t="shared" si="116"/>
        <v>#N/A</v>
      </c>
      <c r="AC138" t="e">
        <f t="shared" si="117"/>
        <v>#N/A</v>
      </c>
      <c r="AD138" t="e">
        <f t="shared" si="118"/>
        <v>#N/A</v>
      </c>
      <c r="AE138" t="e">
        <f t="shared" si="119"/>
        <v>#N/A</v>
      </c>
      <c r="AF138" t="e">
        <f t="shared" si="120"/>
        <v>#N/A</v>
      </c>
      <c r="AG138" t="e">
        <f t="shared" si="121"/>
        <v>#N/A</v>
      </c>
      <c r="AH138" t="e">
        <f t="shared" si="122"/>
        <v>#N/A</v>
      </c>
      <c r="AI138" t="e">
        <f t="shared" si="123"/>
        <v>#N/A</v>
      </c>
      <c r="AJ138" t="e">
        <f t="shared" si="124"/>
        <v>#N/A</v>
      </c>
    </row>
    <row r="139">
      <c r="A139" s="2"/>
      <c r="L139" t="e">
        <f t="shared" si="100"/>
        <v>#N/A</v>
      </c>
      <c r="M139" t="e">
        <f t="shared" si="101"/>
        <v>#N/A</v>
      </c>
      <c r="N139" t="e">
        <f t="shared" si="102"/>
        <v>#N/A</v>
      </c>
      <c r="O139" t="n">
        <f t="shared" si="103"/>
        <v>0</v>
      </c>
      <c r="P139" t="n">
        <f t="shared" si="104"/>
        <v>0</v>
      </c>
      <c r="Q139" t="n">
        <f t="shared" si="105"/>
        <v>0</v>
      </c>
      <c r="R139" t="n">
        <f t="shared" si="106"/>
        <v>0</v>
      </c>
      <c r="S139" t="e">
        <f t="shared" si="107"/>
        <v>#N/A</v>
      </c>
      <c r="T139" t="e">
        <f t="shared" si="108"/>
        <v>#N/A</v>
      </c>
      <c r="U139" t="e">
        <f t="shared" si="109"/>
        <v>#N/A</v>
      </c>
      <c r="V139" t="e">
        <f t="shared" si="110"/>
        <v>#N/A</v>
      </c>
      <c r="W139" t="e">
        <f t="shared" si="111"/>
        <v>#N/A</v>
      </c>
      <c r="X139" t="e">
        <f t="shared" si="112"/>
        <v>#N/A</v>
      </c>
      <c r="Y139" t="e">
        <f t="shared" si="113"/>
        <v>#N/A</v>
      </c>
      <c r="Z139" t="e">
        <f t="shared" si="114"/>
        <v>#N/A</v>
      </c>
      <c r="AA139" t="e">
        <f t="shared" si="115"/>
        <v>#N/A</v>
      </c>
      <c r="AB139" t="e">
        <f t="shared" si="116"/>
        <v>#N/A</v>
      </c>
      <c r="AC139" t="e">
        <f t="shared" si="117"/>
        <v>#N/A</v>
      </c>
      <c r="AD139" t="e">
        <f t="shared" si="118"/>
        <v>#N/A</v>
      </c>
      <c r="AE139" t="e">
        <f t="shared" si="119"/>
        <v>#N/A</v>
      </c>
      <c r="AF139" t="e">
        <f t="shared" si="120"/>
        <v>#N/A</v>
      </c>
      <c r="AG139" t="e">
        <f t="shared" si="121"/>
        <v>#N/A</v>
      </c>
      <c r="AH139" t="e">
        <f t="shared" si="122"/>
        <v>#N/A</v>
      </c>
      <c r="AI139" t="e">
        <f t="shared" si="123"/>
        <v>#N/A</v>
      </c>
      <c r="AJ139" t="e">
        <f t="shared" si="124"/>
        <v>#N/A</v>
      </c>
    </row>
    <row r="140">
      <c r="A140" s="2"/>
      <c r="L140" t="e">
        <f t="shared" si="100"/>
        <v>#N/A</v>
      </c>
      <c r="M140" t="e">
        <f t="shared" si="101"/>
        <v>#N/A</v>
      </c>
      <c r="N140" t="e">
        <f t="shared" si="102"/>
        <v>#N/A</v>
      </c>
      <c r="O140" t="n">
        <f t="shared" si="103"/>
        <v>0</v>
      </c>
      <c r="P140" t="n">
        <f t="shared" si="104"/>
        <v>0</v>
      </c>
      <c r="Q140" t="n">
        <f t="shared" si="105"/>
        <v>0</v>
      </c>
      <c r="R140" t="n">
        <f t="shared" si="106"/>
        <v>0</v>
      </c>
      <c r="S140" t="e">
        <f t="shared" si="107"/>
        <v>#N/A</v>
      </c>
      <c r="T140" t="e">
        <f t="shared" si="108"/>
        <v>#N/A</v>
      </c>
      <c r="U140" t="e">
        <f t="shared" si="109"/>
        <v>#N/A</v>
      </c>
      <c r="V140" t="e">
        <f t="shared" si="110"/>
        <v>#N/A</v>
      </c>
      <c r="W140" t="e">
        <f t="shared" si="111"/>
        <v>#N/A</v>
      </c>
      <c r="X140" t="e">
        <f t="shared" si="112"/>
        <v>#N/A</v>
      </c>
      <c r="Y140" t="e">
        <f t="shared" si="113"/>
        <v>#N/A</v>
      </c>
      <c r="Z140" t="e">
        <f t="shared" si="114"/>
        <v>#N/A</v>
      </c>
      <c r="AA140" t="e">
        <f t="shared" si="115"/>
        <v>#N/A</v>
      </c>
      <c r="AB140" t="e">
        <f t="shared" si="116"/>
        <v>#N/A</v>
      </c>
      <c r="AC140" t="e">
        <f t="shared" si="117"/>
        <v>#N/A</v>
      </c>
      <c r="AD140" t="e">
        <f t="shared" si="118"/>
        <v>#N/A</v>
      </c>
      <c r="AE140" t="e">
        <f t="shared" si="119"/>
        <v>#N/A</v>
      </c>
      <c r="AF140" t="e">
        <f t="shared" si="120"/>
        <v>#N/A</v>
      </c>
      <c r="AG140" t="e">
        <f t="shared" si="121"/>
        <v>#N/A</v>
      </c>
      <c r="AH140" t="e">
        <f t="shared" si="122"/>
        <v>#N/A</v>
      </c>
      <c r="AI140" t="e">
        <f t="shared" si="123"/>
        <v>#N/A</v>
      </c>
      <c r="AJ140" t="e">
        <f t="shared" si="124"/>
        <v>#N/A</v>
      </c>
    </row>
    <row r="141">
      <c r="A141" s="2"/>
      <c r="L141" t="e">
        <f t="shared" si="100"/>
        <v>#N/A</v>
      </c>
      <c r="M141" t="e">
        <f t="shared" si="101"/>
        <v>#N/A</v>
      </c>
      <c r="N141" t="e">
        <f t="shared" si="102"/>
        <v>#N/A</v>
      </c>
      <c r="O141" t="n">
        <f t="shared" si="103"/>
        <v>0</v>
      </c>
      <c r="P141" t="n">
        <f t="shared" si="104"/>
        <v>0</v>
      </c>
      <c r="Q141" t="n">
        <f t="shared" si="105"/>
        <v>0</v>
      </c>
      <c r="R141" t="n">
        <f t="shared" si="106"/>
        <v>0</v>
      </c>
      <c r="S141" t="e">
        <f t="shared" si="107"/>
        <v>#N/A</v>
      </c>
      <c r="T141" t="e">
        <f t="shared" si="108"/>
        <v>#N/A</v>
      </c>
      <c r="U141" t="e">
        <f t="shared" si="109"/>
        <v>#N/A</v>
      </c>
      <c r="V141" t="e">
        <f t="shared" si="110"/>
        <v>#N/A</v>
      </c>
      <c r="W141" t="e">
        <f t="shared" si="111"/>
        <v>#N/A</v>
      </c>
      <c r="X141" t="e">
        <f t="shared" si="112"/>
        <v>#N/A</v>
      </c>
      <c r="Y141" t="e">
        <f t="shared" si="113"/>
        <v>#N/A</v>
      </c>
      <c r="Z141" t="e">
        <f t="shared" si="114"/>
        <v>#N/A</v>
      </c>
      <c r="AA141" t="e">
        <f t="shared" si="115"/>
        <v>#N/A</v>
      </c>
      <c r="AB141" t="e">
        <f t="shared" si="116"/>
        <v>#N/A</v>
      </c>
      <c r="AC141" t="e">
        <f t="shared" si="117"/>
        <v>#N/A</v>
      </c>
      <c r="AD141" t="e">
        <f t="shared" si="118"/>
        <v>#N/A</v>
      </c>
      <c r="AE141" t="e">
        <f t="shared" si="119"/>
        <v>#N/A</v>
      </c>
      <c r="AF141" t="e">
        <f t="shared" si="120"/>
        <v>#N/A</v>
      </c>
      <c r="AG141" t="e">
        <f t="shared" si="121"/>
        <v>#N/A</v>
      </c>
      <c r="AH141" t="e">
        <f t="shared" si="122"/>
        <v>#N/A</v>
      </c>
      <c r="AI141" t="e">
        <f t="shared" si="123"/>
        <v>#N/A</v>
      </c>
      <c r="AJ141" t="e">
        <f t="shared" si="124"/>
        <v>#N/A</v>
      </c>
    </row>
    <row r="142">
      <c r="A142" s="2"/>
      <c r="L142" t="e">
        <f t="shared" si="100"/>
        <v>#N/A</v>
      </c>
      <c r="M142" t="e">
        <f t="shared" si="101"/>
        <v>#N/A</v>
      </c>
      <c r="N142" t="e">
        <f t="shared" si="102"/>
        <v>#N/A</v>
      </c>
      <c r="O142" t="n">
        <f t="shared" si="103"/>
        <v>0</v>
      </c>
      <c r="P142" t="n">
        <f t="shared" si="104"/>
        <v>0</v>
      </c>
      <c r="Q142" t="n">
        <f t="shared" si="105"/>
        <v>0</v>
      </c>
      <c r="R142" t="n">
        <f t="shared" si="106"/>
        <v>0</v>
      </c>
      <c r="S142" t="e">
        <f t="shared" si="107"/>
        <v>#N/A</v>
      </c>
      <c r="T142" t="e">
        <f t="shared" si="108"/>
        <v>#N/A</v>
      </c>
      <c r="U142" t="e">
        <f t="shared" si="109"/>
        <v>#N/A</v>
      </c>
      <c r="V142" t="e">
        <f t="shared" si="110"/>
        <v>#N/A</v>
      </c>
      <c r="W142" t="e">
        <f t="shared" si="111"/>
        <v>#N/A</v>
      </c>
      <c r="X142" t="e">
        <f t="shared" si="112"/>
        <v>#N/A</v>
      </c>
      <c r="Y142" t="e">
        <f t="shared" si="113"/>
        <v>#N/A</v>
      </c>
      <c r="Z142" t="e">
        <f t="shared" si="114"/>
        <v>#N/A</v>
      </c>
      <c r="AA142" t="e">
        <f t="shared" si="115"/>
        <v>#N/A</v>
      </c>
      <c r="AB142" t="e">
        <f t="shared" si="116"/>
        <v>#N/A</v>
      </c>
      <c r="AC142" t="e">
        <f t="shared" si="117"/>
        <v>#N/A</v>
      </c>
      <c r="AD142" t="e">
        <f t="shared" si="118"/>
        <v>#N/A</v>
      </c>
      <c r="AE142" t="e">
        <f t="shared" si="119"/>
        <v>#N/A</v>
      </c>
      <c r="AF142" t="e">
        <f t="shared" si="120"/>
        <v>#N/A</v>
      </c>
      <c r="AG142" t="e">
        <f t="shared" si="121"/>
        <v>#N/A</v>
      </c>
      <c r="AH142" t="e">
        <f t="shared" si="122"/>
        <v>#N/A</v>
      </c>
      <c r="AI142" t="e">
        <f t="shared" si="123"/>
        <v>#N/A</v>
      </c>
      <c r="AJ142" t="e">
        <f t="shared" si="124"/>
        <v>#N/A</v>
      </c>
    </row>
    <row r="143">
      <c r="A143" s="2"/>
      <c r="L143" t="e">
        <f t="shared" si="100"/>
        <v>#N/A</v>
      </c>
      <c r="M143" t="e">
        <f t="shared" si="101"/>
        <v>#N/A</v>
      </c>
      <c r="N143" t="e">
        <f t="shared" si="102"/>
        <v>#N/A</v>
      </c>
      <c r="O143" t="n">
        <f t="shared" si="103"/>
        <v>0</v>
      </c>
      <c r="P143" t="n">
        <f t="shared" si="104"/>
        <v>0</v>
      </c>
      <c r="Q143" t="n">
        <f t="shared" si="105"/>
        <v>0</v>
      </c>
      <c r="R143" t="n">
        <f t="shared" si="106"/>
        <v>0</v>
      </c>
      <c r="S143" t="e">
        <f t="shared" si="107"/>
        <v>#N/A</v>
      </c>
      <c r="T143" t="e">
        <f t="shared" si="108"/>
        <v>#N/A</v>
      </c>
      <c r="U143" t="e">
        <f t="shared" si="109"/>
        <v>#N/A</v>
      </c>
      <c r="V143" t="e">
        <f t="shared" si="110"/>
        <v>#N/A</v>
      </c>
      <c r="W143" t="e">
        <f t="shared" si="111"/>
        <v>#N/A</v>
      </c>
      <c r="X143" t="e">
        <f t="shared" si="112"/>
        <v>#N/A</v>
      </c>
      <c r="Y143" t="e">
        <f t="shared" si="113"/>
        <v>#N/A</v>
      </c>
      <c r="Z143" t="e">
        <f t="shared" si="114"/>
        <v>#N/A</v>
      </c>
      <c r="AA143" t="e">
        <f t="shared" si="115"/>
        <v>#N/A</v>
      </c>
      <c r="AB143" t="e">
        <f t="shared" si="116"/>
        <v>#N/A</v>
      </c>
      <c r="AC143" t="e">
        <f t="shared" si="117"/>
        <v>#N/A</v>
      </c>
      <c r="AD143" t="e">
        <f t="shared" si="118"/>
        <v>#N/A</v>
      </c>
      <c r="AE143" t="e">
        <f t="shared" si="119"/>
        <v>#N/A</v>
      </c>
      <c r="AF143" t="e">
        <f t="shared" si="120"/>
        <v>#N/A</v>
      </c>
      <c r="AG143" t="e">
        <f t="shared" si="121"/>
        <v>#N/A</v>
      </c>
      <c r="AH143" t="e">
        <f t="shared" si="122"/>
        <v>#N/A</v>
      </c>
      <c r="AI143" t="e">
        <f t="shared" si="123"/>
        <v>#N/A</v>
      </c>
      <c r="AJ143" t="e">
        <f t="shared" si="124"/>
        <v>#N/A</v>
      </c>
    </row>
    <row r="144">
      <c r="A144" s="2"/>
      <c r="L144" t="e">
        <f t="shared" si="100"/>
        <v>#N/A</v>
      </c>
      <c r="M144" t="e">
        <f t="shared" si="101"/>
        <v>#N/A</v>
      </c>
      <c r="N144" t="e">
        <f t="shared" si="102"/>
        <v>#N/A</v>
      </c>
      <c r="O144" t="n">
        <f t="shared" si="103"/>
        <v>0</v>
      </c>
      <c r="P144" t="n">
        <f t="shared" si="104"/>
        <v>0</v>
      </c>
      <c r="Q144" t="n">
        <f t="shared" si="105"/>
        <v>0</v>
      </c>
      <c r="R144" t="n">
        <f t="shared" si="106"/>
        <v>0</v>
      </c>
      <c r="S144" t="e">
        <f t="shared" si="107"/>
        <v>#N/A</v>
      </c>
      <c r="T144" t="e">
        <f t="shared" si="108"/>
        <v>#N/A</v>
      </c>
      <c r="U144" t="e">
        <f t="shared" si="109"/>
        <v>#N/A</v>
      </c>
      <c r="V144" t="e">
        <f t="shared" si="110"/>
        <v>#N/A</v>
      </c>
      <c r="W144" t="e">
        <f t="shared" si="111"/>
        <v>#N/A</v>
      </c>
      <c r="X144" t="e">
        <f t="shared" si="112"/>
        <v>#N/A</v>
      </c>
      <c r="Y144" t="e">
        <f t="shared" si="113"/>
        <v>#N/A</v>
      </c>
      <c r="Z144" t="e">
        <f t="shared" si="114"/>
        <v>#N/A</v>
      </c>
      <c r="AA144" t="e">
        <f t="shared" si="115"/>
        <v>#N/A</v>
      </c>
      <c r="AB144" t="e">
        <f t="shared" si="116"/>
        <v>#N/A</v>
      </c>
      <c r="AC144" t="e">
        <f t="shared" si="117"/>
        <v>#N/A</v>
      </c>
      <c r="AD144" t="e">
        <f t="shared" si="118"/>
        <v>#N/A</v>
      </c>
      <c r="AE144" t="e">
        <f t="shared" si="119"/>
        <v>#N/A</v>
      </c>
      <c r="AF144" t="e">
        <f t="shared" si="120"/>
        <v>#N/A</v>
      </c>
      <c r="AG144" t="e">
        <f t="shared" si="121"/>
        <v>#N/A</v>
      </c>
      <c r="AH144" t="e">
        <f t="shared" si="122"/>
        <v>#N/A</v>
      </c>
      <c r="AI144" t="e">
        <f t="shared" si="123"/>
        <v>#N/A</v>
      </c>
      <c r="AJ144" t="e">
        <f t="shared" si="124"/>
        <v>#N/A</v>
      </c>
    </row>
    <row r="145">
      <c r="A145" s="2"/>
      <c r="L145" t="e">
        <f t="shared" si="100"/>
        <v>#N/A</v>
      </c>
      <c r="M145" t="e">
        <f t="shared" si="101"/>
        <v>#N/A</v>
      </c>
      <c r="N145" t="e">
        <f t="shared" si="102"/>
        <v>#N/A</v>
      </c>
      <c r="O145" t="n">
        <f t="shared" si="103"/>
        <v>0</v>
      </c>
      <c r="P145" t="n">
        <f t="shared" si="104"/>
        <v>0</v>
      </c>
      <c r="Q145" t="n">
        <f t="shared" si="105"/>
        <v>0</v>
      </c>
      <c r="R145" t="n">
        <f t="shared" si="106"/>
        <v>0</v>
      </c>
      <c r="S145" t="e">
        <f t="shared" si="107"/>
        <v>#N/A</v>
      </c>
      <c r="T145" t="e">
        <f t="shared" si="108"/>
        <v>#N/A</v>
      </c>
      <c r="U145" t="e">
        <f t="shared" si="109"/>
        <v>#N/A</v>
      </c>
      <c r="V145" t="e">
        <f t="shared" si="110"/>
        <v>#N/A</v>
      </c>
      <c r="W145" t="e">
        <f t="shared" si="111"/>
        <v>#N/A</v>
      </c>
      <c r="X145" t="e">
        <f t="shared" si="112"/>
        <v>#N/A</v>
      </c>
      <c r="Y145" t="e">
        <f t="shared" si="113"/>
        <v>#N/A</v>
      </c>
      <c r="Z145" t="e">
        <f t="shared" si="114"/>
        <v>#N/A</v>
      </c>
      <c r="AA145" t="e">
        <f t="shared" si="115"/>
        <v>#N/A</v>
      </c>
      <c r="AB145" t="e">
        <f t="shared" si="116"/>
        <v>#N/A</v>
      </c>
      <c r="AC145" t="e">
        <f t="shared" si="117"/>
        <v>#N/A</v>
      </c>
      <c r="AD145" t="e">
        <f t="shared" si="118"/>
        <v>#N/A</v>
      </c>
      <c r="AE145" t="e">
        <f t="shared" si="119"/>
        <v>#N/A</v>
      </c>
      <c r="AF145" t="e">
        <f t="shared" si="120"/>
        <v>#N/A</v>
      </c>
      <c r="AG145" t="e">
        <f t="shared" si="121"/>
        <v>#N/A</v>
      </c>
      <c r="AH145" t="e">
        <f t="shared" si="122"/>
        <v>#N/A</v>
      </c>
      <c r="AI145" t="e">
        <f t="shared" si="123"/>
        <v>#N/A</v>
      </c>
      <c r="AJ145" t="e">
        <f t="shared" si="124"/>
        <v>#N/A</v>
      </c>
    </row>
    <row r="146">
      <c r="A146" s="2"/>
      <c r="L146" t="e">
        <f t="shared" si="100"/>
        <v>#N/A</v>
      </c>
      <c r="M146" t="e">
        <f t="shared" si="101"/>
        <v>#N/A</v>
      </c>
      <c r="N146" t="e">
        <f t="shared" si="102"/>
        <v>#N/A</v>
      </c>
      <c r="O146" t="n">
        <f t="shared" si="103"/>
        <v>0</v>
      </c>
      <c r="P146" t="n">
        <f t="shared" si="104"/>
        <v>0</v>
      </c>
      <c r="Q146" t="n">
        <f t="shared" si="105"/>
        <v>0</v>
      </c>
      <c r="R146" t="n">
        <f t="shared" si="106"/>
        <v>0</v>
      </c>
      <c r="S146" t="e">
        <f t="shared" si="107"/>
        <v>#N/A</v>
      </c>
      <c r="T146" t="e">
        <f t="shared" si="108"/>
        <v>#N/A</v>
      </c>
      <c r="U146" t="e">
        <f t="shared" si="109"/>
        <v>#N/A</v>
      </c>
      <c r="V146" t="e">
        <f t="shared" si="110"/>
        <v>#N/A</v>
      </c>
      <c r="W146" t="e">
        <f t="shared" si="111"/>
        <v>#N/A</v>
      </c>
      <c r="X146" t="e">
        <f t="shared" si="112"/>
        <v>#N/A</v>
      </c>
      <c r="Y146" t="e">
        <f t="shared" si="113"/>
        <v>#N/A</v>
      </c>
      <c r="Z146" t="e">
        <f t="shared" si="114"/>
        <v>#N/A</v>
      </c>
      <c r="AA146" t="e">
        <f t="shared" si="115"/>
        <v>#N/A</v>
      </c>
      <c r="AB146" t="e">
        <f t="shared" si="116"/>
        <v>#N/A</v>
      </c>
      <c r="AC146" t="e">
        <f t="shared" si="117"/>
        <v>#N/A</v>
      </c>
      <c r="AD146" t="e">
        <f t="shared" si="118"/>
        <v>#N/A</v>
      </c>
      <c r="AE146" t="e">
        <f t="shared" si="119"/>
        <v>#N/A</v>
      </c>
      <c r="AF146" t="e">
        <f t="shared" si="120"/>
        <v>#N/A</v>
      </c>
      <c r="AG146" t="e">
        <f t="shared" si="121"/>
        <v>#N/A</v>
      </c>
      <c r="AH146" t="e">
        <f t="shared" si="122"/>
        <v>#N/A</v>
      </c>
      <c r="AI146" t="e">
        <f t="shared" si="123"/>
        <v>#N/A</v>
      </c>
      <c r="AJ146" t="e">
        <f t="shared" si="124"/>
        <v>#N/A</v>
      </c>
    </row>
    <row r="147">
      <c r="A147" s="2"/>
      <c r="L147" t="e">
        <f t="shared" si="100"/>
        <v>#N/A</v>
      </c>
      <c r="M147" t="e">
        <f t="shared" si="101"/>
        <v>#N/A</v>
      </c>
      <c r="N147" t="e">
        <f t="shared" si="102"/>
        <v>#N/A</v>
      </c>
      <c r="O147" t="n">
        <f t="shared" si="103"/>
        <v>0</v>
      </c>
      <c r="P147" t="n">
        <f t="shared" si="104"/>
        <v>0</v>
      </c>
      <c r="Q147" t="n">
        <f t="shared" si="105"/>
        <v>0</v>
      </c>
      <c r="R147" t="n">
        <f t="shared" si="106"/>
        <v>0</v>
      </c>
      <c r="S147" t="e">
        <f t="shared" si="107"/>
        <v>#N/A</v>
      </c>
      <c r="T147" t="e">
        <f t="shared" si="108"/>
        <v>#N/A</v>
      </c>
      <c r="U147" t="e">
        <f t="shared" si="109"/>
        <v>#N/A</v>
      </c>
      <c r="V147" t="e">
        <f t="shared" si="110"/>
        <v>#N/A</v>
      </c>
      <c r="W147" t="e">
        <f t="shared" si="111"/>
        <v>#N/A</v>
      </c>
      <c r="X147" t="e">
        <f t="shared" si="112"/>
        <v>#N/A</v>
      </c>
      <c r="Y147" t="e">
        <f t="shared" si="113"/>
        <v>#N/A</v>
      </c>
      <c r="Z147" t="e">
        <f t="shared" si="114"/>
        <v>#N/A</v>
      </c>
      <c r="AA147" t="e">
        <f t="shared" si="115"/>
        <v>#N/A</v>
      </c>
      <c r="AB147" t="e">
        <f t="shared" si="116"/>
        <v>#N/A</v>
      </c>
      <c r="AC147" t="e">
        <f t="shared" si="117"/>
        <v>#N/A</v>
      </c>
      <c r="AD147" t="e">
        <f t="shared" si="118"/>
        <v>#N/A</v>
      </c>
      <c r="AE147" t="e">
        <f t="shared" si="119"/>
        <v>#N/A</v>
      </c>
      <c r="AF147" t="e">
        <f t="shared" si="120"/>
        <v>#N/A</v>
      </c>
      <c r="AG147" t="e">
        <f t="shared" si="121"/>
        <v>#N/A</v>
      </c>
      <c r="AH147" t="e">
        <f t="shared" si="122"/>
        <v>#N/A</v>
      </c>
      <c r="AI147" t="e">
        <f t="shared" si="123"/>
        <v>#N/A</v>
      </c>
      <c r="AJ147" t="e">
        <f t="shared" si="124"/>
        <v>#N/A</v>
      </c>
    </row>
    <row r="148">
      <c r="A148" s="2"/>
      <c r="L148" t="e">
        <f t="shared" si="100"/>
        <v>#N/A</v>
      </c>
      <c r="M148" t="e">
        <f t="shared" si="101"/>
        <v>#N/A</v>
      </c>
      <c r="N148" t="e">
        <f t="shared" si="102"/>
        <v>#N/A</v>
      </c>
      <c r="O148" t="n">
        <f t="shared" si="103"/>
        <v>0</v>
      </c>
      <c r="P148" t="n">
        <f t="shared" si="104"/>
        <v>0</v>
      </c>
      <c r="Q148" t="n">
        <f t="shared" si="105"/>
        <v>0</v>
      </c>
      <c r="R148" t="n">
        <f t="shared" si="106"/>
        <v>0</v>
      </c>
      <c r="S148" t="e">
        <f t="shared" si="107"/>
        <v>#N/A</v>
      </c>
      <c r="T148" t="e">
        <f t="shared" si="108"/>
        <v>#N/A</v>
      </c>
      <c r="U148" t="e">
        <f t="shared" si="109"/>
        <v>#N/A</v>
      </c>
      <c r="V148" t="e">
        <f t="shared" si="110"/>
        <v>#N/A</v>
      </c>
      <c r="W148" t="e">
        <f t="shared" si="111"/>
        <v>#N/A</v>
      </c>
      <c r="X148" t="e">
        <f t="shared" si="112"/>
        <v>#N/A</v>
      </c>
      <c r="Y148" t="e">
        <f t="shared" si="113"/>
        <v>#N/A</v>
      </c>
      <c r="Z148" t="e">
        <f t="shared" si="114"/>
        <v>#N/A</v>
      </c>
      <c r="AA148" t="e">
        <f t="shared" si="115"/>
        <v>#N/A</v>
      </c>
      <c r="AB148" t="e">
        <f t="shared" si="116"/>
        <v>#N/A</v>
      </c>
      <c r="AC148" t="e">
        <f t="shared" si="117"/>
        <v>#N/A</v>
      </c>
      <c r="AD148" t="e">
        <f t="shared" si="118"/>
        <v>#N/A</v>
      </c>
      <c r="AE148" t="e">
        <f t="shared" si="119"/>
        <v>#N/A</v>
      </c>
      <c r="AF148" t="e">
        <f t="shared" si="120"/>
        <v>#N/A</v>
      </c>
      <c r="AG148" t="e">
        <f t="shared" si="121"/>
        <v>#N/A</v>
      </c>
      <c r="AH148" t="e">
        <f t="shared" si="122"/>
        <v>#N/A</v>
      </c>
      <c r="AI148" t="e">
        <f t="shared" si="123"/>
        <v>#N/A</v>
      </c>
      <c r="AJ148" t="e">
        <f t="shared" si="124"/>
        <v>#N/A</v>
      </c>
    </row>
    <row r="149">
      <c r="A149" s="2"/>
      <c r="L149" t="e">
        <f t="shared" si="100"/>
        <v>#N/A</v>
      </c>
      <c r="M149" t="e">
        <f t="shared" si="101"/>
        <v>#N/A</v>
      </c>
      <c r="N149" t="e">
        <f t="shared" si="102"/>
        <v>#N/A</v>
      </c>
      <c r="O149" t="n">
        <f t="shared" si="103"/>
        <v>0</v>
      </c>
      <c r="P149" t="n">
        <f t="shared" si="104"/>
        <v>0</v>
      </c>
      <c r="Q149" t="n">
        <f t="shared" si="105"/>
        <v>0</v>
      </c>
      <c r="R149" t="n">
        <f t="shared" si="106"/>
        <v>0</v>
      </c>
      <c r="S149" t="e">
        <f t="shared" si="107"/>
        <v>#N/A</v>
      </c>
      <c r="T149" t="e">
        <f t="shared" si="108"/>
        <v>#N/A</v>
      </c>
      <c r="U149" t="e">
        <f t="shared" si="109"/>
        <v>#N/A</v>
      </c>
      <c r="V149" t="e">
        <f t="shared" si="110"/>
        <v>#N/A</v>
      </c>
      <c r="W149" t="e">
        <f t="shared" si="111"/>
        <v>#N/A</v>
      </c>
      <c r="X149" t="e">
        <f t="shared" si="112"/>
        <v>#N/A</v>
      </c>
      <c r="Y149" t="e">
        <f t="shared" si="113"/>
        <v>#N/A</v>
      </c>
      <c r="Z149" t="e">
        <f t="shared" si="114"/>
        <v>#N/A</v>
      </c>
      <c r="AA149" t="e">
        <f t="shared" si="115"/>
        <v>#N/A</v>
      </c>
      <c r="AB149" t="e">
        <f t="shared" si="116"/>
        <v>#N/A</v>
      </c>
      <c r="AC149" t="e">
        <f t="shared" si="117"/>
        <v>#N/A</v>
      </c>
      <c r="AD149" t="e">
        <f t="shared" si="118"/>
        <v>#N/A</v>
      </c>
      <c r="AE149" t="e">
        <f t="shared" si="119"/>
        <v>#N/A</v>
      </c>
      <c r="AF149" t="e">
        <f t="shared" si="120"/>
        <v>#N/A</v>
      </c>
      <c r="AG149" t="e">
        <f t="shared" si="121"/>
        <v>#N/A</v>
      </c>
      <c r="AH149" t="e">
        <f t="shared" si="122"/>
        <v>#N/A</v>
      </c>
      <c r="AI149" t="e">
        <f t="shared" si="123"/>
        <v>#N/A</v>
      </c>
      <c r="AJ149" t="e">
        <f t="shared" si="124"/>
        <v>#N/A</v>
      </c>
    </row>
    <row r="150">
      <c r="A150" s="2"/>
      <c r="L150" t="e">
        <f t="shared" si="100"/>
        <v>#N/A</v>
      </c>
      <c r="M150" t="e">
        <f t="shared" si="101"/>
        <v>#N/A</v>
      </c>
      <c r="N150" t="e">
        <f t="shared" si="102"/>
        <v>#N/A</v>
      </c>
      <c r="O150" t="n">
        <f t="shared" si="103"/>
        <v>0</v>
      </c>
      <c r="P150" t="n">
        <f t="shared" si="104"/>
        <v>0</v>
      </c>
      <c r="Q150" t="n">
        <f t="shared" si="105"/>
        <v>0</v>
      </c>
      <c r="R150" t="n">
        <f t="shared" si="106"/>
        <v>0</v>
      </c>
      <c r="S150" t="e">
        <f t="shared" si="107"/>
        <v>#N/A</v>
      </c>
      <c r="T150" t="e">
        <f t="shared" si="108"/>
        <v>#N/A</v>
      </c>
      <c r="U150" t="e">
        <f t="shared" si="109"/>
        <v>#N/A</v>
      </c>
      <c r="V150" t="e">
        <f t="shared" si="110"/>
        <v>#N/A</v>
      </c>
      <c r="W150" t="e">
        <f t="shared" si="111"/>
        <v>#N/A</v>
      </c>
      <c r="X150" t="e">
        <f t="shared" si="112"/>
        <v>#N/A</v>
      </c>
      <c r="Y150" t="e">
        <f t="shared" si="113"/>
        <v>#N/A</v>
      </c>
      <c r="Z150" t="e">
        <f t="shared" si="114"/>
        <v>#N/A</v>
      </c>
      <c r="AA150" t="e">
        <f t="shared" si="115"/>
        <v>#N/A</v>
      </c>
      <c r="AB150" t="e">
        <f t="shared" si="116"/>
        <v>#N/A</v>
      </c>
      <c r="AC150" t="e">
        <f t="shared" si="117"/>
        <v>#N/A</v>
      </c>
      <c r="AD150" t="e">
        <f t="shared" si="118"/>
        <v>#N/A</v>
      </c>
      <c r="AE150" t="e">
        <f t="shared" si="119"/>
        <v>#N/A</v>
      </c>
      <c r="AF150" t="e">
        <f t="shared" si="120"/>
        <v>#N/A</v>
      </c>
      <c r="AG150" t="e">
        <f t="shared" si="121"/>
        <v>#N/A</v>
      </c>
      <c r="AH150" t="e">
        <f t="shared" si="122"/>
        <v>#N/A</v>
      </c>
      <c r="AI150" t="e">
        <f t="shared" si="123"/>
        <v>#N/A</v>
      </c>
      <c r="AJ150" t="e">
        <f t="shared" si="124"/>
        <v>#N/A</v>
      </c>
    </row>
    <row r="151">
      <c r="A151" s="2"/>
      <c r="L151" t="e">
        <f t="shared" si="100"/>
        <v>#N/A</v>
      </c>
      <c r="M151" t="e">
        <f t="shared" si="101"/>
        <v>#N/A</v>
      </c>
      <c r="N151" t="e">
        <f t="shared" si="102"/>
        <v>#N/A</v>
      </c>
      <c r="O151" t="n">
        <f t="shared" si="103"/>
        <v>0</v>
      </c>
      <c r="P151" t="n">
        <f t="shared" si="104"/>
        <v>0</v>
      </c>
      <c r="Q151" t="n">
        <f t="shared" si="105"/>
        <v>0</v>
      </c>
      <c r="R151" t="n">
        <f t="shared" si="106"/>
        <v>0</v>
      </c>
      <c r="S151" t="e">
        <f t="shared" si="107"/>
        <v>#N/A</v>
      </c>
      <c r="T151" t="e">
        <f t="shared" si="108"/>
        <v>#N/A</v>
      </c>
      <c r="U151" t="e">
        <f t="shared" si="109"/>
        <v>#N/A</v>
      </c>
      <c r="V151" t="e">
        <f t="shared" si="110"/>
        <v>#N/A</v>
      </c>
      <c r="W151" t="e">
        <f t="shared" si="111"/>
        <v>#N/A</v>
      </c>
      <c r="X151" t="e">
        <f t="shared" si="112"/>
        <v>#N/A</v>
      </c>
      <c r="Y151" t="e">
        <f t="shared" si="113"/>
        <v>#N/A</v>
      </c>
      <c r="Z151" t="e">
        <f t="shared" si="114"/>
        <v>#N/A</v>
      </c>
      <c r="AA151" t="e">
        <f t="shared" si="115"/>
        <v>#N/A</v>
      </c>
      <c r="AB151" t="e">
        <f t="shared" si="116"/>
        <v>#N/A</v>
      </c>
      <c r="AC151" t="e">
        <f t="shared" si="117"/>
        <v>#N/A</v>
      </c>
      <c r="AD151" t="e">
        <f t="shared" si="118"/>
        <v>#N/A</v>
      </c>
      <c r="AE151" t="e">
        <f t="shared" si="119"/>
        <v>#N/A</v>
      </c>
      <c r="AF151" t="e">
        <f t="shared" si="120"/>
        <v>#N/A</v>
      </c>
      <c r="AG151" t="e">
        <f t="shared" si="121"/>
        <v>#N/A</v>
      </c>
      <c r="AH151" t="e">
        <f t="shared" si="122"/>
        <v>#N/A</v>
      </c>
      <c r="AI151" t="e">
        <f t="shared" si="123"/>
        <v>#N/A</v>
      </c>
      <c r="AJ151" t="e">
        <f t="shared" si="124"/>
        <v>#N/A</v>
      </c>
    </row>
    <row r="152">
      <c r="A152" s="2"/>
      <c r="L152" t="e">
        <f t="shared" si="100"/>
        <v>#N/A</v>
      </c>
      <c r="M152" t="e">
        <f t="shared" si="101"/>
        <v>#N/A</v>
      </c>
      <c r="N152" t="e">
        <f t="shared" si="102"/>
        <v>#N/A</v>
      </c>
      <c r="O152" t="n">
        <f t="shared" si="103"/>
        <v>0</v>
      </c>
      <c r="P152" t="n">
        <f t="shared" si="104"/>
        <v>0</v>
      </c>
      <c r="Q152" t="n">
        <f t="shared" si="105"/>
        <v>0</v>
      </c>
      <c r="R152" t="n">
        <f t="shared" si="106"/>
        <v>0</v>
      </c>
      <c r="S152" t="e">
        <f t="shared" si="107"/>
        <v>#N/A</v>
      </c>
      <c r="T152" t="e">
        <f t="shared" si="108"/>
        <v>#N/A</v>
      </c>
      <c r="U152" t="e">
        <f t="shared" si="109"/>
        <v>#N/A</v>
      </c>
      <c r="V152" t="e">
        <f t="shared" si="110"/>
        <v>#N/A</v>
      </c>
      <c r="W152" t="e">
        <f t="shared" si="111"/>
        <v>#N/A</v>
      </c>
      <c r="X152" t="e">
        <f t="shared" si="112"/>
        <v>#N/A</v>
      </c>
      <c r="Y152" t="e">
        <f t="shared" si="113"/>
        <v>#N/A</v>
      </c>
      <c r="Z152" t="e">
        <f t="shared" si="114"/>
        <v>#N/A</v>
      </c>
      <c r="AA152" t="e">
        <f t="shared" si="115"/>
        <v>#N/A</v>
      </c>
      <c r="AB152" t="e">
        <f t="shared" si="116"/>
        <v>#N/A</v>
      </c>
      <c r="AC152" t="e">
        <f t="shared" si="117"/>
        <v>#N/A</v>
      </c>
      <c r="AD152" t="e">
        <f t="shared" si="118"/>
        <v>#N/A</v>
      </c>
      <c r="AE152" t="e">
        <f t="shared" si="119"/>
        <v>#N/A</v>
      </c>
      <c r="AF152" t="e">
        <f t="shared" si="120"/>
        <v>#N/A</v>
      </c>
      <c r="AG152" t="e">
        <f t="shared" si="121"/>
        <v>#N/A</v>
      </c>
      <c r="AH152" t="e">
        <f t="shared" si="122"/>
        <v>#N/A</v>
      </c>
      <c r="AI152" t="e">
        <f t="shared" si="123"/>
        <v>#N/A</v>
      </c>
      <c r="AJ152" t="e">
        <f t="shared" si="124"/>
        <v>#N/A</v>
      </c>
    </row>
    <row r="153">
      <c r="A153" s="2"/>
      <c r="L153" t="e">
        <f t="shared" si="100"/>
        <v>#N/A</v>
      </c>
      <c r="M153" t="e">
        <f t="shared" si="101"/>
        <v>#N/A</v>
      </c>
      <c r="N153" t="e">
        <f t="shared" si="102"/>
        <v>#N/A</v>
      </c>
      <c r="O153" t="n">
        <f t="shared" si="103"/>
        <v>0</v>
      </c>
      <c r="P153" t="n">
        <f t="shared" si="104"/>
        <v>0</v>
      </c>
      <c r="Q153" t="n">
        <f t="shared" si="105"/>
        <v>0</v>
      </c>
      <c r="R153" t="n">
        <f t="shared" si="106"/>
        <v>0</v>
      </c>
      <c r="S153" t="e">
        <f t="shared" si="107"/>
        <v>#N/A</v>
      </c>
      <c r="T153" t="e">
        <f t="shared" si="108"/>
        <v>#N/A</v>
      </c>
      <c r="U153" t="e">
        <f t="shared" si="109"/>
        <v>#N/A</v>
      </c>
      <c r="V153" t="e">
        <f t="shared" si="110"/>
        <v>#N/A</v>
      </c>
      <c r="W153" t="e">
        <f t="shared" si="111"/>
        <v>#N/A</v>
      </c>
      <c r="X153" t="e">
        <f t="shared" si="112"/>
        <v>#N/A</v>
      </c>
      <c r="Y153" t="e">
        <f t="shared" si="113"/>
        <v>#N/A</v>
      </c>
      <c r="Z153" t="e">
        <f t="shared" si="114"/>
        <v>#N/A</v>
      </c>
      <c r="AA153" t="e">
        <f t="shared" si="115"/>
        <v>#N/A</v>
      </c>
      <c r="AB153" t="e">
        <f t="shared" si="116"/>
        <v>#N/A</v>
      </c>
      <c r="AC153" t="e">
        <f t="shared" si="117"/>
        <v>#N/A</v>
      </c>
      <c r="AD153" t="e">
        <f t="shared" si="118"/>
        <v>#N/A</v>
      </c>
      <c r="AE153" t="e">
        <f t="shared" si="119"/>
        <v>#N/A</v>
      </c>
      <c r="AF153" t="e">
        <f t="shared" si="120"/>
        <v>#N/A</v>
      </c>
      <c r="AG153" t="e">
        <f t="shared" si="121"/>
        <v>#N/A</v>
      </c>
      <c r="AH153" t="e">
        <f t="shared" si="122"/>
        <v>#N/A</v>
      </c>
      <c r="AI153" t="e">
        <f t="shared" si="123"/>
        <v>#N/A</v>
      </c>
      <c r="AJ153" t="e">
        <f t="shared" si="124"/>
        <v>#N/A</v>
      </c>
    </row>
    <row r="154">
      <c r="A154" s="2"/>
      <c r="L154" t="e">
        <f t="shared" si="100"/>
        <v>#N/A</v>
      </c>
      <c r="M154" t="e">
        <f t="shared" si="101"/>
        <v>#N/A</v>
      </c>
      <c r="N154" t="e">
        <f t="shared" si="102"/>
        <v>#N/A</v>
      </c>
      <c r="O154" t="n">
        <f t="shared" si="103"/>
        <v>0</v>
      </c>
      <c r="P154" t="n">
        <f t="shared" si="104"/>
        <v>0</v>
      </c>
      <c r="Q154" t="n">
        <f t="shared" si="105"/>
        <v>0</v>
      </c>
      <c r="R154" t="n">
        <f t="shared" si="106"/>
        <v>0</v>
      </c>
      <c r="S154" t="e">
        <f t="shared" si="107"/>
        <v>#N/A</v>
      </c>
      <c r="T154" t="e">
        <f t="shared" si="108"/>
        <v>#N/A</v>
      </c>
      <c r="U154" t="e">
        <f t="shared" si="109"/>
        <v>#N/A</v>
      </c>
      <c r="V154" t="e">
        <f t="shared" si="110"/>
        <v>#N/A</v>
      </c>
      <c r="W154" t="e">
        <f t="shared" si="111"/>
        <v>#N/A</v>
      </c>
      <c r="X154" t="e">
        <f t="shared" si="112"/>
        <v>#N/A</v>
      </c>
      <c r="Y154" t="e">
        <f t="shared" si="113"/>
        <v>#N/A</v>
      </c>
      <c r="Z154" t="e">
        <f t="shared" si="114"/>
        <v>#N/A</v>
      </c>
      <c r="AA154" t="e">
        <f t="shared" si="115"/>
        <v>#N/A</v>
      </c>
      <c r="AB154" t="e">
        <f t="shared" si="116"/>
        <v>#N/A</v>
      </c>
      <c r="AC154" t="e">
        <f t="shared" si="117"/>
        <v>#N/A</v>
      </c>
      <c r="AD154" t="e">
        <f t="shared" si="118"/>
        <v>#N/A</v>
      </c>
      <c r="AE154" t="e">
        <f t="shared" si="119"/>
        <v>#N/A</v>
      </c>
      <c r="AF154" t="e">
        <f t="shared" si="120"/>
        <v>#N/A</v>
      </c>
      <c r="AG154" t="e">
        <f t="shared" si="121"/>
        <v>#N/A</v>
      </c>
      <c r="AH154" t="e">
        <f t="shared" si="122"/>
        <v>#N/A</v>
      </c>
      <c r="AI154" t="e">
        <f t="shared" si="123"/>
        <v>#N/A</v>
      </c>
      <c r="AJ154" t="e">
        <f t="shared" si="124"/>
        <v>#N/A</v>
      </c>
    </row>
    <row r="155">
      <c r="A155" s="2"/>
      <c r="L155" t="e">
        <f t="shared" si="100"/>
        <v>#N/A</v>
      </c>
      <c r="M155" t="e">
        <f t="shared" si="101"/>
        <v>#N/A</v>
      </c>
      <c r="N155" t="e">
        <f t="shared" si="102"/>
        <v>#N/A</v>
      </c>
      <c r="O155" t="n">
        <f t="shared" si="103"/>
        <v>0</v>
      </c>
      <c r="P155" t="n">
        <f t="shared" si="104"/>
        <v>0</v>
      </c>
      <c r="Q155" t="n">
        <f t="shared" si="105"/>
        <v>0</v>
      </c>
      <c r="R155" t="n">
        <f t="shared" si="106"/>
        <v>0</v>
      </c>
      <c r="S155" t="e">
        <f t="shared" si="107"/>
        <v>#N/A</v>
      </c>
      <c r="T155" t="e">
        <f t="shared" si="108"/>
        <v>#N/A</v>
      </c>
      <c r="U155" t="e">
        <f t="shared" si="109"/>
        <v>#N/A</v>
      </c>
      <c r="V155" t="e">
        <f t="shared" si="110"/>
        <v>#N/A</v>
      </c>
      <c r="W155" t="e">
        <f t="shared" si="111"/>
        <v>#N/A</v>
      </c>
      <c r="X155" t="e">
        <f t="shared" si="112"/>
        <v>#N/A</v>
      </c>
      <c r="Y155" t="e">
        <f t="shared" si="113"/>
        <v>#N/A</v>
      </c>
      <c r="Z155" t="e">
        <f t="shared" si="114"/>
        <v>#N/A</v>
      </c>
      <c r="AA155" t="e">
        <f t="shared" si="115"/>
        <v>#N/A</v>
      </c>
      <c r="AB155" t="e">
        <f t="shared" si="116"/>
        <v>#N/A</v>
      </c>
      <c r="AC155" t="e">
        <f t="shared" si="117"/>
        <v>#N/A</v>
      </c>
      <c r="AD155" t="e">
        <f t="shared" si="118"/>
        <v>#N/A</v>
      </c>
      <c r="AE155" t="e">
        <f t="shared" si="119"/>
        <v>#N/A</v>
      </c>
      <c r="AF155" t="e">
        <f t="shared" si="120"/>
        <v>#N/A</v>
      </c>
      <c r="AG155" t="e">
        <f t="shared" si="121"/>
        <v>#N/A</v>
      </c>
      <c r="AH155" t="e">
        <f t="shared" si="122"/>
        <v>#N/A</v>
      </c>
      <c r="AI155" t="e">
        <f t="shared" si="123"/>
        <v>#N/A</v>
      </c>
      <c r="AJ155" t="e">
        <f t="shared" si="124"/>
        <v>#N/A</v>
      </c>
    </row>
    <row r="156">
      <c r="A156" s="2"/>
      <c r="L156" t="e">
        <f t="shared" si="100"/>
        <v>#N/A</v>
      </c>
      <c r="M156" t="e">
        <f t="shared" si="101"/>
        <v>#N/A</v>
      </c>
      <c r="N156" t="e">
        <f t="shared" si="102"/>
        <v>#N/A</v>
      </c>
      <c r="O156" t="n">
        <f t="shared" si="103"/>
        <v>0</v>
      </c>
      <c r="P156" t="n">
        <f t="shared" si="104"/>
        <v>0</v>
      </c>
      <c r="Q156" t="n">
        <f t="shared" si="105"/>
        <v>0</v>
      </c>
      <c r="R156" t="n">
        <f t="shared" si="106"/>
        <v>0</v>
      </c>
      <c r="S156" t="e">
        <f t="shared" si="107"/>
        <v>#N/A</v>
      </c>
      <c r="T156" t="e">
        <f t="shared" si="108"/>
        <v>#N/A</v>
      </c>
      <c r="U156" t="e">
        <f t="shared" si="109"/>
        <v>#N/A</v>
      </c>
      <c r="V156" t="e">
        <f t="shared" si="110"/>
        <v>#N/A</v>
      </c>
      <c r="W156" t="e">
        <f t="shared" si="111"/>
        <v>#N/A</v>
      </c>
      <c r="X156" t="e">
        <f t="shared" si="112"/>
        <v>#N/A</v>
      </c>
      <c r="Y156" t="e">
        <f t="shared" si="113"/>
        <v>#N/A</v>
      </c>
      <c r="Z156" t="e">
        <f t="shared" si="114"/>
        <v>#N/A</v>
      </c>
      <c r="AA156" t="e">
        <f t="shared" si="115"/>
        <v>#N/A</v>
      </c>
      <c r="AB156" t="e">
        <f t="shared" si="116"/>
        <v>#N/A</v>
      </c>
      <c r="AC156" t="e">
        <f t="shared" si="117"/>
        <v>#N/A</v>
      </c>
      <c r="AD156" t="e">
        <f t="shared" si="118"/>
        <v>#N/A</v>
      </c>
      <c r="AE156" t="e">
        <f t="shared" si="119"/>
        <v>#N/A</v>
      </c>
      <c r="AF156" t="e">
        <f t="shared" si="120"/>
        <v>#N/A</v>
      </c>
      <c r="AG156" t="e">
        <f t="shared" si="121"/>
        <v>#N/A</v>
      </c>
      <c r="AH156" t="e">
        <f t="shared" si="122"/>
        <v>#N/A</v>
      </c>
      <c r="AI156" t="e">
        <f t="shared" si="123"/>
        <v>#N/A</v>
      </c>
      <c r="AJ156" t="e">
        <f t="shared" si="124"/>
        <v>#N/A</v>
      </c>
    </row>
    <row r="157">
      <c r="A157" s="2"/>
      <c r="L157" t="e">
        <f t="shared" si="100"/>
        <v>#N/A</v>
      </c>
      <c r="M157" t="e">
        <f t="shared" si="101"/>
        <v>#N/A</v>
      </c>
      <c r="N157" t="e">
        <f t="shared" si="102"/>
        <v>#N/A</v>
      </c>
      <c r="O157" t="n">
        <f t="shared" si="103"/>
        <v>0</v>
      </c>
      <c r="P157" t="n">
        <f t="shared" si="104"/>
        <v>0</v>
      </c>
      <c r="Q157" t="n">
        <f t="shared" si="105"/>
        <v>0</v>
      </c>
      <c r="R157" t="n">
        <f t="shared" si="106"/>
        <v>0</v>
      </c>
      <c r="S157" t="e">
        <f t="shared" si="107"/>
        <v>#N/A</v>
      </c>
      <c r="T157" t="e">
        <f t="shared" si="108"/>
        <v>#N/A</v>
      </c>
      <c r="U157" t="e">
        <f t="shared" si="109"/>
        <v>#N/A</v>
      </c>
      <c r="V157" t="e">
        <f t="shared" si="110"/>
        <v>#N/A</v>
      </c>
      <c r="W157" t="e">
        <f t="shared" si="111"/>
        <v>#N/A</v>
      </c>
      <c r="X157" t="e">
        <f t="shared" si="112"/>
        <v>#N/A</v>
      </c>
      <c r="Y157" t="e">
        <f t="shared" si="113"/>
        <v>#N/A</v>
      </c>
      <c r="Z157" t="e">
        <f t="shared" si="114"/>
        <v>#N/A</v>
      </c>
      <c r="AA157" t="e">
        <f t="shared" si="115"/>
        <v>#N/A</v>
      </c>
      <c r="AB157" t="e">
        <f t="shared" si="116"/>
        <v>#N/A</v>
      </c>
      <c r="AC157" t="e">
        <f t="shared" si="117"/>
        <v>#N/A</v>
      </c>
      <c r="AD157" t="e">
        <f t="shared" si="118"/>
        <v>#N/A</v>
      </c>
      <c r="AE157" t="e">
        <f t="shared" si="119"/>
        <v>#N/A</v>
      </c>
      <c r="AF157" t="e">
        <f t="shared" si="120"/>
        <v>#N/A</v>
      </c>
      <c r="AG157" t="e">
        <f t="shared" si="121"/>
        <v>#N/A</v>
      </c>
      <c r="AH157" t="e">
        <f t="shared" si="122"/>
        <v>#N/A</v>
      </c>
      <c r="AI157" t="e">
        <f t="shared" si="123"/>
        <v>#N/A</v>
      </c>
      <c r="AJ157" t="e">
        <f t="shared" si="124"/>
        <v>#N/A</v>
      </c>
    </row>
    <row r="158">
      <c r="A158" s="2"/>
      <c r="L158" t="e">
        <f t="shared" si="100"/>
        <v>#N/A</v>
      </c>
      <c r="M158" t="e">
        <f t="shared" si="101"/>
        <v>#N/A</v>
      </c>
      <c r="N158" t="e">
        <f t="shared" si="102"/>
        <v>#N/A</v>
      </c>
      <c r="O158" t="n">
        <f t="shared" si="103"/>
        <v>0</v>
      </c>
      <c r="P158" t="n">
        <f t="shared" si="104"/>
        <v>0</v>
      </c>
      <c r="Q158" t="n">
        <f t="shared" si="105"/>
        <v>0</v>
      </c>
      <c r="R158" t="n">
        <f t="shared" si="106"/>
        <v>0</v>
      </c>
      <c r="S158" t="e">
        <f t="shared" si="107"/>
        <v>#N/A</v>
      </c>
      <c r="T158" t="e">
        <f t="shared" si="108"/>
        <v>#N/A</v>
      </c>
      <c r="U158" t="e">
        <f t="shared" si="109"/>
        <v>#N/A</v>
      </c>
      <c r="V158" t="e">
        <f t="shared" si="110"/>
        <v>#N/A</v>
      </c>
      <c r="W158" t="e">
        <f t="shared" si="111"/>
        <v>#N/A</v>
      </c>
      <c r="X158" t="e">
        <f t="shared" si="112"/>
        <v>#N/A</v>
      </c>
      <c r="Y158" t="e">
        <f t="shared" si="113"/>
        <v>#N/A</v>
      </c>
      <c r="Z158" t="e">
        <f t="shared" si="114"/>
        <v>#N/A</v>
      </c>
      <c r="AA158" t="e">
        <f t="shared" si="115"/>
        <v>#N/A</v>
      </c>
      <c r="AB158" t="e">
        <f t="shared" si="116"/>
        <v>#N/A</v>
      </c>
      <c r="AC158" t="e">
        <f t="shared" si="117"/>
        <v>#N/A</v>
      </c>
      <c r="AD158" t="e">
        <f t="shared" si="118"/>
        <v>#N/A</v>
      </c>
      <c r="AE158" t="e">
        <f t="shared" si="119"/>
        <v>#N/A</v>
      </c>
      <c r="AF158" t="e">
        <f t="shared" si="120"/>
        <v>#N/A</v>
      </c>
      <c r="AG158" t="e">
        <f t="shared" si="121"/>
        <v>#N/A</v>
      </c>
      <c r="AH158" t="e">
        <f t="shared" si="122"/>
        <v>#N/A</v>
      </c>
      <c r="AI158" t="e">
        <f t="shared" si="123"/>
        <v>#N/A</v>
      </c>
      <c r="AJ158" t="e">
        <f t="shared" si="124"/>
        <v>#N/A</v>
      </c>
    </row>
    <row r="159">
      <c r="A159" s="2"/>
      <c r="L159" t="e">
        <f t="shared" si="100"/>
        <v>#N/A</v>
      </c>
      <c r="M159" t="e">
        <f t="shared" si="101"/>
        <v>#N/A</v>
      </c>
      <c r="N159" t="e">
        <f t="shared" si="102"/>
        <v>#N/A</v>
      </c>
      <c r="O159" t="n">
        <f t="shared" si="103"/>
        <v>0</v>
      </c>
      <c r="P159" t="n">
        <f t="shared" si="104"/>
        <v>0</v>
      </c>
      <c r="Q159" t="n">
        <f t="shared" si="105"/>
        <v>0</v>
      </c>
      <c r="R159" t="n">
        <f t="shared" si="106"/>
        <v>0</v>
      </c>
      <c r="S159" t="e">
        <f t="shared" si="107"/>
        <v>#N/A</v>
      </c>
      <c r="T159" t="e">
        <f t="shared" si="108"/>
        <v>#N/A</v>
      </c>
      <c r="U159" t="e">
        <f t="shared" si="109"/>
        <v>#N/A</v>
      </c>
      <c r="V159" t="e">
        <f t="shared" si="110"/>
        <v>#N/A</v>
      </c>
      <c r="W159" t="e">
        <f t="shared" si="111"/>
        <v>#N/A</v>
      </c>
      <c r="X159" t="e">
        <f t="shared" si="112"/>
        <v>#N/A</v>
      </c>
      <c r="Y159" t="e">
        <f t="shared" si="113"/>
        <v>#N/A</v>
      </c>
      <c r="Z159" t="e">
        <f t="shared" si="114"/>
        <v>#N/A</v>
      </c>
      <c r="AA159" t="e">
        <f t="shared" si="115"/>
        <v>#N/A</v>
      </c>
      <c r="AB159" t="e">
        <f t="shared" si="116"/>
        <v>#N/A</v>
      </c>
      <c r="AC159" t="e">
        <f t="shared" si="117"/>
        <v>#N/A</v>
      </c>
      <c r="AD159" t="e">
        <f t="shared" si="118"/>
        <v>#N/A</v>
      </c>
      <c r="AE159" t="e">
        <f t="shared" si="119"/>
        <v>#N/A</v>
      </c>
      <c r="AF159" t="e">
        <f t="shared" si="120"/>
        <v>#N/A</v>
      </c>
      <c r="AG159" t="e">
        <f t="shared" si="121"/>
        <v>#N/A</v>
      </c>
      <c r="AH159" t="e">
        <f t="shared" si="122"/>
        <v>#N/A</v>
      </c>
      <c r="AI159" t="e">
        <f t="shared" si="123"/>
        <v>#N/A</v>
      </c>
      <c r="AJ159" t="e">
        <f t="shared" si="124"/>
        <v>#N/A</v>
      </c>
    </row>
    <row r="160">
      <c r="A160" s="2"/>
      <c r="L160" t="e">
        <f t="shared" si="100"/>
        <v>#N/A</v>
      </c>
      <c r="M160" t="e">
        <f t="shared" si="101"/>
        <v>#N/A</v>
      </c>
      <c r="N160" t="e">
        <f t="shared" si="102"/>
        <v>#N/A</v>
      </c>
      <c r="O160" t="n">
        <f t="shared" si="103"/>
        <v>0</v>
      </c>
      <c r="P160" t="n">
        <f t="shared" si="104"/>
        <v>0</v>
      </c>
      <c r="Q160" t="n">
        <f t="shared" si="105"/>
        <v>0</v>
      </c>
      <c r="R160" t="n">
        <f t="shared" si="106"/>
        <v>0</v>
      </c>
      <c r="S160" t="e">
        <f t="shared" si="107"/>
        <v>#N/A</v>
      </c>
      <c r="T160" t="e">
        <f t="shared" si="108"/>
        <v>#N/A</v>
      </c>
      <c r="U160" t="e">
        <f t="shared" si="109"/>
        <v>#N/A</v>
      </c>
      <c r="V160" t="e">
        <f t="shared" si="110"/>
        <v>#N/A</v>
      </c>
      <c r="W160" t="e">
        <f t="shared" si="111"/>
        <v>#N/A</v>
      </c>
      <c r="X160" t="e">
        <f t="shared" si="112"/>
        <v>#N/A</v>
      </c>
      <c r="Y160" t="e">
        <f t="shared" si="113"/>
        <v>#N/A</v>
      </c>
      <c r="Z160" t="e">
        <f t="shared" si="114"/>
        <v>#N/A</v>
      </c>
      <c r="AA160" t="e">
        <f t="shared" si="115"/>
        <v>#N/A</v>
      </c>
      <c r="AB160" t="e">
        <f t="shared" si="116"/>
        <v>#N/A</v>
      </c>
      <c r="AC160" t="e">
        <f t="shared" si="117"/>
        <v>#N/A</v>
      </c>
      <c r="AD160" t="e">
        <f t="shared" si="118"/>
        <v>#N/A</v>
      </c>
      <c r="AE160" t="e">
        <f t="shared" si="119"/>
        <v>#N/A</v>
      </c>
      <c r="AF160" t="e">
        <f t="shared" si="120"/>
        <v>#N/A</v>
      </c>
      <c r="AG160" t="e">
        <f t="shared" si="121"/>
        <v>#N/A</v>
      </c>
      <c r="AH160" t="e">
        <f t="shared" si="122"/>
        <v>#N/A</v>
      </c>
      <c r="AI160" t="e">
        <f t="shared" si="123"/>
        <v>#N/A</v>
      </c>
      <c r="AJ160" t="e">
        <f t="shared" si="124"/>
        <v>#N/A</v>
      </c>
    </row>
    <row r="161">
      <c r="A161" s="2"/>
      <c r="L161" t="e">
        <f t="shared" si="100"/>
        <v>#N/A</v>
      </c>
      <c r="M161" t="e">
        <f t="shared" si="101"/>
        <v>#N/A</v>
      </c>
      <c r="N161" t="e">
        <f t="shared" si="102"/>
        <v>#N/A</v>
      </c>
      <c r="O161" t="n">
        <f t="shared" si="103"/>
        <v>0</v>
      </c>
      <c r="P161" t="n">
        <f t="shared" si="104"/>
        <v>0</v>
      </c>
      <c r="Q161" t="n">
        <f t="shared" si="105"/>
        <v>0</v>
      </c>
      <c r="R161" t="n">
        <f t="shared" si="106"/>
        <v>0</v>
      </c>
      <c r="S161" t="e">
        <f t="shared" si="107"/>
        <v>#N/A</v>
      </c>
      <c r="T161" t="e">
        <f t="shared" si="108"/>
        <v>#N/A</v>
      </c>
      <c r="U161" t="e">
        <f t="shared" si="109"/>
        <v>#N/A</v>
      </c>
      <c r="V161" t="e">
        <f t="shared" si="110"/>
        <v>#N/A</v>
      </c>
      <c r="W161" t="e">
        <f t="shared" si="111"/>
        <v>#N/A</v>
      </c>
      <c r="X161" t="e">
        <f t="shared" si="112"/>
        <v>#N/A</v>
      </c>
      <c r="Y161" t="e">
        <f t="shared" si="113"/>
        <v>#N/A</v>
      </c>
      <c r="Z161" t="e">
        <f t="shared" si="114"/>
        <v>#N/A</v>
      </c>
      <c r="AA161" t="e">
        <f t="shared" si="115"/>
        <v>#N/A</v>
      </c>
      <c r="AB161" t="e">
        <f t="shared" si="116"/>
        <v>#N/A</v>
      </c>
      <c r="AC161" t="e">
        <f t="shared" si="117"/>
        <v>#N/A</v>
      </c>
      <c r="AD161" t="e">
        <f t="shared" si="118"/>
        <v>#N/A</v>
      </c>
      <c r="AE161" t="e">
        <f t="shared" si="119"/>
        <v>#N/A</v>
      </c>
      <c r="AF161" t="e">
        <f t="shared" si="120"/>
        <v>#N/A</v>
      </c>
      <c r="AG161" t="e">
        <f t="shared" si="121"/>
        <v>#N/A</v>
      </c>
      <c r="AH161" t="e">
        <f t="shared" si="122"/>
        <v>#N/A</v>
      </c>
      <c r="AI161" t="e">
        <f t="shared" si="123"/>
        <v>#N/A</v>
      </c>
      <c r="AJ161" t="e">
        <f t="shared" si="124"/>
        <v>#N/A</v>
      </c>
    </row>
    <row r="162">
      <c r="A162" s="2"/>
      <c r="L162" t="e">
        <f t="shared" ref="L162:L193" si="125">IF(ROW()&lt;=5,NA(),IFERROR(100*(B162/INDEX(B:B,ROW()-4)-1),NA()))</f>
        <v>#N/A</v>
      </c>
      <c r="M162" t="e">
        <f t="shared" ref="M162:M193" si="126">IF(ROW()&lt;=5,NA(),IFERROR(100*(C162/INDEX(C:C,ROW()-4)-1),NA()))</f>
        <v>#N/A</v>
      </c>
      <c r="N162" t="e">
        <f t="shared" ref="N162:N193" si="127">IF(ROW()&lt;=5,NA(),IFERROR(100*(D162/INDEX(D:D,ROW()-4)-1),NA()))</f>
        <v>#N/A</v>
      </c>
      <c r="O162" t="n">
        <f t="shared" ref="O162:O193" si="128">100*G162</f>
        <v>0</v>
      </c>
      <c r="P162" t="n">
        <f t="shared" ref="P162:P193" si="129">100*H162</f>
        <v>0</v>
      </c>
      <c r="Q162" t="n">
        <f t="shared" ref="Q162:Q193" si="130">100*I162</f>
        <v>0</v>
      </c>
      <c r="R162" t="n">
        <f t="shared" ref="R162:R193" si="131">100*J162</f>
        <v>0</v>
      </c>
      <c r="S162" t="e">
        <f t="shared" ref="S162:S193" si="132">IFERROR(100*E162/INDEX(E:E,MATCH(DATE(2024,12,1),A:A,0)),NA())</f>
        <v>#N/A</v>
      </c>
      <c r="T162" t="e">
        <f t="shared" ref="T162:T193" si="133">IFERROR(100*F162/INDEX(F:F,MATCH(DATE(2024,12,1),A:A,0)),NA())</f>
        <v>#N/A</v>
      </c>
      <c r="U162" t="e">
        <f t="shared" ref="U162:U193" si="134">IF($K162="Actual",L162,NA())</f>
        <v>#N/A</v>
      </c>
      <c r="V162" t="e">
        <f t="shared" ref="V162:V193" si="135">IF($A162&gt;=DATE(2024,12,1),L162,NA())</f>
        <v>#N/A</v>
      </c>
      <c r="W162" t="e">
        <f t="shared" ref="W162:W193" si="136">IF($K162="Actual",M162,NA())</f>
        <v>#N/A</v>
      </c>
      <c r="X162" t="e">
        <f t="shared" ref="X162:X193" si="137">IF($A162&gt;=DATE(2024,12,1),M162,NA())</f>
        <v>#N/A</v>
      </c>
      <c r="Y162" t="e">
        <f t="shared" ref="Y162:Y193" si="138">IF($K162="Actual",S162,NA())</f>
        <v>#N/A</v>
      </c>
      <c r="Z162" t="e">
        <f t="shared" ref="Z162:Z193" si="139">IF($A162&gt;=DATE(2024,12,1),S162,NA())</f>
        <v>#N/A</v>
      </c>
      <c r="AA162" t="e">
        <f t="shared" ref="AA162:AA193" si="140">IF($K162="Actual",T162,NA())</f>
        <v>#N/A</v>
      </c>
      <c r="AB162" t="e">
        <f t="shared" ref="AB162:AB193" si="141">IF($A162&gt;=DATE(2024,12,1),T162,NA())</f>
        <v>#N/A</v>
      </c>
      <c r="AC162" t="e">
        <f t="shared" ref="AC162:AC193" si="142">IF($K162="Actual",O162,NA())</f>
        <v>#N/A</v>
      </c>
      <c r="AD162" t="e">
        <f t="shared" ref="AD162:AD193" si="143">IF($A162&gt;=DATE(2024,12,1),O162,NA())</f>
        <v>#N/A</v>
      </c>
      <c r="AE162" t="e">
        <f t="shared" ref="AE162:AE193" si="144">IF($K162="Actual",Q162,NA())</f>
        <v>#N/A</v>
      </c>
      <c r="AF162" t="e">
        <f t="shared" ref="AF162:AF193" si="145">IF($A162&gt;=DATE(2024,12,1),Q162,NA())</f>
        <v>#N/A</v>
      </c>
      <c r="AG162" t="e">
        <f t="shared" ref="AG162:AG193" si="146">IF($K162="Actual",R162,NA())</f>
        <v>#N/A</v>
      </c>
      <c r="AH162" t="e">
        <f t="shared" ref="AH162:AH193" si="147">IF($A162&gt;=DATE(2024,12,1),R162,NA())</f>
        <v>#N/A</v>
      </c>
      <c r="AI162" t="e">
        <f t="shared" ref="AI162:AI193" si="148">IF($K162="Actual",N162,NA())</f>
        <v>#N/A</v>
      </c>
      <c r="AJ162" t="e">
        <f t="shared" ref="AJ162:AJ193" si="149">IF($A162&gt;=DATE(2024,12,1),N162,NA())</f>
        <v>#N/A</v>
      </c>
    </row>
    <row r="163">
      <c r="A163" s="2"/>
      <c r="L163" t="e">
        <f t="shared" si="125"/>
        <v>#N/A</v>
      </c>
      <c r="M163" t="e">
        <f t="shared" si="126"/>
        <v>#N/A</v>
      </c>
      <c r="N163" t="e">
        <f t="shared" si="127"/>
        <v>#N/A</v>
      </c>
      <c r="O163" t="n">
        <f t="shared" si="128"/>
        <v>0</v>
      </c>
      <c r="P163" t="n">
        <f t="shared" si="129"/>
        <v>0</v>
      </c>
      <c r="Q163" t="n">
        <f t="shared" si="130"/>
        <v>0</v>
      </c>
      <c r="R163" t="n">
        <f t="shared" si="131"/>
        <v>0</v>
      </c>
      <c r="S163" t="e">
        <f t="shared" si="132"/>
        <v>#N/A</v>
      </c>
      <c r="T163" t="e">
        <f t="shared" si="133"/>
        <v>#N/A</v>
      </c>
      <c r="U163" t="e">
        <f t="shared" si="134"/>
        <v>#N/A</v>
      </c>
      <c r="V163" t="e">
        <f t="shared" si="135"/>
        <v>#N/A</v>
      </c>
      <c r="W163" t="e">
        <f t="shared" si="136"/>
        <v>#N/A</v>
      </c>
      <c r="X163" t="e">
        <f t="shared" si="137"/>
        <v>#N/A</v>
      </c>
      <c r="Y163" t="e">
        <f t="shared" si="138"/>
        <v>#N/A</v>
      </c>
      <c r="Z163" t="e">
        <f t="shared" si="139"/>
        <v>#N/A</v>
      </c>
      <c r="AA163" t="e">
        <f t="shared" si="140"/>
        <v>#N/A</v>
      </c>
      <c r="AB163" t="e">
        <f t="shared" si="141"/>
        <v>#N/A</v>
      </c>
      <c r="AC163" t="e">
        <f t="shared" si="142"/>
        <v>#N/A</v>
      </c>
      <c r="AD163" t="e">
        <f t="shared" si="143"/>
        <v>#N/A</v>
      </c>
      <c r="AE163" t="e">
        <f t="shared" si="144"/>
        <v>#N/A</v>
      </c>
      <c r="AF163" t="e">
        <f t="shared" si="145"/>
        <v>#N/A</v>
      </c>
      <c r="AG163" t="e">
        <f t="shared" si="146"/>
        <v>#N/A</v>
      </c>
      <c r="AH163" t="e">
        <f t="shared" si="147"/>
        <v>#N/A</v>
      </c>
      <c r="AI163" t="e">
        <f t="shared" si="148"/>
        <v>#N/A</v>
      </c>
      <c r="AJ163" t="e">
        <f t="shared" si="149"/>
        <v>#N/A</v>
      </c>
    </row>
    <row r="164">
      <c r="A164" s="2"/>
      <c r="L164" t="e">
        <f t="shared" si="125"/>
        <v>#N/A</v>
      </c>
      <c r="M164" t="e">
        <f t="shared" si="126"/>
        <v>#N/A</v>
      </c>
      <c r="N164" t="e">
        <f t="shared" si="127"/>
        <v>#N/A</v>
      </c>
      <c r="O164" t="n">
        <f t="shared" si="128"/>
        <v>0</v>
      </c>
      <c r="P164" t="n">
        <f t="shared" si="129"/>
        <v>0</v>
      </c>
      <c r="Q164" t="n">
        <f t="shared" si="130"/>
        <v>0</v>
      </c>
      <c r="R164" t="n">
        <f t="shared" si="131"/>
        <v>0</v>
      </c>
      <c r="S164" t="e">
        <f t="shared" si="132"/>
        <v>#N/A</v>
      </c>
      <c r="T164" t="e">
        <f t="shared" si="133"/>
        <v>#N/A</v>
      </c>
      <c r="U164" t="e">
        <f t="shared" si="134"/>
        <v>#N/A</v>
      </c>
      <c r="V164" t="e">
        <f t="shared" si="135"/>
        <v>#N/A</v>
      </c>
      <c r="W164" t="e">
        <f t="shared" si="136"/>
        <v>#N/A</v>
      </c>
      <c r="X164" t="e">
        <f t="shared" si="137"/>
        <v>#N/A</v>
      </c>
      <c r="Y164" t="e">
        <f t="shared" si="138"/>
        <v>#N/A</v>
      </c>
      <c r="Z164" t="e">
        <f t="shared" si="139"/>
        <v>#N/A</v>
      </c>
      <c r="AA164" t="e">
        <f t="shared" si="140"/>
        <v>#N/A</v>
      </c>
      <c r="AB164" t="e">
        <f t="shared" si="141"/>
        <v>#N/A</v>
      </c>
      <c r="AC164" t="e">
        <f t="shared" si="142"/>
        <v>#N/A</v>
      </c>
      <c r="AD164" t="e">
        <f t="shared" si="143"/>
        <v>#N/A</v>
      </c>
      <c r="AE164" t="e">
        <f t="shared" si="144"/>
        <v>#N/A</v>
      </c>
      <c r="AF164" t="e">
        <f t="shared" si="145"/>
        <v>#N/A</v>
      </c>
      <c r="AG164" t="e">
        <f t="shared" si="146"/>
        <v>#N/A</v>
      </c>
      <c r="AH164" t="e">
        <f t="shared" si="147"/>
        <v>#N/A</v>
      </c>
      <c r="AI164" t="e">
        <f t="shared" si="148"/>
        <v>#N/A</v>
      </c>
      <c r="AJ164" t="e">
        <f t="shared" si="149"/>
        <v>#N/A</v>
      </c>
    </row>
    <row r="165">
      <c r="A165" s="2"/>
      <c r="L165" t="e">
        <f t="shared" si="125"/>
        <v>#N/A</v>
      </c>
      <c r="M165" t="e">
        <f t="shared" si="126"/>
        <v>#N/A</v>
      </c>
      <c r="N165" t="e">
        <f t="shared" si="127"/>
        <v>#N/A</v>
      </c>
      <c r="O165" t="n">
        <f t="shared" si="128"/>
        <v>0</v>
      </c>
      <c r="P165" t="n">
        <f t="shared" si="129"/>
        <v>0</v>
      </c>
      <c r="Q165" t="n">
        <f t="shared" si="130"/>
        <v>0</v>
      </c>
      <c r="R165" t="n">
        <f t="shared" si="131"/>
        <v>0</v>
      </c>
      <c r="S165" t="e">
        <f t="shared" si="132"/>
        <v>#N/A</v>
      </c>
      <c r="T165" t="e">
        <f t="shared" si="133"/>
        <v>#N/A</v>
      </c>
      <c r="U165" t="e">
        <f t="shared" si="134"/>
        <v>#N/A</v>
      </c>
      <c r="V165" t="e">
        <f t="shared" si="135"/>
        <v>#N/A</v>
      </c>
      <c r="W165" t="e">
        <f t="shared" si="136"/>
        <v>#N/A</v>
      </c>
      <c r="X165" t="e">
        <f t="shared" si="137"/>
        <v>#N/A</v>
      </c>
      <c r="Y165" t="e">
        <f t="shared" si="138"/>
        <v>#N/A</v>
      </c>
      <c r="Z165" t="e">
        <f t="shared" si="139"/>
        <v>#N/A</v>
      </c>
      <c r="AA165" t="e">
        <f t="shared" si="140"/>
        <v>#N/A</v>
      </c>
      <c r="AB165" t="e">
        <f t="shared" si="141"/>
        <v>#N/A</v>
      </c>
      <c r="AC165" t="e">
        <f t="shared" si="142"/>
        <v>#N/A</v>
      </c>
      <c r="AD165" t="e">
        <f t="shared" si="143"/>
        <v>#N/A</v>
      </c>
      <c r="AE165" t="e">
        <f t="shared" si="144"/>
        <v>#N/A</v>
      </c>
      <c r="AF165" t="e">
        <f t="shared" si="145"/>
        <v>#N/A</v>
      </c>
      <c r="AG165" t="e">
        <f t="shared" si="146"/>
        <v>#N/A</v>
      </c>
      <c r="AH165" t="e">
        <f t="shared" si="147"/>
        <v>#N/A</v>
      </c>
      <c r="AI165" t="e">
        <f t="shared" si="148"/>
        <v>#N/A</v>
      </c>
      <c r="AJ165" t="e">
        <f t="shared" si="149"/>
        <v>#N/A</v>
      </c>
    </row>
    <row r="166">
      <c r="A166" s="2"/>
      <c r="L166" t="e">
        <f t="shared" si="125"/>
        <v>#N/A</v>
      </c>
      <c r="M166" t="e">
        <f t="shared" si="126"/>
        <v>#N/A</v>
      </c>
      <c r="N166" t="e">
        <f t="shared" si="127"/>
        <v>#N/A</v>
      </c>
      <c r="O166" t="n">
        <f t="shared" si="128"/>
        <v>0</v>
      </c>
      <c r="P166" t="n">
        <f t="shared" si="129"/>
        <v>0</v>
      </c>
      <c r="Q166" t="n">
        <f t="shared" si="130"/>
        <v>0</v>
      </c>
      <c r="R166" t="n">
        <f t="shared" si="131"/>
        <v>0</v>
      </c>
      <c r="S166" t="e">
        <f t="shared" si="132"/>
        <v>#N/A</v>
      </c>
      <c r="T166" t="e">
        <f t="shared" si="133"/>
        <v>#N/A</v>
      </c>
      <c r="U166" t="e">
        <f t="shared" si="134"/>
        <v>#N/A</v>
      </c>
      <c r="V166" t="e">
        <f t="shared" si="135"/>
        <v>#N/A</v>
      </c>
      <c r="W166" t="e">
        <f t="shared" si="136"/>
        <v>#N/A</v>
      </c>
      <c r="X166" t="e">
        <f t="shared" si="137"/>
        <v>#N/A</v>
      </c>
      <c r="Y166" t="e">
        <f t="shared" si="138"/>
        <v>#N/A</v>
      </c>
      <c r="Z166" t="e">
        <f t="shared" si="139"/>
        <v>#N/A</v>
      </c>
      <c r="AA166" t="e">
        <f t="shared" si="140"/>
        <v>#N/A</v>
      </c>
      <c r="AB166" t="e">
        <f t="shared" si="141"/>
        <v>#N/A</v>
      </c>
      <c r="AC166" t="e">
        <f t="shared" si="142"/>
        <v>#N/A</v>
      </c>
      <c r="AD166" t="e">
        <f t="shared" si="143"/>
        <v>#N/A</v>
      </c>
      <c r="AE166" t="e">
        <f t="shared" si="144"/>
        <v>#N/A</v>
      </c>
      <c r="AF166" t="e">
        <f t="shared" si="145"/>
        <v>#N/A</v>
      </c>
      <c r="AG166" t="e">
        <f t="shared" si="146"/>
        <v>#N/A</v>
      </c>
      <c r="AH166" t="e">
        <f t="shared" si="147"/>
        <v>#N/A</v>
      </c>
      <c r="AI166" t="e">
        <f t="shared" si="148"/>
        <v>#N/A</v>
      </c>
      <c r="AJ166" t="e">
        <f t="shared" si="149"/>
        <v>#N/A</v>
      </c>
    </row>
    <row r="167">
      <c r="A167" s="2"/>
      <c r="L167" t="e">
        <f t="shared" si="125"/>
        <v>#N/A</v>
      </c>
      <c r="M167" t="e">
        <f t="shared" si="126"/>
        <v>#N/A</v>
      </c>
      <c r="N167" t="e">
        <f t="shared" si="127"/>
        <v>#N/A</v>
      </c>
      <c r="O167" t="n">
        <f t="shared" si="128"/>
        <v>0</v>
      </c>
      <c r="P167" t="n">
        <f t="shared" si="129"/>
        <v>0</v>
      </c>
      <c r="Q167" t="n">
        <f t="shared" si="130"/>
        <v>0</v>
      </c>
      <c r="R167" t="n">
        <f t="shared" si="131"/>
        <v>0</v>
      </c>
      <c r="S167" t="e">
        <f t="shared" si="132"/>
        <v>#N/A</v>
      </c>
      <c r="T167" t="e">
        <f t="shared" si="133"/>
        <v>#N/A</v>
      </c>
      <c r="U167" t="e">
        <f t="shared" si="134"/>
        <v>#N/A</v>
      </c>
      <c r="V167" t="e">
        <f t="shared" si="135"/>
        <v>#N/A</v>
      </c>
      <c r="W167" t="e">
        <f t="shared" si="136"/>
        <v>#N/A</v>
      </c>
      <c r="X167" t="e">
        <f t="shared" si="137"/>
        <v>#N/A</v>
      </c>
      <c r="Y167" t="e">
        <f t="shared" si="138"/>
        <v>#N/A</v>
      </c>
      <c r="Z167" t="e">
        <f t="shared" si="139"/>
        <v>#N/A</v>
      </c>
      <c r="AA167" t="e">
        <f t="shared" si="140"/>
        <v>#N/A</v>
      </c>
      <c r="AB167" t="e">
        <f t="shared" si="141"/>
        <v>#N/A</v>
      </c>
      <c r="AC167" t="e">
        <f t="shared" si="142"/>
        <v>#N/A</v>
      </c>
      <c r="AD167" t="e">
        <f t="shared" si="143"/>
        <v>#N/A</v>
      </c>
      <c r="AE167" t="e">
        <f t="shared" si="144"/>
        <v>#N/A</v>
      </c>
      <c r="AF167" t="e">
        <f t="shared" si="145"/>
        <v>#N/A</v>
      </c>
      <c r="AG167" t="e">
        <f t="shared" si="146"/>
        <v>#N/A</v>
      </c>
      <c r="AH167" t="e">
        <f t="shared" si="147"/>
        <v>#N/A</v>
      </c>
      <c r="AI167" t="e">
        <f t="shared" si="148"/>
        <v>#N/A</v>
      </c>
      <c r="AJ167" t="e">
        <f t="shared" si="149"/>
        <v>#N/A</v>
      </c>
    </row>
    <row r="168">
      <c r="A168" s="2"/>
      <c r="L168" t="e">
        <f t="shared" si="125"/>
        <v>#N/A</v>
      </c>
      <c r="M168" t="e">
        <f t="shared" si="126"/>
        <v>#N/A</v>
      </c>
      <c r="N168" t="e">
        <f t="shared" si="127"/>
        <v>#N/A</v>
      </c>
      <c r="O168" t="n">
        <f t="shared" si="128"/>
        <v>0</v>
      </c>
      <c r="P168" t="n">
        <f t="shared" si="129"/>
        <v>0</v>
      </c>
      <c r="Q168" t="n">
        <f t="shared" si="130"/>
        <v>0</v>
      </c>
      <c r="R168" t="n">
        <f t="shared" si="131"/>
        <v>0</v>
      </c>
      <c r="S168" t="e">
        <f t="shared" si="132"/>
        <v>#N/A</v>
      </c>
      <c r="T168" t="e">
        <f t="shared" si="133"/>
        <v>#N/A</v>
      </c>
      <c r="U168" t="e">
        <f t="shared" si="134"/>
        <v>#N/A</v>
      </c>
      <c r="V168" t="e">
        <f t="shared" si="135"/>
        <v>#N/A</v>
      </c>
      <c r="W168" t="e">
        <f t="shared" si="136"/>
        <v>#N/A</v>
      </c>
      <c r="X168" t="e">
        <f t="shared" si="137"/>
        <v>#N/A</v>
      </c>
      <c r="Y168" t="e">
        <f t="shared" si="138"/>
        <v>#N/A</v>
      </c>
      <c r="Z168" t="e">
        <f t="shared" si="139"/>
        <v>#N/A</v>
      </c>
      <c r="AA168" t="e">
        <f t="shared" si="140"/>
        <v>#N/A</v>
      </c>
      <c r="AB168" t="e">
        <f t="shared" si="141"/>
        <v>#N/A</v>
      </c>
      <c r="AC168" t="e">
        <f t="shared" si="142"/>
        <v>#N/A</v>
      </c>
      <c r="AD168" t="e">
        <f t="shared" si="143"/>
        <v>#N/A</v>
      </c>
      <c r="AE168" t="e">
        <f t="shared" si="144"/>
        <v>#N/A</v>
      </c>
      <c r="AF168" t="e">
        <f t="shared" si="145"/>
        <v>#N/A</v>
      </c>
      <c r="AG168" t="e">
        <f t="shared" si="146"/>
        <v>#N/A</v>
      </c>
      <c r="AH168" t="e">
        <f t="shared" si="147"/>
        <v>#N/A</v>
      </c>
      <c r="AI168" t="e">
        <f t="shared" si="148"/>
        <v>#N/A</v>
      </c>
      <c r="AJ168" t="e">
        <f t="shared" si="149"/>
        <v>#N/A</v>
      </c>
    </row>
    <row r="169">
      <c r="A169" s="2"/>
      <c r="L169" t="e">
        <f t="shared" si="125"/>
        <v>#N/A</v>
      </c>
      <c r="M169" t="e">
        <f t="shared" si="126"/>
        <v>#N/A</v>
      </c>
      <c r="N169" t="e">
        <f t="shared" si="127"/>
        <v>#N/A</v>
      </c>
      <c r="O169" t="n">
        <f t="shared" si="128"/>
        <v>0</v>
      </c>
      <c r="P169" t="n">
        <f t="shared" si="129"/>
        <v>0</v>
      </c>
      <c r="Q169" t="n">
        <f t="shared" si="130"/>
        <v>0</v>
      </c>
      <c r="R169" t="n">
        <f t="shared" si="131"/>
        <v>0</v>
      </c>
      <c r="S169" t="e">
        <f t="shared" si="132"/>
        <v>#N/A</v>
      </c>
      <c r="T169" t="e">
        <f t="shared" si="133"/>
        <v>#N/A</v>
      </c>
      <c r="U169" t="e">
        <f t="shared" si="134"/>
        <v>#N/A</v>
      </c>
      <c r="V169" t="e">
        <f t="shared" si="135"/>
        <v>#N/A</v>
      </c>
      <c r="W169" t="e">
        <f t="shared" si="136"/>
        <v>#N/A</v>
      </c>
      <c r="X169" t="e">
        <f t="shared" si="137"/>
        <v>#N/A</v>
      </c>
      <c r="Y169" t="e">
        <f t="shared" si="138"/>
        <v>#N/A</v>
      </c>
      <c r="Z169" t="e">
        <f t="shared" si="139"/>
        <v>#N/A</v>
      </c>
      <c r="AA169" t="e">
        <f t="shared" si="140"/>
        <v>#N/A</v>
      </c>
      <c r="AB169" t="e">
        <f t="shared" si="141"/>
        <v>#N/A</v>
      </c>
      <c r="AC169" t="e">
        <f t="shared" si="142"/>
        <v>#N/A</v>
      </c>
      <c r="AD169" t="e">
        <f t="shared" si="143"/>
        <v>#N/A</v>
      </c>
      <c r="AE169" t="e">
        <f t="shared" si="144"/>
        <v>#N/A</v>
      </c>
      <c r="AF169" t="e">
        <f t="shared" si="145"/>
        <v>#N/A</v>
      </c>
      <c r="AG169" t="e">
        <f t="shared" si="146"/>
        <v>#N/A</v>
      </c>
      <c r="AH169" t="e">
        <f t="shared" si="147"/>
        <v>#N/A</v>
      </c>
      <c r="AI169" t="e">
        <f t="shared" si="148"/>
        <v>#N/A</v>
      </c>
      <c r="AJ169" t="e">
        <f t="shared" si="149"/>
        <v>#N/A</v>
      </c>
    </row>
    <row r="170">
      <c r="A170" s="2"/>
      <c r="L170" t="e">
        <f t="shared" si="125"/>
        <v>#N/A</v>
      </c>
      <c r="M170" t="e">
        <f t="shared" si="126"/>
        <v>#N/A</v>
      </c>
      <c r="N170" t="e">
        <f t="shared" si="127"/>
        <v>#N/A</v>
      </c>
      <c r="O170" t="n">
        <f t="shared" si="128"/>
        <v>0</v>
      </c>
      <c r="P170" t="n">
        <f t="shared" si="129"/>
        <v>0</v>
      </c>
      <c r="Q170" t="n">
        <f t="shared" si="130"/>
        <v>0</v>
      </c>
      <c r="R170" t="n">
        <f t="shared" si="131"/>
        <v>0</v>
      </c>
      <c r="S170" t="e">
        <f t="shared" si="132"/>
        <v>#N/A</v>
      </c>
      <c r="T170" t="e">
        <f t="shared" si="133"/>
        <v>#N/A</v>
      </c>
      <c r="U170" t="e">
        <f t="shared" si="134"/>
        <v>#N/A</v>
      </c>
      <c r="V170" t="e">
        <f t="shared" si="135"/>
        <v>#N/A</v>
      </c>
      <c r="W170" t="e">
        <f t="shared" si="136"/>
        <v>#N/A</v>
      </c>
      <c r="X170" t="e">
        <f t="shared" si="137"/>
        <v>#N/A</v>
      </c>
      <c r="Y170" t="e">
        <f t="shared" si="138"/>
        <v>#N/A</v>
      </c>
      <c r="Z170" t="e">
        <f t="shared" si="139"/>
        <v>#N/A</v>
      </c>
      <c r="AA170" t="e">
        <f t="shared" si="140"/>
        <v>#N/A</v>
      </c>
      <c r="AB170" t="e">
        <f t="shared" si="141"/>
        <v>#N/A</v>
      </c>
      <c r="AC170" t="e">
        <f t="shared" si="142"/>
        <v>#N/A</v>
      </c>
      <c r="AD170" t="e">
        <f t="shared" si="143"/>
        <v>#N/A</v>
      </c>
      <c r="AE170" t="e">
        <f t="shared" si="144"/>
        <v>#N/A</v>
      </c>
      <c r="AF170" t="e">
        <f t="shared" si="145"/>
        <v>#N/A</v>
      </c>
      <c r="AG170" t="e">
        <f t="shared" si="146"/>
        <v>#N/A</v>
      </c>
      <c r="AH170" t="e">
        <f t="shared" si="147"/>
        <v>#N/A</v>
      </c>
      <c r="AI170" t="e">
        <f t="shared" si="148"/>
        <v>#N/A</v>
      </c>
      <c r="AJ170" t="e">
        <f t="shared" si="149"/>
        <v>#N/A</v>
      </c>
    </row>
    <row r="171">
      <c r="A171" s="2"/>
      <c r="L171" t="e">
        <f t="shared" si="125"/>
        <v>#N/A</v>
      </c>
      <c r="M171" t="e">
        <f t="shared" si="126"/>
        <v>#N/A</v>
      </c>
      <c r="N171" t="e">
        <f t="shared" si="127"/>
        <v>#N/A</v>
      </c>
      <c r="O171" t="n">
        <f t="shared" si="128"/>
        <v>0</v>
      </c>
      <c r="P171" t="n">
        <f t="shared" si="129"/>
        <v>0</v>
      </c>
      <c r="Q171" t="n">
        <f t="shared" si="130"/>
        <v>0</v>
      </c>
      <c r="R171" t="n">
        <f t="shared" si="131"/>
        <v>0</v>
      </c>
      <c r="S171" t="e">
        <f t="shared" si="132"/>
        <v>#N/A</v>
      </c>
      <c r="T171" t="e">
        <f t="shared" si="133"/>
        <v>#N/A</v>
      </c>
      <c r="U171" t="e">
        <f t="shared" si="134"/>
        <v>#N/A</v>
      </c>
      <c r="V171" t="e">
        <f t="shared" si="135"/>
        <v>#N/A</v>
      </c>
      <c r="W171" t="e">
        <f t="shared" si="136"/>
        <v>#N/A</v>
      </c>
      <c r="X171" t="e">
        <f t="shared" si="137"/>
        <v>#N/A</v>
      </c>
      <c r="Y171" t="e">
        <f t="shared" si="138"/>
        <v>#N/A</v>
      </c>
      <c r="Z171" t="e">
        <f t="shared" si="139"/>
        <v>#N/A</v>
      </c>
      <c r="AA171" t="e">
        <f t="shared" si="140"/>
        <v>#N/A</v>
      </c>
      <c r="AB171" t="e">
        <f t="shared" si="141"/>
        <v>#N/A</v>
      </c>
      <c r="AC171" t="e">
        <f t="shared" si="142"/>
        <v>#N/A</v>
      </c>
      <c r="AD171" t="e">
        <f t="shared" si="143"/>
        <v>#N/A</v>
      </c>
      <c r="AE171" t="e">
        <f t="shared" si="144"/>
        <v>#N/A</v>
      </c>
      <c r="AF171" t="e">
        <f t="shared" si="145"/>
        <v>#N/A</v>
      </c>
      <c r="AG171" t="e">
        <f t="shared" si="146"/>
        <v>#N/A</v>
      </c>
      <c r="AH171" t="e">
        <f t="shared" si="147"/>
        <v>#N/A</v>
      </c>
      <c r="AI171" t="e">
        <f t="shared" si="148"/>
        <v>#N/A</v>
      </c>
      <c r="AJ171" t="e">
        <f t="shared" si="149"/>
        <v>#N/A</v>
      </c>
    </row>
    <row r="172">
      <c r="A172" s="2"/>
      <c r="L172" t="e">
        <f t="shared" si="125"/>
        <v>#N/A</v>
      </c>
      <c r="M172" t="e">
        <f t="shared" si="126"/>
        <v>#N/A</v>
      </c>
      <c r="N172" t="e">
        <f t="shared" si="127"/>
        <v>#N/A</v>
      </c>
      <c r="O172" t="n">
        <f t="shared" si="128"/>
        <v>0</v>
      </c>
      <c r="P172" t="n">
        <f t="shared" si="129"/>
        <v>0</v>
      </c>
      <c r="Q172" t="n">
        <f t="shared" si="130"/>
        <v>0</v>
      </c>
      <c r="R172" t="n">
        <f t="shared" si="131"/>
        <v>0</v>
      </c>
      <c r="S172" t="e">
        <f t="shared" si="132"/>
        <v>#N/A</v>
      </c>
      <c r="T172" t="e">
        <f t="shared" si="133"/>
        <v>#N/A</v>
      </c>
      <c r="U172" t="e">
        <f t="shared" si="134"/>
        <v>#N/A</v>
      </c>
      <c r="V172" t="e">
        <f t="shared" si="135"/>
        <v>#N/A</v>
      </c>
      <c r="W172" t="e">
        <f t="shared" si="136"/>
        <v>#N/A</v>
      </c>
      <c r="X172" t="e">
        <f t="shared" si="137"/>
        <v>#N/A</v>
      </c>
      <c r="Y172" t="e">
        <f t="shared" si="138"/>
        <v>#N/A</v>
      </c>
      <c r="Z172" t="e">
        <f t="shared" si="139"/>
        <v>#N/A</v>
      </c>
      <c r="AA172" t="e">
        <f t="shared" si="140"/>
        <v>#N/A</v>
      </c>
      <c r="AB172" t="e">
        <f t="shared" si="141"/>
        <v>#N/A</v>
      </c>
      <c r="AC172" t="e">
        <f t="shared" si="142"/>
        <v>#N/A</v>
      </c>
      <c r="AD172" t="e">
        <f t="shared" si="143"/>
        <v>#N/A</v>
      </c>
      <c r="AE172" t="e">
        <f t="shared" si="144"/>
        <v>#N/A</v>
      </c>
      <c r="AF172" t="e">
        <f t="shared" si="145"/>
        <v>#N/A</v>
      </c>
      <c r="AG172" t="e">
        <f t="shared" si="146"/>
        <v>#N/A</v>
      </c>
      <c r="AH172" t="e">
        <f t="shared" si="147"/>
        <v>#N/A</v>
      </c>
      <c r="AI172" t="e">
        <f t="shared" si="148"/>
        <v>#N/A</v>
      </c>
      <c r="AJ172" t="e">
        <f t="shared" si="149"/>
        <v>#N/A</v>
      </c>
    </row>
    <row r="173">
      <c r="A173" s="2"/>
      <c r="L173" t="e">
        <f t="shared" si="125"/>
        <v>#N/A</v>
      </c>
      <c r="M173" t="e">
        <f t="shared" si="126"/>
        <v>#N/A</v>
      </c>
      <c r="N173" t="e">
        <f t="shared" si="127"/>
        <v>#N/A</v>
      </c>
      <c r="O173" t="n">
        <f t="shared" si="128"/>
        <v>0</v>
      </c>
      <c r="P173" t="n">
        <f t="shared" si="129"/>
        <v>0</v>
      </c>
      <c r="Q173" t="n">
        <f t="shared" si="130"/>
        <v>0</v>
      </c>
      <c r="R173" t="n">
        <f t="shared" si="131"/>
        <v>0</v>
      </c>
      <c r="S173" t="e">
        <f t="shared" si="132"/>
        <v>#N/A</v>
      </c>
      <c r="T173" t="e">
        <f t="shared" si="133"/>
        <v>#N/A</v>
      </c>
      <c r="U173" t="e">
        <f t="shared" si="134"/>
        <v>#N/A</v>
      </c>
      <c r="V173" t="e">
        <f t="shared" si="135"/>
        <v>#N/A</v>
      </c>
      <c r="W173" t="e">
        <f t="shared" si="136"/>
        <v>#N/A</v>
      </c>
      <c r="X173" t="e">
        <f t="shared" si="137"/>
        <v>#N/A</v>
      </c>
      <c r="Y173" t="e">
        <f t="shared" si="138"/>
        <v>#N/A</v>
      </c>
      <c r="Z173" t="e">
        <f t="shared" si="139"/>
        <v>#N/A</v>
      </c>
      <c r="AA173" t="e">
        <f t="shared" si="140"/>
        <v>#N/A</v>
      </c>
      <c r="AB173" t="e">
        <f t="shared" si="141"/>
        <v>#N/A</v>
      </c>
      <c r="AC173" t="e">
        <f t="shared" si="142"/>
        <v>#N/A</v>
      </c>
      <c r="AD173" t="e">
        <f t="shared" si="143"/>
        <v>#N/A</v>
      </c>
      <c r="AE173" t="e">
        <f t="shared" si="144"/>
        <v>#N/A</v>
      </c>
      <c r="AF173" t="e">
        <f t="shared" si="145"/>
        <v>#N/A</v>
      </c>
      <c r="AG173" t="e">
        <f t="shared" si="146"/>
        <v>#N/A</v>
      </c>
      <c r="AH173" t="e">
        <f t="shared" si="147"/>
        <v>#N/A</v>
      </c>
      <c r="AI173" t="e">
        <f t="shared" si="148"/>
        <v>#N/A</v>
      </c>
      <c r="AJ173" t="e">
        <f t="shared" si="149"/>
        <v>#N/A</v>
      </c>
    </row>
    <row r="174">
      <c r="A174" s="2"/>
      <c r="L174" t="e">
        <f t="shared" si="125"/>
        <v>#N/A</v>
      </c>
      <c r="M174" t="e">
        <f t="shared" si="126"/>
        <v>#N/A</v>
      </c>
      <c r="N174" t="e">
        <f t="shared" si="127"/>
        <v>#N/A</v>
      </c>
      <c r="O174" t="n">
        <f t="shared" si="128"/>
        <v>0</v>
      </c>
      <c r="P174" t="n">
        <f t="shared" si="129"/>
        <v>0</v>
      </c>
      <c r="Q174" t="n">
        <f t="shared" si="130"/>
        <v>0</v>
      </c>
      <c r="R174" t="n">
        <f t="shared" si="131"/>
        <v>0</v>
      </c>
      <c r="S174" t="e">
        <f t="shared" si="132"/>
        <v>#N/A</v>
      </c>
      <c r="T174" t="e">
        <f t="shared" si="133"/>
        <v>#N/A</v>
      </c>
      <c r="U174" t="e">
        <f t="shared" si="134"/>
        <v>#N/A</v>
      </c>
      <c r="V174" t="e">
        <f t="shared" si="135"/>
        <v>#N/A</v>
      </c>
      <c r="W174" t="e">
        <f t="shared" si="136"/>
        <v>#N/A</v>
      </c>
      <c r="X174" t="e">
        <f t="shared" si="137"/>
        <v>#N/A</v>
      </c>
      <c r="Y174" t="e">
        <f t="shared" si="138"/>
        <v>#N/A</v>
      </c>
      <c r="Z174" t="e">
        <f t="shared" si="139"/>
        <v>#N/A</v>
      </c>
      <c r="AA174" t="e">
        <f t="shared" si="140"/>
        <v>#N/A</v>
      </c>
      <c r="AB174" t="e">
        <f t="shared" si="141"/>
        <v>#N/A</v>
      </c>
      <c r="AC174" t="e">
        <f t="shared" si="142"/>
        <v>#N/A</v>
      </c>
      <c r="AD174" t="e">
        <f t="shared" si="143"/>
        <v>#N/A</v>
      </c>
      <c r="AE174" t="e">
        <f t="shared" si="144"/>
        <v>#N/A</v>
      </c>
      <c r="AF174" t="e">
        <f t="shared" si="145"/>
        <v>#N/A</v>
      </c>
      <c r="AG174" t="e">
        <f t="shared" si="146"/>
        <v>#N/A</v>
      </c>
      <c r="AH174" t="e">
        <f t="shared" si="147"/>
        <v>#N/A</v>
      </c>
      <c r="AI174" t="e">
        <f t="shared" si="148"/>
        <v>#N/A</v>
      </c>
      <c r="AJ174" t="e">
        <f t="shared" si="149"/>
        <v>#N/A</v>
      </c>
    </row>
    <row r="175">
      <c r="A175" s="2"/>
      <c r="L175" t="e">
        <f t="shared" si="125"/>
        <v>#N/A</v>
      </c>
      <c r="M175" t="e">
        <f t="shared" si="126"/>
        <v>#N/A</v>
      </c>
      <c r="N175" t="e">
        <f t="shared" si="127"/>
        <v>#N/A</v>
      </c>
      <c r="O175" t="n">
        <f t="shared" si="128"/>
        <v>0</v>
      </c>
      <c r="P175" t="n">
        <f t="shared" si="129"/>
        <v>0</v>
      </c>
      <c r="Q175" t="n">
        <f t="shared" si="130"/>
        <v>0</v>
      </c>
      <c r="R175" t="n">
        <f t="shared" si="131"/>
        <v>0</v>
      </c>
      <c r="S175" t="e">
        <f t="shared" si="132"/>
        <v>#N/A</v>
      </c>
      <c r="T175" t="e">
        <f t="shared" si="133"/>
        <v>#N/A</v>
      </c>
      <c r="U175" t="e">
        <f t="shared" si="134"/>
        <v>#N/A</v>
      </c>
      <c r="V175" t="e">
        <f t="shared" si="135"/>
        <v>#N/A</v>
      </c>
      <c r="W175" t="e">
        <f t="shared" si="136"/>
        <v>#N/A</v>
      </c>
      <c r="X175" t="e">
        <f t="shared" si="137"/>
        <v>#N/A</v>
      </c>
      <c r="Y175" t="e">
        <f t="shared" si="138"/>
        <v>#N/A</v>
      </c>
      <c r="Z175" t="e">
        <f t="shared" si="139"/>
        <v>#N/A</v>
      </c>
      <c r="AA175" t="e">
        <f t="shared" si="140"/>
        <v>#N/A</v>
      </c>
      <c r="AB175" t="e">
        <f t="shared" si="141"/>
        <v>#N/A</v>
      </c>
      <c r="AC175" t="e">
        <f t="shared" si="142"/>
        <v>#N/A</v>
      </c>
      <c r="AD175" t="e">
        <f t="shared" si="143"/>
        <v>#N/A</v>
      </c>
      <c r="AE175" t="e">
        <f t="shared" si="144"/>
        <v>#N/A</v>
      </c>
      <c r="AF175" t="e">
        <f t="shared" si="145"/>
        <v>#N/A</v>
      </c>
      <c r="AG175" t="e">
        <f t="shared" si="146"/>
        <v>#N/A</v>
      </c>
      <c r="AH175" t="e">
        <f t="shared" si="147"/>
        <v>#N/A</v>
      </c>
      <c r="AI175" t="e">
        <f t="shared" si="148"/>
        <v>#N/A</v>
      </c>
      <c r="AJ175" t="e">
        <f t="shared" si="149"/>
        <v>#N/A</v>
      </c>
    </row>
    <row r="176">
      <c r="A176" s="2"/>
      <c r="L176" t="e">
        <f t="shared" si="125"/>
        <v>#N/A</v>
      </c>
      <c r="M176" t="e">
        <f t="shared" si="126"/>
        <v>#N/A</v>
      </c>
      <c r="N176" t="e">
        <f t="shared" si="127"/>
        <v>#N/A</v>
      </c>
      <c r="O176" t="n">
        <f t="shared" si="128"/>
        <v>0</v>
      </c>
      <c r="P176" t="n">
        <f t="shared" si="129"/>
        <v>0</v>
      </c>
      <c r="Q176" t="n">
        <f t="shared" si="130"/>
        <v>0</v>
      </c>
      <c r="R176" t="n">
        <f t="shared" si="131"/>
        <v>0</v>
      </c>
      <c r="S176" t="e">
        <f t="shared" si="132"/>
        <v>#N/A</v>
      </c>
      <c r="T176" t="e">
        <f t="shared" si="133"/>
        <v>#N/A</v>
      </c>
      <c r="U176" t="e">
        <f t="shared" si="134"/>
        <v>#N/A</v>
      </c>
      <c r="V176" t="e">
        <f t="shared" si="135"/>
        <v>#N/A</v>
      </c>
      <c r="W176" t="e">
        <f t="shared" si="136"/>
        <v>#N/A</v>
      </c>
      <c r="X176" t="e">
        <f t="shared" si="137"/>
        <v>#N/A</v>
      </c>
      <c r="Y176" t="e">
        <f t="shared" si="138"/>
        <v>#N/A</v>
      </c>
      <c r="Z176" t="e">
        <f t="shared" si="139"/>
        <v>#N/A</v>
      </c>
      <c r="AA176" t="e">
        <f t="shared" si="140"/>
        <v>#N/A</v>
      </c>
      <c r="AB176" t="e">
        <f t="shared" si="141"/>
        <v>#N/A</v>
      </c>
      <c r="AC176" t="e">
        <f t="shared" si="142"/>
        <v>#N/A</v>
      </c>
      <c r="AD176" t="e">
        <f t="shared" si="143"/>
        <v>#N/A</v>
      </c>
      <c r="AE176" t="e">
        <f t="shared" si="144"/>
        <v>#N/A</v>
      </c>
      <c r="AF176" t="e">
        <f t="shared" si="145"/>
        <v>#N/A</v>
      </c>
      <c r="AG176" t="e">
        <f t="shared" si="146"/>
        <v>#N/A</v>
      </c>
      <c r="AH176" t="e">
        <f t="shared" si="147"/>
        <v>#N/A</v>
      </c>
      <c r="AI176" t="e">
        <f t="shared" si="148"/>
        <v>#N/A</v>
      </c>
      <c r="AJ176" t="e">
        <f t="shared" si="149"/>
        <v>#N/A</v>
      </c>
    </row>
    <row r="177">
      <c r="A177" s="2"/>
      <c r="L177" t="e">
        <f t="shared" si="125"/>
        <v>#N/A</v>
      </c>
      <c r="M177" t="e">
        <f t="shared" si="126"/>
        <v>#N/A</v>
      </c>
      <c r="N177" t="e">
        <f t="shared" si="127"/>
        <v>#N/A</v>
      </c>
      <c r="O177" t="n">
        <f t="shared" si="128"/>
        <v>0</v>
      </c>
      <c r="P177" t="n">
        <f t="shared" si="129"/>
        <v>0</v>
      </c>
      <c r="Q177" t="n">
        <f t="shared" si="130"/>
        <v>0</v>
      </c>
      <c r="R177" t="n">
        <f t="shared" si="131"/>
        <v>0</v>
      </c>
      <c r="S177" t="e">
        <f t="shared" si="132"/>
        <v>#N/A</v>
      </c>
      <c r="T177" t="e">
        <f t="shared" si="133"/>
        <v>#N/A</v>
      </c>
      <c r="U177" t="e">
        <f t="shared" si="134"/>
        <v>#N/A</v>
      </c>
      <c r="V177" t="e">
        <f t="shared" si="135"/>
        <v>#N/A</v>
      </c>
      <c r="W177" t="e">
        <f t="shared" si="136"/>
        <v>#N/A</v>
      </c>
      <c r="X177" t="e">
        <f t="shared" si="137"/>
        <v>#N/A</v>
      </c>
      <c r="Y177" t="e">
        <f t="shared" si="138"/>
        <v>#N/A</v>
      </c>
      <c r="Z177" t="e">
        <f t="shared" si="139"/>
        <v>#N/A</v>
      </c>
      <c r="AA177" t="e">
        <f t="shared" si="140"/>
        <v>#N/A</v>
      </c>
      <c r="AB177" t="e">
        <f t="shared" si="141"/>
        <v>#N/A</v>
      </c>
      <c r="AC177" t="e">
        <f t="shared" si="142"/>
        <v>#N/A</v>
      </c>
      <c r="AD177" t="e">
        <f t="shared" si="143"/>
        <v>#N/A</v>
      </c>
      <c r="AE177" t="e">
        <f t="shared" si="144"/>
        <v>#N/A</v>
      </c>
      <c r="AF177" t="e">
        <f t="shared" si="145"/>
        <v>#N/A</v>
      </c>
      <c r="AG177" t="e">
        <f t="shared" si="146"/>
        <v>#N/A</v>
      </c>
      <c r="AH177" t="e">
        <f t="shared" si="147"/>
        <v>#N/A</v>
      </c>
      <c r="AI177" t="e">
        <f t="shared" si="148"/>
        <v>#N/A</v>
      </c>
      <c r="AJ177" t="e">
        <f t="shared" si="149"/>
        <v>#N/A</v>
      </c>
    </row>
    <row r="178">
      <c r="A178" s="2"/>
      <c r="L178" t="e">
        <f t="shared" si="125"/>
        <v>#N/A</v>
      </c>
      <c r="M178" t="e">
        <f t="shared" si="126"/>
        <v>#N/A</v>
      </c>
      <c r="N178" t="e">
        <f t="shared" si="127"/>
        <v>#N/A</v>
      </c>
      <c r="O178" t="n">
        <f t="shared" si="128"/>
        <v>0</v>
      </c>
      <c r="P178" t="n">
        <f t="shared" si="129"/>
        <v>0</v>
      </c>
      <c r="Q178" t="n">
        <f t="shared" si="130"/>
        <v>0</v>
      </c>
      <c r="R178" t="n">
        <f t="shared" si="131"/>
        <v>0</v>
      </c>
      <c r="S178" t="e">
        <f t="shared" si="132"/>
        <v>#N/A</v>
      </c>
      <c r="T178" t="e">
        <f t="shared" si="133"/>
        <v>#N/A</v>
      </c>
      <c r="U178" t="e">
        <f t="shared" si="134"/>
        <v>#N/A</v>
      </c>
      <c r="V178" t="e">
        <f t="shared" si="135"/>
        <v>#N/A</v>
      </c>
      <c r="W178" t="e">
        <f t="shared" si="136"/>
        <v>#N/A</v>
      </c>
      <c r="X178" t="e">
        <f t="shared" si="137"/>
        <v>#N/A</v>
      </c>
      <c r="Y178" t="e">
        <f t="shared" si="138"/>
        <v>#N/A</v>
      </c>
      <c r="Z178" t="e">
        <f t="shared" si="139"/>
        <v>#N/A</v>
      </c>
      <c r="AA178" t="e">
        <f t="shared" si="140"/>
        <v>#N/A</v>
      </c>
      <c r="AB178" t="e">
        <f t="shared" si="141"/>
        <v>#N/A</v>
      </c>
      <c r="AC178" t="e">
        <f t="shared" si="142"/>
        <v>#N/A</v>
      </c>
      <c r="AD178" t="e">
        <f t="shared" si="143"/>
        <v>#N/A</v>
      </c>
      <c r="AE178" t="e">
        <f t="shared" si="144"/>
        <v>#N/A</v>
      </c>
      <c r="AF178" t="e">
        <f t="shared" si="145"/>
        <v>#N/A</v>
      </c>
      <c r="AG178" t="e">
        <f t="shared" si="146"/>
        <v>#N/A</v>
      </c>
      <c r="AH178" t="e">
        <f t="shared" si="147"/>
        <v>#N/A</v>
      </c>
      <c r="AI178" t="e">
        <f t="shared" si="148"/>
        <v>#N/A</v>
      </c>
      <c r="AJ178" t="e">
        <f t="shared" si="149"/>
        <v>#N/A</v>
      </c>
    </row>
    <row r="179">
      <c r="A179" s="2"/>
      <c r="L179" t="e">
        <f t="shared" si="125"/>
        <v>#N/A</v>
      </c>
      <c r="M179" t="e">
        <f t="shared" si="126"/>
        <v>#N/A</v>
      </c>
      <c r="N179" t="e">
        <f t="shared" si="127"/>
        <v>#N/A</v>
      </c>
      <c r="O179" t="n">
        <f t="shared" si="128"/>
        <v>0</v>
      </c>
      <c r="P179" t="n">
        <f t="shared" si="129"/>
        <v>0</v>
      </c>
      <c r="Q179" t="n">
        <f t="shared" si="130"/>
        <v>0</v>
      </c>
      <c r="R179" t="n">
        <f t="shared" si="131"/>
        <v>0</v>
      </c>
      <c r="S179" t="e">
        <f t="shared" si="132"/>
        <v>#N/A</v>
      </c>
      <c r="T179" t="e">
        <f t="shared" si="133"/>
        <v>#N/A</v>
      </c>
      <c r="U179" t="e">
        <f t="shared" si="134"/>
        <v>#N/A</v>
      </c>
      <c r="V179" t="e">
        <f t="shared" si="135"/>
        <v>#N/A</v>
      </c>
      <c r="W179" t="e">
        <f t="shared" si="136"/>
        <v>#N/A</v>
      </c>
      <c r="X179" t="e">
        <f t="shared" si="137"/>
        <v>#N/A</v>
      </c>
      <c r="Y179" t="e">
        <f t="shared" si="138"/>
        <v>#N/A</v>
      </c>
      <c r="Z179" t="e">
        <f t="shared" si="139"/>
        <v>#N/A</v>
      </c>
      <c r="AA179" t="e">
        <f t="shared" si="140"/>
        <v>#N/A</v>
      </c>
      <c r="AB179" t="e">
        <f t="shared" si="141"/>
        <v>#N/A</v>
      </c>
      <c r="AC179" t="e">
        <f t="shared" si="142"/>
        <v>#N/A</v>
      </c>
      <c r="AD179" t="e">
        <f t="shared" si="143"/>
        <v>#N/A</v>
      </c>
      <c r="AE179" t="e">
        <f t="shared" si="144"/>
        <v>#N/A</v>
      </c>
      <c r="AF179" t="e">
        <f t="shared" si="145"/>
        <v>#N/A</v>
      </c>
      <c r="AG179" t="e">
        <f t="shared" si="146"/>
        <v>#N/A</v>
      </c>
      <c r="AH179" t="e">
        <f t="shared" si="147"/>
        <v>#N/A</v>
      </c>
      <c r="AI179" t="e">
        <f t="shared" si="148"/>
        <v>#N/A</v>
      </c>
      <c r="AJ179" t="e">
        <f t="shared" si="149"/>
        <v>#N/A</v>
      </c>
    </row>
    <row r="180">
      <c r="A180" s="2"/>
      <c r="L180" t="e">
        <f t="shared" si="125"/>
        <v>#N/A</v>
      </c>
      <c r="M180" t="e">
        <f t="shared" si="126"/>
        <v>#N/A</v>
      </c>
      <c r="N180" t="e">
        <f t="shared" si="127"/>
        <v>#N/A</v>
      </c>
      <c r="O180" t="n">
        <f t="shared" si="128"/>
        <v>0</v>
      </c>
      <c r="P180" t="n">
        <f t="shared" si="129"/>
        <v>0</v>
      </c>
      <c r="Q180" t="n">
        <f t="shared" si="130"/>
        <v>0</v>
      </c>
      <c r="R180" t="n">
        <f t="shared" si="131"/>
        <v>0</v>
      </c>
      <c r="S180" t="e">
        <f t="shared" si="132"/>
        <v>#N/A</v>
      </c>
      <c r="T180" t="e">
        <f t="shared" si="133"/>
        <v>#N/A</v>
      </c>
      <c r="U180" t="e">
        <f t="shared" si="134"/>
        <v>#N/A</v>
      </c>
      <c r="V180" t="e">
        <f t="shared" si="135"/>
        <v>#N/A</v>
      </c>
      <c r="W180" t="e">
        <f t="shared" si="136"/>
        <v>#N/A</v>
      </c>
      <c r="X180" t="e">
        <f t="shared" si="137"/>
        <v>#N/A</v>
      </c>
      <c r="Y180" t="e">
        <f t="shared" si="138"/>
        <v>#N/A</v>
      </c>
      <c r="Z180" t="e">
        <f t="shared" si="139"/>
        <v>#N/A</v>
      </c>
      <c r="AA180" t="e">
        <f t="shared" si="140"/>
        <v>#N/A</v>
      </c>
      <c r="AB180" t="e">
        <f t="shared" si="141"/>
        <v>#N/A</v>
      </c>
      <c r="AC180" t="e">
        <f t="shared" si="142"/>
        <v>#N/A</v>
      </c>
      <c r="AD180" t="e">
        <f t="shared" si="143"/>
        <v>#N/A</v>
      </c>
      <c r="AE180" t="e">
        <f t="shared" si="144"/>
        <v>#N/A</v>
      </c>
      <c r="AF180" t="e">
        <f t="shared" si="145"/>
        <v>#N/A</v>
      </c>
      <c r="AG180" t="e">
        <f t="shared" si="146"/>
        <v>#N/A</v>
      </c>
      <c r="AH180" t="e">
        <f t="shared" si="147"/>
        <v>#N/A</v>
      </c>
      <c r="AI180" t="e">
        <f t="shared" si="148"/>
        <v>#N/A</v>
      </c>
      <c r="AJ180" t="e">
        <f t="shared" si="149"/>
        <v>#N/A</v>
      </c>
    </row>
    <row r="181">
      <c r="A181" s="2"/>
      <c r="L181" t="e">
        <f t="shared" si="125"/>
        <v>#N/A</v>
      </c>
      <c r="M181" t="e">
        <f t="shared" si="126"/>
        <v>#N/A</v>
      </c>
      <c r="N181" t="e">
        <f t="shared" si="127"/>
        <v>#N/A</v>
      </c>
      <c r="O181" t="n">
        <f t="shared" si="128"/>
        <v>0</v>
      </c>
      <c r="P181" t="n">
        <f t="shared" si="129"/>
        <v>0</v>
      </c>
      <c r="Q181" t="n">
        <f t="shared" si="130"/>
        <v>0</v>
      </c>
      <c r="R181" t="n">
        <f t="shared" si="131"/>
        <v>0</v>
      </c>
      <c r="S181" t="e">
        <f t="shared" si="132"/>
        <v>#N/A</v>
      </c>
      <c r="T181" t="e">
        <f t="shared" si="133"/>
        <v>#N/A</v>
      </c>
      <c r="U181" t="e">
        <f t="shared" si="134"/>
        <v>#N/A</v>
      </c>
      <c r="V181" t="e">
        <f t="shared" si="135"/>
        <v>#N/A</v>
      </c>
      <c r="W181" t="e">
        <f t="shared" si="136"/>
        <v>#N/A</v>
      </c>
      <c r="X181" t="e">
        <f t="shared" si="137"/>
        <v>#N/A</v>
      </c>
      <c r="Y181" t="e">
        <f t="shared" si="138"/>
        <v>#N/A</v>
      </c>
      <c r="Z181" t="e">
        <f t="shared" si="139"/>
        <v>#N/A</v>
      </c>
      <c r="AA181" t="e">
        <f t="shared" si="140"/>
        <v>#N/A</v>
      </c>
      <c r="AB181" t="e">
        <f t="shared" si="141"/>
        <v>#N/A</v>
      </c>
      <c r="AC181" t="e">
        <f t="shared" si="142"/>
        <v>#N/A</v>
      </c>
      <c r="AD181" t="e">
        <f t="shared" si="143"/>
        <v>#N/A</v>
      </c>
      <c r="AE181" t="e">
        <f t="shared" si="144"/>
        <v>#N/A</v>
      </c>
      <c r="AF181" t="e">
        <f t="shared" si="145"/>
        <v>#N/A</v>
      </c>
      <c r="AG181" t="e">
        <f t="shared" si="146"/>
        <v>#N/A</v>
      </c>
      <c r="AH181" t="e">
        <f t="shared" si="147"/>
        <v>#N/A</v>
      </c>
      <c r="AI181" t="e">
        <f t="shared" si="148"/>
        <v>#N/A</v>
      </c>
      <c r="AJ181" t="e">
        <f t="shared" si="149"/>
        <v>#N/A</v>
      </c>
    </row>
    <row r="182">
      <c r="A182" s="2"/>
      <c r="L182" t="e">
        <f t="shared" si="125"/>
        <v>#N/A</v>
      </c>
      <c r="M182" t="e">
        <f t="shared" si="126"/>
        <v>#N/A</v>
      </c>
      <c r="N182" t="e">
        <f t="shared" si="127"/>
        <v>#N/A</v>
      </c>
      <c r="O182" t="n">
        <f t="shared" si="128"/>
        <v>0</v>
      </c>
      <c r="P182" t="n">
        <f t="shared" si="129"/>
        <v>0</v>
      </c>
      <c r="Q182" t="n">
        <f t="shared" si="130"/>
        <v>0</v>
      </c>
      <c r="R182" t="n">
        <f t="shared" si="131"/>
        <v>0</v>
      </c>
      <c r="S182" t="e">
        <f t="shared" si="132"/>
        <v>#N/A</v>
      </c>
      <c r="T182" t="e">
        <f t="shared" si="133"/>
        <v>#N/A</v>
      </c>
      <c r="U182" t="e">
        <f t="shared" si="134"/>
        <v>#N/A</v>
      </c>
      <c r="V182" t="e">
        <f t="shared" si="135"/>
        <v>#N/A</v>
      </c>
      <c r="W182" t="e">
        <f t="shared" si="136"/>
        <v>#N/A</v>
      </c>
      <c r="X182" t="e">
        <f t="shared" si="137"/>
        <v>#N/A</v>
      </c>
      <c r="Y182" t="e">
        <f t="shared" si="138"/>
        <v>#N/A</v>
      </c>
      <c r="Z182" t="e">
        <f t="shared" si="139"/>
        <v>#N/A</v>
      </c>
      <c r="AA182" t="e">
        <f t="shared" si="140"/>
        <v>#N/A</v>
      </c>
      <c r="AB182" t="e">
        <f t="shared" si="141"/>
        <v>#N/A</v>
      </c>
      <c r="AC182" t="e">
        <f t="shared" si="142"/>
        <v>#N/A</v>
      </c>
      <c r="AD182" t="e">
        <f t="shared" si="143"/>
        <v>#N/A</v>
      </c>
      <c r="AE182" t="e">
        <f t="shared" si="144"/>
        <v>#N/A</v>
      </c>
      <c r="AF182" t="e">
        <f t="shared" si="145"/>
        <v>#N/A</v>
      </c>
      <c r="AG182" t="e">
        <f t="shared" si="146"/>
        <v>#N/A</v>
      </c>
      <c r="AH182" t="e">
        <f t="shared" si="147"/>
        <v>#N/A</v>
      </c>
      <c r="AI182" t="e">
        <f t="shared" si="148"/>
        <v>#N/A</v>
      </c>
      <c r="AJ182" t="e">
        <f t="shared" si="149"/>
        <v>#N/A</v>
      </c>
    </row>
    <row r="183">
      <c r="A183" s="2"/>
      <c r="L183" t="e">
        <f t="shared" si="125"/>
        <v>#N/A</v>
      </c>
      <c r="M183" t="e">
        <f t="shared" si="126"/>
        <v>#N/A</v>
      </c>
      <c r="N183" t="e">
        <f t="shared" si="127"/>
        <v>#N/A</v>
      </c>
      <c r="O183" t="n">
        <f t="shared" si="128"/>
        <v>0</v>
      </c>
      <c r="P183" t="n">
        <f t="shared" si="129"/>
        <v>0</v>
      </c>
      <c r="Q183" t="n">
        <f t="shared" si="130"/>
        <v>0</v>
      </c>
      <c r="R183" t="n">
        <f t="shared" si="131"/>
        <v>0</v>
      </c>
      <c r="S183" t="e">
        <f t="shared" si="132"/>
        <v>#N/A</v>
      </c>
      <c r="T183" t="e">
        <f t="shared" si="133"/>
        <v>#N/A</v>
      </c>
      <c r="U183" t="e">
        <f t="shared" si="134"/>
        <v>#N/A</v>
      </c>
      <c r="V183" t="e">
        <f t="shared" si="135"/>
        <v>#N/A</v>
      </c>
      <c r="W183" t="e">
        <f t="shared" si="136"/>
        <v>#N/A</v>
      </c>
      <c r="X183" t="e">
        <f t="shared" si="137"/>
        <v>#N/A</v>
      </c>
      <c r="Y183" t="e">
        <f t="shared" si="138"/>
        <v>#N/A</v>
      </c>
      <c r="Z183" t="e">
        <f t="shared" si="139"/>
        <v>#N/A</v>
      </c>
      <c r="AA183" t="e">
        <f t="shared" si="140"/>
        <v>#N/A</v>
      </c>
      <c r="AB183" t="e">
        <f t="shared" si="141"/>
        <v>#N/A</v>
      </c>
      <c r="AC183" t="e">
        <f t="shared" si="142"/>
        <v>#N/A</v>
      </c>
      <c r="AD183" t="e">
        <f t="shared" si="143"/>
        <v>#N/A</v>
      </c>
      <c r="AE183" t="e">
        <f t="shared" si="144"/>
        <v>#N/A</v>
      </c>
      <c r="AF183" t="e">
        <f t="shared" si="145"/>
        <v>#N/A</v>
      </c>
      <c r="AG183" t="e">
        <f t="shared" si="146"/>
        <v>#N/A</v>
      </c>
      <c r="AH183" t="e">
        <f t="shared" si="147"/>
        <v>#N/A</v>
      </c>
      <c r="AI183" t="e">
        <f t="shared" si="148"/>
        <v>#N/A</v>
      </c>
      <c r="AJ183" t="e">
        <f t="shared" si="149"/>
        <v>#N/A</v>
      </c>
    </row>
    <row r="184">
      <c r="A184" s="2"/>
      <c r="L184" t="e">
        <f t="shared" si="125"/>
        <v>#N/A</v>
      </c>
      <c r="M184" t="e">
        <f t="shared" si="126"/>
        <v>#N/A</v>
      </c>
      <c r="N184" t="e">
        <f t="shared" si="127"/>
        <v>#N/A</v>
      </c>
      <c r="O184" t="n">
        <f t="shared" si="128"/>
        <v>0</v>
      </c>
      <c r="P184" t="n">
        <f t="shared" si="129"/>
        <v>0</v>
      </c>
      <c r="Q184" t="n">
        <f t="shared" si="130"/>
        <v>0</v>
      </c>
      <c r="R184" t="n">
        <f t="shared" si="131"/>
        <v>0</v>
      </c>
      <c r="S184" t="e">
        <f t="shared" si="132"/>
        <v>#N/A</v>
      </c>
      <c r="T184" t="e">
        <f t="shared" si="133"/>
        <v>#N/A</v>
      </c>
      <c r="U184" t="e">
        <f t="shared" si="134"/>
        <v>#N/A</v>
      </c>
      <c r="V184" t="e">
        <f t="shared" si="135"/>
        <v>#N/A</v>
      </c>
      <c r="W184" t="e">
        <f t="shared" si="136"/>
        <v>#N/A</v>
      </c>
      <c r="X184" t="e">
        <f t="shared" si="137"/>
        <v>#N/A</v>
      </c>
      <c r="Y184" t="e">
        <f t="shared" si="138"/>
        <v>#N/A</v>
      </c>
      <c r="Z184" t="e">
        <f t="shared" si="139"/>
        <v>#N/A</v>
      </c>
      <c r="AA184" t="e">
        <f t="shared" si="140"/>
        <v>#N/A</v>
      </c>
      <c r="AB184" t="e">
        <f t="shared" si="141"/>
        <v>#N/A</v>
      </c>
      <c r="AC184" t="e">
        <f t="shared" si="142"/>
        <v>#N/A</v>
      </c>
      <c r="AD184" t="e">
        <f t="shared" si="143"/>
        <v>#N/A</v>
      </c>
      <c r="AE184" t="e">
        <f t="shared" si="144"/>
        <v>#N/A</v>
      </c>
      <c r="AF184" t="e">
        <f t="shared" si="145"/>
        <v>#N/A</v>
      </c>
      <c r="AG184" t="e">
        <f t="shared" si="146"/>
        <v>#N/A</v>
      </c>
      <c r="AH184" t="e">
        <f t="shared" si="147"/>
        <v>#N/A</v>
      </c>
      <c r="AI184" t="e">
        <f t="shared" si="148"/>
        <v>#N/A</v>
      </c>
      <c r="AJ184" t="e">
        <f t="shared" si="149"/>
        <v>#N/A</v>
      </c>
    </row>
    <row r="185">
      <c r="A185" s="2"/>
      <c r="L185" t="e">
        <f t="shared" si="125"/>
        <v>#N/A</v>
      </c>
      <c r="M185" t="e">
        <f t="shared" si="126"/>
        <v>#N/A</v>
      </c>
      <c r="N185" t="e">
        <f t="shared" si="127"/>
        <v>#N/A</v>
      </c>
      <c r="O185" t="n">
        <f t="shared" si="128"/>
        <v>0</v>
      </c>
      <c r="P185" t="n">
        <f t="shared" si="129"/>
        <v>0</v>
      </c>
      <c r="Q185" t="n">
        <f t="shared" si="130"/>
        <v>0</v>
      </c>
      <c r="R185" t="n">
        <f t="shared" si="131"/>
        <v>0</v>
      </c>
      <c r="S185" t="e">
        <f t="shared" si="132"/>
        <v>#N/A</v>
      </c>
      <c r="T185" t="e">
        <f t="shared" si="133"/>
        <v>#N/A</v>
      </c>
      <c r="U185" t="e">
        <f t="shared" si="134"/>
        <v>#N/A</v>
      </c>
      <c r="V185" t="e">
        <f t="shared" si="135"/>
        <v>#N/A</v>
      </c>
      <c r="W185" t="e">
        <f t="shared" si="136"/>
        <v>#N/A</v>
      </c>
      <c r="X185" t="e">
        <f t="shared" si="137"/>
        <v>#N/A</v>
      </c>
      <c r="Y185" t="e">
        <f t="shared" si="138"/>
        <v>#N/A</v>
      </c>
      <c r="Z185" t="e">
        <f t="shared" si="139"/>
        <v>#N/A</v>
      </c>
      <c r="AA185" t="e">
        <f t="shared" si="140"/>
        <v>#N/A</v>
      </c>
      <c r="AB185" t="e">
        <f t="shared" si="141"/>
        <v>#N/A</v>
      </c>
      <c r="AC185" t="e">
        <f t="shared" si="142"/>
        <v>#N/A</v>
      </c>
      <c r="AD185" t="e">
        <f t="shared" si="143"/>
        <v>#N/A</v>
      </c>
      <c r="AE185" t="e">
        <f t="shared" si="144"/>
        <v>#N/A</v>
      </c>
      <c r="AF185" t="e">
        <f t="shared" si="145"/>
        <v>#N/A</v>
      </c>
      <c r="AG185" t="e">
        <f t="shared" si="146"/>
        <v>#N/A</v>
      </c>
      <c r="AH185" t="e">
        <f t="shared" si="147"/>
        <v>#N/A</v>
      </c>
      <c r="AI185" t="e">
        <f t="shared" si="148"/>
        <v>#N/A</v>
      </c>
      <c r="AJ185" t="e">
        <f t="shared" si="149"/>
        <v>#N/A</v>
      </c>
    </row>
    <row r="186">
      <c r="A186" s="2"/>
      <c r="L186" t="e">
        <f t="shared" si="125"/>
        <v>#N/A</v>
      </c>
      <c r="M186" t="e">
        <f t="shared" si="126"/>
        <v>#N/A</v>
      </c>
      <c r="N186" t="e">
        <f t="shared" si="127"/>
        <v>#N/A</v>
      </c>
      <c r="O186" t="n">
        <f t="shared" si="128"/>
        <v>0</v>
      </c>
      <c r="P186" t="n">
        <f t="shared" si="129"/>
        <v>0</v>
      </c>
      <c r="Q186" t="n">
        <f t="shared" si="130"/>
        <v>0</v>
      </c>
      <c r="R186" t="n">
        <f t="shared" si="131"/>
        <v>0</v>
      </c>
      <c r="S186" t="e">
        <f t="shared" si="132"/>
        <v>#N/A</v>
      </c>
      <c r="T186" t="e">
        <f t="shared" si="133"/>
        <v>#N/A</v>
      </c>
      <c r="U186" t="e">
        <f t="shared" si="134"/>
        <v>#N/A</v>
      </c>
      <c r="V186" t="e">
        <f t="shared" si="135"/>
        <v>#N/A</v>
      </c>
      <c r="W186" t="e">
        <f t="shared" si="136"/>
        <v>#N/A</v>
      </c>
      <c r="X186" t="e">
        <f t="shared" si="137"/>
        <v>#N/A</v>
      </c>
      <c r="Y186" t="e">
        <f t="shared" si="138"/>
        <v>#N/A</v>
      </c>
      <c r="Z186" t="e">
        <f t="shared" si="139"/>
        <v>#N/A</v>
      </c>
      <c r="AA186" t="e">
        <f t="shared" si="140"/>
        <v>#N/A</v>
      </c>
      <c r="AB186" t="e">
        <f t="shared" si="141"/>
        <v>#N/A</v>
      </c>
      <c r="AC186" t="e">
        <f t="shared" si="142"/>
        <v>#N/A</v>
      </c>
      <c r="AD186" t="e">
        <f t="shared" si="143"/>
        <v>#N/A</v>
      </c>
      <c r="AE186" t="e">
        <f t="shared" si="144"/>
        <v>#N/A</v>
      </c>
      <c r="AF186" t="e">
        <f t="shared" si="145"/>
        <v>#N/A</v>
      </c>
      <c r="AG186" t="e">
        <f t="shared" si="146"/>
        <v>#N/A</v>
      </c>
      <c r="AH186" t="e">
        <f t="shared" si="147"/>
        <v>#N/A</v>
      </c>
      <c r="AI186" t="e">
        <f t="shared" si="148"/>
        <v>#N/A</v>
      </c>
      <c r="AJ186" t="e">
        <f t="shared" si="149"/>
        <v>#N/A</v>
      </c>
    </row>
    <row r="187">
      <c r="A187" s="2"/>
      <c r="L187" t="e">
        <f t="shared" si="125"/>
        <v>#N/A</v>
      </c>
      <c r="M187" t="e">
        <f t="shared" si="126"/>
        <v>#N/A</v>
      </c>
      <c r="N187" t="e">
        <f t="shared" si="127"/>
        <v>#N/A</v>
      </c>
      <c r="O187" t="n">
        <f t="shared" si="128"/>
        <v>0</v>
      </c>
      <c r="P187" t="n">
        <f t="shared" si="129"/>
        <v>0</v>
      </c>
      <c r="Q187" t="n">
        <f t="shared" si="130"/>
        <v>0</v>
      </c>
      <c r="R187" t="n">
        <f t="shared" si="131"/>
        <v>0</v>
      </c>
      <c r="S187" t="e">
        <f t="shared" si="132"/>
        <v>#N/A</v>
      </c>
      <c r="T187" t="e">
        <f t="shared" si="133"/>
        <v>#N/A</v>
      </c>
      <c r="U187" t="e">
        <f t="shared" si="134"/>
        <v>#N/A</v>
      </c>
      <c r="V187" t="e">
        <f t="shared" si="135"/>
        <v>#N/A</v>
      </c>
      <c r="W187" t="e">
        <f t="shared" si="136"/>
        <v>#N/A</v>
      </c>
      <c r="X187" t="e">
        <f t="shared" si="137"/>
        <v>#N/A</v>
      </c>
      <c r="Y187" t="e">
        <f t="shared" si="138"/>
        <v>#N/A</v>
      </c>
      <c r="Z187" t="e">
        <f t="shared" si="139"/>
        <v>#N/A</v>
      </c>
      <c r="AA187" t="e">
        <f t="shared" si="140"/>
        <v>#N/A</v>
      </c>
      <c r="AB187" t="e">
        <f t="shared" si="141"/>
        <v>#N/A</v>
      </c>
      <c r="AC187" t="e">
        <f t="shared" si="142"/>
        <v>#N/A</v>
      </c>
      <c r="AD187" t="e">
        <f t="shared" si="143"/>
        <v>#N/A</v>
      </c>
      <c r="AE187" t="e">
        <f t="shared" si="144"/>
        <v>#N/A</v>
      </c>
      <c r="AF187" t="e">
        <f t="shared" si="145"/>
        <v>#N/A</v>
      </c>
      <c r="AG187" t="e">
        <f t="shared" si="146"/>
        <v>#N/A</v>
      </c>
      <c r="AH187" t="e">
        <f t="shared" si="147"/>
        <v>#N/A</v>
      </c>
      <c r="AI187" t="e">
        <f t="shared" si="148"/>
        <v>#N/A</v>
      </c>
      <c r="AJ187" t="e">
        <f t="shared" si="149"/>
        <v>#N/A</v>
      </c>
    </row>
    <row r="188">
      <c r="A188" s="2"/>
      <c r="L188" t="e">
        <f t="shared" si="125"/>
        <v>#N/A</v>
      </c>
      <c r="M188" t="e">
        <f t="shared" si="126"/>
        <v>#N/A</v>
      </c>
      <c r="N188" t="e">
        <f t="shared" si="127"/>
        <v>#N/A</v>
      </c>
      <c r="O188" t="n">
        <f t="shared" si="128"/>
        <v>0</v>
      </c>
      <c r="P188" t="n">
        <f t="shared" si="129"/>
        <v>0</v>
      </c>
      <c r="Q188" t="n">
        <f t="shared" si="130"/>
        <v>0</v>
      </c>
      <c r="R188" t="n">
        <f t="shared" si="131"/>
        <v>0</v>
      </c>
      <c r="S188" t="e">
        <f t="shared" si="132"/>
        <v>#N/A</v>
      </c>
      <c r="T188" t="e">
        <f t="shared" si="133"/>
        <v>#N/A</v>
      </c>
      <c r="U188" t="e">
        <f t="shared" si="134"/>
        <v>#N/A</v>
      </c>
      <c r="V188" t="e">
        <f t="shared" si="135"/>
        <v>#N/A</v>
      </c>
      <c r="W188" t="e">
        <f t="shared" si="136"/>
        <v>#N/A</v>
      </c>
      <c r="X188" t="e">
        <f t="shared" si="137"/>
        <v>#N/A</v>
      </c>
      <c r="Y188" t="e">
        <f t="shared" si="138"/>
        <v>#N/A</v>
      </c>
      <c r="Z188" t="e">
        <f t="shared" si="139"/>
        <v>#N/A</v>
      </c>
      <c r="AA188" t="e">
        <f t="shared" si="140"/>
        <v>#N/A</v>
      </c>
      <c r="AB188" t="e">
        <f t="shared" si="141"/>
        <v>#N/A</v>
      </c>
      <c r="AC188" t="e">
        <f t="shared" si="142"/>
        <v>#N/A</v>
      </c>
      <c r="AD188" t="e">
        <f t="shared" si="143"/>
        <v>#N/A</v>
      </c>
      <c r="AE188" t="e">
        <f t="shared" si="144"/>
        <v>#N/A</v>
      </c>
      <c r="AF188" t="e">
        <f t="shared" si="145"/>
        <v>#N/A</v>
      </c>
      <c r="AG188" t="e">
        <f t="shared" si="146"/>
        <v>#N/A</v>
      </c>
      <c r="AH188" t="e">
        <f t="shared" si="147"/>
        <v>#N/A</v>
      </c>
      <c r="AI188" t="e">
        <f t="shared" si="148"/>
        <v>#N/A</v>
      </c>
      <c r="AJ188" t="e">
        <f t="shared" si="149"/>
        <v>#N/A</v>
      </c>
    </row>
    <row r="189">
      <c r="A189" s="2"/>
      <c r="L189" t="e">
        <f t="shared" si="125"/>
        <v>#N/A</v>
      </c>
      <c r="M189" t="e">
        <f t="shared" si="126"/>
        <v>#N/A</v>
      </c>
      <c r="N189" t="e">
        <f t="shared" si="127"/>
        <v>#N/A</v>
      </c>
      <c r="O189" t="n">
        <f t="shared" si="128"/>
        <v>0</v>
      </c>
      <c r="P189" t="n">
        <f t="shared" si="129"/>
        <v>0</v>
      </c>
      <c r="Q189" t="n">
        <f t="shared" si="130"/>
        <v>0</v>
      </c>
      <c r="R189" t="n">
        <f t="shared" si="131"/>
        <v>0</v>
      </c>
      <c r="S189" t="e">
        <f t="shared" si="132"/>
        <v>#N/A</v>
      </c>
      <c r="T189" t="e">
        <f t="shared" si="133"/>
        <v>#N/A</v>
      </c>
      <c r="U189" t="e">
        <f t="shared" si="134"/>
        <v>#N/A</v>
      </c>
      <c r="V189" t="e">
        <f t="shared" si="135"/>
        <v>#N/A</v>
      </c>
      <c r="W189" t="e">
        <f t="shared" si="136"/>
        <v>#N/A</v>
      </c>
      <c r="X189" t="e">
        <f t="shared" si="137"/>
        <v>#N/A</v>
      </c>
      <c r="Y189" t="e">
        <f t="shared" si="138"/>
        <v>#N/A</v>
      </c>
      <c r="Z189" t="e">
        <f t="shared" si="139"/>
        <v>#N/A</v>
      </c>
      <c r="AA189" t="e">
        <f t="shared" si="140"/>
        <v>#N/A</v>
      </c>
      <c r="AB189" t="e">
        <f t="shared" si="141"/>
        <v>#N/A</v>
      </c>
      <c r="AC189" t="e">
        <f t="shared" si="142"/>
        <v>#N/A</v>
      </c>
      <c r="AD189" t="e">
        <f t="shared" si="143"/>
        <v>#N/A</v>
      </c>
      <c r="AE189" t="e">
        <f t="shared" si="144"/>
        <v>#N/A</v>
      </c>
      <c r="AF189" t="e">
        <f t="shared" si="145"/>
        <v>#N/A</v>
      </c>
      <c r="AG189" t="e">
        <f t="shared" si="146"/>
        <v>#N/A</v>
      </c>
      <c r="AH189" t="e">
        <f t="shared" si="147"/>
        <v>#N/A</v>
      </c>
      <c r="AI189" t="e">
        <f t="shared" si="148"/>
        <v>#N/A</v>
      </c>
      <c r="AJ189" t="e">
        <f t="shared" si="149"/>
        <v>#N/A</v>
      </c>
    </row>
    <row r="190">
      <c r="A190" s="2"/>
      <c r="L190" t="e">
        <f t="shared" si="125"/>
        <v>#N/A</v>
      </c>
      <c r="M190" t="e">
        <f t="shared" si="126"/>
        <v>#N/A</v>
      </c>
      <c r="N190" t="e">
        <f t="shared" si="127"/>
        <v>#N/A</v>
      </c>
      <c r="O190" t="n">
        <f t="shared" si="128"/>
        <v>0</v>
      </c>
      <c r="P190" t="n">
        <f t="shared" si="129"/>
        <v>0</v>
      </c>
      <c r="Q190" t="n">
        <f t="shared" si="130"/>
        <v>0</v>
      </c>
      <c r="R190" t="n">
        <f t="shared" si="131"/>
        <v>0</v>
      </c>
      <c r="S190" t="e">
        <f t="shared" si="132"/>
        <v>#N/A</v>
      </c>
      <c r="T190" t="e">
        <f t="shared" si="133"/>
        <v>#N/A</v>
      </c>
      <c r="U190" t="e">
        <f t="shared" si="134"/>
        <v>#N/A</v>
      </c>
      <c r="V190" t="e">
        <f t="shared" si="135"/>
        <v>#N/A</v>
      </c>
      <c r="W190" t="e">
        <f t="shared" si="136"/>
        <v>#N/A</v>
      </c>
      <c r="X190" t="e">
        <f t="shared" si="137"/>
        <v>#N/A</v>
      </c>
      <c r="Y190" t="e">
        <f t="shared" si="138"/>
        <v>#N/A</v>
      </c>
      <c r="Z190" t="e">
        <f t="shared" si="139"/>
        <v>#N/A</v>
      </c>
      <c r="AA190" t="e">
        <f t="shared" si="140"/>
        <v>#N/A</v>
      </c>
      <c r="AB190" t="e">
        <f t="shared" si="141"/>
        <v>#N/A</v>
      </c>
      <c r="AC190" t="e">
        <f t="shared" si="142"/>
        <v>#N/A</v>
      </c>
      <c r="AD190" t="e">
        <f t="shared" si="143"/>
        <v>#N/A</v>
      </c>
      <c r="AE190" t="e">
        <f t="shared" si="144"/>
        <v>#N/A</v>
      </c>
      <c r="AF190" t="e">
        <f t="shared" si="145"/>
        <v>#N/A</v>
      </c>
      <c r="AG190" t="e">
        <f t="shared" si="146"/>
        <v>#N/A</v>
      </c>
      <c r="AH190" t="e">
        <f t="shared" si="147"/>
        <v>#N/A</v>
      </c>
      <c r="AI190" t="e">
        <f t="shared" si="148"/>
        <v>#N/A</v>
      </c>
      <c r="AJ190" t="e">
        <f t="shared" si="149"/>
        <v>#N/A</v>
      </c>
    </row>
    <row r="191">
      <c r="A191" s="2"/>
      <c r="L191" t="e">
        <f t="shared" si="125"/>
        <v>#N/A</v>
      </c>
      <c r="M191" t="e">
        <f t="shared" si="126"/>
        <v>#N/A</v>
      </c>
      <c r="N191" t="e">
        <f t="shared" si="127"/>
        <v>#N/A</v>
      </c>
      <c r="O191" t="n">
        <f t="shared" si="128"/>
        <v>0</v>
      </c>
      <c r="P191" t="n">
        <f t="shared" si="129"/>
        <v>0</v>
      </c>
      <c r="Q191" t="n">
        <f t="shared" si="130"/>
        <v>0</v>
      </c>
      <c r="R191" t="n">
        <f t="shared" si="131"/>
        <v>0</v>
      </c>
      <c r="S191" t="e">
        <f t="shared" si="132"/>
        <v>#N/A</v>
      </c>
      <c r="T191" t="e">
        <f t="shared" si="133"/>
        <v>#N/A</v>
      </c>
      <c r="U191" t="e">
        <f t="shared" si="134"/>
        <v>#N/A</v>
      </c>
      <c r="V191" t="e">
        <f t="shared" si="135"/>
        <v>#N/A</v>
      </c>
      <c r="W191" t="e">
        <f t="shared" si="136"/>
        <v>#N/A</v>
      </c>
      <c r="X191" t="e">
        <f t="shared" si="137"/>
        <v>#N/A</v>
      </c>
      <c r="Y191" t="e">
        <f t="shared" si="138"/>
        <v>#N/A</v>
      </c>
      <c r="Z191" t="e">
        <f t="shared" si="139"/>
        <v>#N/A</v>
      </c>
      <c r="AA191" t="e">
        <f t="shared" si="140"/>
        <v>#N/A</v>
      </c>
      <c r="AB191" t="e">
        <f t="shared" si="141"/>
        <v>#N/A</v>
      </c>
      <c r="AC191" t="e">
        <f t="shared" si="142"/>
        <v>#N/A</v>
      </c>
      <c r="AD191" t="e">
        <f t="shared" si="143"/>
        <v>#N/A</v>
      </c>
      <c r="AE191" t="e">
        <f t="shared" si="144"/>
        <v>#N/A</v>
      </c>
      <c r="AF191" t="e">
        <f t="shared" si="145"/>
        <v>#N/A</v>
      </c>
      <c r="AG191" t="e">
        <f t="shared" si="146"/>
        <v>#N/A</v>
      </c>
      <c r="AH191" t="e">
        <f t="shared" si="147"/>
        <v>#N/A</v>
      </c>
      <c r="AI191" t="e">
        <f t="shared" si="148"/>
        <v>#N/A</v>
      </c>
      <c r="AJ191" t="e">
        <f t="shared" si="149"/>
        <v>#N/A</v>
      </c>
    </row>
    <row r="192">
      <c r="A192" s="2"/>
      <c r="L192" t="e">
        <f t="shared" si="125"/>
        <v>#N/A</v>
      </c>
      <c r="M192" t="e">
        <f t="shared" si="126"/>
        <v>#N/A</v>
      </c>
      <c r="N192" t="e">
        <f t="shared" si="127"/>
        <v>#N/A</v>
      </c>
      <c r="O192" t="n">
        <f t="shared" si="128"/>
        <v>0</v>
      </c>
      <c r="P192" t="n">
        <f t="shared" si="129"/>
        <v>0</v>
      </c>
      <c r="Q192" t="n">
        <f t="shared" si="130"/>
        <v>0</v>
      </c>
      <c r="R192" t="n">
        <f t="shared" si="131"/>
        <v>0</v>
      </c>
      <c r="S192" t="e">
        <f t="shared" si="132"/>
        <v>#N/A</v>
      </c>
      <c r="T192" t="e">
        <f t="shared" si="133"/>
        <v>#N/A</v>
      </c>
      <c r="U192" t="e">
        <f t="shared" si="134"/>
        <v>#N/A</v>
      </c>
      <c r="V192" t="e">
        <f t="shared" si="135"/>
        <v>#N/A</v>
      </c>
      <c r="W192" t="e">
        <f t="shared" si="136"/>
        <v>#N/A</v>
      </c>
      <c r="X192" t="e">
        <f t="shared" si="137"/>
        <v>#N/A</v>
      </c>
      <c r="Y192" t="e">
        <f t="shared" si="138"/>
        <v>#N/A</v>
      </c>
      <c r="Z192" t="e">
        <f t="shared" si="139"/>
        <v>#N/A</v>
      </c>
      <c r="AA192" t="e">
        <f t="shared" si="140"/>
        <v>#N/A</v>
      </c>
      <c r="AB192" t="e">
        <f t="shared" si="141"/>
        <v>#N/A</v>
      </c>
      <c r="AC192" t="e">
        <f t="shared" si="142"/>
        <v>#N/A</v>
      </c>
      <c r="AD192" t="e">
        <f t="shared" si="143"/>
        <v>#N/A</v>
      </c>
      <c r="AE192" t="e">
        <f t="shared" si="144"/>
        <v>#N/A</v>
      </c>
      <c r="AF192" t="e">
        <f t="shared" si="145"/>
        <v>#N/A</v>
      </c>
      <c r="AG192" t="e">
        <f t="shared" si="146"/>
        <v>#N/A</v>
      </c>
      <c r="AH192" t="e">
        <f t="shared" si="147"/>
        <v>#N/A</v>
      </c>
      <c r="AI192" t="e">
        <f t="shared" si="148"/>
        <v>#N/A</v>
      </c>
      <c r="AJ192" t="e">
        <f t="shared" si="149"/>
        <v>#N/A</v>
      </c>
    </row>
    <row r="193">
      <c r="A193" s="2"/>
      <c r="L193" t="e">
        <f t="shared" si="125"/>
        <v>#N/A</v>
      </c>
      <c r="M193" t="e">
        <f t="shared" si="126"/>
        <v>#N/A</v>
      </c>
      <c r="N193" t="e">
        <f t="shared" si="127"/>
        <v>#N/A</v>
      </c>
      <c r="O193" t="n">
        <f t="shared" si="128"/>
        <v>0</v>
      </c>
      <c r="P193" t="n">
        <f t="shared" si="129"/>
        <v>0</v>
      </c>
      <c r="Q193" t="n">
        <f t="shared" si="130"/>
        <v>0</v>
      </c>
      <c r="R193" t="n">
        <f t="shared" si="131"/>
        <v>0</v>
      </c>
      <c r="S193" t="e">
        <f t="shared" si="132"/>
        <v>#N/A</v>
      </c>
      <c r="T193" t="e">
        <f t="shared" si="133"/>
        <v>#N/A</v>
      </c>
      <c r="U193" t="e">
        <f t="shared" si="134"/>
        <v>#N/A</v>
      </c>
      <c r="V193" t="e">
        <f t="shared" si="135"/>
        <v>#N/A</v>
      </c>
      <c r="W193" t="e">
        <f t="shared" si="136"/>
        <v>#N/A</v>
      </c>
      <c r="X193" t="e">
        <f t="shared" si="137"/>
        <v>#N/A</v>
      </c>
      <c r="Y193" t="e">
        <f t="shared" si="138"/>
        <v>#N/A</v>
      </c>
      <c r="Z193" t="e">
        <f t="shared" si="139"/>
        <v>#N/A</v>
      </c>
      <c r="AA193" t="e">
        <f t="shared" si="140"/>
        <v>#N/A</v>
      </c>
      <c r="AB193" t="e">
        <f t="shared" si="141"/>
        <v>#N/A</v>
      </c>
      <c r="AC193" t="e">
        <f t="shared" si="142"/>
        <v>#N/A</v>
      </c>
      <c r="AD193" t="e">
        <f t="shared" si="143"/>
        <v>#N/A</v>
      </c>
      <c r="AE193" t="e">
        <f t="shared" si="144"/>
        <v>#N/A</v>
      </c>
      <c r="AF193" t="e">
        <f t="shared" si="145"/>
        <v>#N/A</v>
      </c>
      <c r="AG193" t="e">
        <f t="shared" si="146"/>
        <v>#N/A</v>
      </c>
      <c r="AH193" t="e">
        <f t="shared" si="147"/>
        <v>#N/A</v>
      </c>
      <c r="AI193" t="e">
        <f t="shared" si="148"/>
        <v>#N/A</v>
      </c>
      <c r="AJ193" t="e">
        <f t="shared" si="149"/>
        <v>#N/A</v>
      </c>
    </row>
    <row r="194">
      <c r="A194" s="2"/>
      <c r="L194" t="e">
        <f t="shared" ref="L194:L201" si="150">IF(ROW()&lt;=5,NA(),IFERROR(100*(B194/INDEX(B:B,ROW()-4)-1),NA()))</f>
        <v>#N/A</v>
      </c>
      <c r="M194" t="e">
        <f t="shared" ref="M194:M201" si="151">IF(ROW()&lt;=5,NA(),IFERROR(100*(C194/INDEX(C:C,ROW()-4)-1),NA()))</f>
        <v>#N/A</v>
      </c>
      <c r="N194" t="e">
        <f t="shared" ref="N194:N201" si="152">IF(ROW()&lt;=5,NA(),IFERROR(100*(D194/INDEX(D:D,ROW()-4)-1),NA()))</f>
        <v>#N/A</v>
      </c>
      <c r="O194" t="n">
        <f t="shared" ref="O194:O201" si="153">100*G194</f>
        <v>0</v>
      </c>
      <c r="P194" t="n">
        <f t="shared" ref="P194:P201" si="154">100*H194</f>
        <v>0</v>
      </c>
      <c r="Q194" t="n">
        <f t="shared" ref="Q194:Q201" si="155">100*I194</f>
        <v>0</v>
      </c>
      <c r="R194" t="n">
        <f t="shared" ref="R194:R201" si="156">100*J194</f>
        <v>0</v>
      </c>
      <c r="S194" t="e">
        <f t="shared" ref="S194:S201" si="157">IFERROR(100*E194/INDEX(E:E,MATCH(DATE(2024,12,1),A:A,0)),NA())</f>
        <v>#N/A</v>
      </c>
      <c r="T194" t="e">
        <f t="shared" ref="T194:T201" si="158">IFERROR(100*F194/INDEX(F:F,MATCH(DATE(2024,12,1),A:A,0)),NA())</f>
        <v>#N/A</v>
      </c>
      <c r="U194" t="e">
        <f t="shared" ref="U194:U201" si="159">IF($K194="Actual",L194,NA())</f>
        <v>#N/A</v>
      </c>
      <c r="V194" t="e">
        <f t="shared" ref="V194:V201" si="160">IF($A194&gt;=DATE(2024,12,1),L194,NA())</f>
        <v>#N/A</v>
      </c>
      <c r="W194" t="e">
        <f t="shared" ref="W194:W201" si="161">IF($K194="Actual",M194,NA())</f>
        <v>#N/A</v>
      </c>
      <c r="X194" t="e">
        <f t="shared" ref="X194:X201" si="162">IF($A194&gt;=DATE(2024,12,1),M194,NA())</f>
        <v>#N/A</v>
      </c>
      <c r="Y194" t="e">
        <f t="shared" ref="Y194:Y201" si="163">IF($K194="Actual",S194,NA())</f>
        <v>#N/A</v>
      </c>
      <c r="Z194" t="e">
        <f t="shared" ref="Z194:Z201" si="164">IF($A194&gt;=DATE(2024,12,1),S194,NA())</f>
        <v>#N/A</v>
      </c>
      <c r="AA194" t="e">
        <f t="shared" ref="AA194:AA201" si="165">IF($K194="Actual",T194,NA())</f>
        <v>#N/A</v>
      </c>
      <c r="AB194" t="e">
        <f t="shared" ref="AB194:AB201" si="166">IF($A194&gt;=DATE(2024,12,1),T194,NA())</f>
        <v>#N/A</v>
      </c>
      <c r="AC194" t="e">
        <f t="shared" ref="AC194:AC201" si="167">IF($K194="Actual",O194,NA())</f>
        <v>#N/A</v>
      </c>
      <c r="AD194" t="e">
        <f t="shared" ref="AD194:AD201" si="168">IF($A194&gt;=DATE(2024,12,1),O194,NA())</f>
        <v>#N/A</v>
      </c>
      <c r="AE194" t="e">
        <f t="shared" ref="AE194:AE201" si="169">IF($K194="Actual",Q194,NA())</f>
        <v>#N/A</v>
      </c>
      <c r="AF194" t="e">
        <f t="shared" ref="AF194:AF201" si="170">IF($A194&gt;=DATE(2024,12,1),Q194,NA())</f>
        <v>#N/A</v>
      </c>
      <c r="AG194" t="e">
        <f t="shared" ref="AG194:AG201" si="171">IF($K194="Actual",R194,NA())</f>
        <v>#N/A</v>
      </c>
      <c r="AH194" t="e">
        <f t="shared" ref="AH194:AH201" si="172">IF($A194&gt;=DATE(2024,12,1),R194,NA())</f>
        <v>#N/A</v>
      </c>
      <c r="AI194" t="e">
        <f t="shared" ref="AI194:AI201" si="173">IF($K194="Actual",N194,NA())</f>
        <v>#N/A</v>
      </c>
      <c r="AJ194" t="e">
        <f t="shared" ref="AJ194:AJ201" si="174">IF($A194&gt;=DATE(2024,12,1),N194,NA())</f>
        <v>#N/A</v>
      </c>
    </row>
    <row r="195">
      <c r="A195" s="2"/>
      <c r="L195" t="e">
        <f t="shared" si="150"/>
        <v>#N/A</v>
      </c>
      <c r="M195" t="e">
        <f t="shared" si="151"/>
        <v>#N/A</v>
      </c>
      <c r="N195" t="e">
        <f t="shared" si="152"/>
        <v>#N/A</v>
      </c>
      <c r="O195" t="n">
        <f t="shared" si="153"/>
        <v>0</v>
      </c>
      <c r="P195" t="n">
        <f t="shared" si="154"/>
        <v>0</v>
      </c>
      <c r="Q195" t="n">
        <f t="shared" si="155"/>
        <v>0</v>
      </c>
      <c r="R195" t="n">
        <f t="shared" si="156"/>
        <v>0</v>
      </c>
      <c r="S195" t="e">
        <f t="shared" si="157"/>
        <v>#N/A</v>
      </c>
      <c r="T195" t="e">
        <f t="shared" si="158"/>
        <v>#N/A</v>
      </c>
      <c r="U195" t="e">
        <f t="shared" si="159"/>
        <v>#N/A</v>
      </c>
      <c r="V195" t="e">
        <f t="shared" si="160"/>
        <v>#N/A</v>
      </c>
      <c r="W195" t="e">
        <f t="shared" si="161"/>
        <v>#N/A</v>
      </c>
      <c r="X195" t="e">
        <f t="shared" si="162"/>
        <v>#N/A</v>
      </c>
      <c r="Y195" t="e">
        <f t="shared" si="163"/>
        <v>#N/A</v>
      </c>
      <c r="Z195" t="e">
        <f t="shared" si="164"/>
        <v>#N/A</v>
      </c>
      <c r="AA195" t="e">
        <f t="shared" si="165"/>
        <v>#N/A</v>
      </c>
      <c r="AB195" t="e">
        <f t="shared" si="166"/>
        <v>#N/A</v>
      </c>
      <c r="AC195" t="e">
        <f t="shared" si="167"/>
        <v>#N/A</v>
      </c>
      <c r="AD195" t="e">
        <f t="shared" si="168"/>
        <v>#N/A</v>
      </c>
      <c r="AE195" t="e">
        <f t="shared" si="169"/>
        <v>#N/A</v>
      </c>
      <c r="AF195" t="e">
        <f t="shared" si="170"/>
        <v>#N/A</v>
      </c>
      <c r="AG195" t="e">
        <f t="shared" si="171"/>
        <v>#N/A</v>
      </c>
      <c r="AH195" t="e">
        <f t="shared" si="172"/>
        <v>#N/A</v>
      </c>
      <c r="AI195" t="e">
        <f t="shared" si="173"/>
        <v>#N/A</v>
      </c>
      <c r="AJ195" t="e">
        <f t="shared" si="174"/>
        <v>#N/A</v>
      </c>
    </row>
    <row r="196">
      <c r="A196" s="2"/>
      <c r="L196" t="e">
        <f t="shared" si="150"/>
        <v>#N/A</v>
      </c>
      <c r="M196" t="e">
        <f t="shared" si="151"/>
        <v>#N/A</v>
      </c>
      <c r="N196" t="e">
        <f t="shared" si="152"/>
        <v>#N/A</v>
      </c>
      <c r="O196" t="n">
        <f t="shared" si="153"/>
        <v>0</v>
      </c>
      <c r="P196" t="n">
        <f t="shared" si="154"/>
        <v>0</v>
      </c>
      <c r="Q196" t="n">
        <f t="shared" si="155"/>
        <v>0</v>
      </c>
      <c r="R196" t="n">
        <f t="shared" si="156"/>
        <v>0</v>
      </c>
      <c r="S196" t="e">
        <f t="shared" si="157"/>
        <v>#N/A</v>
      </c>
      <c r="T196" t="e">
        <f t="shared" si="158"/>
        <v>#N/A</v>
      </c>
      <c r="U196" t="e">
        <f t="shared" si="159"/>
        <v>#N/A</v>
      </c>
      <c r="V196" t="e">
        <f t="shared" si="160"/>
        <v>#N/A</v>
      </c>
      <c r="W196" t="e">
        <f t="shared" si="161"/>
        <v>#N/A</v>
      </c>
      <c r="X196" t="e">
        <f t="shared" si="162"/>
        <v>#N/A</v>
      </c>
      <c r="Y196" t="e">
        <f t="shared" si="163"/>
        <v>#N/A</v>
      </c>
      <c r="Z196" t="e">
        <f t="shared" si="164"/>
        <v>#N/A</v>
      </c>
      <c r="AA196" t="e">
        <f t="shared" si="165"/>
        <v>#N/A</v>
      </c>
      <c r="AB196" t="e">
        <f t="shared" si="166"/>
        <v>#N/A</v>
      </c>
      <c r="AC196" t="e">
        <f t="shared" si="167"/>
        <v>#N/A</v>
      </c>
      <c r="AD196" t="e">
        <f t="shared" si="168"/>
        <v>#N/A</v>
      </c>
      <c r="AE196" t="e">
        <f t="shared" si="169"/>
        <v>#N/A</v>
      </c>
      <c r="AF196" t="e">
        <f t="shared" si="170"/>
        <v>#N/A</v>
      </c>
      <c r="AG196" t="e">
        <f t="shared" si="171"/>
        <v>#N/A</v>
      </c>
      <c r="AH196" t="e">
        <f t="shared" si="172"/>
        <v>#N/A</v>
      </c>
      <c r="AI196" t="e">
        <f t="shared" si="173"/>
        <v>#N/A</v>
      </c>
      <c r="AJ196" t="e">
        <f t="shared" si="174"/>
        <v>#N/A</v>
      </c>
    </row>
    <row r="197">
      <c r="A197" s="2"/>
      <c r="L197" t="e">
        <f t="shared" si="150"/>
        <v>#N/A</v>
      </c>
      <c r="M197" t="e">
        <f t="shared" si="151"/>
        <v>#N/A</v>
      </c>
      <c r="N197" t="e">
        <f t="shared" si="152"/>
        <v>#N/A</v>
      </c>
      <c r="O197" t="n">
        <f t="shared" si="153"/>
        <v>0</v>
      </c>
      <c r="P197" t="n">
        <f t="shared" si="154"/>
        <v>0</v>
      </c>
      <c r="Q197" t="n">
        <f t="shared" si="155"/>
        <v>0</v>
      </c>
      <c r="R197" t="n">
        <f t="shared" si="156"/>
        <v>0</v>
      </c>
      <c r="S197" t="e">
        <f t="shared" si="157"/>
        <v>#N/A</v>
      </c>
      <c r="T197" t="e">
        <f t="shared" si="158"/>
        <v>#N/A</v>
      </c>
      <c r="U197" t="e">
        <f t="shared" si="159"/>
        <v>#N/A</v>
      </c>
      <c r="V197" t="e">
        <f t="shared" si="160"/>
        <v>#N/A</v>
      </c>
      <c r="W197" t="e">
        <f t="shared" si="161"/>
        <v>#N/A</v>
      </c>
      <c r="X197" t="e">
        <f t="shared" si="162"/>
        <v>#N/A</v>
      </c>
      <c r="Y197" t="e">
        <f t="shared" si="163"/>
        <v>#N/A</v>
      </c>
      <c r="Z197" t="e">
        <f t="shared" si="164"/>
        <v>#N/A</v>
      </c>
      <c r="AA197" t="e">
        <f t="shared" si="165"/>
        <v>#N/A</v>
      </c>
      <c r="AB197" t="e">
        <f t="shared" si="166"/>
        <v>#N/A</v>
      </c>
      <c r="AC197" t="e">
        <f t="shared" si="167"/>
        <v>#N/A</v>
      </c>
      <c r="AD197" t="e">
        <f t="shared" si="168"/>
        <v>#N/A</v>
      </c>
      <c r="AE197" t="e">
        <f t="shared" si="169"/>
        <v>#N/A</v>
      </c>
      <c r="AF197" t="e">
        <f t="shared" si="170"/>
        <v>#N/A</v>
      </c>
      <c r="AG197" t="e">
        <f t="shared" si="171"/>
        <v>#N/A</v>
      </c>
      <c r="AH197" t="e">
        <f t="shared" si="172"/>
        <v>#N/A</v>
      </c>
      <c r="AI197" t="e">
        <f t="shared" si="173"/>
        <v>#N/A</v>
      </c>
      <c r="AJ197" t="e">
        <f t="shared" si="174"/>
        <v>#N/A</v>
      </c>
    </row>
    <row r="198">
      <c r="A198" s="2"/>
      <c r="L198" t="e">
        <f t="shared" si="150"/>
        <v>#N/A</v>
      </c>
      <c r="M198" t="e">
        <f t="shared" si="151"/>
        <v>#N/A</v>
      </c>
      <c r="N198" t="e">
        <f t="shared" si="152"/>
        <v>#N/A</v>
      </c>
      <c r="O198" t="n">
        <f t="shared" si="153"/>
        <v>0</v>
      </c>
      <c r="P198" t="n">
        <f t="shared" si="154"/>
        <v>0</v>
      </c>
      <c r="Q198" t="n">
        <f t="shared" si="155"/>
        <v>0</v>
      </c>
      <c r="R198" t="n">
        <f t="shared" si="156"/>
        <v>0</v>
      </c>
      <c r="S198" t="e">
        <f t="shared" si="157"/>
        <v>#N/A</v>
      </c>
      <c r="T198" t="e">
        <f t="shared" si="158"/>
        <v>#N/A</v>
      </c>
      <c r="U198" t="e">
        <f t="shared" si="159"/>
        <v>#N/A</v>
      </c>
      <c r="V198" t="e">
        <f t="shared" si="160"/>
        <v>#N/A</v>
      </c>
      <c r="W198" t="e">
        <f t="shared" si="161"/>
        <v>#N/A</v>
      </c>
      <c r="X198" t="e">
        <f t="shared" si="162"/>
        <v>#N/A</v>
      </c>
      <c r="Y198" t="e">
        <f t="shared" si="163"/>
        <v>#N/A</v>
      </c>
      <c r="Z198" t="e">
        <f t="shared" si="164"/>
        <v>#N/A</v>
      </c>
      <c r="AA198" t="e">
        <f t="shared" si="165"/>
        <v>#N/A</v>
      </c>
      <c r="AB198" t="e">
        <f t="shared" si="166"/>
        <v>#N/A</v>
      </c>
      <c r="AC198" t="e">
        <f t="shared" si="167"/>
        <v>#N/A</v>
      </c>
      <c r="AD198" t="e">
        <f t="shared" si="168"/>
        <v>#N/A</v>
      </c>
      <c r="AE198" t="e">
        <f t="shared" si="169"/>
        <v>#N/A</v>
      </c>
      <c r="AF198" t="e">
        <f t="shared" si="170"/>
        <v>#N/A</v>
      </c>
      <c r="AG198" t="e">
        <f t="shared" si="171"/>
        <v>#N/A</v>
      </c>
      <c r="AH198" t="e">
        <f t="shared" si="172"/>
        <v>#N/A</v>
      </c>
      <c r="AI198" t="e">
        <f t="shared" si="173"/>
        <v>#N/A</v>
      </c>
      <c r="AJ198" t="e">
        <f t="shared" si="174"/>
        <v>#N/A</v>
      </c>
    </row>
    <row r="199">
      <c r="A199" s="2"/>
      <c r="L199" t="e">
        <f t="shared" si="150"/>
        <v>#N/A</v>
      </c>
      <c r="M199" t="e">
        <f t="shared" si="151"/>
        <v>#N/A</v>
      </c>
      <c r="N199" t="e">
        <f t="shared" si="152"/>
        <v>#N/A</v>
      </c>
      <c r="O199" t="n">
        <f t="shared" si="153"/>
        <v>0</v>
      </c>
      <c r="P199" t="n">
        <f t="shared" si="154"/>
        <v>0</v>
      </c>
      <c r="Q199" t="n">
        <f t="shared" si="155"/>
        <v>0</v>
      </c>
      <c r="R199" t="n">
        <f t="shared" si="156"/>
        <v>0</v>
      </c>
      <c r="S199" t="e">
        <f t="shared" si="157"/>
        <v>#N/A</v>
      </c>
      <c r="T199" t="e">
        <f t="shared" si="158"/>
        <v>#N/A</v>
      </c>
      <c r="U199" t="e">
        <f t="shared" si="159"/>
        <v>#N/A</v>
      </c>
      <c r="V199" t="e">
        <f t="shared" si="160"/>
        <v>#N/A</v>
      </c>
      <c r="W199" t="e">
        <f t="shared" si="161"/>
        <v>#N/A</v>
      </c>
      <c r="X199" t="e">
        <f t="shared" si="162"/>
        <v>#N/A</v>
      </c>
      <c r="Y199" t="e">
        <f t="shared" si="163"/>
        <v>#N/A</v>
      </c>
      <c r="Z199" t="e">
        <f t="shared" si="164"/>
        <v>#N/A</v>
      </c>
      <c r="AA199" t="e">
        <f t="shared" si="165"/>
        <v>#N/A</v>
      </c>
      <c r="AB199" t="e">
        <f t="shared" si="166"/>
        <v>#N/A</v>
      </c>
      <c r="AC199" t="e">
        <f t="shared" si="167"/>
        <v>#N/A</v>
      </c>
      <c r="AD199" t="e">
        <f t="shared" si="168"/>
        <v>#N/A</v>
      </c>
      <c r="AE199" t="e">
        <f t="shared" si="169"/>
        <v>#N/A</v>
      </c>
      <c r="AF199" t="e">
        <f t="shared" si="170"/>
        <v>#N/A</v>
      </c>
      <c r="AG199" t="e">
        <f t="shared" si="171"/>
        <v>#N/A</v>
      </c>
      <c r="AH199" t="e">
        <f t="shared" si="172"/>
        <v>#N/A</v>
      </c>
      <c r="AI199" t="e">
        <f t="shared" si="173"/>
        <v>#N/A</v>
      </c>
      <c r="AJ199" t="e">
        <f t="shared" si="174"/>
        <v>#N/A</v>
      </c>
    </row>
    <row r="200">
      <c r="A200" s="2"/>
      <c r="L200" t="e">
        <f t="shared" si="150"/>
        <v>#N/A</v>
      </c>
      <c r="M200" t="e">
        <f t="shared" si="151"/>
        <v>#N/A</v>
      </c>
      <c r="N200" t="e">
        <f t="shared" si="152"/>
        <v>#N/A</v>
      </c>
      <c r="O200" t="n">
        <f t="shared" si="153"/>
        <v>0</v>
      </c>
      <c r="P200" t="n">
        <f t="shared" si="154"/>
        <v>0</v>
      </c>
      <c r="Q200" t="n">
        <f t="shared" si="155"/>
        <v>0</v>
      </c>
      <c r="R200" t="n">
        <f t="shared" si="156"/>
        <v>0</v>
      </c>
      <c r="S200" t="e">
        <f t="shared" si="157"/>
        <v>#N/A</v>
      </c>
      <c r="T200" t="e">
        <f t="shared" si="158"/>
        <v>#N/A</v>
      </c>
      <c r="U200" t="e">
        <f t="shared" si="159"/>
        <v>#N/A</v>
      </c>
      <c r="V200" t="e">
        <f t="shared" si="160"/>
        <v>#N/A</v>
      </c>
      <c r="W200" t="e">
        <f t="shared" si="161"/>
        <v>#N/A</v>
      </c>
      <c r="X200" t="e">
        <f t="shared" si="162"/>
        <v>#N/A</v>
      </c>
      <c r="Y200" t="e">
        <f t="shared" si="163"/>
        <v>#N/A</v>
      </c>
      <c r="Z200" t="e">
        <f t="shared" si="164"/>
        <v>#N/A</v>
      </c>
      <c r="AA200" t="e">
        <f t="shared" si="165"/>
        <v>#N/A</v>
      </c>
      <c r="AB200" t="e">
        <f t="shared" si="166"/>
        <v>#N/A</v>
      </c>
      <c r="AC200" t="e">
        <f t="shared" si="167"/>
        <v>#N/A</v>
      </c>
      <c r="AD200" t="e">
        <f t="shared" si="168"/>
        <v>#N/A</v>
      </c>
      <c r="AE200" t="e">
        <f t="shared" si="169"/>
        <v>#N/A</v>
      </c>
      <c r="AF200" t="e">
        <f t="shared" si="170"/>
        <v>#N/A</v>
      </c>
      <c r="AG200" t="e">
        <f t="shared" si="171"/>
        <v>#N/A</v>
      </c>
      <c r="AH200" t="e">
        <f t="shared" si="172"/>
        <v>#N/A</v>
      </c>
      <c r="AI200" t="e">
        <f t="shared" si="173"/>
        <v>#N/A</v>
      </c>
      <c r="AJ200" t="e">
        <f t="shared" si="174"/>
        <v>#N/A</v>
      </c>
    </row>
    <row r="201">
      <c r="A201" s="2"/>
      <c r="L201" t="e">
        <f t="shared" si="150"/>
        <v>#N/A</v>
      </c>
      <c r="M201" t="e">
        <f t="shared" si="151"/>
        <v>#N/A</v>
      </c>
      <c r="N201" t="e">
        <f t="shared" si="152"/>
        <v>#N/A</v>
      </c>
      <c r="O201" t="n">
        <f t="shared" si="153"/>
        <v>0</v>
      </c>
      <c r="P201" t="n">
        <f t="shared" si="154"/>
        <v>0</v>
      </c>
      <c r="Q201" t="n">
        <f t="shared" si="155"/>
        <v>0</v>
      </c>
      <c r="R201" t="n">
        <f t="shared" si="156"/>
        <v>0</v>
      </c>
      <c r="S201" t="e">
        <f t="shared" si="157"/>
        <v>#N/A</v>
      </c>
      <c r="T201" t="e">
        <f t="shared" si="158"/>
        <v>#N/A</v>
      </c>
      <c r="U201" t="e">
        <f t="shared" si="159"/>
        <v>#N/A</v>
      </c>
      <c r="V201" t="e">
        <f t="shared" si="160"/>
        <v>#N/A</v>
      </c>
      <c r="W201" t="e">
        <f t="shared" si="161"/>
        <v>#N/A</v>
      </c>
      <c r="X201" t="e">
        <f t="shared" si="162"/>
        <v>#N/A</v>
      </c>
      <c r="Y201" t="e">
        <f t="shared" si="163"/>
        <v>#N/A</v>
      </c>
      <c r="Z201" t="e">
        <f t="shared" si="164"/>
        <v>#N/A</v>
      </c>
      <c r="AA201" t="e">
        <f t="shared" si="165"/>
        <v>#N/A</v>
      </c>
      <c r="AB201" t="e">
        <f t="shared" si="166"/>
        <v>#N/A</v>
      </c>
      <c r="AC201" t="e">
        <f t="shared" si="167"/>
        <v>#N/A</v>
      </c>
      <c r="AD201" t="e">
        <f t="shared" si="168"/>
        <v>#N/A</v>
      </c>
      <c r="AE201" t="e">
        <f t="shared" si="169"/>
        <v>#N/A</v>
      </c>
      <c r="AF201" t="e">
        <f t="shared" si="170"/>
        <v>#N/A</v>
      </c>
      <c r="AG201" t="e">
        <f t="shared" si="171"/>
        <v>#N/A</v>
      </c>
      <c r="AH201" t="e">
        <f t="shared" si="172"/>
        <v>#N/A</v>
      </c>
      <c r="AI201" t="e">
        <f t="shared" si="173"/>
        <v>#N/A</v>
      </c>
      <c r="AJ201" t="e">
        <f t="shared" si="174"/>
        <v>#N/A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  <col min="5" max="5" width="15.7109375" hidden="0" customWidth="1"/>
    <col min="6" max="6" width="15.7109375" hidden="0" customWidth="1"/>
    <col min="7" max="7" width="15.7109375" hidden="0" customWidth="1"/>
    <col min="8" max="8" width="15.7109375" hidden="0" customWidth="1"/>
    <col min="9" max="9" width="15.7109375" hidden="0" customWidth="1"/>
    <col min="10" max="10" width="15.7109375" hidden="0" customWidth="1"/>
    <col min="11" max="11" width="15.7109375" hidden="0" customWidth="1"/>
    <col min="12" max="12" width="15.7109375" hidden="0" customWidth="1"/>
    <col min="13" max="13" width="15.7109375" hidden="0" customWidth="1"/>
    <col min="14" max="14" width="15.7109375" hidden="0" customWidth="1"/>
    <col min="15" max="15" width="15.7109375" hidden="0" customWidth="1"/>
    <col min="16" max="16" width="15.7109375" hidden="0" customWidth="1"/>
    <col min="17" max="17" width="15.7109375" hidden="0" customWidth="1"/>
    <col min="18" max="18" width="15.7109375" hidden="0" customWidth="1"/>
    <col min="19" max="19" width="15.7109375" hidden="0" customWidth="1"/>
    <col min="20" max="20" width="15.7109375" hidden="0" customWidth="1"/>
    <col min="21" max="21" width="15.7109375" hidden="0" customWidth="1"/>
    <col min="22" max="22" width="15.7109375" hidden="0" customWidth="1"/>
    <col min="23" max="23" width="15.7109375" hidden="0" customWidth="1"/>
    <col min="24" max="24" width="15.7109375" hidden="0" customWidth="1"/>
    <col min="25" max="25" width="15.7109375" hidden="0" customWidth="1"/>
    <col min="26" max="26" width="15.7109375" hidden="0" customWidth="1"/>
    <col min="27" max="27" width="15.7109375" hidden="0" customWidth="1"/>
    <col min="28" max="28" width="15.7109375" hidden="0" customWidth="1"/>
    <col min="29" max="29" width="15.7109375" hidden="0" customWidth="1"/>
    <col min="30" max="30" width="15.7109375" hidden="0" customWidth="1"/>
    <col min="31" max="31" width="15.7109375" hidden="0" customWidth="1"/>
    <col min="32" max="32" width="15.7109375" hidden="0" customWidth="1"/>
    <col min="33" max="33" width="15.7109375" hidden="0" customWidth="1"/>
    <col min="34" max="34" width="15.7109375" hidden="0" customWidth="1"/>
    <col min="35" max="35" width="15.7109375" hidden="0" customWidth="1"/>
    <col min="36" max="36" width="15.7109375" hidden="0" customWidth="1"/>
    <col min="37" max="37" width="15.7109375" hidden="0" customWidth="1"/>
    <col min="38" max="38" width="15.7109375" hidden="0" customWidth="1"/>
    <col min="39" max="39" width="15.7109375" hidden="0" customWidth="1"/>
    <col min="40" max="40" width="15.7109375" hidden="0" customWidth="1"/>
    <col min="41" max="41" width="15.7109375" hidden="0" customWidth="1"/>
    <col min="42" max="42" width="15.7109375" hidden="0" customWidth="1"/>
    <col min="43" max="43" width="15.7109375" hidden="0" customWidth="1"/>
    <col min="44" max="44" width="15.7109375" hidden="0" customWidth="1"/>
    <col min="45" max="45" width="15.7109375" hidden="0" customWidth="1"/>
    <col min="46" max="46" width="15.7109375" hidden="0" customWidth="1"/>
    <col min="47" max="47" width="15.7109375" hidden="0" customWidth="1"/>
    <col min="48" max="48" width="15.7109375" hidden="0" customWidth="1"/>
    <col min="49" max="49" width="15.7109375" hidden="0" customWidth="1"/>
    <col min="50" max="50" width="15.7109375" hidden="0" customWidth="1"/>
    <col min="51" max="51" width="15.7109375" hidden="0" customWidth="1"/>
    <col min="52" max="52" width="15.7109375" hidden="0" customWidth="1"/>
    <col min="53" max="53" width="15.7109375" hidden="0" customWidth="1"/>
    <col min="54" max="54" width="15.7109375" hidden="0" customWidth="1"/>
    <col min="55" max="55" width="15.7109375" hidden="0" customWidth="1"/>
    <col min="56" max="56" width="15.7109375" hidden="0" customWidth="1"/>
    <col min="57" max="57" width="15.7109375" hidden="0" customWidth="1"/>
    <col min="58" max="58" width="15.7109375" hidden="0" customWidth="1"/>
    <col min="59" max="59" width="15.7109375" hidden="0" customWidth="1"/>
    <col min="60" max="60" width="15.7109375" hidden="0" customWidth="1"/>
    <col min="61" max="61" width="15.7109375" hidden="0" customWidth="1"/>
    <col min="62" max="62" width="15.7109375" hidden="0" customWidth="1"/>
    <col min="63" max="63" width="15.7109375" hidden="0" customWidth="1"/>
    <col min="64" max="64" width="15.7109375" hidden="0" customWidth="1"/>
    <col min="65" max="65" width="15.7109375" hidden="0" customWidth="1"/>
    <col min="66" max="66" width="15.7109375" hidden="0" customWidth="1"/>
    <col min="67" max="67" width="15.7109375" hidden="0" customWidth="1"/>
    <col min="68" max="68" width="15.7109375" hidden="0" customWidth="1"/>
    <col min="69" max="69" width="15.7109375" hidden="0" customWidth="1"/>
    <col min="70" max="70" width="15.7109375" hidden="0" customWidth="1"/>
    <col min="71" max="71" width="15.7109375" hidden="0" customWidth="1"/>
    <col min="72" max="72" width="15.7109375" hidden="0" customWidth="1"/>
    <col min="73" max="73" width="15.7109375" hidden="0" customWidth="1"/>
    <col min="74" max="74" width="15.7109375" hidden="0" customWidth="1"/>
    <col min="75" max="75" width="15.7109375" hidden="0" customWidth="1"/>
    <col min="76" max="76" width="15.7109375" hidden="0" customWidth="1"/>
    <col min="77" max="77" width="15.7109375" hidden="0" customWidth="1"/>
    <col min="78" max="78" width="15.7109375" hidden="0" customWidth="1"/>
    <col min="79" max="79" width="15.7109375" hidden="0" customWidth="1"/>
    <col min="80" max="80" width="15.7109375" hidden="0" customWidth="1"/>
    <col min="81" max="81" width="15.7109375" hidden="0" customWidth="1"/>
    <col min="82" max="82" width="15.7109375" hidden="0" customWidth="1"/>
    <col min="83" max="83" width="15.7109375" hidden="0" customWidth="1"/>
    <col min="84" max="84" width="15.7109375" hidden="0" customWidth="1"/>
    <col min="85" max="85" width="15.7109375" hidden="0" customWidth="1"/>
    <col min="86" max="86" width="15.7109375" hidden="0" customWidth="1"/>
    <col min="87" max="87" width="15.7109375" hidden="0" customWidth="1"/>
    <col min="88" max="88" width="15.7109375" hidden="0" customWidth="1"/>
    <col min="89" max="89" width="15.7109375" hidden="0" customWidth="1"/>
    <col min="90" max="90" width="15.7109375" hidden="0" customWidth="1"/>
    <col min="91" max="91" width="15.7109375" hidden="0" customWidth="1"/>
    <col min="92" max="92" width="15.7109375" hidden="0" customWidth="1"/>
    <col min="93" max="93" width="15.7109375" hidden="0" customWidth="1"/>
    <col min="94" max="94" width="15.7109375" hidden="0" customWidth="1"/>
    <col min="95" max="95" width="15.7109375" hidden="0" customWidth="1"/>
    <col min="96" max="96" width="15.7109375" hidden="0" customWidth="1"/>
    <col min="97" max="97" width="15.7109375" hidden="0" customWidth="1"/>
    <col min="98" max="98" width="15.7109375" hidden="0" customWidth="1"/>
    <col min="99" max="99" width="15.7109375" hidden="0" customWidth="1"/>
    <col min="100" max="100" width="15.7109375" hidden="0" customWidth="1"/>
    <col min="101" max="101" width="15.7109375" hidden="0" customWidth="1"/>
    <col min="102" max="102" width="15.7109375" hidden="0" customWidth="1"/>
    <col min="103" max="103" width="15.7109375" hidden="0" customWidth="1"/>
    <col min="104" max="104" width="15.7109375" hidden="0" customWidth="1"/>
    <col min="105" max="105" width="15.7109375" hidden="0" customWidth="1"/>
    <col min="106" max="106" width="15.7109375" hidden="0" customWidth="1"/>
    <col min="107" max="107" width="15.7109375" hidden="0" customWidth="1"/>
    <col min="108" max="108" width="15.7109375" hidden="0" customWidth="1"/>
    <col min="109" max="109" width="15.7109375" hidden="0" customWidth="1"/>
    <col min="110" max="110" width="15.7109375" hidden="0" customWidth="1"/>
    <col min="111" max="111" width="15.7109375" hidden="0" customWidth="1"/>
    <col min="112" max="112" width="15.7109375" hidden="0" customWidth="1"/>
    <col min="113" max="113" width="15.7109375" hidden="0" customWidth="1"/>
    <col min="114" max="114" width="15.7109375" hidden="0" customWidth="1"/>
    <col min="115" max="115" width="15.7109375" hidden="0" customWidth="1"/>
    <col min="116" max="116" width="15.7109375" hidden="0" customWidth="1"/>
    <col min="117" max="117" width="15.7109375" hidden="0" customWidth="1"/>
    <col min="118" max="118" width="15.7109375" hidden="0" customWidth="1"/>
    <col min="119" max="119" width="15.7109375" hidden="0" customWidth="1"/>
    <col min="120" max="120" width="15.7109375" hidden="0" customWidth="1"/>
    <col min="121" max="121" width="15.7109375" hidden="0" customWidth="1"/>
    <col min="122" max="122" width="15.7109375" hidden="0" customWidth="1"/>
    <col min="123" max="123" width="15.7109375" hidden="0" customWidth="1"/>
    <col min="124" max="124" width="15.7109375" hidden="0" customWidth="1"/>
    <col min="125" max="125" width="15.7109375" hidden="0" customWidth="1"/>
    <col min="126" max="126" width="15.7109375" hidden="0" customWidth="1"/>
    <col min="127" max="127" width="15.7109375" hidden="0" customWidth="1"/>
    <col min="128" max="128" width="15.7109375" hidden="0" customWidth="1"/>
    <col min="129" max="129" width="15.7109375" hidden="0" customWidth="1"/>
    <col min="130" max="130" width="15.7109375" hidden="0" customWidth="1"/>
    <col min="131" max="131" width="15.7109375" hidden="0" customWidth="1"/>
    <col min="132" max="132" width="15.7109375" hidden="0" customWidth="1"/>
    <col min="133" max="133" width="15.7109375" hidden="0" customWidth="1"/>
    <col min="134" max="134" width="15.7109375" hidden="0" customWidth="1"/>
    <col min="135" max="135" width="15.7109375" hidden="0" customWidth="1"/>
    <col min="136" max="136" width="15.7109375" hidden="0" customWidth="1"/>
    <col min="137" max="137" width="15.7109375" hidden="0" customWidth="1"/>
    <col min="138" max="138" width="15.7109375" hidden="0" customWidth="1"/>
    <col min="139" max="139" width="15.7109375" hidden="0" customWidth="1"/>
  </cols>
  <sheetData>
    <row r="1">
      <c r="A1" s="1" t="s">
        <v>0</v>
      </c>
      <c r="B1" t="s">
        <v>2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7</v>
      </c>
      <c r="N1" t="s">
        <v>46</v>
      </c>
      <c r="O1" t="s">
        <v>3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8</v>
      </c>
      <c r="AU1" t="s">
        <v>9</v>
      </c>
      <c r="AV1" t="s">
        <v>76</v>
      </c>
      <c r="AW1" t="s">
        <v>77</v>
      </c>
      <c r="AX1" t="s">
        <v>78</v>
      </c>
      <c r="AY1" t="s">
        <v>79</v>
      </c>
      <c r="AZ1" t="s">
        <v>80</v>
      </c>
      <c r="BA1" t="s">
        <v>81</v>
      </c>
      <c r="BB1" t="s">
        <v>82</v>
      </c>
      <c r="BC1" t="s">
        <v>83</v>
      </c>
      <c r="BD1" t="s">
        <v>84</v>
      </c>
      <c r="BE1" t="s">
        <v>85</v>
      </c>
      <c r="BF1" t="s">
        <v>86</v>
      </c>
      <c r="BG1" t="s">
        <v>87</v>
      </c>
      <c r="BH1" t="s">
        <v>88</v>
      </c>
      <c r="BI1" t="s">
        <v>89</v>
      </c>
      <c r="BJ1" t="s">
        <v>90</v>
      </c>
      <c r="BK1" t="s">
        <v>91</v>
      </c>
      <c r="BL1" t="s">
        <v>92</v>
      </c>
      <c r="BM1" t="s">
        <v>93</v>
      </c>
      <c r="BN1" t="s">
        <v>94</v>
      </c>
      <c r="BO1" t="s">
        <v>1</v>
      </c>
      <c r="BP1" t="s">
        <v>95</v>
      </c>
      <c r="BQ1" t="s">
        <v>96</v>
      </c>
      <c r="BR1" t="s">
        <v>97</v>
      </c>
      <c r="BS1" t="s">
        <v>98</v>
      </c>
      <c r="BT1" t="s">
        <v>99</v>
      </c>
      <c r="BU1" t="s">
        <v>100</v>
      </c>
      <c r="BV1" t="s">
        <v>101</v>
      </c>
      <c r="BW1" t="s">
        <v>102</v>
      </c>
      <c r="BX1" t="s">
        <v>103</v>
      </c>
      <c r="BY1" t="s">
        <v>4</v>
      </c>
      <c r="BZ1" t="s">
        <v>104</v>
      </c>
      <c r="CA1" t="s">
        <v>105</v>
      </c>
      <c r="CB1" t="s">
        <v>6</v>
      </c>
      <c r="CC1" t="s">
        <v>106</v>
      </c>
      <c r="CD1" t="s">
        <v>107</v>
      </c>
      <c r="CE1" t="s">
        <v>108</v>
      </c>
      <c r="CF1" t="s">
        <v>109</v>
      </c>
      <c r="CG1" t="s">
        <v>110</v>
      </c>
      <c r="CH1" t="s">
        <v>111</v>
      </c>
      <c r="CI1" t="s">
        <v>112</v>
      </c>
      <c r="CJ1" t="s">
        <v>113</v>
      </c>
      <c r="CK1" t="s">
        <v>114</v>
      </c>
      <c r="CL1" t="s">
        <v>115</v>
      </c>
      <c r="CM1" t="s">
        <v>116</v>
      </c>
      <c r="CN1" t="s">
        <v>117</v>
      </c>
      <c r="CO1" t="s">
        <v>118</v>
      </c>
      <c r="CP1" t="s">
        <v>119</v>
      </c>
      <c r="CQ1" t="s">
        <v>120</v>
      </c>
      <c r="CR1" t="s">
        <v>121</v>
      </c>
      <c r="CS1" t="s">
        <v>122</v>
      </c>
      <c r="CT1" t="s">
        <v>123</v>
      </c>
      <c r="CU1" t="s">
        <v>124</v>
      </c>
      <c r="CV1" t="s">
        <v>125</v>
      </c>
      <c r="CW1" t="s">
        <v>126</v>
      </c>
      <c r="CX1" t="s">
        <v>127</v>
      </c>
      <c r="CY1" t="s">
        <v>128</v>
      </c>
      <c r="CZ1" t="s">
        <v>129</v>
      </c>
      <c r="DA1" t="s">
        <v>130</v>
      </c>
      <c r="DB1" t="s">
        <v>131</v>
      </c>
      <c r="DC1" t="s">
        <v>132</v>
      </c>
      <c r="DD1" t="s">
        <v>133</v>
      </c>
      <c r="DE1" t="s">
        <v>134</v>
      </c>
      <c r="DF1" t="s">
        <v>135</v>
      </c>
      <c r="DG1" t="s">
        <v>136</v>
      </c>
      <c r="DH1" t="s">
        <v>137</v>
      </c>
      <c r="DI1" t="s">
        <v>138</v>
      </c>
      <c r="DJ1" t="s">
        <v>139</v>
      </c>
      <c r="DK1" t="s">
        <v>140</v>
      </c>
      <c r="DL1" t="s">
        <v>141</v>
      </c>
      <c r="DM1" t="s">
        <v>142</v>
      </c>
      <c r="DN1" t="s">
        <v>143</v>
      </c>
      <c r="DO1" t="s">
        <v>144</v>
      </c>
      <c r="DP1" t="s">
        <v>145</v>
      </c>
      <c r="DQ1" t="s">
        <v>146</v>
      </c>
      <c r="DR1" t="s">
        <v>147</v>
      </c>
      <c r="DS1" t="s">
        <v>148</v>
      </c>
      <c r="DT1" t="s">
        <v>149</v>
      </c>
      <c r="DU1" t="s">
        <v>150</v>
      </c>
      <c r="DV1" t="s">
        <v>151</v>
      </c>
      <c r="DW1" t="s">
        <v>152</v>
      </c>
      <c r="DX1" t="s">
        <v>153</v>
      </c>
      <c r="DY1" t="s">
        <v>154</v>
      </c>
      <c r="DZ1" t="s">
        <v>155</v>
      </c>
      <c r="EA1" t="s">
        <v>156</v>
      </c>
      <c r="EB1" t="s">
        <v>157</v>
      </c>
      <c r="EC1" t="s">
        <v>158</v>
      </c>
      <c r="ED1" t="s">
        <v>159</v>
      </c>
      <c r="EE1" t="s">
        <v>160</v>
      </c>
      <c r="EF1" t="s">
        <v>161</v>
      </c>
      <c r="EG1" t="s">
        <v>162</v>
      </c>
      <c r="EH1" t="s">
        <v>163</v>
      </c>
      <c r="EI1" t="s">
        <v>164</v>
      </c>
    </row>
    <row r="2">
      <c r="A2" s="2" t="n">
        <v>45717</v>
      </c>
      <c r="B2" t="n">
        <v>350569.786020005</v>
      </c>
      <c r="C2" t="n">
        <v>35109.7372357658</v>
      </c>
      <c r="D2" t="n">
        <v>18999.3462281491</v>
      </c>
      <c r="E2" t="n">
        <v>217910.492102616</v>
      </c>
      <c r="F2" t="n">
        <v>38500.4060783768</v>
      </c>
      <c r="G2" t="n">
        <v>11234.7931166163</v>
      </c>
      <c r="H2" t="n">
        <v>46030.7083674791</v>
      </c>
      <c r="I2" t="n">
        <v>43045.4455171119</v>
      </c>
      <c r="J2" t="n">
        <v>89228.7051395517</v>
      </c>
      <c r="K2" t="n">
        <v>415.256609238954</v>
      </c>
      <c r="L2" t="n">
        <v>4525.54883453277</v>
      </c>
      <c r="M2" t="n">
        <v>0.669951756248767</v>
      </c>
      <c r="N2" t="n">
        <v>25428.610719376</v>
      </c>
      <c r="O2" t="n">
        <v>140.031862754532</v>
      </c>
      <c r="P2" t="n">
        <v>1.23749317604011</v>
      </c>
      <c r="Q2" t="n">
        <v>1.07499611337912</v>
      </c>
      <c r="R2" t="n">
        <v>0.999754342334973</v>
      </c>
      <c r="S2" t="n">
        <v>0.088350112037328</v>
      </c>
      <c r="T2" t="n">
        <v>9003.78418383267</v>
      </c>
      <c r="U2" t="n">
        <v>0.416230692222928</v>
      </c>
      <c r="V2" t="n">
        <v>0.64136359850273</v>
      </c>
      <c r="W2" t="n">
        <v>17563221.3365077</v>
      </c>
      <c r="X2" t="n">
        <v>57626.8488075013</v>
      </c>
      <c r="Y2" t="n">
        <v>4333739.76004055</v>
      </c>
      <c r="Z2" t="n">
        <v>786.242130803408</v>
      </c>
      <c r="AA2" t="n">
        <v>1.03089133552106</v>
      </c>
      <c r="AB2" t="n">
        <v>1.01954314830406</v>
      </c>
      <c r="AC2" t="n">
        <v>1.03971640845581</v>
      </c>
      <c r="AD2" t="n">
        <v>1.05176429435073</v>
      </c>
      <c r="AE2" t="n">
        <v>104.955352484331</v>
      </c>
      <c r="AF2" t="n">
        <v>87152.2763067835</v>
      </c>
      <c r="AG2" t="n">
        <v>844.78581461489</v>
      </c>
      <c r="AH2" t="n">
        <v>96.8582096903154</v>
      </c>
      <c r="AI2" t="n">
        <v>61456.8286568274</v>
      </c>
      <c r="AJ2" t="n">
        <v>82501.2130909003</v>
      </c>
      <c r="AK2" t="n">
        <v>507.432269451784</v>
      </c>
      <c r="AL2" t="n">
        <v>22645.8715054516</v>
      </c>
      <c r="AM2" t="n">
        <v>19353.388611851</v>
      </c>
      <c r="AN2" t="n">
        <v>0.892684061596722</v>
      </c>
      <c r="AO2" t="n">
        <v>0.942002430678543</v>
      </c>
      <c r="AP2" t="n">
        <v>1.03043599851956</v>
      </c>
      <c r="AQ2" t="n">
        <v>1.03878480888452</v>
      </c>
      <c r="AR2" t="n">
        <v>32202.851945515</v>
      </c>
      <c r="AS2" t="n">
        <v>155775.318036827</v>
      </c>
      <c r="AT2" t="n">
        <v>0.0437782648188369</v>
      </c>
      <c r="AU2" t="n">
        <v>0.0436439237058131</v>
      </c>
      <c r="AV2" t="n">
        <v>0.0893134249037022</v>
      </c>
      <c r="AW2" t="n">
        <v>147.492102615593</v>
      </c>
      <c r="AX2" t="n">
        <v>10391.1709586367</v>
      </c>
      <c r="AY2" t="n">
        <v>17134.1992529571</v>
      </c>
      <c r="AZ2" t="n">
        <v>165964.144949875</v>
      </c>
      <c r="BA2" t="n">
        <v>364166.568661387</v>
      </c>
      <c r="BB2" t="n">
        <v>162326.345504591</v>
      </c>
      <c r="BC2" t="n">
        <v>205564.055374707</v>
      </c>
      <c r="BD2" t="n">
        <v>39915.0769123764</v>
      </c>
      <c r="BE2" t="n">
        <v>14.50104636841</v>
      </c>
      <c r="BF2" t="n">
        <v>36927.1680086147</v>
      </c>
      <c r="BG2" t="n">
        <v>12859.0031523792</v>
      </c>
      <c r="BH2" t="n">
        <v>19586.2614071635</v>
      </c>
      <c r="BI2" t="n">
        <v>62657.8879790443</v>
      </c>
      <c r="BJ2" t="n">
        <v>39241.9877900507</v>
      </c>
      <c r="BK2" t="n">
        <v>79653.0429149913</v>
      </c>
      <c r="BL2" t="n">
        <v>18419.1976027923</v>
      </c>
      <c r="BM2" t="n">
        <v>18230.93911423</v>
      </c>
      <c r="BN2" t="n">
        <v>33798.6167694224</v>
      </c>
      <c r="BO2" t="n">
        <v>161691.356401436</v>
      </c>
      <c r="BP2" t="n">
        <v>155737.05063593</v>
      </c>
      <c r="BQ2" t="n">
        <v>703719.528268736</v>
      </c>
      <c r="BR2" t="n">
        <v>682056.331589137</v>
      </c>
      <c r="BS2" t="n">
        <v>672297.485574295</v>
      </c>
      <c r="BT2" t="n">
        <v>103.848264323718</v>
      </c>
      <c r="BU2" t="n">
        <v>1.03176160819493</v>
      </c>
      <c r="BV2" t="n">
        <v>0.974254749122293</v>
      </c>
      <c r="BW2" t="n">
        <v>97.4494141077573</v>
      </c>
      <c r="BX2" t="n">
        <v>74589.8111124421</v>
      </c>
      <c r="BY2" t="n">
        <v>1.06883427580176</v>
      </c>
      <c r="BZ2" t="n">
        <v>79724.1467425572</v>
      </c>
      <c r="CA2" t="n">
        <v>10059.4507401782</v>
      </c>
      <c r="CB2" t="n">
        <v>14584.999574711</v>
      </c>
      <c r="CC2" t="n">
        <v>15181.1438833743</v>
      </c>
      <c r="CD2" t="n">
        <v>596.144308663288</v>
      </c>
      <c r="CE2" t="n">
        <v>0.0392687294678991</v>
      </c>
      <c r="CF2" t="n">
        <v>10809825.7335879</v>
      </c>
      <c r="CG2" t="n">
        <v>340755.427462459</v>
      </c>
      <c r="CH2" t="n">
        <v>430976.612688423</v>
      </c>
      <c r="CI2" t="n">
        <v>247522.711377401</v>
      </c>
      <c r="CJ2" t="n">
        <v>12590.8649967441</v>
      </c>
      <c r="CK2" t="n">
        <v>644440.491302939</v>
      </c>
      <c r="CL2" t="n">
        <v>0.0563576668533367</v>
      </c>
      <c r="CM2" t="n">
        <v>17.7438147431186</v>
      </c>
      <c r="CN2" t="n">
        <v>1137697.02575921</v>
      </c>
      <c r="CO2" t="n">
        <v>2537800.32085941</v>
      </c>
      <c r="CP2" t="n">
        <v>3102677.61831014</v>
      </c>
      <c r="CQ2" t="n">
        <v>3675497.34661862</v>
      </c>
      <c r="CR2" t="n">
        <v>8834487.4760717</v>
      </c>
      <c r="CS2" t="n">
        <v>0.0253647175131481</v>
      </c>
      <c r="CT2" t="n">
        <v>0.0252303764001243</v>
      </c>
      <c r="CU2" t="n">
        <v>0.0699365647316392</v>
      </c>
      <c r="CV2" t="n">
        <v>1.35236335939857</v>
      </c>
      <c r="CW2" t="n">
        <v>0.0632978507789903</v>
      </c>
      <c r="CX2" t="n">
        <v>0.0359883333333333</v>
      </c>
      <c r="CY2" t="n">
        <v>0.0192742085963046</v>
      </c>
      <c r="CZ2" t="n">
        <v>0.00595616780381965</v>
      </c>
      <c r="DA2" t="n">
        <v>0.614230662795474</v>
      </c>
      <c r="DB2" t="n">
        <v>5.61473735575199</v>
      </c>
      <c r="DC2" t="n">
        <v>0.0615077560688369</v>
      </c>
      <c r="DD2" t="n">
        <v>0.0419182551059826</v>
      </c>
      <c r="DE2" t="n">
        <v>0.00721654738222788</v>
      </c>
      <c r="DF2" t="n">
        <v>0.116288616367959</v>
      </c>
      <c r="DG2" t="n">
        <v>195464.139802887</v>
      </c>
      <c r="DH2" t="n">
        <v>106.080650898426</v>
      </c>
      <c r="DI2" t="n">
        <v>4.69595483611968</v>
      </c>
      <c r="DJ2" t="n">
        <v>4.10587166233904</v>
      </c>
      <c r="DK2" t="n">
        <v>0.0411256875275234</v>
      </c>
      <c r="DL2" t="n">
        <v>0.670223574218165</v>
      </c>
      <c r="DM2" t="n">
        <v>1.03449629207622</v>
      </c>
      <c r="DN2" t="n">
        <v>0.0357615042376472</v>
      </c>
      <c r="DO2" t="n">
        <v>0.0465455822795444</v>
      </c>
      <c r="DP2" t="n">
        <v>27499.25</v>
      </c>
      <c r="DQ2" t="n">
        <v>22660.0553573848</v>
      </c>
      <c r="DR2" t="n">
        <v>156125.597503725</v>
      </c>
      <c r="DS2" t="n">
        <v>27565.0670214726</v>
      </c>
      <c r="DT2" t="n">
        <v>11773.4752776902</v>
      </c>
      <c r="DU2" t="n">
        <v>0</v>
      </c>
      <c r="DV2" t="n">
        <v>76.25</v>
      </c>
      <c r="DW2" t="n">
        <v>258921.25</v>
      </c>
      <c r="DX2" t="n">
        <v>2.0020835478184</v>
      </c>
      <c r="DY2" t="n">
        <v>72.8314273592171</v>
      </c>
      <c r="DZ2" t="n">
        <v>1.02687319303511</v>
      </c>
      <c r="EA2" t="n">
        <v>1.18168784780365</v>
      </c>
      <c r="EB2" t="n">
        <v>135100737.563551</v>
      </c>
      <c r="EC2" t="n">
        <v>3.3974844822145</v>
      </c>
      <c r="ED2" t="n">
        <v>0.0429</v>
      </c>
      <c r="EE2" t="n">
        <v>0.0151</v>
      </c>
      <c r="EF2" t="n">
        <v>0.0261</v>
      </c>
      <c r="EG2" t="n">
        <v>0.0458</v>
      </c>
      <c r="EH2" t="n">
        <v>685405.031492235</v>
      </c>
      <c r="EI2" t="n">
        <v>351953.479114902</v>
      </c>
      <c r="EJ2" t="n">
        <v>793.384726301986</v>
      </c>
      <c r="EK2" t="n">
        <v>1.74053407715189</v>
      </c>
      <c r="EL2" t="n">
        <v>1.84135473056888</v>
      </c>
    </row>
    <row r="3">
      <c r="A3" s="2" t="n">
        <v>45809</v>
      </c>
      <c r="B3" t="n">
        <v>353180.572988745</v>
      </c>
      <c r="C3" t="n">
        <v>34985.5321404622</v>
      </c>
      <c r="D3" t="n">
        <v>19348.9836352265</v>
      </c>
      <c r="E3" t="n">
        <v>218432.18050731</v>
      </c>
      <c r="F3" t="n">
        <v>39028.4552727523</v>
      </c>
      <c r="G3" t="n">
        <v>11140.2693980465</v>
      </c>
      <c r="H3" t="n">
        <v>46810.2745021347</v>
      </c>
      <c r="I3" t="n">
        <v>44909.1507686197</v>
      </c>
      <c r="J3" t="n">
        <v>90030.1794991257</v>
      </c>
      <c r="K3" t="n">
        <v>413.812492589651</v>
      </c>
      <c r="L3" t="n">
        <v>4569.93408670334</v>
      </c>
      <c r="M3" t="n">
        <v>0.669799231562062</v>
      </c>
      <c r="N3" t="n">
        <v>25725.445699039</v>
      </c>
      <c r="O3" t="n">
        <v>140.599706676254</v>
      </c>
      <c r="P3" t="n">
        <v>1.25849689128793</v>
      </c>
      <c r="Q3" t="n">
        <v>1.09722665788453</v>
      </c>
      <c r="R3" t="n">
        <v>1.00190539347164</v>
      </c>
      <c r="S3" t="n">
        <v>0.0858108186426453</v>
      </c>
      <c r="T3" t="n">
        <v>9065.1599268796</v>
      </c>
      <c r="U3" t="n">
        <v>0.412546007985485</v>
      </c>
      <c r="V3" t="n">
        <v>0.633020579420639</v>
      </c>
      <c r="W3" t="n">
        <v>17811329.0217302</v>
      </c>
      <c r="X3" t="n">
        <v>58215.8996377242</v>
      </c>
      <c r="Y3" t="n">
        <v>4343514.23094248</v>
      </c>
      <c r="Z3" t="n">
        <v>788.857120902499</v>
      </c>
      <c r="AA3" t="n">
        <v>1.03743643272897</v>
      </c>
      <c r="AB3" t="n">
        <v>1.02420366196173</v>
      </c>
      <c r="AC3" t="n">
        <v>1.05072328448921</v>
      </c>
      <c r="AD3" t="n">
        <v>1.06167284739646</v>
      </c>
      <c r="AE3" t="n">
        <v>105.887234352844</v>
      </c>
      <c r="AF3" t="n">
        <v>87925.1175975753</v>
      </c>
      <c r="AG3" t="n">
        <v>864.096526255102</v>
      </c>
      <c r="AH3" t="n">
        <v>96.9552149427184</v>
      </c>
      <c r="AI3" t="n">
        <v>62325.035344099</v>
      </c>
      <c r="AJ3" t="n">
        <v>81724.1952914747</v>
      </c>
      <c r="AK3" t="n">
        <v>498.718174486159</v>
      </c>
      <c r="AL3" t="n">
        <v>22731.2886973115</v>
      </c>
      <c r="AM3" t="n">
        <v>19379.4033895928</v>
      </c>
      <c r="AN3" t="n">
        <v>0.89687743149668</v>
      </c>
      <c r="AO3" t="n">
        <v>0.945234681665127</v>
      </c>
      <c r="AP3" t="n">
        <v>1.03901912666072</v>
      </c>
      <c r="AQ3" t="n">
        <v>1.04591087995401</v>
      </c>
      <c r="AR3" t="n">
        <v>32383.8420595227</v>
      </c>
      <c r="AS3" t="n">
        <v>157724.661689785</v>
      </c>
      <c r="AT3" t="n">
        <v>0.0386090978853748</v>
      </c>
      <c r="AU3" t="n">
        <v>0.0432359645697224</v>
      </c>
      <c r="AV3" t="n">
        <v>0.0847764970378332</v>
      </c>
      <c r="AW3" t="n">
        <v>521.688404694112</v>
      </c>
      <c r="AX3" t="n">
        <v>10354.4108891846</v>
      </c>
      <c r="AY3" t="n">
        <v>17266.1820227085</v>
      </c>
      <c r="AZ3" t="n">
        <v>167104.60697095</v>
      </c>
      <c r="BA3" t="n">
        <v>369395.404569099</v>
      </c>
      <c r="BB3" t="n">
        <v>165740.788150752</v>
      </c>
      <c r="BC3" t="n">
        <v>207635.40546782</v>
      </c>
      <c r="BD3" t="n">
        <v>43721.7602651107</v>
      </c>
      <c r="BE3" t="n">
        <v>14.8977616030285</v>
      </c>
      <c r="BF3" t="n">
        <v>37143.1895252448</v>
      </c>
      <c r="BG3" t="n">
        <v>13030.9939151567</v>
      </c>
      <c r="BH3" t="n">
        <v>20073.3405594606</v>
      </c>
      <c r="BI3" t="n">
        <v>63833.5288063251</v>
      </c>
      <c r="BJ3" t="n">
        <v>40200.9913838936</v>
      </c>
      <c r="BK3" t="n">
        <v>80746.036146361</v>
      </c>
      <c r="BL3" t="n">
        <v>18944.9151952023</v>
      </c>
      <c r="BM3" t="n">
        <v>18318.0841938219</v>
      </c>
      <c r="BN3" t="n">
        <v>34290.3547340218</v>
      </c>
      <c r="BO3" t="n">
        <v>163888.950269407</v>
      </c>
      <c r="BP3" t="n">
        <v>158025.189230486</v>
      </c>
      <c r="BQ3" t="n">
        <v>715281.997948853</v>
      </c>
      <c r="BR3" t="n">
        <v>687310.132940827</v>
      </c>
      <c r="BS3" t="n">
        <v>678360.167274833</v>
      </c>
      <c r="BT3" t="n">
        <v>104.638469524333</v>
      </c>
      <c r="BU3" t="n">
        <v>1.04069759868465</v>
      </c>
      <c r="BV3" t="n">
        <v>0.980756624489103</v>
      </c>
      <c r="BW3" t="n">
        <v>97.8891451108714</v>
      </c>
      <c r="BX3" t="n">
        <v>75145.301387471</v>
      </c>
      <c r="BY3" t="n">
        <v>1.06990473269987</v>
      </c>
      <c r="BZ3" t="n">
        <v>80398.3135946131</v>
      </c>
      <c r="CA3" t="n">
        <v>10117.323681989</v>
      </c>
      <c r="CB3" t="n">
        <v>14687.2577686923</v>
      </c>
      <c r="CC3" t="n">
        <v>15284.4848546959</v>
      </c>
      <c r="CD3" t="n">
        <v>597.227086003642</v>
      </c>
      <c r="CE3" t="n">
        <v>0.0390740674259115</v>
      </c>
      <c r="CF3" t="n">
        <v>10853518.275395</v>
      </c>
      <c r="CG3" t="n">
        <v>347150.146225057</v>
      </c>
      <c r="CH3" t="n">
        <v>438602.185779704</v>
      </c>
      <c r="CI3" t="n">
        <v>251234.450619083</v>
      </c>
      <c r="CJ3" t="n">
        <v>12813.6440489905</v>
      </c>
      <c r="CK3" t="n">
        <v>655028.976263221</v>
      </c>
      <c r="CL3" t="n">
        <v>0.0550148236224032</v>
      </c>
      <c r="CM3" t="n">
        <v>18.1769191311699</v>
      </c>
      <c r="CN3" t="n">
        <v>1138540.6461549</v>
      </c>
      <c r="CO3" t="n">
        <v>2557444.47459025</v>
      </c>
      <c r="CP3" t="n">
        <v>3113037.00920193</v>
      </c>
      <c r="CQ3" t="n">
        <v>3695985.12074516</v>
      </c>
      <c r="CR3" t="n">
        <v>8865334.64109002</v>
      </c>
      <c r="CS3" t="n">
        <v>0.026372188769073</v>
      </c>
      <c r="CT3" t="n">
        <v>0.0309990554534207</v>
      </c>
      <c r="CU3" t="n">
        <v>0.0735739095263436</v>
      </c>
      <c r="CV3" t="n">
        <v>1.35784733496305</v>
      </c>
      <c r="CW3" t="n">
        <v>0.0653678343633139</v>
      </c>
      <c r="CX3" t="n">
        <v>0.0359883333333333</v>
      </c>
      <c r="CY3" t="n">
        <v>0.0228382601476805</v>
      </c>
      <c r="CZ3" t="n">
        <v>0.00816079530574016</v>
      </c>
      <c r="DA3" t="n">
        <v>0.610746786289357</v>
      </c>
      <c r="DB3" t="n">
        <v>5.61065979119662</v>
      </c>
      <c r="DC3" t="n">
        <v>0.0563385891353748</v>
      </c>
      <c r="DD3" t="n">
        <v>0.0383423824762497</v>
      </c>
      <c r="DE3" t="n">
        <v>0.00718642489863991</v>
      </c>
      <c r="DF3" t="n">
        <v>0.114337791585935</v>
      </c>
      <c r="DG3" t="n">
        <v>197484.95817766</v>
      </c>
      <c r="DH3" t="n">
        <v>107.245294012362</v>
      </c>
      <c r="DI3" t="n">
        <v>4.70703105578406</v>
      </c>
      <c r="DJ3" t="n">
        <v>4.11402667817282</v>
      </c>
      <c r="DK3" t="n">
        <v>0.0411256875275234</v>
      </c>
      <c r="DL3" t="n">
        <v>0.670223574218165</v>
      </c>
      <c r="DM3" t="n">
        <v>1.04509373576945</v>
      </c>
      <c r="DN3" t="n">
        <v>0.0357615042376472</v>
      </c>
      <c r="DO3" t="n">
        <v>0.0465455822795444</v>
      </c>
      <c r="DP3" t="n">
        <v>27610.4</v>
      </c>
      <c r="DQ3" t="n">
        <v>22819.501926048</v>
      </c>
      <c r="DR3" t="n">
        <v>157739.711870309</v>
      </c>
      <c r="DS3" t="n">
        <v>27850.0502106908</v>
      </c>
      <c r="DT3" t="n">
        <v>11895.1960966602</v>
      </c>
      <c r="DU3" t="n">
        <v>0</v>
      </c>
      <c r="DV3" t="n">
        <v>76.25</v>
      </c>
      <c r="DW3" t="n">
        <v>246475.5</v>
      </c>
      <c r="DX3" t="n">
        <v>2.01472165420273</v>
      </c>
      <c r="DY3" t="n">
        <v>71.0920766330538</v>
      </c>
      <c r="DZ3" t="n">
        <v>1.02370345415966</v>
      </c>
      <c r="EA3" t="n">
        <v>1.17590217315243</v>
      </c>
      <c r="EB3" t="n">
        <v>136745373.274626</v>
      </c>
      <c r="EC3" t="n">
        <v>3.36527720317444</v>
      </c>
      <c r="ED3" t="n">
        <v>0.0429</v>
      </c>
      <c r="EE3" t="n">
        <v>0.0151</v>
      </c>
      <c r="EF3" t="n">
        <v>0.0261</v>
      </c>
      <c r="EG3" t="n">
        <v>0.0458</v>
      </c>
      <c r="EH3" t="n">
        <v>688797.590172585</v>
      </c>
      <c r="EI3" t="n">
        <v>353967.807809632</v>
      </c>
      <c r="EJ3" t="n">
        <v>800.754084642965</v>
      </c>
      <c r="EK3" t="n">
        <v>2.26672771246512</v>
      </c>
      <c r="EL3" t="n">
        <v>1.22369091163017</v>
      </c>
    </row>
    <row r="4">
      <c r="A4" s="2" t="n">
        <v>45901</v>
      </c>
      <c r="B4" t="n">
        <v>355998.931293701</v>
      </c>
      <c r="C4" t="n">
        <v>34862.0561289003</v>
      </c>
      <c r="D4" t="n">
        <v>19501.9075535925</v>
      </c>
      <c r="E4" t="n">
        <v>219059.717783483</v>
      </c>
      <c r="F4" t="n">
        <v>39510.7392190492</v>
      </c>
      <c r="G4" t="n">
        <v>11168.2452159915</v>
      </c>
      <c r="H4" t="n">
        <v>47509.7989564037</v>
      </c>
      <c r="I4" t="n">
        <v>48734.9698726025</v>
      </c>
      <c r="J4" t="n">
        <v>90619.2434432952</v>
      </c>
      <c r="K4" t="n">
        <v>412.889342804343</v>
      </c>
      <c r="L4" t="n">
        <v>4601.63461099951</v>
      </c>
      <c r="M4" t="n">
        <v>0.669539090710189</v>
      </c>
      <c r="N4" t="n">
        <v>26008.4022944315</v>
      </c>
      <c r="O4" t="n">
        <v>141.329719995302</v>
      </c>
      <c r="P4" t="n">
        <v>1.27959044319221</v>
      </c>
      <c r="Q4" t="n">
        <v>1.11850995201388</v>
      </c>
      <c r="R4" t="n">
        <v>0.999974733518125</v>
      </c>
      <c r="S4" t="n">
        <v>0.0844841449890607</v>
      </c>
      <c r="T4" t="n">
        <v>9199.11146851565</v>
      </c>
      <c r="U4" t="n">
        <v>0.412121882347438</v>
      </c>
      <c r="V4" t="n">
        <v>0.62981883469631</v>
      </c>
      <c r="W4" t="n">
        <v>18134637.3041062</v>
      </c>
      <c r="X4" t="n">
        <v>58837.5584309165</v>
      </c>
      <c r="Y4" t="n">
        <v>4348345.43914147</v>
      </c>
      <c r="Z4" t="n">
        <v>796.862507230322</v>
      </c>
      <c r="AA4" t="n">
        <v>1.04264458165228</v>
      </c>
      <c r="AB4" t="n">
        <v>1.02753914309421</v>
      </c>
      <c r="AC4" t="n">
        <v>1.06192297431832</v>
      </c>
      <c r="AD4" t="n">
        <v>1.07294200350046</v>
      </c>
      <c r="AE4" t="n">
        <v>106.824392903228</v>
      </c>
      <c r="AF4" t="n">
        <v>88688.0903571374</v>
      </c>
      <c r="AG4" t="n">
        <v>884.222030725671</v>
      </c>
      <c r="AH4" t="n">
        <v>97.0789150275073</v>
      </c>
      <c r="AI4" t="n">
        <v>63243.2267652978</v>
      </c>
      <c r="AJ4" t="n">
        <v>82026.8483394827</v>
      </c>
      <c r="AK4" t="n">
        <v>495.780526947901</v>
      </c>
      <c r="AL4" t="n">
        <v>22810.3212608559</v>
      </c>
      <c r="AM4" t="n">
        <v>19377.8393450228</v>
      </c>
      <c r="AN4" t="n">
        <v>0.893512888428101</v>
      </c>
      <c r="AO4" t="n">
        <v>0.945406656065325</v>
      </c>
      <c r="AP4" t="n">
        <v>1.04772150685089</v>
      </c>
      <c r="AQ4" t="n">
        <v>1.05318194658573</v>
      </c>
      <c r="AR4" t="n">
        <v>32372.1337364396</v>
      </c>
      <c r="AS4" t="n">
        <v>159617.812212152</v>
      </c>
      <c r="AT4" t="n">
        <v>0.0372744417276959</v>
      </c>
      <c r="AU4" t="n">
        <v>0.042775335038333</v>
      </c>
      <c r="AV4" t="n">
        <v>0.0734917985985957</v>
      </c>
      <c r="AW4" t="n">
        <v>627.537276173302</v>
      </c>
      <c r="AX4" t="n">
        <v>10317.8666012905</v>
      </c>
      <c r="AY4" t="n">
        <v>17365.6975707647</v>
      </c>
      <c r="AZ4" t="n">
        <v>167779.914095522</v>
      </c>
      <c r="BA4" t="n">
        <v>374931.648184199</v>
      </c>
      <c r="BB4" t="n">
        <v>168647.348504709</v>
      </c>
      <c r="BC4" t="n">
        <v>209687.195009438</v>
      </c>
      <c r="BD4" t="n">
        <v>48812.8434104895</v>
      </c>
      <c r="BE4" t="n">
        <v>15.4283311454179</v>
      </c>
      <c r="BF4" t="n">
        <v>37404.9643490878</v>
      </c>
      <c r="BG4" t="n">
        <v>13202.6434971434</v>
      </c>
      <c r="BH4" t="n">
        <v>20333.5582426369</v>
      </c>
      <c r="BI4" t="n">
        <v>64984.8904192945</v>
      </c>
      <c r="BJ4" t="n">
        <v>40708.8434601219</v>
      </c>
      <c r="BK4" t="n">
        <v>80969.461956188</v>
      </c>
      <c r="BL4" t="n">
        <v>19423.7055565636</v>
      </c>
      <c r="BM4" t="n">
        <v>18319.9382969491</v>
      </c>
      <c r="BN4" t="n">
        <v>34581.3353337726</v>
      </c>
      <c r="BO4" t="n">
        <v>164884.001143473</v>
      </c>
      <c r="BP4" t="n">
        <v>159613.779231593</v>
      </c>
      <c r="BQ4" t="n">
        <v>725484.118569073</v>
      </c>
      <c r="BR4" t="n">
        <v>691271.520754247</v>
      </c>
      <c r="BS4" t="n">
        <v>683539.398644077</v>
      </c>
      <c r="BT4" t="n">
        <v>105.425444600239</v>
      </c>
      <c r="BU4" t="n">
        <v>1.0494922782811</v>
      </c>
      <c r="BV4" t="n">
        <v>0.982739811450849</v>
      </c>
      <c r="BW4" t="n">
        <v>98.2764642455875</v>
      </c>
      <c r="BX4" t="n">
        <v>75744.9560696399</v>
      </c>
      <c r="BY4" t="n">
        <v>1.071269768157</v>
      </c>
      <c r="BZ4" t="n">
        <v>81143.2815277855</v>
      </c>
      <c r="CA4" t="n">
        <v>10151.2227502507</v>
      </c>
      <c r="CB4" t="n">
        <v>14752.8573612502</v>
      </c>
      <c r="CC4" t="n">
        <v>15345.1519712314</v>
      </c>
      <c r="CD4" t="n">
        <v>592.294609981183</v>
      </c>
      <c r="CE4" t="n">
        <v>0.0385981525179423</v>
      </c>
      <c r="CF4" t="n">
        <v>10892257.8165114</v>
      </c>
      <c r="CG4" t="n">
        <v>352536.05909174</v>
      </c>
      <c r="CH4" t="n">
        <v>448549.847401959</v>
      </c>
      <c r="CI4" t="n">
        <v>254634.776405974</v>
      </c>
      <c r="CJ4" t="n">
        <v>13104.2622886621</v>
      </c>
      <c r="CK4" t="n">
        <v>664371.703529865</v>
      </c>
      <c r="CL4" t="n">
        <v>0.0538943928057325</v>
      </c>
      <c r="CM4" t="n">
        <v>18.5548059443697</v>
      </c>
      <c r="CN4" t="n">
        <v>1139720.4411989</v>
      </c>
      <c r="CO4" t="n">
        <v>2577633.17888484</v>
      </c>
      <c r="CP4" t="n">
        <v>3123189.55717907</v>
      </c>
      <c r="CQ4" t="n">
        <v>3717353.62008374</v>
      </c>
      <c r="CR4" t="n">
        <v>8896855.68840575</v>
      </c>
      <c r="CS4" t="n">
        <v>0.0212448227823215</v>
      </c>
      <c r="CT4" t="n">
        <v>0.0267457160929586</v>
      </c>
      <c r="CU4" t="n">
        <v>0.0684545260436864</v>
      </c>
      <c r="CV4" t="n">
        <v>1.36489746801943</v>
      </c>
      <c r="CW4" t="n">
        <v>0.0669509684533451</v>
      </c>
      <c r="CX4" t="n">
        <v>0.0359883333333333</v>
      </c>
      <c r="CY4" t="n">
        <v>0.0262145928364789</v>
      </c>
      <c r="CZ4" t="n">
        <v>0.000531123256479762</v>
      </c>
      <c r="DA4" t="n">
        <v>0.611490599514446</v>
      </c>
      <c r="DB4" t="n">
        <v>5.63832226694295</v>
      </c>
      <c r="DC4" t="n">
        <v>0.0550039329776959</v>
      </c>
      <c r="DD4" t="n">
        <v>0.037312768675881</v>
      </c>
      <c r="DE4" t="n">
        <v>0.00715243905619559</v>
      </c>
      <c r="DF4" t="n">
        <v>0.1132458205507</v>
      </c>
      <c r="DG4" t="n">
        <v>198828.886334829</v>
      </c>
      <c r="DH4" t="n">
        <v>108.285054173584</v>
      </c>
      <c r="DI4" t="n">
        <v>4.71683672198801</v>
      </c>
      <c r="DJ4" t="n">
        <v>4.12091114054617</v>
      </c>
      <c r="DK4" t="n">
        <v>0.0411256875275234</v>
      </c>
      <c r="DL4" t="n">
        <v>0.670223574218165</v>
      </c>
      <c r="DM4" t="n">
        <v>1.05579974032818</v>
      </c>
      <c r="DN4" t="n">
        <v>0.0357615042376472</v>
      </c>
      <c r="DO4" t="n">
        <v>0.0465455822795444</v>
      </c>
      <c r="DP4" t="n">
        <v>27708.95</v>
      </c>
      <c r="DQ4" t="n">
        <v>22918.9784198479</v>
      </c>
      <c r="DR4" t="n">
        <v>158813.164968927</v>
      </c>
      <c r="DS4" t="n">
        <v>28039.5758687567</v>
      </c>
      <c r="DT4" t="n">
        <v>11976.1454971455</v>
      </c>
      <c r="DU4" t="n">
        <v>0</v>
      </c>
      <c r="DV4" t="n">
        <v>73.75</v>
      </c>
      <c r="DW4" t="n">
        <v>234029.75</v>
      </c>
      <c r="DX4" t="n">
        <v>2.02743953834316</v>
      </c>
      <c r="DY4" t="n">
        <v>69.3942648559171</v>
      </c>
      <c r="DZ4" t="n">
        <v>1.02054349959312</v>
      </c>
      <c r="EA4" t="n">
        <v>1.17014482580544</v>
      </c>
      <c r="EB4" t="n">
        <v>138410029.798845</v>
      </c>
      <c r="EC4" t="n">
        <v>3.3333752408558</v>
      </c>
      <c r="ED4" t="n">
        <v>0.0429</v>
      </c>
      <c r="EE4" t="n">
        <v>0.0151</v>
      </c>
      <c r="EF4" t="n">
        <v>0.0261</v>
      </c>
      <c r="EG4" t="n">
        <v>0.0458</v>
      </c>
      <c r="EH4" t="n">
        <v>692270.982081393</v>
      </c>
      <c r="EI4" t="n">
        <v>356125.792655811</v>
      </c>
      <c r="EJ4" t="n">
        <v>807.985070649578</v>
      </c>
      <c r="EK4" t="n">
        <v>2.54276189373659</v>
      </c>
      <c r="EL4" t="n">
        <v>1.60296189453744</v>
      </c>
    </row>
    <row r="5">
      <c r="A5" s="2" t="n">
        <v>45992</v>
      </c>
      <c r="B5" t="n">
        <v>358795.838872174</v>
      </c>
      <c r="C5" t="n">
        <v>34747.5232868529</v>
      </c>
      <c r="D5" t="n">
        <v>19870.7425949755</v>
      </c>
      <c r="E5" t="n">
        <v>219756.689809186</v>
      </c>
      <c r="F5" t="n">
        <v>40107.888058038</v>
      </c>
      <c r="G5" t="n">
        <v>11201.7076079732</v>
      </c>
      <c r="H5" t="n">
        <v>48259.5916728453</v>
      </c>
      <c r="I5" t="n">
        <v>49576.4110688559</v>
      </c>
      <c r="J5" t="n">
        <v>91421.0737489485</v>
      </c>
      <c r="K5" t="n">
        <v>412.009548064079</v>
      </c>
      <c r="L5" t="n">
        <v>4632.57392117158</v>
      </c>
      <c r="M5" t="n">
        <v>0.669394561974283</v>
      </c>
      <c r="N5" t="n">
        <v>26304.9627961952</v>
      </c>
      <c r="O5" t="n">
        <v>142.196179582441</v>
      </c>
      <c r="P5" t="n">
        <v>1.30128672063423</v>
      </c>
      <c r="Q5" t="n">
        <v>1.1401368050362</v>
      </c>
      <c r="R5" t="n">
        <v>1.00324418865864</v>
      </c>
      <c r="S5" t="n">
        <v>0.084637692928881</v>
      </c>
      <c r="T5" t="n">
        <v>9302.94339700126</v>
      </c>
      <c r="U5" t="n">
        <v>0.40834997098803</v>
      </c>
      <c r="V5" t="n">
        <v>0.62143845153343</v>
      </c>
      <c r="W5" t="n">
        <v>18450048.398311</v>
      </c>
      <c r="X5" t="n">
        <v>59490.5156684523</v>
      </c>
      <c r="Y5" t="n">
        <v>4351622.62841456</v>
      </c>
      <c r="Z5" t="n">
        <v>805.751645068247</v>
      </c>
      <c r="AA5" t="n">
        <v>1.04832336477782</v>
      </c>
      <c r="AB5" t="n">
        <v>1.03173093283847</v>
      </c>
      <c r="AC5" t="n">
        <v>1.07316199672091</v>
      </c>
      <c r="AD5" t="n">
        <v>1.08535546123301</v>
      </c>
      <c r="AE5" t="n">
        <v>107.765047181858</v>
      </c>
      <c r="AF5" t="n">
        <v>89308.1768810413</v>
      </c>
      <c r="AG5" t="n">
        <v>904.453708974963</v>
      </c>
      <c r="AH5" t="n">
        <v>97.3047693118307</v>
      </c>
      <c r="AI5" t="n">
        <v>64201.7296944677</v>
      </c>
      <c r="AJ5" t="n">
        <v>82739.8930222</v>
      </c>
      <c r="AK5" t="n">
        <v>501.524530404787</v>
      </c>
      <c r="AL5" t="n">
        <v>22880.0877001881</v>
      </c>
      <c r="AM5" t="n">
        <v>19380.7619480581</v>
      </c>
      <c r="AN5" t="n">
        <v>0.898790278884322</v>
      </c>
      <c r="AO5" t="n">
        <v>0.949295948935018</v>
      </c>
      <c r="AP5" t="n">
        <v>1.05632558754737</v>
      </c>
      <c r="AQ5" t="n">
        <v>1.06058847736951</v>
      </c>
      <c r="AR5" t="n">
        <v>32293.5996703494</v>
      </c>
      <c r="AS5" t="n">
        <v>161375.061677129</v>
      </c>
      <c r="AT5" t="n">
        <v>0.0368362461908914</v>
      </c>
      <c r="AU5" t="n">
        <v>0.0423197968645285</v>
      </c>
      <c r="AV5" t="n">
        <v>0.0744781292841521</v>
      </c>
      <c r="AW5" t="n">
        <v>696.972025702911</v>
      </c>
      <c r="AX5" t="n">
        <v>10283.9691575671</v>
      </c>
      <c r="AY5" t="n">
        <v>17478.2371954798</v>
      </c>
      <c r="AZ5" t="n">
        <v>168618.672562836</v>
      </c>
      <c r="BA5" t="n">
        <v>380534.733238341</v>
      </c>
      <c r="BB5" t="n">
        <v>171592.081830876</v>
      </c>
      <c r="BC5" t="n">
        <v>211757.451920086</v>
      </c>
      <c r="BD5" t="n">
        <v>50977.4550441279</v>
      </c>
      <c r="BE5" t="n">
        <v>15.6539171299942</v>
      </c>
      <c r="BF5" t="n">
        <v>37713.4141637069</v>
      </c>
      <c r="BG5" t="n">
        <v>13382.392500154</v>
      </c>
      <c r="BH5" t="n">
        <v>20830.9637377988</v>
      </c>
      <c r="BI5" t="n">
        <v>66238.9098526652</v>
      </c>
      <c r="BJ5" t="n">
        <v>41218.6112851768</v>
      </c>
      <c r="BK5" t="n">
        <v>82168.3723707216</v>
      </c>
      <c r="BL5" t="n">
        <v>19927.5815137192</v>
      </c>
      <c r="BM5" t="n">
        <v>18398.0788045655</v>
      </c>
      <c r="BN5" t="n">
        <v>34801.2129214723</v>
      </c>
      <c r="BO5" t="n">
        <v>166884.805610479</v>
      </c>
      <c r="BP5" t="n">
        <v>161898.592822009</v>
      </c>
      <c r="BQ5" t="n">
        <v>736497.319397187</v>
      </c>
      <c r="BR5" t="n">
        <v>695751.354395851</v>
      </c>
      <c r="BS5" t="n">
        <v>688937.723388228</v>
      </c>
      <c r="BT5" t="n">
        <v>106.239627986114</v>
      </c>
      <c r="BU5" t="n">
        <v>1.05856397978347</v>
      </c>
      <c r="BV5" t="n">
        <v>0.989717230446639</v>
      </c>
      <c r="BW5" t="n">
        <v>98.6516783884803</v>
      </c>
      <c r="BX5" t="n">
        <v>76340.0467371665</v>
      </c>
      <c r="BY5" t="n">
        <v>1.07376207935286</v>
      </c>
      <c r="BZ5" t="n">
        <v>81971.0473223941</v>
      </c>
      <c r="CA5" t="n">
        <v>10180.566356922</v>
      </c>
      <c r="CB5" t="n">
        <v>14813.1402780935</v>
      </c>
      <c r="CC5" t="n">
        <v>15408.5143792646</v>
      </c>
      <c r="CD5" t="n">
        <v>595.374101171092</v>
      </c>
      <c r="CE5" t="n">
        <v>0.0386392866724199</v>
      </c>
      <c r="CF5" t="n">
        <v>10930997.3576278</v>
      </c>
      <c r="CG5" t="n">
        <v>358012.800820484</v>
      </c>
      <c r="CH5" t="n">
        <v>455837.341148799</v>
      </c>
      <c r="CI5" t="n">
        <v>258593.604272357</v>
      </c>
      <c r="CJ5" t="n">
        <v>13317.1644444396</v>
      </c>
      <c r="CK5" t="n">
        <v>674457.188254082</v>
      </c>
      <c r="CL5" t="n">
        <v>0.0539103065559283</v>
      </c>
      <c r="CM5" t="n">
        <v>18.5493287626285</v>
      </c>
      <c r="CN5" t="n">
        <v>1141034.33262206</v>
      </c>
      <c r="CO5" t="n">
        <v>2598407.44648843</v>
      </c>
      <c r="CP5" t="n">
        <v>3133137.64133038</v>
      </c>
      <c r="CQ5" t="n">
        <v>3739441.77911049</v>
      </c>
      <c r="CR5" t="n">
        <v>8928891.93158381</v>
      </c>
      <c r="CS5" t="n">
        <v>0.0182389712450376</v>
      </c>
      <c r="CT5" t="n">
        <v>0.0237225219186747</v>
      </c>
      <c r="CU5" t="n">
        <v>0.0660404179830271</v>
      </c>
      <c r="CV5" t="n">
        <v>1.37326533641022</v>
      </c>
      <c r="CW5" t="n">
        <v>0.0660404179830271</v>
      </c>
      <c r="CX5" t="n">
        <v>0.0359883333333333</v>
      </c>
      <c r="CY5" t="n">
        <v>0.0251147152516357</v>
      </c>
      <c r="CZ5" t="n">
        <v>-0.00139219333296096</v>
      </c>
      <c r="DA5" t="n">
        <v>0.606569281909891</v>
      </c>
      <c r="DB5" t="n">
        <v>5.66647885642452</v>
      </c>
      <c r="DC5" t="n">
        <v>0.0545657374408914</v>
      </c>
      <c r="DD5" t="n">
        <v>0.036950656489111</v>
      </c>
      <c r="DE5" t="n">
        <v>0.00711885563312472</v>
      </c>
      <c r="DF5" t="n">
        <v>0.11315924901605</v>
      </c>
      <c r="DG5" t="n">
        <v>200181.960215847</v>
      </c>
      <c r="DH5" t="n">
        <v>109.259229125633</v>
      </c>
      <c r="DI5" t="n">
        <v>4.72595009280265</v>
      </c>
      <c r="DJ5" t="n">
        <v>4.12710330753021</v>
      </c>
      <c r="DK5" t="n">
        <v>0.0411256875275234</v>
      </c>
      <c r="DL5" t="n">
        <v>0.670223574218165</v>
      </c>
      <c r="DM5" t="n">
        <v>1.06661541785661</v>
      </c>
      <c r="DN5" t="n">
        <v>0.0357615042376472</v>
      </c>
      <c r="DO5" t="n">
        <v>0.0465455822795444</v>
      </c>
      <c r="DP5" t="n">
        <v>27807.5</v>
      </c>
      <c r="DQ5" t="n">
        <v>23018.5831414875</v>
      </c>
      <c r="DR5" t="n">
        <v>159893.923149704</v>
      </c>
      <c r="DS5" t="n">
        <v>28230.3912902088</v>
      </c>
      <c r="DT5" t="n">
        <v>12057.6457759338</v>
      </c>
      <c r="DU5" t="n">
        <v>0</v>
      </c>
      <c r="DV5" t="n">
        <v>73.75</v>
      </c>
      <c r="DW5" t="n">
        <v>221584</v>
      </c>
      <c r="DX5" t="n">
        <v>2.04023770383496</v>
      </c>
      <c r="DY5" t="n">
        <v>67.737</v>
      </c>
      <c r="DZ5" t="n">
        <v>1.01739329913342</v>
      </c>
      <c r="EA5" t="n">
        <v>1.16441566706905</v>
      </c>
      <c r="EB5" t="n">
        <v>140094950.85763</v>
      </c>
      <c r="EC5" t="n">
        <v>3.30177570093458</v>
      </c>
      <c r="ED5" t="n">
        <v>0.0429</v>
      </c>
      <c r="EE5" t="n">
        <v>0.0151</v>
      </c>
      <c r="EF5" t="n">
        <v>0.0261</v>
      </c>
      <c r="EG5" t="n">
        <v>0.0458</v>
      </c>
      <c r="EH5" t="n">
        <v>695923.88127251</v>
      </c>
      <c r="EI5" t="n">
        <v>358409.081708062</v>
      </c>
      <c r="EJ5" t="n">
        <v>815.299987710267</v>
      </c>
      <c r="EK5" t="n">
        <v>2.75808429408335</v>
      </c>
      <c r="EL5" t="n">
        <v>1.85972749458538</v>
      </c>
    </row>
    <row r="6">
      <c r="A6" s="2" t="n">
        <v>46082</v>
      </c>
      <c r="B6" t="n">
        <v>361791.147315457</v>
      </c>
      <c r="C6" t="n">
        <v>34697.6980396631</v>
      </c>
      <c r="D6" t="n">
        <v>20192.7512704494</v>
      </c>
      <c r="E6" t="n">
        <v>220563.414062907</v>
      </c>
      <c r="F6" t="n">
        <v>41412.5628871583</v>
      </c>
      <c r="G6" t="n">
        <v>11263.372051476</v>
      </c>
      <c r="H6" t="n">
        <v>49136.4312715159</v>
      </c>
      <c r="I6" t="n">
        <v>50385.3723946085</v>
      </c>
      <c r="J6" t="n">
        <v>92140.3474212946</v>
      </c>
      <c r="K6" t="n">
        <v>411.330994505055</v>
      </c>
      <c r="L6" t="n">
        <v>4664.3276886392</v>
      </c>
      <c r="M6" t="n">
        <v>0.669369702640581</v>
      </c>
      <c r="N6" t="n">
        <v>26589.002462567</v>
      </c>
      <c r="O6" t="n">
        <v>143.220125637523</v>
      </c>
      <c r="P6" t="n">
        <v>1.32586435104687</v>
      </c>
      <c r="Q6" t="n">
        <v>1.16693750704915</v>
      </c>
      <c r="R6" t="n">
        <v>1.010541041522</v>
      </c>
      <c r="S6" t="n">
        <v>0.0864401389367078</v>
      </c>
      <c r="T6" t="n">
        <v>9550.96676263707</v>
      </c>
      <c r="U6" t="n">
        <v>0.403984256031465</v>
      </c>
      <c r="V6" t="n">
        <v>0.61201535686753</v>
      </c>
      <c r="W6" t="n">
        <v>18812263.7543193</v>
      </c>
      <c r="X6" t="n">
        <v>60185.7599330281</v>
      </c>
      <c r="Y6" t="n">
        <v>4358240.88890556</v>
      </c>
      <c r="Z6" t="n">
        <v>816.07690894536</v>
      </c>
      <c r="AA6" t="n">
        <v>1.05404688346346</v>
      </c>
      <c r="AB6" t="n">
        <v>1.03658032233145</v>
      </c>
      <c r="AC6" t="n">
        <v>1.08431175230276</v>
      </c>
      <c r="AD6" t="n">
        <v>1.09875467606325</v>
      </c>
      <c r="AE6" t="n">
        <v>108.706919965098</v>
      </c>
      <c r="AF6" t="n">
        <v>89868.8547775894</v>
      </c>
      <c r="AG6" t="n">
        <v>925.275326265355</v>
      </c>
      <c r="AH6" t="n">
        <v>97.688385361908</v>
      </c>
      <c r="AI6" t="n">
        <v>65140.0388225187</v>
      </c>
      <c r="AJ6" t="n">
        <v>83913.8525385254</v>
      </c>
      <c r="AK6" t="n">
        <v>513.727279858205</v>
      </c>
      <c r="AL6" t="n">
        <v>22979.763815694</v>
      </c>
      <c r="AM6" t="n">
        <v>19394.5209050543</v>
      </c>
      <c r="AN6" t="n">
        <v>0.922466411406169</v>
      </c>
      <c r="AO6" t="n">
        <v>0.955725579878865</v>
      </c>
      <c r="AP6" t="n">
        <v>1.06504290591148</v>
      </c>
      <c r="AQ6" t="n">
        <v>1.06842535217793</v>
      </c>
      <c r="AR6" t="n">
        <v>32519.6337853434</v>
      </c>
      <c r="AS6" t="n">
        <v>163146.997531615</v>
      </c>
      <c r="AT6" t="n">
        <v>0.0386649324962645</v>
      </c>
      <c r="AU6" t="n">
        <v>0.0420059376465676</v>
      </c>
      <c r="AV6" t="n">
        <v>0.0738144649358781</v>
      </c>
      <c r="AW6" t="n">
        <v>806.724253721244</v>
      </c>
      <c r="AX6" t="n">
        <v>10269.2227452505</v>
      </c>
      <c r="AY6" t="n">
        <v>17603.2212275032</v>
      </c>
      <c r="AZ6" t="n">
        <v>169702.723339195</v>
      </c>
      <c r="BA6" t="n">
        <v>386546.834888079</v>
      </c>
      <c r="BB6" t="n">
        <v>174554.713680307</v>
      </c>
      <c r="BC6" t="n">
        <v>214660.984803434</v>
      </c>
      <c r="BD6" t="n">
        <v>52325.0857730635</v>
      </c>
      <c r="BE6" t="n">
        <v>15.7943610785104</v>
      </c>
      <c r="BF6" t="n">
        <v>38124.2579697104</v>
      </c>
      <c r="BG6" t="n">
        <v>13615.5963508873</v>
      </c>
      <c r="BH6" t="n">
        <v>21284.1065451699</v>
      </c>
      <c r="BI6" t="n">
        <v>67522.8818154596</v>
      </c>
      <c r="BJ6" t="n">
        <v>41800.2730494386</v>
      </c>
      <c r="BK6" t="n">
        <v>84996.3756314393</v>
      </c>
      <c r="BL6" t="n">
        <v>20541.8590952572</v>
      </c>
      <c r="BM6" t="n">
        <v>18535.8397384558</v>
      </c>
      <c r="BN6" t="n">
        <v>35351.0922719764</v>
      </c>
      <c r="BO6" t="n">
        <v>171014.726737129</v>
      </c>
      <c r="BP6" t="n">
        <v>164866.736806786</v>
      </c>
      <c r="BQ6" t="n">
        <v>749596.654229395</v>
      </c>
      <c r="BR6" t="n">
        <v>700726.559077568</v>
      </c>
      <c r="BS6" t="n">
        <v>694600.812831772</v>
      </c>
      <c r="BT6" t="n">
        <v>107.09256142278</v>
      </c>
      <c r="BU6" t="n">
        <v>1.06974203640265</v>
      </c>
      <c r="BV6" t="n">
        <v>1.00773118646606</v>
      </c>
      <c r="BW6" t="n">
        <v>99.7219454786604</v>
      </c>
      <c r="BX6" t="n">
        <v>76977.3506347569</v>
      </c>
      <c r="BY6" t="n">
        <v>1.077995298038</v>
      </c>
      <c r="BZ6" t="n">
        <v>82981.2220396902</v>
      </c>
      <c r="CA6" t="n">
        <v>10212.8696417066</v>
      </c>
      <c r="CB6" t="n">
        <v>14877.1973303458</v>
      </c>
      <c r="CC6" t="n">
        <v>15474.7003673615</v>
      </c>
      <c r="CD6" t="n">
        <v>597.503037015636</v>
      </c>
      <c r="CE6" t="n">
        <v>0.0386115994873672</v>
      </c>
      <c r="CF6" t="n">
        <v>10969736.8987441</v>
      </c>
      <c r="CG6" t="n">
        <v>363443.491111662</v>
      </c>
      <c r="CH6" t="n">
        <v>463627.016568067</v>
      </c>
      <c r="CI6" t="n">
        <v>264246.615598846</v>
      </c>
      <c r="CJ6" t="n">
        <v>13544.7377017462</v>
      </c>
      <c r="CK6" t="n">
        <v>686453.077860525</v>
      </c>
      <c r="CL6" t="n">
        <v>0.0537879873970331</v>
      </c>
      <c r="CM6" t="n">
        <v>18.5915117555627</v>
      </c>
      <c r="CN6" t="n">
        <v>1142696.09159533</v>
      </c>
      <c r="CO6" t="n">
        <v>2619797.94119634</v>
      </c>
      <c r="CP6" t="n">
        <v>3142891.83585222</v>
      </c>
      <c r="CQ6" t="n">
        <v>3762494.03279167</v>
      </c>
      <c r="CR6" t="n">
        <v>8961698.37978682</v>
      </c>
      <c r="CS6" t="n">
        <v>0.0158968080117736</v>
      </c>
      <c r="CT6" t="n">
        <v>0.0192378131620767</v>
      </c>
      <c r="CU6" t="n">
        <v>0.063672014452217</v>
      </c>
      <c r="CV6" t="n">
        <v>1.38315413671362</v>
      </c>
      <c r="CW6" t="n">
        <v>0.0636720144522167</v>
      </c>
      <c r="CX6" t="n">
        <v>0.0383713858586026</v>
      </c>
      <c r="CY6" t="n">
        <v>0.0171092569853784</v>
      </c>
      <c r="CZ6" t="n">
        <v>0.00212855617669837</v>
      </c>
      <c r="DA6" t="n">
        <v>0.600192759182416</v>
      </c>
      <c r="DB6" t="n">
        <v>5.69806027827945</v>
      </c>
      <c r="DC6" t="n">
        <v>0.0563944237462645</v>
      </c>
      <c r="DD6" t="n">
        <v>0.038193382459019</v>
      </c>
      <c r="DE6" t="n">
        <v>0.00709573263079348</v>
      </c>
      <c r="DF6" t="n">
        <v>0.113412058191801</v>
      </c>
      <c r="DG6" t="n">
        <v>201544.242059355</v>
      </c>
      <c r="DH6" t="n">
        <v>110.129065391748</v>
      </c>
      <c r="DI6" t="n">
        <v>4.73403698883462</v>
      </c>
      <c r="DJ6" t="n">
        <v>4.13226899973158</v>
      </c>
      <c r="DK6" t="n">
        <v>0.0411256875275234</v>
      </c>
      <c r="DL6" t="n">
        <v>0.670223574218165</v>
      </c>
      <c r="DM6" t="n">
        <v>1.07754189185138</v>
      </c>
      <c r="DN6" t="n">
        <v>0.0357615042376472</v>
      </c>
      <c r="DO6" t="n">
        <v>0.0465455822795444</v>
      </c>
      <c r="DP6" t="n">
        <v>27906.05</v>
      </c>
      <c r="DQ6" t="n">
        <v>23118.3160909669</v>
      </c>
      <c r="DR6" t="n">
        <v>160982.036125316</v>
      </c>
      <c r="DS6" t="n">
        <v>28422.5052521678</v>
      </c>
      <c r="DT6" t="n">
        <v>12139.7006818719</v>
      </c>
      <c r="DU6" t="n">
        <v>0</v>
      </c>
      <c r="DV6" t="n">
        <v>73.75</v>
      </c>
      <c r="DW6" t="n">
        <v>218260.24</v>
      </c>
      <c r="DX6" t="n">
        <v>2.05476139373589</v>
      </c>
      <c r="DY6" t="n">
        <v>71.0986240015636</v>
      </c>
      <c r="DZ6" t="n">
        <v>1.05870195663977</v>
      </c>
      <c r="EA6" t="n">
        <v>1.16820274370124</v>
      </c>
      <c r="EB6" t="n">
        <v>141615609.792121</v>
      </c>
      <c r="EC6" t="n">
        <v>3.27572706201137</v>
      </c>
      <c r="ED6" t="n">
        <v>0.0431166666666667</v>
      </c>
      <c r="EE6" t="n">
        <v>0.0255759818181819</v>
      </c>
      <c r="EF6" t="n">
        <v>0.0299805555556667</v>
      </c>
      <c r="EG6" t="n">
        <v>0.0448996666666666</v>
      </c>
      <c r="EH6" t="n">
        <v>699838.120573075</v>
      </c>
      <c r="EI6" t="n">
        <v>360843.815821675</v>
      </c>
      <c r="EJ6" t="n">
        <v>823.005215342635</v>
      </c>
      <c r="EK6" t="n">
        <v>2.73734391482461</v>
      </c>
      <c r="EL6" t="n">
        <v>2.27681244844908</v>
      </c>
    </row>
    <row r="7">
      <c r="A7" s="2" t="n">
        <v>46174</v>
      </c>
      <c r="B7" t="n">
        <v>364559.917672748</v>
      </c>
      <c r="C7" t="n">
        <v>34697.2261192711</v>
      </c>
      <c r="D7" t="n">
        <v>20589.3527237108</v>
      </c>
      <c r="E7" t="n">
        <v>221482.486035515</v>
      </c>
      <c r="F7" t="n">
        <v>42706.4342182183</v>
      </c>
      <c r="G7" t="n">
        <v>11360.6622536733</v>
      </c>
      <c r="H7" t="n">
        <v>50027.1745344908</v>
      </c>
      <c r="I7" t="n">
        <v>51214.8861915443</v>
      </c>
      <c r="J7" t="n">
        <v>92856.8526075552</v>
      </c>
      <c r="K7" t="n">
        <v>410.744230926111</v>
      </c>
      <c r="L7" t="n">
        <v>4696.484365024</v>
      </c>
      <c r="M7" t="n">
        <v>0.669436768632958</v>
      </c>
      <c r="N7" t="n">
        <v>26879.1800243095</v>
      </c>
      <c r="O7" t="n">
        <v>144.372331198218</v>
      </c>
      <c r="P7" t="n">
        <v>1.35131367520988</v>
      </c>
      <c r="Q7" t="n">
        <v>1.19424861369982</v>
      </c>
      <c r="R7" t="n">
        <v>1.01537774185311</v>
      </c>
      <c r="S7" t="n">
        <v>0.0897123603348525</v>
      </c>
      <c r="T7" t="n">
        <v>9749.97470461152</v>
      </c>
      <c r="U7" t="n">
        <v>0.40197490625217</v>
      </c>
      <c r="V7" t="n">
        <v>0.606211394631547</v>
      </c>
      <c r="W7" t="n">
        <v>19146818.2123687</v>
      </c>
      <c r="X7" t="n">
        <v>60917.0378791568</v>
      </c>
      <c r="Y7" t="n">
        <v>4366205.88184033</v>
      </c>
      <c r="Z7" t="n">
        <v>826.035701829059</v>
      </c>
      <c r="AA7" t="n">
        <v>1.05985051485899</v>
      </c>
      <c r="AB7" t="n">
        <v>1.04178446556851</v>
      </c>
      <c r="AC7" t="n">
        <v>1.09555270378335</v>
      </c>
      <c r="AD7" t="n">
        <v>1.11301141273971</v>
      </c>
      <c r="AE7" t="n">
        <v>109.653685688681</v>
      </c>
      <c r="AF7" t="n">
        <v>90444.8696039057</v>
      </c>
      <c r="AG7" t="n">
        <v>946.343127944802</v>
      </c>
      <c r="AH7" t="n">
        <v>98.2365836056391</v>
      </c>
      <c r="AI7" t="n">
        <v>66059.6547737302</v>
      </c>
      <c r="AJ7" t="n">
        <v>84613.9679336616</v>
      </c>
      <c r="AK7" t="n">
        <v>529.171186103018</v>
      </c>
      <c r="AL7" t="n">
        <v>23092.1628264586</v>
      </c>
      <c r="AM7" t="n">
        <v>19406.5557429628</v>
      </c>
      <c r="AN7" t="n">
        <v>0.942923992028972</v>
      </c>
      <c r="AO7" t="n">
        <v>0.96079488951865</v>
      </c>
      <c r="AP7" t="n">
        <v>1.07374594266943</v>
      </c>
      <c r="AQ7" t="n">
        <v>1.07660858887972</v>
      </c>
      <c r="AR7" t="n">
        <v>32709.4235861844</v>
      </c>
      <c r="AS7" t="n">
        <v>164984.943861335</v>
      </c>
      <c r="AT7" t="n">
        <v>0.0419154055477493</v>
      </c>
      <c r="AU7" t="n">
        <v>0.041909936212782</v>
      </c>
      <c r="AV7" t="n">
        <v>0.0743119961890813</v>
      </c>
      <c r="AW7" t="n">
        <v>919.071972608217</v>
      </c>
      <c r="AX7" t="n">
        <v>10269.0830744395</v>
      </c>
      <c r="AY7" t="n">
        <v>17723.0113179772</v>
      </c>
      <c r="AZ7" t="n">
        <v>170740.84325468</v>
      </c>
      <c r="BA7" t="n">
        <v>392488.339522551</v>
      </c>
      <c r="BB7" t="n">
        <v>177564.502448946</v>
      </c>
      <c r="BC7" t="n">
        <v>217631.303436747</v>
      </c>
      <c r="BD7" t="n">
        <v>53692.7298419734</v>
      </c>
      <c r="BE7" t="n">
        <v>15.9368907263421</v>
      </c>
      <c r="BF7" t="n">
        <v>38618.408661159</v>
      </c>
      <c r="BG7" t="n">
        <v>13876.7523903565</v>
      </c>
      <c r="BH7" t="n">
        <v>21821.6360848383</v>
      </c>
      <c r="BI7" t="n">
        <v>68819.9214840479</v>
      </c>
      <c r="BJ7" t="n">
        <v>42404.5331136525</v>
      </c>
      <c r="BK7" t="n">
        <v>87556.9541479619</v>
      </c>
      <c r="BL7" t="n">
        <v>21165.6816970806</v>
      </c>
      <c r="BM7" t="n">
        <v>18645.7195809975</v>
      </c>
      <c r="BN7" t="n">
        <v>35867.0885297738</v>
      </c>
      <c r="BO7" t="n">
        <v>174825.003955814</v>
      </c>
      <c r="BP7" t="n">
        <v>167522.039737683</v>
      </c>
      <c r="BQ7" t="n">
        <v>762897.057923681</v>
      </c>
      <c r="BR7" t="n">
        <v>705495.009977356</v>
      </c>
      <c r="BS7" t="n">
        <v>700169.089034781</v>
      </c>
      <c r="BT7" t="n">
        <v>107.976005690559</v>
      </c>
      <c r="BU7" t="n">
        <v>1.0813642170923</v>
      </c>
      <c r="BV7" t="n">
        <v>1.02392023269466</v>
      </c>
      <c r="BW7" t="n">
        <v>100.841311611377</v>
      </c>
      <c r="BX7" t="n">
        <v>77566.4546197543</v>
      </c>
      <c r="BY7" t="n">
        <v>1.08404468791117</v>
      </c>
      <c r="BZ7" t="n">
        <v>84085.5030906473</v>
      </c>
      <c r="CA7" t="n">
        <v>10246.1505136462</v>
      </c>
      <c r="CB7" t="n">
        <v>14942.6348786702</v>
      </c>
      <c r="CC7" t="n">
        <v>15543.1015640286</v>
      </c>
      <c r="CD7" t="n">
        <v>600.466685358406</v>
      </c>
      <c r="CE7" t="n">
        <v>0.0386323521850818</v>
      </c>
      <c r="CF7" t="n">
        <v>11008476.4398605</v>
      </c>
      <c r="CG7" t="n">
        <v>369025.968251495</v>
      </c>
      <c r="CH7" t="n">
        <v>471056.540478565</v>
      </c>
      <c r="CI7" t="n">
        <v>269910.366731906</v>
      </c>
      <c r="CJ7" t="n">
        <v>13761.7892302819</v>
      </c>
      <c r="CK7" t="n">
        <v>698633.098944152</v>
      </c>
      <c r="CL7" t="n">
        <v>0.0542741086141211</v>
      </c>
      <c r="CM7" t="n">
        <v>18.424991686364</v>
      </c>
      <c r="CN7" t="n">
        <v>1144653.34037338</v>
      </c>
      <c r="CO7" t="n">
        <v>2641774.31627958</v>
      </c>
      <c r="CP7" t="n">
        <v>3152518.39501494</v>
      </c>
      <c r="CQ7" t="n">
        <v>3786427.65665296</v>
      </c>
      <c r="CR7" t="n">
        <v>8995258.56281084</v>
      </c>
      <c r="CS7" t="n">
        <v>0.0150830272224494</v>
      </c>
      <c r="CT7" t="n">
        <v>0.0150775578874821</v>
      </c>
      <c r="CU7" t="n">
        <v>0.0628799820095525</v>
      </c>
      <c r="CV7" t="n">
        <v>1.39428160836278</v>
      </c>
      <c r="CW7" t="n">
        <v>0.0628799820095525</v>
      </c>
      <c r="CX7" t="n">
        <v>0.0383713858586026</v>
      </c>
      <c r="CY7" t="n">
        <v>0.0109746581389376</v>
      </c>
      <c r="CZ7" t="n">
        <v>0.00410289974854449</v>
      </c>
      <c r="DA7" t="n">
        <v>0.597158694877702</v>
      </c>
      <c r="DB7" t="n">
        <v>5.72156517092561</v>
      </c>
      <c r="DC7" t="n">
        <v>0.0596448967977493</v>
      </c>
      <c r="DD7" t="n">
        <v>0.0404011137853976</v>
      </c>
      <c r="DE7" t="n">
        <v>0.00708866242527901</v>
      </c>
      <c r="DF7" t="n">
        <v>0.114369183189291</v>
      </c>
      <c r="DG7" t="n">
        <v>202915.794527545</v>
      </c>
      <c r="DH7" t="n">
        <v>111.064845811663</v>
      </c>
      <c r="DI7" t="n">
        <v>4.74265542017109</v>
      </c>
      <c r="DJ7" t="n">
        <v>4.13796622723746</v>
      </c>
      <c r="DK7" t="n">
        <v>0.0411256875275234</v>
      </c>
      <c r="DL7" t="n">
        <v>0.670223574218165</v>
      </c>
      <c r="DM7" t="n">
        <v>1.08858029731832</v>
      </c>
      <c r="DN7" t="n">
        <v>0.0357615042376472</v>
      </c>
      <c r="DO7" t="n">
        <v>0.0465455822795444</v>
      </c>
      <c r="DP7" t="n">
        <v>28004.6</v>
      </c>
      <c r="DQ7" t="n">
        <v>23218.177268286</v>
      </c>
      <c r="DR7" t="n">
        <v>162077.553946742</v>
      </c>
      <c r="DS7" t="n">
        <v>28615.9265914848</v>
      </c>
      <c r="DT7" t="n">
        <v>12222.3139893183</v>
      </c>
      <c r="DU7" t="n">
        <v>0</v>
      </c>
      <c r="DV7" t="n">
        <v>73.75</v>
      </c>
      <c r="DW7" t="n">
        <v>214936.48</v>
      </c>
      <c r="DX7" t="n">
        <v>2.06938847235861</v>
      </c>
      <c r="DY7" t="n">
        <v>74.6270772977208</v>
      </c>
      <c r="DZ7" t="n">
        <v>1.10168784672316</v>
      </c>
      <c r="EA7" t="n">
        <v>1.17200213719743</v>
      </c>
      <c r="EB7" t="n">
        <v>143152774.700459</v>
      </c>
      <c r="EC7" t="n">
        <v>3.24988392814095</v>
      </c>
      <c r="ED7" t="n">
        <v>0.0431166666666667</v>
      </c>
      <c r="EE7" t="n">
        <v>0.0255759818181819</v>
      </c>
      <c r="EF7" t="n">
        <v>0.0299805555556667</v>
      </c>
      <c r="EG7" t="n">
        <v>0.0448996666666666</v>
      </c>
      <c r="EH7" t="n">
        <v>703943.536501733</v>
      </c>
      <c r="EI7" t="n">
        <v>363366.718591477</v>
      </c>
      <c r="EJ7" t="n">
        <v>831.00754172068</v>
      </c>
      <c r="EK7" t="n">
        <v>2.64580371581606</v>
      </c>
      <c r="EL7" t="n">
        <v>2.68323783252999</v>
      </c>
    </row>
    <row r="8">
      <c r="A8" s="2" t="n">
        <v>46266</v>
      </c>
      <c r="B8" t="n">
        <v>367439.624277036</v>
      </c>
      <c r="C8" t="n">
        <v>34722.9326936955</v>
      </c>
      <c r="D8" t="n">
        <v>21054.9667514922</v>
      </c>
      <c r="E8" t="n">
        <v>222474.171507954</v>
      </c>
      <c r="F8" t="n">
        <v>44034.572736606</v>
      </c>
      <c r="G8" t="n">
        <v>11477.5599591634</v>
      </c>
      <c r="H8" t="n">
        <v>50936.8419118281</v>
      </c>
      <c r="I8" t="n">
        <v>54438.7437962644</v>
      </c>
      <c r="J8" t="n">
        <v>93538.8305700376</v>
      </c>
      <c r="K8" t="n">
        <v>410.337216887381</v>
      </c>
      <c r="L8" t="n">
        <v>4728.4943477127</v>
      </c>
      <c r="M8" t="n">
        <v>0.669552716442287</v>
      </c>
      <c r="N8" t="n">
        <v>27168.4807357025</v>
      </c>
      <c r="O8" t="n">
        <v>145.639061748736</v>
      </c>
      <c r="P8" t="n">
        <v>1.37732507233436</v>
      </c>
      <c r="Q8" t="n">
        <v>1.2184404725567</v>
      </c>
      <c r="R8" t="n">
        <v>1.01867840801972</v>
      </c>
      <c r="S8" t="n">
        <v>0.0941415985389882</v>
      </c>
      <c r="T8" t="n">
        <v>9956.11845699891</v>
      </c>
      <c r="U8" t="n">
        <v>0.401772299398358</v>
      </c>
      <c r="V8" t="n">
        <v>0.603185323632356</v>
      </c>
      <c r="W8" t="n">
        <v>19474033.5766099</v>
      </c>
      <c r="X8" t="n">
        <v>61686.1506261724</v>
      </c>
      <c r="Y8" t="n">
        <v>4375355.35750404</v>
      </c>
      <c r="Z8" t="n">
        <v>835.68124494405</v>
      </c>
      <c r="AA8" t="n">
        <v>1.06569037546079</v>
      </c>
      <c r="AB8" t="n">
        <v>1.04692291169769</v>
      </c>
      <c r="AC8" t="n">
        <v>1.10676232734362</v>
      </c>
      <c r="AD8" t="n">
        <v>1.12798243270021</v>
      </c>
      <c r="AE8" t="n">
        <v>110.608920448561</v>
      </c>
      <c r="AF8" t="n">
        <v>91104.1515445696</v>
      </c>
      <c r="AG8" t="n">
        <v>967.855641887571</v>
      </c>
      <c r="AH8" t="n">
        <v>98.9081801591002</v>
      </c>
      <c r="AI8" t="n">
        <v>66996.3407587712</v>
      </c>
      <c r="AJ8" t="n">
        <v>84969.810591574</v>
      </c>
      <c r="AK8" t="n">
        <v>545.680521192116</v>
      </c>
      <c r="AL8" t="n">
        <v>23223.477000111</v>
      </c>
      <c r="AM8" t="n">
        <v>19421.8752013689</v>
      </c>
      <c r="AN8" t="n">
        <v>0.961098005993893</v>
      </c>
      <c r="AO8" t="n">
        <v>0.964806868641336</v>
      </c>
      <c r="AP8" t="n">
        <v>1.08255139534316</v>
      </c>
      <c r="AQ8" t="n">
        <v>1.08514368853277</v>
      </c>
      <c r="AR8" t="n">
        <v>32878.438774365</v>
      </c>
      <c r="AS8" t="n">
        <v>166933.981140394</v>
      </c>
      <c r="AT8" t="n">
        <v>0.0464019111382157</v>
      </c>
      <c r="AU8" t="n">
        <v>0.0420915308080125</v>
      </c>
      <c r="AV8" t="n">
        <v>0.0688656394722119</v>
      </c>
      <c r="AW8" t="n">
        <v>991.685472438141</v>
      </c>
      <c r="AX8" t="n">
        <v>10276.6912603912</v>
      </c>
      <c r="AY8" t="n">
        <v>17843.7660898558</v>
      </c>
      <c r="AZ8" t="n">
        <v>171727.910635627</v>
      </c>
      <c r="BA8" t="n">
        <v>398724.790242464</v>
      </c>
      <c r="BB8" t="n">
        <v>180602.059845846</v>
      </c>
      <c r="BC8" t="n">
        <v>220776.603152278</v>
      </c>
      <c r="BD8" t="n">
        <v>57309.6438428728</v>
      </c>
      <c r="BE8" t="n">
        <v>16.3138290617651</v>
      </c>
      <c r="BF8" t="n">
        <v>39166.8580903202</v>
      </c>
      <c r="BG8" t="n">
        <v>14154.3445335763</v>
      </c>
      <c r="BH8" t="n">
        <v>22438.0754227122</v>
      </c>
      <c r="BI8" t="n">
        <v>70140.0034749112</v>
      </c>
      <c r="BJ8" t="n">
        <v>42971.4024872785</v>
      </c>
      <c r="BK8" t="n">
        <v>89899.9835438637</v>
      </c>
      <c r="BL8" t="n">
        <v>21741.5667867151</v>
      </c>
      <c r="BM8" t="n">
        <v>18738.3585961756</v>
      </c>
      <c r="BN8" t="n">
        <v>36366.4861886661</v>
      </c>
      <c r="BO8" t="n">
        <v>178335.95511542</v>
      </c>
      <c r="BP8" t="n">
        <v>170052.04215249</v>
      </c>
      <c r="BQ8" t="n">
        <v>776481.447060038</v>
      </c>
      <c r="BR8" t="n">
        <v>710301.861727193</v>
      </c>
      <c r="BS8" t="n">
        <v>705937.910548495</v>
      </c>
      <c r="BT8" t="n">
        <v>108.879482461798</v>
      </c>
      <c r="BU8" t="n">
        <v>1.09317107089913</v>
      </c>
      <c r="BV8" t="n">
        <v>1.03847973492098</v>
      </c>
      <c r="BW8" t="n">
        <v>101.943825131207</v>
      </c>
      <c r="BX8" t="n">
        <v>78179.1622181805</v>
      </c>
      <c r="BY8" t="n">
        <v>1.09145578314145</v>
      </c>
      <c r="BZ8" t="n">
        <v>85329.0987241866</v>
      </c>
      <c r="CA8" t="n">
        <v>10277.8060038026</v>
      </c>
      <c r="CB8" t="n">
        <v>15006.3003515153</v>
      </c>
      <c r="CC8" t="n">
        <v>15605.657352386</v>
      </c>
      <c r="CD8" t="n">
        <v>599.357000870745</v>
      </c>
      <c r="CE8" t="n">
        <v>0.0384063852631822</v>
      </c>
      <c r="CF8" t="n">
        <v>11042891.9327549</v>
      </c>
      <c r="CG8" t="n">
        <v>374587.012520073</v>
      </c>
      <c r="CH8" t="n">
        <v>480697.352431486</v>
      </c>
      <c r="CI8" t="n">
        <v>275791.035375311</v>
      </c>
      <c r="CJ8" t="n">
        <v>14043.4429399833</v>
      </c>
      <c r="CK8" t="n">
        <v>711073.183462798</v>
      </c>
      <c r="CL8" t="n">
        <v>0.0548085605398272</v>
      </c>
      <c r="CM8" t="n">
        <v>18.2453250030776</v>
      </c>
      <c r="CN8" t="n">
        <v>1146975.95621504</v>
      </c>
      <c r="CO8" t="n">
        <v>2664308.22562469</v>
      </c>
      <c r="CP8" t="n">
        <v>3162067.69030443</v>
      </c>
      <c r="CQ8" t="n">
        <v>3811284.18183973</v>
      </c>
      <c r="CR8" t="n">
        <v>9029664.3832871</v>
      </c>
      <c r="CS8" t="n">
        <v>0.0159105059788633</v>
      </c>
      <c r="CT8" t="n">
        <v>0.0116001256486601</v>
      </c>
      <c r="CU8" t="n">
        <v>0.0636501933796358</v>
      </c>
      <c r="CV8" t="n">
        <v>1.40651510971779</v>
      </c>
      <c r="CW8" t="n">
        <v>0.0636501933796358</v>
      </c>
      <c r="CX8" t="n">
        <v>0.0383713858586026</v>
      </c>
      <c r="CY8" t="n">
        <v>0.00872605362010048</v>
      </c>
      <c r="CZ8" t="n">
        <v>0.00287407202855967</v>
      </c>
      <c r="DA8" t="n">
        <v>0.596309210707428</v>
      </c>
      <c r="DB8" t="n">
        <v>5.73802958430074</v>
      </c>
      <c r="DC8" t="n">
        <v>0.0641314023882157</v>
      </c>
      <c r="DD8" t="n">
        <v>0.0434476320338954</v>
      </c>
      <c r="DE8" t="n">
        <v>0.00710203729666446</v>
      </c>
      <c r="DF8" t="n">
        <v>0.115590449844198</v>
      </c>
      <c r="DG8" t="n">
        <v>204296.680709037</v>
      </c>
      <c r="DH8" t="n">
        <v>111.975599912597</v>
      </c>
      <c r="DI8" t="n">
        <v>4.7509793864016</v>
      </c>
      <c r="DJ8" t="n">
        <v>4.14336898963737</v>
      </c>
      <c r="DK8" t="n">
        <v>0.0411256875275234</v>
      </c>
      <c r="DL8" t="n">
        <v>0.670223574218165</v>
      </c>
      <c r="DM8" t="n">
        <v>1.09973178089033</v>
      </c>
      <c r="DN8" t="n">
        <v>0.0357615042376472</v>
      </c>
      <c r="DO8" t="n">
        <v>0.0465455822795444</v>
      </c>
      <c r="DP8" t="n">
        <v>28092.15</v>
      </c>
      <c r="DQ8" t="n">
        <v>23307.5857496445</v>
      </c>
      <c r="DR8" t="n">
        <v>163180.527005572</v>
      </c>
      <c r="DS8" t="n">
        <v>28810.6642051475</v>
      </c>
      <c r="DT8" t="n">
        <v>12305.489498317</v>
      </c>
      <c r="DU8" t="n">
        <v>0</v>
      </c>
      <c r="DV8" t="n">
        <v>61.25</v>
      </c>
      <c r="DW8" t="n">
        <v>211612.72</v>
      </c>
      <c r="DX8" t="n">
        <v>2.08411967568879</v>
      </c>
      <c r="DY8" t="n">
        <v>78.3306392241504</v>
      </c>
      <c r="DZ8" t="n">
        <v>1.14641906913042</v>
      </c>
      <c r="EA8" t="n">
        <v>1.17581388761627</v>
      </c>
      <c r="EB8" t="n">
        <v>144706624.746536</v>
      </c>
      <c r="EC8" t="n">
        <v>3.22424467803606</v>
      </c>
      <c r="ED8" t="n">
        <v>0.0431166666666667</v>
      </c>
      <c r="EE8" t="n">
        <v>0.0255759818181819</v>
      </c>
      <c r="EF8" t="n">
        <v>0.0299805555556667</v>
      </c>
      <c r="EG8" t="n">
        <v>0.0448996666666666</v>
      </c>
      <c r="EH8" t="n">
        <v>708224.309684325</v>
      </c>
      <c r="EI8" t="n">
        <v>365987.852054249</v>
      </c>
      <c r="EJ8" t="n">
        <v>839.228290365732</v>
      </c>
      <c r="EK8" t="n">
        <v>2.75294734436369</v>
      </c>
      <c r="EL8" t="n">
        <v>3.04914051593523</v>
      </c>
    </row>
    <row r="9">
      <c r="A9" s="2" t="n">
        <v>46357</v>
      </c>
      <c r="B9" t="n">
        <v>370255.314382408</v>
      </c>
      <c r="C9" t="n">
        <v>34742.1616325712</v>
      </c>
      <c r="D9" t="n">
        <v>21527.9210791036</v>
      </c>
      <c r="E9" t="n">
        <v>223540.194658475</v>
      </c>
      <c r="F9" t="n">
        <v>45331.1086585011</v>
      </c>
      <c r="G9" t="n">
        <v>11608.1319499879</v>
      </c>
      <c r="H9" t="n">
        <v>51855.4657991052</v>
      </c>
      <c r="I9" t="n">
        <v>54633.7442349852</v>
      </c>
      <c r="J9" t="n">
        <v>94137.1729747241</v>
      </c>
      <c r="K9" t="n">
        <v>409.932045431796</v>
      </c>
      <c r="L9" t="n">
        <v>4760.59161839321</v>
      </c>
      <c r="M9" t="n">
        <v>0.669720345206143</v>
      </c>
      <c r="N9" t="n">
        <v>27472.3387569935</v>
      </c>
      <c r="O9" t="n">
        <v>147.004263036338</v>
      </c>
      <c r="P9" t="n">
        <v>1.40408261125359</v>
      </c>
      <c r="Q9" t="n">
        <v>1.24114085789606</v>
      </c>
      <c r="R9" t="n">
        <v>1.02278711451643</v>
      </c>
      <c r="S9" t="n">
        <v>0.0990787909608044</v>
      </c>
      <c r="T9" t="n">
        <v>10146.0690785104</v>
      </c>
      <c r="U9" t="n">
        <v>0.40166613335857</v>
      </c>
      <c r="V9" t="n">
        <v>0.600290507018584</v>
      </c>
      <c r="W9" t="n">
        <v>19793033.959784</v>
      </c>
      <c r="X9" t="n">
        <v>62490.9659533341</v>
      </c>
      <c r="Y9" t="n">
        <v>4384278.4035685</v>
      </c>
      <c r="Z9" t="n">
        <v>844.975060159055</v>
      </c>
      <c r="AA9" t="n">
        <v>1.07154692898077</v>
      </c>
      <c r="AB9" t="n">
        <v>1.05187190115026</v>
      </c>
      <c r="AC9" t="n">
        <v>1.11815540269979</v>
      </c>
      <c r="AD9" t="n">
        <v>1.14350743244162</v>
      </c>
      <c r="AE9" t="n">
        <v>111.574037906626</v>
      </c>
      <c r="AF9" t="n">
        <v>91765.1736368019</v>
      </c>
      <c r="AG9" t="n">
        <v>989.496877630395</v>
      </c>
      <c r="AH9" t="n">
        <v>99.7138823413002</v>
      </c>
      <c r="AI9" t="n">
        <v>67924.4927465454</v>
      </c>
      <c r="AJ9" t="n">
        <v>84769.519265989</v>
      </c>
      <c r="AK9" t="n">
        <v>564.621344112784</v>
      </c>
      <c r="AL9" t="n">
        <v>23365.6287617594</v>
      </c>
      <c r="AM9" t="n">
        <v>19429.2341699962</v>
      </c>
      <c r="AN9" t="n">
        <v>0.981395222257861</v>
      </c>
      <c r="AO9" t="n">
        <v>0.969901064722171</v>
      </c>
      <c r="AP9" t="n">
        <v>1.09139457090178</v>
      </c>
      <c r="AQ9" t="n">
        <v>1.09400308452629</v>
      </c>
      <c r="AR9" t="n">
        <v>33013.2568573343</v>
      </c>
      <c r="AS9" t="n">
        <v>168894.210182327</v>
      </c>
      <c r="AT9" t="n">
        <v>0.051166793547428</v>
      </c>
      <c r="AU9" t="n">
        <v>0.0425485170090851</v>
      </c>
      <c r="AV9" t="n">
        <v>0.0660202596843525</v>
      </c>
      <c r="AW9" t="n">
        <v>1066.02315052148</v>
      </c>
      <c r="AX9" t="n">
        <v>10282.3823081444</v>
      </c>
      <c r="AY9" t="n">
        <v>17959.3808070821</v>
      </c>
      <c r="AZ9" t="n">
        <v>172584.044809137</v>
      </c>
      <c r="BA9" t="n">
        <v>405060.457068624</v>
      </c>
      <c r="BB9" t="n">
        <v>183702.876014496</v>
      </c>
      <c r="BC9" t="n">
        <v>223925.508806156</v>
      </c>
      <c r="BD9" t="n">
        <v>57954.3565746162</v>
      </c>
      <c r="BE9" t="n">
        <v>16.3810180919352</v>
      </c>
      <c r="BF9" t="n">
        <v>39727.9200459334</v>
      </c>
      <c r="BG9" t="n">
        <v>14437.3142011271</v>
      </c>
      <c r="BH9" t="n">
        <v>23068.1777196538</v>
      </c>
      <c r="BI9" t="n">
        <v>71447.8646611505</v>
      </c>
      <c r="BJ9" t="n">
        <v>43537.6492568685</v>
      </c>
      <c r="BK9" t="n">
        <v>92385.7717942561</v>
      </c>
      <c r="BL9" t="n">
        <v>22290.1213021839</v>
      </c>
      <c r="BM9" t="n">
        <v>18844.4349082157</v>
      </c>
      <c r="BN9" t="n">
        <v>36834.2237202141</v>
      </c>
      <c r="BO9" t="n">
        <v>181944.11172487</v>
      </c>
      <c r="BP9" t="n">
        <v>172742.821890915</v>
      </c>
      <c r="BQ9" t="n">
        <v>790183.548801809</v>
      </c>
      <c r="BR9" t="n">
        <v>714904.104764168</v>
      </c>
      <c r="BS9" t="n">
        <v>711644.248699413</v>
      </c>
      <c r="BT9" t="n">
        <v>109.803426087319</v>
      </c>
      <c r="BU9" t="n">
        <v>1.10530005627378</v>
      </c>
      <c r="BV9" t="n">
        <v>1.05423483338848</v>
      </c>
      <c r="BW9" t="n">
        <v>103.074708160252</v>
      </c>
      <c r="BX9" t="n">
        <v>78778.2491945432</v>
      </c>
      <c r="BY9" t="n">
        <v>1.10034673942876</v>
      </c>
      <c r="BZ9" t="n">
        <v>86683.389639122</v>
      </c>
      <c r="CA9" t="n">
        <v>10308.9456009675</v>
      </c>
      <c r="CB9" t="n">
        <v>15069.5372193607</v>
      </c>
      <c r="CC9" t="n">
        <v>15669.5132756167</v>
      </c>
      <c r="CD9" t="n">
        <v>599.97605625598</v>
      </c>
      <c r="CE9" t="n">
        <v>0.0382893797724542</v>
      </c>
      <c r="CF9" t="n">
        <v>11077307.4256493</v>
      </c>
      <c r="CG9" t="n">
        <v>380372.644795451</v>
      </c>
      <c r="CH9" t="n">
        <v>486516.44249237</v>
      </c>
      <c r="CI9" t="n">
        <v>281556.122679259</v>
      </c>
      <c r="CJ9" t="n">
        <v>14213.4460798368</v>
      </c>
      <c r="CK9" t="n">
        <v>723621.064861049</v>
      </c>
      <c r="CL9" t="n">
        <v>0.0556492706430182</v>
      </c>
      <c r="CM9" t="n">
        <v>17.9696874450494</v>
      </c>
      <c r="CN9" t="n">
        <v>1149727.12105269</v>
      </c>
      <c r="CO9" t="n">
        <v>2687407.55335804</v>
      </c>
      <c r="CP9" t="n">
        <v>3171566.51655655</v>
      </c>
      <c r="CQ9" t="n">
        <v>3837134.67441073</v>
      </c>
      <c r="CR9" t="n">
        <v>9065013.70211023</v>
      </c>
      <c r="CS9" t="n">
        <v>0.0173537651804524</v>
      </c>
      <c r="CT9" t="n">
        <v>0.00873548864210959</v>
      </c>
      <c r="CU9" t="n">
        <v>0.0652657625938288</v>
      </c>
      <c r="CV9" t="n">
        <v>1.41969959618565</v>
      </c>
      <c r="CW9" t="n">
        <v>0.0652657625938286</v>
      </c>
      <c r="CX9" t="n">
        <v>0.0383713858586026</v>
      </c>
      <c r="CY9" t="n">
        <v>0.00779315843014683</v>
      </c>
      <c r="CZ9" t="n">
        <v>0.000942330211962765</v>
      </c>
      <c r="DA9" t="n">
        <v>0.595173337503926</v>
      </c>
      <c r="DB9" t="n">
        <v>5.74796296859899</v>
      </c>
      <c r="DC9" t="n">
        <v>0.068896284797428</v>
      </c>
      <c r="DD9" t="n">
        <v>0.0466777436146111</v>
      </c>
      <c r="DE9" t="n">
        <v>0.00713571413113123</v>
      </c>
      <c r="DF9" t="n">
        <v>0.117082981206913</v>
      </c>
      <c r="DG9" t="n">
        <v>205686.964121783</v>
      </c>
      <c r="DH9" t="n">
        <v>112.973119251547</v>
      </c>
      <c r="DI9" t="n">
        <v>4.76000550827891</v>
      </c>
      <c r="DJ9" t="n">
        <v>4.14947390768408</v>
      </c>
      <c r="DK9" t="n">
        <v>0.0411256875275234</v>
      </c>
      <c r="DL9" t="n">
        <v>0.670223574218165</v>
      </c>
      <c r="DM9" t="n">
        <v>1.11099750094646</v>
      </c>
      <c r="DN9" t="n">
        <v>0.0357615042376472</v>
      </c>
      <c r="DO9" t="n">
        <v>0.0465455822795444</v>
      </c>
      <c r="DP9" t="n">
        <v>28179.7</v>
      </c>
      <c r="DQ9" t="n">
        <v>23397.099084385</v>
      </c>
      <c r="DR9" t="n">
        <v>164291.006036321</v>
      </c>
      <c r="DS9" t="n">
        <v>29006.7270506895</v>
      </c>
      <c r="DT9" t="n">
        <v>12389.231034772</v>
      </c>
      <c r="DU9" t="n">
        <v>0</v>
      </c>
      <c r="DV9" t="n">
        <v>61.25</v>
      </c>
      <c r="DW9" t="n">
        <v>208288.96</v>
      </c>
      <c r="DX9" t="n">
        <v>2.09895574495133</v>
      </c>
      <c r="DY9" t="n">
        <v>82.218</v>
      </c>
      <c r="DZ9" t="n">
        <v>1.19296648862472</v>
      </c>
      <c r="EA9" t="n">
        <v>1.17963803514669</v>
      </c>
      <c r="EB9" t="n">
        <v>146277341.038978</v>
      </c>
      <c r="EC9" t="n">
        <v>3.19880770320023</v>
      </c>
      <c r="ED9" t="n">
        <v>0.0431166666666667</v>
      </c>
      <c r="EE9" t="n">
        <v>0.0255759818181819</v>
      </c>
      <c r="EF9" t="n">
        <v>0.0299805555556667</v>
      </c>
      <c r="EG9" t="n">
        <v>0.0448996666666666</v>
      </c>
      <c r="EH9" t="n">
        <v>712615.994968106</v>
      </c>
      <c r="EI9" t="n">
        <v>368680.456387776</v>
      </c>
      <c r="EJ9" t="n">
        <v>847.584962412568</v>
      </c>
      <c r="EK9" t="n">
        <v>2.75281539120373</v>
      </c>
      <c r="EL9" t="n">
        <v>3.38130283669755</v>
      </c>
    </row>
    <row r="10">
      <c r="A10" s="2" t="n">
        <v>46447</v>
      </c>
      <c r="B10" t="n">
        <v>372799.672679197</v>
      </c>
      <c r="C10" t="n">
        <v>34745.4533833637</v>
      </c>
      <c r="D10" t="n">
        <v>21919.8913554691</v>
      </c>
      <c r="E10" t="n">
        <v>224651.050237155</v>
      </c>
      <c r="F10" t="n">
        <v>45879.9529854213</v>
      </c>
      <c r="G10" t="n">
        <v>11746.9566528161</v>
      </c>
      <c r="H10" t="n">
        <v>52685.2926479859</v>
      </c>
      <c r="I10" t="n">
        <v>55062.6978824473</v>
      </c>
      <c r="J10" t="n">
        <v>94744.1305943245</v>
      </c>
      <c r="K10" t="n">
        <v>409.414440932092</v>
      </c>
      <c r="L10" t="n">
        <v>4791.92796519624</v>
      </c>
      <c r="M10" t="n">
        <v>0.669882716226483</v>
      </c>
      <c r="N10" t="n">
        <v>27783.2584411024</v>
      </c>
      <c r="O10" t="n">
        <v>148.43961866706</v>
      </c>
      <c r="P10" t="n">
        <v>1.4288844343685</v>
      </c>
      <c r="Q10" t="n">
        <v>1.26452906443832</v>
      </c>
      <c r="R10" t="n">
        <v>1.02514018314865</v>
      </c>
      <c r="S10" t="n">
        <v>0.103718546640277</v>
      </c>
      <c r="T10" t="n">
        <v>10153.1931897897</v>
      </c>
      <c r="U10" t="n">
        <v>0.401288004778815</v>
      </c>
      <c r="V10" t="n">
        <v>0.597004662096507</v>
      </c>
      <c r="W10" t="n">
        <v>20072117.297574</v>
      </c>
      <c r="X10" t="n">
        <v>63322.9197524135</v>
      </c>
      <c r="Y10" t="n">
        <v>4390067.38701164</v>
      </c>
      <c r="Z10" t="n">
        <v>854.698504322074</v>
      </c>
      <c r="AA10" t="n">
        <v>1.07722860017693</v>
      </c>
      <c r="AB10" t="n">
        <v>1.05655625244467</v>
      </c>
      <c r="AC10" t="n">
        <v>1.12963336641454</v>
      </c>
      <c r="AD10" t="n">
        <v>1.15946917061207</v>
      </c>
      <c r="AE10" t="n">
        <v>112.553061181212</v>
      </c>
      <c r="AF10" t="n">
        <v>92274.2271186095</v>
      </c>
      <c r="AG10" t="n">
        <v>1011.39662737137</v>
      </c>
      <c r="AH10" t="n">
        <v>100.663642632361</v>
      </c>
      <c r="AI10" t="n">
        <v>68800.2039727878</v>
      </c>
      <c r="AJ10" t="n">
        <v>83899.7223318345</v>
      </c>
      <c r="AK10" t="n">
        <v>582.945634261007</v>
      </c>
      <c r="AL10" t="n">
        <v>23506.7700036668</v>
      </c>
      <c r="AM10" t="n">
        <v>19427.0744430315</v>
      </c>
      <c r="AN10" t="n">
        <v>0.984358683054691</v>
      </c>
      <c r="AO10" t="n">
        <v>0.974010244588818</v>
      </c>
      <c r="AP10" t="n">
        <v>1.10008831532989</v>
      </c>
      <c r="AQ10" t="n">
        <v>1.10305847510531</v>
      </c>
      <c r="AR10" t="n">
        <v>33231.1191825876</v>
      </c>
      <c r="AS10" t="n">
        <v>170774.083792876</v>
      </c>
      <c r="AT10" t="n">
        <v>0.0553220581492405</v>
      </c>
      <c r="AU10" t="n">
        <v>0.043225199985203</v>
      </c>
      <c r="AV10" t="n">
        <v>0.0712465998940947</v>
      </c>
      <c r="AW10" t="n">
        <v>1110.85557868032</v>
      </c>
      <c r="AX10" t="n">
        <v>10283.3565434401</v>
      </c>
      <c r="AY10" t="n">
        <v>18067.7040509898</v>
      </c>
      <c r="AZ10" t="n">
        <v>173515.028270933</v>
      </c>
      <c r="BA10" t="n">
        <v>411219.839611501</v>
      </c>
      <c r="BB10" t="n">
        <v>186851.573084021</v>
      </c>
      <c r="BC10" t="n">
        <v>226093.1994085</v>
      </c>
      <c r="BD10" t="n">
        <v>59855.8707885718</v>
      </c>
      <c r="BE10" t="n">
        <v>16.5791852594192</v>
      </c>
      <c r="BF10" t="n">
        <v>40286.2820169491</v>
      </c>
      <c r="BG10" t="n">
        <v>14693.728097983</v>
      </c>
      <c r="BH10" t="n">
        <v>23612.7338808824</v>
      </c>
      <c r="BI10" t="n">
        <v>72691.2849540428</v>
      </c>
      <c r="BJ10" t="n">
        <v>44067.8416225696</v>
      </c>
      <c r="BK10" t="n">
        <v>93262.2076189909</v>
      </c>
      <c r="BL10" t="n">
        <v>22847.1369001466</v>
      </c>
      <c r="BM10" t="n">
        <v>18922.1695299023</v>
      </c>
      <c r="BN10" t="n">
        <v>37402.6419047792</v>
      </c>
      <c r="BO10" t="n">
        <v>184023.715953819</v>
      </c>
      <c r="BP10" t="n">
        <v>175067.375536472</v>
      </c>
      <c r="BQ10" t="n">
        <v>802379.623685296</v>
      </c>
      <c r="BR10" t="n">
        <v>719216.098101294</v>
      </c>
      <c r="BS10" t="n">
        <v>716905.130299628</v>
      </c>
      <c r="BT10" t="n">
        <v>110.733499454955</v>
      </c>
      <c r="BU10" t="n">
        <v>1.11563078737725</v>
      </c>
      <c r="BV10" t="n">
        <v>1.06056355917758</v>
      </c>
      <c r="BW10" t="n">
        <v>103.455466541183</v>
      </c>
      <c r="BX10" t="n">
        <v>79319.605615798</v>
      </c>
      <c r="BY10" t="n">
        <v>1.11082738279526</v>
      </c>
      <c r="BZ10" t="n">
        <v>88110.3899105489</v>
      </c>
      <c r="CA10" t="n">
        <v>10335.6078420921</v>
      </c>
      <c r="CB10" t="n">
        <v>15127.5358072883</v>
      </c>
      <c r="CC10" t="n">
        <v>15733.3459617508</v>
      </c>
      <c r="CD10" t="n">
        <v>605.810154462473</v>
      </c>
      <c r="CE10" t="n">
        <v>0.0385048442483449</v>
      </c>
      <c r="CF10" t="n">
        <v>11111722.9185437</v>
      </c>
      <c r="CG10" t="n">
        <v>386158.052999866</v>
      </c>
      <c r="CH10" t="n">
        <v>492012.930386075</v>
      </c>
      <c r="CI10" t="n">
        <v>286078.525789304</v>
      </c>
      <c r="CJ10" t="n">
        <v>14374.0244847627</v>
      </c>
      <c r="CK10" t="n">
        <v>734789.782189695</v>
      </c>
      <c r="CL10" t="n">
        <v>0.0574150046556024</v>
      </c>
      <c r="CM10" t="n">
        <v>17.4170498809221</v>
      </c>
      <c r="CN10" t="n">
        <v>1152907.33626692</v>
      </c>
      <c r="CO10" t="n">
        <v>2711054.44967646</v>
      </c>
      <c r="CP10" t="n">
        <v>3181008.79873194</v>
      </c>
      <c r="CQ10" t="n">
        <v>3863961.78594337</v>
      </c>
      <c r="CR10" t="n">
        <v>9101283.09581826</v>
      </c>
      <c r="CS10" t="n">
        <v>0.018878206376984</v>
      </c>
      <c r="CT10" t="n">
        <v>0.00678134821294644</v>
      </c>
      <c r="CU10" t="n">
        <v>0.0672746948680204</v>
      </c>
      <c r="CV10" t="n">
        <v>1.4335616010502</v>
      </c>
      <c r="CW10" t="n">
        <v>0.0672746948680204</v>
      </c>
      <c r="CX10" t="n">
        <v>0.039440022763365</v>
      </c>
      <c r="CY10" t="n">
        <v>0.00985294486662482</v>
      </c>
      <c r="CZ10" t="n">
        <v>-0.00307159665367838</v>
      </c>
      <c r="DA10" t="n">
        <v>0.593284498923282</v>
      </c>
      <c r="DB10" t="n">
        <v>5.75788668818331</v>
      </c>
      <c r="DC10" t="n">
        <v>0.0730515493992405</v>
      </c>
      <c r="DD10" t="n">
        <v>0.049507047169318</v>
      </c>
      <c r="DE10" t="n">
        <v>0.0071856303630277</v>
      </c>
      <c r="DF10" t="n">
        <v>0.119134607875719</v>
      </c>
      <c r="DG10" t="n">
        <v>207086.708715988</v>
      </c>
      <c r="DH10" t="n">
        <v>114.003800669069</v>
      </c>
      <c r="DI10" t="n">
        <v>4.76924459146654</v>
      </c>
      <c r="DJ10" t="n">
        <v>4.15579178704112</v>
      </c>
      <c r="DK10" t="n">
        <v>0.0411256875275234</v>
      </c>
      <c r="DL10" t="n">
        <v>0.670223574218165</v>
      </c>
      <c r="DM10" t="n">
        <v>1.12237862773229</v>
      </c>
      <c r="DN10" t="n">
        <v>0.0357615042376472</v>
      </c>
      <c r="DO10" t="n">
        <v>0.0465455822795444</v>
      </c>
      <c r="DP10" t="n">
        <v>28267.25</v>
      </c>
      <c r="DQ10" t="n">
        <v>23486.7172725075</v>
      </c>
      <c r="DR10" t="n">
        <v>165409.042118762</v>
      </c>
      <c r="DS10" t="n">
        <v>29204.1241466024</v>
      </c>
      <c r="DT10" t="n">
        <v>12473.5424506234</v>
      </c>
      <c r="DU10" t="n">
        <v>0</v>
      </c>
      <c r="DV10" t="n">
        <v>61.25</v>
      </c>
      <c r="DW10" t="n">
        <v>208288.96</v>
      </c>
      <c r="DX10" t="n">
        <v>2.11030270909113</v>
      </c>
      <c r="DY10" t="n">
        <v>80.6083433839946</v>
      </c>
      <c r="DZ10" t="n">
        <v>1.18119551508904</v>
      </c>
      <c r="EA10" t="n">
        <v>1.18588501702756</v>
      </c>
      <c r="EB10" t="n">
        <v>147730387.822721</v>
      </c>
      <c r="EC10" t="n">
        <v>3.18782304357156</v>
      </c>
      <c r="ED10" t="n">
        <v>0.0435</v>
      </c>
      <c r="EE10" t="n">
        <v>0.0304926484848485</v>
      </c>
      <c r="EF10" t="n">
        <v>0.03050813492075</v>
      </c>
      <c r="EG10" t="n">
        <v>0.0441803333333333</v>
      </c>
      <c r="EH10" t="n">
        <v>717042.84343769</v>
      </c>
      <c r="EI10" t="n">
        <v>371378.531708318</v>
      </c>
      <c r="EJ10" t="n">
        <v>856.157410206901</v>
      </c>
      <c r="EK10" t="n">
        <v>2.63862398023926</v>
      </c>
      <c r="EL10" t="n">
        <v>3.64438517722565</v>
      </c>
    </row>
    <row r="11">
      <c r="A11" s="2" t="n">
        <v>46539</v>
      </c>
      <c r="B11" t="n">
        <v>375029.72479978</v>
      </c>
      <c r="C11" t="n">
        <v>34731.314056131</v>
      </c>
      <c r="D11" t="n">
        <v>22375.6187751549</v>
      </c>
      <c r="E11" t="n">
        <v>225787.966501365</v>
      </c>
      <c r="F11" t="n">
        <v>46459.9950475461</v>
      </c>
      <c r="G11" t="n">
        <v>11891.9917726547</v>
      </c>
      <c r="H11" t="n">
        <v>53514.1904019474</v>
      </c>
      <c r="I11" t="n">
        <v>55659.9142079018</v>
      </c>
      <c r="J11" t="n">
        <v>95393.3341783673</v>
      </c>
      <c r="K11" t="n">
        <v>408.849425189557</v>
      </c>
      <c r="L11" t="n">
        <v>4822.68947655263</v>
      </c>
      <c r="M11" t="n">
        <v>0.669973160287017</v>
      </c>
      <c r="N11" t="n">
        <v>28090.8941616397</v>
      </c>
      <c r="O11" t="n">
        <v>149.948025862154</v>
      </c>
      <c r="P11" t="n">
        <v>1.45400516029309</v>
      </c>
      <c r="Q11" t="n">
        <v>1.28962359678127</v>
      </c>
      <c r="R11" t="n">
        <v>1.03024780210163</v>
      </c>
      <c r="S11" t="n">
        <v>0.107840809348151</v>
      </c>
      <c r="T11" t="n">
        <v>10197.5829681708</v>
      </c>
      <c r="U11" t="n">
        <v>0.399736039663008</v>
      </c>
      <c r="V11" t="n">
        <v>0.591989359059251</v>
      </c>
      <c r="W11" t="n">
        <v>20388282.4926143</v>
      </c>
      <c r="X11" t="n">
        <v>64178.5423507523</v>
      </c>
      <c r="Y11" t="n">
        <v>4393806.27341372</v>
      </c>
      <c r="Z11" t="n">
        <v>865.926605066796</v>
      </c>
      <c r="AA11" t="n">
        <v>1.08326723350275</v>
      </c>
      <c r="AB11" t="n">
        <v>1.06156200472602</v>
      </c>
      <c r="AC11" t="n">
        <v>1.14117461129623</v>
      </c>
      <c r="AD11" t="n">
        <v>1.17574564606058</v>
      </c>
      <c r="AE11" t="n">
        <v>113.541730185455</v>
      </c>
      <c r="AF11" t="n">
        <v>92585.7900780604</v>
      </c>
      <c r="AG11" t="n">
        <v>1033.612716282</v>
      </c>
      <c r="AH11" t="n">
        <v>101.755946499382</v>
      </c>
      <c r="AI11" t="n">
        <v>69583.6615531844</v>
      </c>
      <c r="AJ11" t="n">
        <v>82927.5313902581</v>
      </c>
      <c r="AK11" t="n">
        <v>595.669573357726</v>
      </c>
      <c r="AL11" t="n">
        <v>23649.2267807006</v>
      </c>
      <c r="AM11" t="n">
        <v>19416.690913218</v>
      </c>
      <c r="AN11" t="n">
        <v>0.989971653006212</v>
      </c>
      <c r="AO11" t="n">
        <v>0.980049065941276</v>
      </c>
      <c r="AP11" t="n">
        <v>1.10873889303371</v>
      </c>
      <c r="AQ11" t="n">
        <v>1.11239058097672</v>
      </c>
      <c r="AR11" t="n">
        <v>33439.7698965748</v>
      </c>
      <c r="AS11" t="n">
        <v>172422.633347256</v>
      </c>
      <c r="AT11" t="n">
        <v>0.0588790736887421</v>
      </c>
      <c r="AU11" t="n">
        <v>0.044070387784405</v>
      </c>
      <c r="AV11" t="n">
        <v>0.0802896907403598</v>
      </c>
      <c r="AW11" t="n">
        <v>1136.9162642099</v>
      </c>
      <c r="AX11" t="n">
        <v>10279.1718306487</v>
      </c>
      <c r="AY11" t="n">
        <v>18172.9735733149</v>
      </c>
      <c r="AZ11" t="n">
        <v>174467.768561475</v>
      </c>
      <c r="BA11" t="n">
        <v>417179.534614439</v>
      </c>
      <c r="BB11" t="n">
        <v>190045.156339705</v>
      </c>
      <c r="BC11" t="n">
        <v>228101.194080909</v>
      </c>
      <c r="BD11" t="n">
        <v>62148.389932001</v>
      </c>
      <c r="BE11" t="n">
        <v>16.8181011832246</v>
      </c>
      <c r="BF11" t="n">
        <v>40835.1912834588</v>
      </c>
      <c r="BG11" t="n">
        <v>14945.9688853026</v>
      </c>
      <c r="BH11" t="n">
        <v>24238.7746484744</v>
      </c>
      <c r="BI11" t="n">
        <v>73867.3705363686</v>
      </c>
      <c r="BJ11" t="n">
        <v>44597.0828352368</v>
      </c>
      <c r="BK11" t="n">
        <v>94436.6967223323</v>
      </c>
      <c r="BL11" t="n">
        <v>23436.2955438292</v>
      </c>
      <c r="BM11" t="n">
        <v>19029.3097931697</v>
      </c>
      <c r="BN11" t="n">
        <v>37968.0933106059</v>
      </c>
      <c r="BO11" t="n">
        <v>186459.955369937</v>
      </c>
      <c r="BP11" t="n">
        <v>177638.039038585</v>
      </c>
      <c r="BQ11" t="n">
        <v>814530.995474338</v>
      </c>
      <c r="BR11" t="n">
        <v>723406.532859782</v>
      </c>
      <c r="BS11" t="n">
        <v>721791.374586147</v>
      </c>
      <c r="BT11" t="n">
        <v>111.686453362017</v>
      </c>
      <c r="BU11" t="n">
        <v>1.12596576909029</v>
      </c>
      <c r="BV11" t="n">
        <v>1.06873582958813</v>
      </c>
      <c r="BW11" t="n">
        <v>103.735802921199</v>
      </c>
      <c r="BX11" t="n">
        <v>79794.0879388003</v>
      </c>
      <c r="BY11" t="n">
        <v>1.12288100030889</v>
      </c>
      <c r="BZ11" t="n">
        <v>89599.2652834561</v>
      </c>
      <c r="CA11" t="n">
        <v>10358.7059806119</v>
      </c>
      <c r="CB11" t="n">
        <v>15181.3954571645</v>
      </c>
      <c r="CC11" t="n">
        <v>15795.5822254968</v>
      </c>
      <c r="CD11" t="n">
        <v>614.18676833232</v>
      </c>
      <c r="CE11" t="n">
        <v>0.0388834447648027</v>
      </c>
      <c r="CF11" t="n">
        <v>11146138.411438</v>
      </c>
      <c r="CG11" t="n">
        <v>391823.955430339</v>
      </c>
      <c r="CH11" t="n">
        <v>497672.935331989</v>
      </c>
      <c r="CI11" t="n">
        <v>290642.380758226</v>
      </c>
      <c r="CJ11" t="n">
        <v>14539.3799960754</v>
      </c>
      <c r="CK11" t="n">
        <v>745917.562066715</v>
      </c>
      <c r="CL11" t="n">
        <v>0.0584128195099721</v>
      </c>
      <c r="CM11" t="n">
        <v>17.1195297263349</v>
      </c>
      <c r="CN11" t="n">
        <v>1156428.77088605</v>
      </c>
      <c r="CO11" t="n">
        <v>2735187.45210497</v>
      </c>
      <c r="CP11" t="n">
        <v>3190379.05069984</v>
      </c>
      <c r="CQ11" t="n">
        <v>3891616.22299101</v>
      </c>
      <c r="CR11" t="n">
        <v>9138307.7848338</v>
      </c>
      <c r="CS11" t="n">
        <v>0.0202588296457093</v>
      </c>
      <c r="CT11" t="n">
        <v>0.00545014374137223</v>
      </c>
      <c r="CU11" t="n">
        <v>0.0692205653051182</v>
      </c>
      <c r="CV11" t="n">
        <v>1.44812910434246</v>
      </c>
      <c r="CW11" t="n">
        <v>0.0692205653051182</v>
      </c>
      <c r="CX11" t="n">
        <v>0.039440022763365</v>
      </c>
      <c r="CY11" t="n">
        <v>0.012305022763365</v>
      </c>
      <c r="CZ11" t="n">
        <v>-0.00685487902199278</v>
      </c>
      <c r="DA11" t="n">
        <v>0.58843934388964</v>
      </c>
      <c r="DB11" t="n">
        <v>5.77484498437367</v>
      </c>
      <c r="DC11" t="n">
        <v>0.0766085649387421</v>
      </c>
      <c r="DD11" t="n">
        <v>0.0519335033752989</v>
      </c>
      <c r="DE11" t="n">
        <v>0.00724805904289561</v>
      </c>
      <c r="DF11" t="n">
        <v>0.120519508496911</v>
      </c>
      <c r="DG11" t="n">
        <v>208495.978877053</v>
      </c>
      <c r="DH11" t="n">
        <v>115.00644812181</v>
      </c>
      <c r="DI11" t="n">
        <v>4.77815820567181</v>
      </c>
      <c r="DJ11" t="n">
        <v>4.16178419741579</v>
      </c>
      <c r="DK11" t="n">
        <v>0.0411256875275234</v>
      </c>
      <c r="DL11" t="n">
        <v>0.670223574218165</v>
      </c>
      <c r="DM11" t="n">
        <v>1.13387634348147</v>
      </c>
      <c r="DN11" t="n">
        <v>0.0357615042376472</v>
      </c>
      <c r="DO11" t="n">
        <v>0.0465455822795444</v>
      </c>
      <c r="DP11" t="n">
        <v>28354.8</v>
      </c>
      <c r="DQ11" t="n">
        <v>23576.440314012</v>
      </c>
      <c r="DR11" t="n">
        <v>166534.686680277</v>
      </c>
      <c r="DS11" t="n">
        <v>29402.8645727506</v>
      </c>
      <c r="DT11" t="n">
        <v>12558.4276240246</v>
      </c>
      <c r="DU11" t="n">
        <v>0</v>
      </c>
      <c r="DV11" t="n">
        <v>61.25</v>
      </c>
      <c r="DW11" t="n">
        <v>208288.96</v>
      </c>
      <c r="DX11" t="n">
        <v>2.12171101496979</v>
      </c>
      <c r="DY11" t="n">
        <v>79.0302004805758</v>
      </c>
      <c r="DZ11" t="n">
        <v>1.16954068548472</v>
      </c>
      <c r="EA11" t="n">
        <v>1.19216508090601</v>
      </c>
      <c r="EB11" t="n">
        <v>149197868.454801</v>
      </c>
      <c r="EC11" t="n">
        <v>3.17687610510602</v>
      </c>
      <c r="ED11" t="n">
        <v>0.0435</v>
      </c>
      <c r="EE11" t="n">
        <v>0.0304926484848485</v>
      </c>
      <c r="EF11" t="n">
        <v>0.03050813492075</v>
      </c>
      <c r="EG11" t="n">
        <v>0.0441803333333333</v>
      </c>
      <c r="EH11" t="n">
        <v>721470.856223024</v>
      </c>
      <c r="EI11" t="n">
        <v>374014.508695783</v>
      </c>
      <c r="EJ11" t="n">
        <v>865.229854925088</v>
      </c>
      <c r="EK11" t="n">
        <v>2.53885890461525</v>
      </c>
      <c r="EL11" t="n">
        <v>3.86202440430328</v>
      </c>
    </row>
    <row r="12">
      <c r="A12" s="2" t="n">
        <v>46631</v>
      </c>
      <c r="B12" t="n">
        <v>377104.873185019</v>
      </c>
      <c r="C12" t="n">
        <v>34712.8807376051</v>
      </c>
      <c r="D12" t="n">
        <v>22722.4749878869</v>
      </c>
      <c r="E12" t="n">
        <v>226945.896159411</v>
      </c>
      <c r="F12" t="n">
        <v>46962.8007582577</v>
      </c>
      <c r="G12" t="n">
        <v>12032.4822733079</v>
      </c>
      <c r="H12" t="n">
        <v>54299.1510519704</v>
      </c>
      <c r="I12" t="n">
        <v>58974.754544656</v>
      </c>
      <c r="J12" t="n">
        <v>95415.8262789341</v>
      </c>
      <c r="K12" t="n">
        <v>408.155609034814</v>
      </c>
      <c r="L12" t="n">
        <v>4850.64938080109</v>
      </c>
      <c r="M12" t="n">
        <v>0.669998136675722</v>
      </c>
      <c r="N12" t="n">
        <v>28401.0339524814</v>
      </c>
      <c r="O12" t="n">
        <v>151.505515085874</v>
      </c>
      <c r="P12" t="n">
        <v>1.47989892384504</v>
      </c>
      <c r="Q12" t="n">
        <v>1.31692697020828</v>
      </c>
      <c r="R12" t="n">
        <v>1.03751514675864</v>
      </c>
      <c r="S12" t="n">
        <v>0.11111494417342</v>
      </c>
      <c r="T12" t="n">
        <v>10189.7022962211</v>
      </c>
      <c r="U12" t="n">
        <v>0.396850864350697</v>
      </c>
      <c r="V12" t="n">
        <v>0.584979633457004</v>
      </c>
      <c r="W12" t="n">
        <v>20722513.8023486</v>
      </c>
      <c r="X12" t="n">
        <v>65051.753342903</v>
      </c>
      <c r="Y12" t="n">
        <v>4393153.70273539</v>
      </c>
      <c r="Z12" t="n">
        <v>879.054131341919</v>
      </c>
      <c r="AA12" t="n">
        <v>1.08955721041902</v>
      </c>
      <c r="AB12" t="n">
        <v>1.06699050055018</v>
      </c>
      <c r="AC12" t="n">
        <v>1.15290964282032</v>
      </c>
      <c r="AD12" t="n">
        <v>1.19225862689439</v>
      </c>
      <c r="AE12" t="n">
        <v>114.542543089895</v>
      </c>
      <c r="AF12" t="n">
        <v>92681.6684564744</v>
      </c>
      <c r="AG12" t="n">
        <v>1056.48610870043</v>
      </c>
      <c r="AH12" t="n">
        <v>102.958467291343</v>
      </c>
      <c r="AI12" t="n">
        <v>70264.8650326538</v>
      </c>
      <c r="AJ12" t="n">
        <v>81692.450427063</v>
      </c>
      <c r="AK12" t="n">
        <v>605.01092364107</v>
      </c>
      <c r="AL12" t="n">
        <v>23797.768056959</v>
      </c>
      <c r="AM12" t="n">
        <v>19377.6021827956</v>
      </c>
      <c r="AN12" t="n">
        <v>0.998883410744921</v>
      </c>
      <c r="AO12" t="n">
        <v>0.988004014119938</v>
      </c>
      <c r="AP12" t="n">
        <v>1.11728918101972</v>
      </c>
      <c r="AQ12" t="n">
        <v>1.1218808586727</v>
      </c>
      <c r="AR12" t="n">
        <v>33587.6164478902</v>
      </c>
      <c r="AS12" t="n">
        <v>173803.071064718</v>
      </c>
      <c r="AT12" t="n">
        <v>0.061330349349501</v>
      </c>
      <c r="AU12" t="n">
        <v>0.0450057398435711</v>
      </c>
      <c r="AV12" t="n">
        <v>0.097310295012862</v>
      </c>
      <c r="AW12" t="n">
        <v>1157.9296580455</v>
      </c>
      <c r="AX12" t="n">
        <v>10273.7162568045</v>
      </c>
      <c r="AY12" t="n">
        <v>18253.9441651053</v>
      </c>
      <c r="AZ12" t="n">
        <v>174679.989074725</v>
      </c>
      <c r="BA12" t="n">
        <v>423066.740130317</v>
      </c>
      <c r="BB12" t="n">
        <v>193188.354002623</v>
      </c>
      <c r="BC12" t="n">
        <v>229773.870596969</v>
      </c>
      <c r="BD12" t="n">
        <v>67438.7792262645</v>
      </c>
      <c r="BE12" t="n">
        <v>17.3694415064457</v>
      </c>
      <c r="BF12" t="n">
        <v>41386.7315237656</v>
      </c>
      <c r="BG12" t="n">
        <v>15204.0616323343</v>
      </c>
      <c r="BH12" t="n">
        <v>24757.436461618</v>
      </c>
      <c r="BI12" t="n">
        <v>74971.9427818506</v>
      </c>
      <c r="BJ12" t="n">
        <v>45117.2398908747</v>
      </c>
      <c r="BK12" t="n">
        <v>95309.2859925465</v>
      </c>
      <c r="BL12" t="n">
        <v>24039.1113837032</v>
      </c>
      <c r="BM12" t="n">
        <v>19145.1487406214</v>
      </c>
      <c r="BN12" t="n">
        <v>38472.1100426935</v>
      </c>
      <c r="BO12" t="n">
        <v>188555.216159565</v>
      </c>
      <c r="BP12" t="n">
        <v>180323.318782814</v>
      </c>
      <c r="BQ12" t="n">
        <v>825924.403800134</v>
      </c>
      <c r="BR12" t="n">
        <v>726629.706805515</v>
      </c>
      <c r="BS12" t="n">
        <v>726182.765534147</v>
      </c>
      <c r="BT12" t="n">
        <v>112.661683061</v>
      </c>
      <c r="BU12" t="n">
        <v>1.13665102601341</v>
      </c>
      <c r="BV12" t="n">
        <v>1.0794322644416</v>
      </c>
      <c r="BW12" t="n">
        <v>104.040145130788</v>
      </c>
      <c r="BX12" t="n">
        <v>80235.6118015455</v>
      </c>
      <c r="BY12" t="n">
        <v>1.13615086606339</v>
      </c>
      <c r="BZ12" t="n">
        <v>91159.7598374522</v>
      </c>
      <c r="CA12" t="n">
        <v>10374.7734566044</v>
      </c>
      <c r="CB12" t="n">
        <v>15225.4228374055</v>
      </c>
      <c r="CC12" t="n">
        <v>15853.4842469012</v>
      </c>
      <c r="CD12" t="n">
        <v>628.061409495735</v>
      </c>
      <c r="CE12" t="n">
        <v>0.0396166089239728</v>
      </c>
      <c r="CF12" t="n">
        <v>11179119.1065133</v>
      </c>
      <c r="CG12" t="n">
        <v>397298.789088256</v>
      </c>
      <c r="CH12" t="n">
        <v>506151.197732251</v>
      </c>
      <c r="CI12" t="n">
        <v>294732.422470222</v>
      </c>
      <c r="CJ12" t="n">
        <v>14787.0701355073</v>
      </c>
      <c r="CK12" t="n">
        <v>756351.226849551</v>
      </c>
      <c r="CL12" t="n">
        <v>0.059374739914182</v>
      </c>
      <c r="CM12" t="n">
        <v>16.8421790385164</v>
      </c>
      <c r="CN12" t="n">
        <v>1160349.73676715</v>
      </c>
      <c r="CO12" t="n">
        <v>2759706.29793704</v>
      </c>
      <c r="CP12" t="n">
        <v>3199660.41597386</v>
      </c>
      <c r="CQ12" t="n">
        <v>3920056.0347042</v>
      </c>
      <c r="CR12" t="n">
        <v>9176028.961821</v>
      </c>
      <c r="CS12" t="n">
        <v>0.0210495808063804</v>
      </c>
      <c r="CT12" t="n">
        <v>0.00472497130045051</v>
      </c>
      <c r="CU12" t="n">
        <v>0.0708341756302996</v>
      </c>
      <c r="CV12" t="n">
        <v>1.46317061930473</v>
      </c>
      <c r="CW12" t="n">
        <v>0.0708341756302994</v>
      </c>
      <c r="CX12" t="n">
        <v>0.039440022763365</v>
      </c>
      <c r="CY12" t="n">
        <v>0.0127689953150494</v>
      </c>
      <c r="CZ12" t="n">
        <v>-0.00804402401459889</v>
      </c>
      <c r="DA12" t="n">
        <v>0.581441839807727</v>
      </c>
      <c r="DB12" t="n">
        <v>5.80212628460202</v>
      </c>
      <c r="DC12" t="n">
        <v>0.079059840599501</v>
      </c>
      <c r="DD12" t="n">
        <v>0.0536212464484256</v>
      </c>
      <c r="DE12" t="n">
        <v>0.00731725442198007</v>
      </c>
      <c r="DF12" t="n">
        <v>0.121675703546047</v>
      </c>
      <c r="DG12" t="n">
        <v>209787.037336164</v>
      </c>
      <c r="DH12" t="n">
        <v>116.096124970579</v>
      </c>
      <c r="DI12" t="n">
        <v>4.78774572358039</v>
      </c>
      <c r="DJ12" t="n">
        <v>4.16845051149377</v>
      </c>
      <c r="DK12" t="n">
        <v>0.0411256875275234</v>
      </c>
      <c r="DL12" t="n">
        <v>0.670223574218165</v>
      </c>
      <c r="DM12" t="n">
        <v>1.14549184253852</v>
      </c>
      <c r="DN12" t="n">
        <v>0.0357615042376472</v>
      </c>
      <c r="DO12" t="n">
        <v>0.0465455822795444</v>
      </c>
      <c r="DP12" t="n">
        <v>28438.7</v>
      </c>
      <c r="DQ12" t="n">
        <v>23661.9825923103</v>
      </c>
      <c r="DR12" t="n">
        <v>167565.910481964</v>
      </c>
      <c r="DS12" t="n">
        <v>29584.9343528644</v>
      </c>
      <c r="DT12" t="n">
        <v>12636.1925013352</v>
      </c>
      <c r="DU12" t="n">
        <v>0</v>
      </c>
      <c r="DV12" t="n">
        <v>56.25</v>
      </c>
      <c r="DW12" t="n">
        <v>208288.96</v>
      </c>
      <c r="DX12" t="n">
        <v>2.13318099420103</v>
      </c>
      <c r="DY12" t="n">
        <v>77.4829543171104</v>
      </c>
      <c r="DZ12" t="n">
        <v>1.15800085382221</v>
      </c>
      <c r="EA12" t="n">
        <v>1.1984784019736</v>
      </c>
      <c r="EB12" t="n">
        <v>150679926.313932</v>
      </c>
      <c r="EC12" t="n">
        <v>3.16596675826966</v>
      </c>
      <c r="ED12" t="n">
        <v>0.0435</v>
      </c>
      <c r="EE12" t="n">
        <v>0.0304926484848485</v>
      </c>
      <c r="EF12" t="n">
        <v>0.03050813492075</v>
      </c>
      <c r="EG12" t="n">
        <v>0.0441803333333333</v>
      </c>
      <c r="EH12" t="n">
        <v>725700.499085027</v>
      </c>
      <c r="EI12" t="n">
        <v>376560.701049748</v>
      </c>
      <c r="EJ12" t="n">
        <v>875.131145848378</v>
      </c>
      <c r="EK12" t="n">
        <v>2.29871917252453</v>
      </c>
      <c r="EL12" t="n">
        <v>4.02807685431206</v>
      </c>
    </row>
    <row r="13">
      <c r="A13" s="2" t="n">
        <v>46722</v>
      </c>
      <c r="B13" t="n">
        <v>379284.862843887</v>
      </c>
      <c r="C13" t="n">
        <v>34706.9605374344</v>
      </c>
      <c r="D13" t="n">
        <v>23114.7572524486</v>
      </c>
      <c r="E13" t="n">
        <v>228054.483472291</v>
      </c>
      <c r="F13" t="n">
        <v>47622.4569730523</v>
      </c>
      <c r="G13" t="n">
        <v>12171.9546052135</v>
      </c>
      <c r="H13" t="n">
        <v>55129.2073375214</v>
      </c>
      <c r="I13" t="n">
        <v>59109.0552195819</v>
      </c>
      <c r="J13" t="n">
        <v>95835.9430758974</v>
      </c>
      <c r="K13" t="n">
        <v>407.498024849446</v>
      </c>
      <c r="L13" t="n">
        <v>4878.47002165606</v>
      </c>
      <c r="M13" t="n">
        <v>0.669929001299299</v>
      </c>
      <c r="N13" t="n">
        <v>28700.0863361499</v>
      </c>
      <c r="O13" t="n">
        <v>153.113850479583</v>
      </c>
      <c r="P13" t="n">
        <v>1.5061335187706</v>
      </c>
      <c r="Q13" t="n">
        <v>1.34539396448381</v>
      </c>
      <c r="R13" t="n">
        <v>1.04487839915027</v>
      </c>
      <c r="S13" t="n">
        <v>0.113755827808963</v>
      </c>
      <c r="T13" t="n">
        <v>10137.4482250597</v>
      </c>
      <c r="U13" t="n">
        <v>0.394004938251847</v>
      </c>
      <c r="V13" t="n">
        <v>0.578093345618179</v>
      </c>
      <c r="W13" t="n">
        <v>21079439.3323705</v>
      </c>
      <c r="X13" t="n">
        <v>65945.8650722541</v>
      </c>
      <c r="Y13" t="n">
        <v>4392291.60662099</v>
      </c>
      <c r="Z13" t="n">
        <v>894.505644805487</v>
      </c>
      <c r="AA13" t="n">
        <v>1.09601230663501</v>
      </c>
      <c r="AB13" t="n">
        <v>1.07290965355849</v>
      </c>
      <c r="AC13" t="n">
        <v>1.16445878676032</v>
      </c>
      <c r="AD13" t="n">
        <v>1.20898656379412</v>
      </c>
      <c r="AE13" t="n">
        <v>115.550193440391</v>
      </c>
      <c r="AF13" t="n">
        <v>92643.662207172</v>
      </c>
      <c r="AG13" t="n">
        <v>1079.71892068774</v>
      </c>
      <c r="AH13" t="n">
        <v>104.274773208543</v>
      </c>
      <c r="AI13" t="n">
        <v>70875.8072450877</v>
      </c>
      <c r="AJ13" t="n">
        <v>80860.1455301439</v>
      </c>
      <c r="AK13" t="n">
        <v>611.136737159451</v>
      </c>
      <c r="AL13" t="n">
        <v>23968.6272672812</v>
      </c>
      <c r="AM13" t="n">
        <v>19353.8475171504</v>
      </c>
      <c r="AN13" t="n">
        <v>1.00724562614722</v>
      </c>
      <c r="AO13" t="n">
        <v>0.995353392015428</v>
      </c>
      <c r="AP13" t="n">
        <v>1.12580044629463</v>
      </c>
      <c r="AQ13" t="n">
        <v>1.13158386926254</v>
      </c>
      <c r="AR13" t="n">
        <v>33772.2223939881</v>
      </c>
      <c r="AS13" t="n">
        <v>175120.351064698</v>
      </c>
      <c r="AT13" t="n">
        <v>0.0632243535815134</v>
      </c>
      <c r="AU13" t="n">
        <v>0.0459914149280081</v>
      </c>
      <c r="AV13" t="n">
        <v>0.112797926336001</v>
      </c>
      <c r="AW13" t="n">
        <v>1108.58731288012</v>
      </c>
      <c r="AX13" t="n">
        <v>10271.9640986591</v>
      </c>
      <c r="AY13" t="n">
        <v>18349.00348205</v>
      </c>
      <c r="AZ13" t="n">
        <v>175356.016469086</v>
      </c>
      <c r="BA13" t="n">
        <v>429192.6338683</v>
      </c>
      <c r="BB13" t="n">
        <v>196331.850197684</v>
      </c>
      <c r="BC13" t="n">
        <v>231535.90839024</v>
      </c>
      <c r="BD13" t="n">
        <v>69484.9569942276</v>
      </c>
      <c r="BE13" t="n">
        <v>17.5826848519175</v>
      </c>
      <c r="BF13" t="n">
        <v>41960.2489598909</v>
      </c>
      <c r="BG13" t="n">
        <v>15470.9494325986</v>
      </c>
      <c r="BH13" t="n">
        <v>25334.0584135646</v>
      </c>
      <c r="BI13" t="n">
        <v>76043.3370666494</v>
      </c>
      <c r="BJ13" t="n">
        <v>45589.3526393462</v>
      </c>
      <c r="BK13" t="n">
        <v>96530.3344908914</v>
      </c>
      <c r="BL13" t="n">
        <v>24686.6385390426</v>
      </c>
      <c r="BM13" t="n">
        <v>19263.9177747451</v>
      </c>
      <c r="BN13" t="n">
        <v>39023.8683053723</v>
      </c>
      <c r="BO13" t="n">
        <v>191094.319110051</v>
      </c>
      <c r="BP13" t="n">
        <v>182979.472079115</v>
      </c>
      <c r="BQ13" t="n">
        <v>838037.27760897</v>
      </c>
      <c r="BR13" t="n">
        <v>730413.706740859</v>
      </c>
      <c r="BS13" t="n">
        <v>730608.018226034</v>
      </c>
      <c r="BT13" t="n">
        <v>113.65366650212</v>
      </c>
      <c r="BU13" t="n">
        <v>1.14734604234118</v>
      </c>
      <c r="BV13" t="n">
        <v>1.0897505711972</v>
      </c>
      <c r="BW13" t="n">
        <v>104.294487481358</v>
      </c>
      <c r="BX13" t="n">
        <v>80699.44246627</v>
      </c>
      <c r="BY13" t="n">
        <v>1.15067635529391</v>
      </c>
      <c r="BZ13" t="n">
        <v>92858.9403313385</v>
      </c>
      <c r="CA13" t="n">
        <v>10389.4761539687</v>
      </c>
      <c r="CB13" t="n">
        <v>15267.9461756248</v>
      </c>
      <c r="CC13" t="n">
        <v>15909.2180004408</v>
      </c>
      <c r="CD13" t="n">
        <v>641.271824816058</v>
      </c>
      <c r="CE13" t="n">
        <v>0.0403081846741093</v>
      </c>
      <c r="CF13" t="n">
        <v>11212099.8015885</v>
      </c>
      <c r="CG13" t="n">
        <v>402603.504750362</v>
      </c>
      <c r="CH13" t="n">
        <v>511430.811871913</v>
      </c>
      <c r="CI13" t="n">
        <v>299526.664885318</v>
      </c>
      <c r="CJ13" t="n">
        <v>14941.3126324556</v>
      </c>
      <c r="CK13" t="n">
        <v>767443.751690606</v>
      </c>
      <c r="CL13" t="n">
        <v>0.0602850661815193</v>
      </c>
      <c r="CM13" t="n">
        <v>16.5878560535869</v>
      </c>
      <c r="CN13" t="n">
        <v>1164554.98685815</v>
      </c>
      <c r="CO13" t="n">
        <v>2784502.37593457</v>
      </c>
      <c r="CP13" t="n">
        <v>3208849.30962008</v>
      </c>
      <c r="CQ13" t="n">
        <v>3949057.36279272</v>
      </c>
      <c r="CR13" t="n">
        <v>9214219.18355574</v>
      </c>
      <c r="CS13" t="n">
        <v>0.0216637395077933</v>
      </c>
      <c r="CT13" t="n">
        <v>0.00443080085428795</v>
      </c>
      <c r="CU13" t="n">
        <v>0.0721952137352434</v>
      </c>
      <c r="CV13" t="n">
        <v>1.47870318320334</v>
      </c>
      <c r="CW13" t="n">
        <v>0.0721952137352431</v>
      </c>
      <c r="CX13" t="n">
        <v>0.039440022763365</v>
      </c>
      <c r="CY13" t="n">
        <v>0.0132311513224297</v>
      </c>
      <c r="CZ13" t="n">
        <v>-0.00880035046814176</v>
      </c>
      <c r="DA13" t="n">
        <v>0.574426410232081</v>
      </c>
      <c r="DB13" t="n">
        <v>5.84209489868956</v>
      </c>
      <c r="DC13" t="n">
        <v>0.0809538448315134</v>
      </c>
      <c r="DD13" t="n">
        <v>0.0549358555714514</v>
      </c>
      <c r="DE13" t="n">
        <v>0.00739029405883989</v>
      </c>
      <c r="DF13" t="n">
        <v>0.122692120674273</v>
      </c>
      <c r="DG13" t="n">
        <v>211086.090347275</v>
      </c>
      <c r="DH13" t="n">
        <v>117.036753922181</v>
      </c>
      <c r="DI13" t="n">
        <v>4.79597243747158</v>
      </c>
      <c r="DJ13" t="n">
        <v>4.17375602155436</v>
      </c>
      <c r="DK13" t="n">
        <v>0.0411256875275234</v>
      </c>
      <c r="DL13" t="n">
        <v>0.670223574218165</v>
      </c>
      <c r="DM13" t="n">
        <v>1.15722633148288</v>
      </c>
      <c r="DN13" t="n">
        <v>0.0357615042376472</v>
      </c>
      <c r="DO13" t="n">
        <v>0.0465455822795444</v>
      </c>
      <c r="DP13" t="n">
        <v>28522.6</v>
      </c>
      <c r="DQ13" t="n">
        <v>23747.617985765</v>
      </c>
      <c r="DR13" t="n">
        <v>168603.519875448</v>
      </c>
      <c r="DS13" t="n">
        <v>29768.1315539051</v>
      </c>
      <c r="DT13" t="n">
        <v>12714.4389179217</v>
      </c>
      <c r="DU13" t="n">
        <v>0</v>
      </c>
      <c r="DV13" t="n">
        <v>56.25</v>
      </c>
      <c r="DW13" t="n">
        <v>208288.96</v>
      </c>
      <c r="DX13" t="n">
        <v>2.14471298019127</v>
      </c>
      <c r="DY13" t="n">
        <v>75.966</v>
      </c>
      <c r="DZ13" t="n">
        <v>1.1465748854194</v>
      </c>
      <c r="EA13" t="n">
        <v>1.20482515634968</v>
      </c>
      <c r="EB13" t="n">
        <v>152176706.203079</v>
      </c>
      <c r="EC13" t="n">
        <v>3.15509487397338</v>
      </c>
      <c r="ED13" t="n">
        <v>0.0435</v>
      </c>
      <c r="EE13" t="n">
        <v>0.0304926484848485</v>
      </c>
      <c r="EF13" t="n">
        <v>0.03050813492075</v>
      </c>
      <c r="EG13" t="n">
        <v>0.0441803333333333</v>
      </c>
      <c r="EH13" t="n">
        <v>729861.535979767</v>
      </c>
      <c r="EI13" t="n">
        <v>379045.613004796</v>
      </c>
      <c r="EJ13" t="n">
        <v>886.23325852851</v>
      </c>
      <c r="EK13" t="n">
        <v>2.1694660687124</v>
      </c>
      <c r="EL13" t="n">
        <v>4.15606140737201</v>
      </c>
    </row>
    <row r="14">
      <c r="A14" s="2" t="n">
        <v>46813</v>
      </c>
      <c r="B14" t="n">
        <v>381517.407898264</v>
      </c>
      <c r="C14" t="n">
        <v>34727.8687886099</v>
      </c>
      <c r="D14" t="n">
        <v>23484.788186057</v>
      </c>
      <c r="E14" t="n">
        <v>229193.461130976</v>
      </c>
      <c r="F14" t="n">
        <v>48289.8767074806</v>
      </c>
      <c r="G14" t="n">
        <v>12304.4465692193</v>
      </c>
      <c r="H14" t="n">
        <v>55962.1863868422</v>
      </c>
      <c r="I14" t="n">
        <v>59541.3929416405</v>
      </c>
      <c r="J14" t="n">
        <v>96149.8510876823</v>
      </c>
      <c r="K14" t="n">
        <v>406.856431229012</v>
      </c>
      <c r="L14" t="n">
        <v>4906.29211243004</v>
      </c>
      <c r="M14" t="n">
        <v>0.669828761118828</v>
      </c>
      <c r="N14" t="n">
        <v>29000.081426174</v>
      </c>
      <c r="O14" t="n">
        <v>154.764042586615</v>
      </c>
      <c r="P14" t="n">
        <v>1.53263896446908</v>
      </c>
      <c r="Q14" t="n">
        <v>1.37177444207582</v>
      </c>
      <c r="R14" t="n">
        <v>1.05246312394765</v>
      </c>
      <c r="S14" t="n">
        <v>0.115899702477265</v>
      </c>
      <c r="T14" t="n">
        <v>10064.7578838916</v>
      </c>
      <c r="U14" t="n">
        <v>0.391326409792432</v>
      </c>
      <c r="V14" t="n">
        <v>0.571493577131532</v>
      </c>
      <c r="W14" t="n">
        <v>21458011.5738589</v>
      </c>
      <c r="X14" t="n">
        <v>66861.0760890984</v>
      </c>
      <c r="Y14" t="n">
        <v>4391284.42208094</v>
      </c>
      <c r="Z14" t="n">
        <v>911.730988528566</v>
      </c>
      <c r="AA14" t="n">
        <v>1.1027044586411</v>
      </c>
      <c r="AB14" t="n">
        <v>1.07904944974794</v>
      </c>
      <c r="AC14" t="n">
        <v>1.17606057240749</v>
      </c>
      <c r="AD14" t="n">
        <v>1.2258778413535</v>
      </c>
      <c r="AE14" t="n">
        <v>116.558474143497</v>
      </c>
      <c r="AF14" t="n">
        <v>92563.5790986575</v>
      </c>
      <c r="AG14" t="n">
        <v>1103.3906672407</v>
      </c>
      <c r="AH14" t="n">
        <v>105.695694260837</v>
      </c>
      <c r="AI14" t="n">
        <v>71464.353879004</v>
      </c>
      <c r="AJ14" t="n">
        <v>80181.6335635244</v>
      </c>
      <c r="AK14" t="n">
        <v>614.953162672141</v>
      </c>
      <c r="AL14" t="n">
        <v>24158.8041587703</v>
      </c>
      <c r="AM14" t="n">
        <v>19328.7691596718</v>
      </c>
      <c r="AN14" t="n">
        <v>1.01465068539449</v>
      </c>
      <c r="AO14" t="n">
        <v>1.00282738212905</v>
      </c>
      <c r="AP14" t="n">
        <v>1.13426619250375</v>
      </c>
      <c r="AQ14" t="n">
        <v>1.14147160245056</v>
      </c>
      <c r="AR14" t="n">
        <v>33955.056251202</v>
      </c>
      <c r="AS14" t="n">
        <v>176482.305957273</v>
      </c>
      <c r="AT14" t="n">
        <v>0.0645712674355491</v>
      </c>
      <c r="AU14" t="n">
        <v>0.0469909166727895</v>
      </c>
      <c r="AV14" t="n">
        <v>0.12771523613986</v>
      </c>
      <c r="AW14" t="n">
        <v>1138.9776586848</v>
      </c>
      <c r="AX14" t="n">
        <v>10278.1521601348</v>
      </c>
      <c r="AY14" t="n">
        <v>18443.4565732722</v>
      </c>
      <c r="AZ14" t="n">
        <v>175922.133071828</v>
      </c>
      <c r="BA14" t="n">
        <v>435491.288193109</v>
      </c>
      <c r="BB14" t="n">
        <v>199515.799937414</v>
      </c>
      <c r="BC14" t="n">
        <v>233278.89292097</v>
      </c>
      <c r="BD14" t="n">
        <v>71902.9517396028</v>
      </c>
      <c r="BE14" t="n">
        <v>17.8346772725713</v>
      </c>
      <c r="BF14" t="n">
        <v>42572.1248253888</v>
      </c>
      <c r="BG14" t="n">
        <v>15752.6964833647</v>
      </c>
      <c r="BH14" t="n">
        <v>25896.7806430069</v>
      </c>
      <c r="BI14" t="n">
        <v>77113.5710056534</v>
      </c>
      <c r="BJ14" t="n">
        <v>46158.9016023635</v>
      </c>
      <c r="BK14" t="n">
        <v>97558.5123066954</v>
      </c>
      <c r="BL14" t="n">
        <v>25300.26235075</v>
      </c>
      <c r="BM14" t="n">
        <v>19383.4189761704</v>
      </c>
      <c r="BN14" t="n">
        <v>39577.4954609672</v>
      </c>
      <c r="BO14" t="n">
        <v>193409.249094583</v>
      </c>
      <c r="BP14" t="n">
        <v>185741.119049277</v>
      </c>
      <c r="BQ14" t="n">
        <v>850169.292735606</v>
      </c>
      <c r="BR14" t="n">
        <v>734173.574825043</v>
      </c>
      <c r="BS14" t="n">
        <v>735163.724928415</v>
      </c>
      <c r="BT14" t="n">
        <v>114.660819786267</v>
      </c>
      <c r="BU14" t="n">
        <v>1.15799494838709</v>
      </c>
      <c r="BV14" t="n">
        <v>1.09940259202982</v>
      </c>
      <c r="BW14" t="n">
        <v>104.459963205752</v>
      </c>
      <c r="BX14" t="n">
        <v>81174.4552042374</v>
      </c>
      <c r="BY14" t="n">
        <v>1.16635627678695</v>
      </c>
      <c r="BZ14" t="n">
        <v>94678.3353422236</v>
      </c>
      <c r="CA14" t="n">
        <v>10403.4737337472</v>
      </c>
      <c r="CB14" t="n">
        <v>15309.7658461772</v>
      </c>
      <c r="CC14" t="n">
        <v>15964.2609556438</v>
      </c>
      <c r="CD14" t="n">
        <v>654.495109466568</v>
      </c>
      <c r="CE14" t="n">
        <v>0.0409975119476579</v>
      </c>
      <c r="CF14" t="n">
        <v>11245080.4966638</v>
      </c>
      <c r="CG14" t="n">
        <v>407926.100208409</v>
      </c>
      <c r="CH14" t="n">
        <v>517292.169859654</v>
      </c>
      <c r="CI14" t="n">
        <v>304304.825746312</v>
      </c>
      <c r="CJ14" t="n">
        <v>15112.5506183428</v>
      </c>
      <c r="CK14" t="n">
        <v>778553.805447304</v>
      </c>
      <c r="CL14" t="n">
        <v>0.0610996478769108</v>
      </c>
      <c r="CM14" t="n">
        <v>16.3667064336371</v>
      </c>
      <c r="CN14" t="n">
        <v>1169085.4105143</v>
      </c>
      <c r="CO14" t="n">
        <v>2809500.85716681</v>
      </c>
      <c r="CP14" t="n">
        <v>3217958.98241159</v>
      </c>
      <c r="CQ14" t="n">
        <v>3978586.26768111</v>
      </c>
      <c r="CR14" t="n">
        <v>9252857.76123564</v>
      </c>
      <c r="CS14" t="n">
        <v>0.0219652302040771</v>
      </c>
      <c r="CT14" t="n">
        <v>0.00438487944131746</v>
      </c>
      <c r="CU14" t="n">
        <v>0.0732936652457934</v>
      </c>
      <c r="CV14" t="n">
        <v>1.49463997999815</v>
      </c>
      <c r="CW14" t="n">
        <v>0.0732936652457931</v>
      </c>
      <c r="CX14" t="n">
        <v>0.039440022763365</v>
      </c>
      <c r="CY14" t="n">
        <v>0.0136914930514056</v>
      </c>
      <c r="CZ14" t="n">
        <v>-0.00930661361008816</v>
      </c>
      <c r="DA14" t="n">
        <v>0.56758032348655</v>
      </c>
      <c r="DB14" t="n">
        <v>5.89110347139136</v>
      </c>
      <c r="DC14" t="n">
        <v>0.0823007586855491</v>
      </c>
      <c r="DD14" t="n">
        <v>0.0558746020112212</v>
      </c>
      <c r="DE14" t="n">
        <v>0.00746448554994689</v>
      </c>
      <c r="DF14" t="n">
        <v>0.123536164086506</v>
      </c>
      <c r="DG14" t="n">
        <v>212393.187414621</v>
      </c>
      <c r="DH14" t="n">
        <v>117.976735569303</v>
      </c>
      <c r="DI14" t="n">
        <v>4.80412906858329</v>
      </c>
      <c r="DJ14" t="n">
        <v>4.17899144883548</v>
      </c>
      <c r="DK14" t="n">
        <v>0.0411256875275234</v>
      </c>
      <c r="DL14" t="n">
        <v>0.670223574218165</v>
      </c>
      <c r="DM14" t="n">
        <v>1.16908102925429</v>
      </c>
      <c r="DN14" t="n">
        <v>0.0357615042376472</v>
      </c>
      <c r="DO14" t="n">
        <v>0.0465455822795444</v>
      </c>
      <c r="DP14" t="n">
        <v>28606.5</v>
      </c>
      <c r="DQ14" t="n">
        <v>23833.3464943762</v>
      </c>
      <c r="DR14" t="n">
        <v>169647.554401886</v>
      </c>
      <c r="DS14" t="n">
        <v>29952.4631571409</v>
      </c>
      <c r="DT14" t="n">
        <v>12793.1698555937</v>
      </c>
      <c r="DU14" t="n">
        <v>0</v>
      </c>
      <c r="DV14" t="n">
        <v>56.25</v>
      </c>
      <c r="DW14" t="n">
        <v>208288.96</v>
      </c>
      <c r="DX14" t="n">
        <v>2.15587456584291</v>
      </c>
      <c r="DY14" t="n">
        <v>75.5295022413614</v>
      </c>
      <c r="DZ14" t="n">
        <v>1.13495748489578</v>
      </c>
      <c r="EA14" t="n">
        <v>1.20489817214186</v>
      </c>
      <c r="EB14" t="n">
        <v>153676165.156582</v>
      </c>
      <c r="EC14" t="n">
        <v>3.15387992712949</v>
      </c>
      <c r="ED14" t="n">
        <v>0.0435</v>
      </c>
      <c r="EE14" t="n">
        <v>0.0304926484848485</v>
      </c>
      <c r="EF14" t="n">
        <v>0.03050813492075</v>
      </c>
      <c r="EG14" t="n">
        <v>0.0441803333333333</v>
      </c>
      <c r="EH14" t="n">
        <v>733954.458596149</v>
      </c>
      <c r="EI14" t="n">
        <v>381485.259137936</v>
      </c>
      <c r="EJ14" t="n">
        <v>898.748335125436</v>
      </c>
      <c r="EK14" t="n">
        <v>2.07969159244843</v>
      </c>
      <c r="EL14" t="n">
        <v>4.2606037231472</v>
      </c>
    </row>
    <row r="15">
      <c r="A15" s="2" t="n">
        <v>46905</v>
      </c>
      <c r="B15" t="n">
        <v>383602.853548622</v>
      </c>
      <c r="C15" t="n">
        <v>34780.7180125836</v>
      </c>
      <c r="D15" t="n">
        <v>23862.4157269208</v>
      </c>
      <c r="E15" t="n">
        <v>230331.426737365</v>
      </c>
      <c r="F15" t="n">
        <v>49001.6731146793</v>
      </c>
      <c r="G15" t="n">
        <v>12439.0993998554</v>
      </c>
      <c r="H15" t="n">
        <v>56812.2546423209</v>
      </c>
      <c r="I15" t="n">
        <v>60175.9611842545</v>
      </c>
      <c r="J15" t="n">
        <v>96787.9513564791</v>
      </c>
      <c r="K15" t="n">
        <v>406.267178661063</v>
      </c>
      <c r="L15" t="n">
        <v>4934.46866636969</v>
      </c>
      <c r="M15" t="n">
        <v>0.669709863447765</v>
      </c>
      <c r="N15" t="n">
        <v>29297.8291655367</v>
      </c>
      <c r="O15" t="n">
        <v>156.456361528517</v>
      </c>
      <c r="P15" t="n">
        <v>1.55929935729848</v>
      </c>
      <c r="Q15" t="n">
        <v>1.39632994898412</v>
      </c>
      <c r="R15" t="n">
        <v>1.06012045922039</v>
      </c>
      <c r="S15" t="n">
        <v>0.117676173728411</v>
      </c>
      <c r="T15" t="n">
        <v>9972.85975970043</v>
      </c>
      <c r="U15" t="n">
        <v>0.388842349244652</v>
      </c>
      <c r="V15" t="n">
        <v>0.565260575646086</v>
      </c>
      <c r="W15" t="n">
        <v>21850525.2285889</v>
      </c>
      <c r="X15" t="n">
        <v>67795.7876645155</v>
      </c>
      <c r="Y15" t="n">
        <v>4391209.49559037</v>
      </c>
      <c r="Z15" t="n">
        <v>930.169505711724</v>
      </c>
      <c r="AA15" t="n">
        <v>1.10940754646092</v>
      </c>
      <c r="AB15" t="n">
        <v>1.08530416172856</v>
      </c>
      <c r="AC15" t="n">
        <v>1.18756919790441</v>
      </c>
      <c r="AD15" t="n">
        <v>1.24289131085075</v>
      </c>
      <c r="AE15" t="n">
        <v>117.570607602437</v>
      </c>
      <c r="AF15" t="n">
        <v>92487.0033976422</v>
      </c>
      <c r="AG15" t="n">
        <v>1127.55331977096</v>
      </c>
      <c r="AH15" t="n">
        <v>107.221937619702</v>
      </c>
      <c r="AI15" t="n">
        <v>72027.8209170844</v>
      </c>
      <c r="AJ15" t="n">
        <v>79715.1900700992</v>
      </c>
      <c r="AK15" t="n">
        <v>618.114994958359</v>
      </c>
      <c r="AL15" t="n">
        <v>24355.7723555334</v>
      </c>
      <c r="AM15" t="n">
        <v>19309.221118009</v>
      </c>
      <c r="AN15" t="n">
        <v>1.02104408674633</v>
      </c>
      <c r="AO15" t="n">
        <v>1.01015128331131</v>
      </c>
      <c r="AP15" t="n">
        <v>1.14272700554766</v>
      </c>
      <c r="AQ15" t="n">
        <v>1.15157510732369</v>
      </c>
      <c r="AR15" t="n">
        <v>34151.6605705812</v>
      </c>
      <c r="AS15" t="n">
        <v>177813.664033018</v>
      </c>
      <c r="AT15" t="n">
        <v>0.0655766001224467</v>
      </c>
      <c r="AU15" t="n">
        <v>0.0479826636648478</v>
      </c>
      <c r="AV15" t="n">
        <v>0.139912728873091</v>
      </c>
      <c r="AW15" t="n">
        <v>1137.96560638939</v>
      </c>
      <c r="AX15" t="n">
        <v>10293.7935566412</v>
      </c>
      <c r="AY15" t="n">
        <v>18543.774467702</v>
      </c>
      <c r="AZ15" t="n">
        <v>176837.607512771</v>
      </c>
      <c r="BA15" t="n">
        <v>441747.498556543</v>
      </c>
      <c r="BB15" t="n">
        <v>202715.750891264</v>
      </c>
      <c r="BC15" t="n">
        <v>235095.802910031</v>
      </c>
      <c r="BD15" t="n">
        <v>74475.1933444721</v>
      </c>
      <c r="BE15" t="n">
        <v>18.1027445997468</v>
      </c>
      <c r="BF15" t="n">
        <v>43228.6522029904</v>
      </c>
      <c r="BG15" t="n">
        <v>16051.1056770339</v>
      </c>
      <c r="BH15" t="n">
        <v>26473.1440842338</v>
      </c>
      <c r="BI15" t="n">
        <v>78172.0930344897</v>
      </c>
      <c r="BJ15" t="n">
        <v>46705.4138311277</v>
      </c>
      <c r="BK15" t="n">
        <v>98824.7654008245</v>
      </c>
      <c r="BL15" t="n">
        <v>25893.2276564595</v>
      </c>
      <c r="BM15" t="n">
        <v>19505.2344920986</v>
      </c>
      <c r="BN15" t="n">
        <v>40152.3148391541</v>
      </c>
      <c r="BO15" t="n">
        <v>195965.102388537</v>
      </c>
      <c r="BP15" t="n">
        <v>188503.903170344</v>
      </c>
      <c r="BQ15" t="n">
        <v>862554.857495875</v>
      </c>
      <c r="BR15" t="n">
        <v>738166.901448307</v>
      </c>
      <c r="BS15" t="n">
        <v>739572.934017951</v>
      </c>
      <c r="BT15" t="n">
        <v>115.680333559338</v>
      </c>
      <c r="BU15" t="n">
        <v>1.16850925482913</v>
      </c>
      <c r="BV15" t="n">
        <v>1.10816418037314</v>
      </c>
      <c r="BW15" t="n">
        <v>104.531911513912</v>
      </c>
      <c r="BX15" t="n">
        <v>81618.1699889925</v>
      </c>
      <c r="BY15" t="n">
        <v>1.18319843420845</v>
      </c>
      <c r="BZ15" t="n">
        <v>96570.4909339354</v>
      </c>
      <c r="CA15" t="n">
        <v>10418.3852327562</v>
      </c>
      <c r="CB15" t="n">
        <v>15352.8538991259</v>
      </c>
      <c r="CC15" t="n">
        <v>16018.9028141863</v>
      </c>
      <c r="CD15" t="n">
        <v>666.04891506049</v>
      </c>
      <c r="CE15" t="n">
        <v>0.0415789260786963</v>
      </c>
      <c r="CF15" t="n">
        <v>11278061.191739</v>
      </c>
      <c r="CG15" t="n">
        <v>413274.193636899</v>
      </c>
      <c r="CH15" t="n">
        <v>523649.454761911</v>
      </c>
      <c r="CI15" t="n">
        <v>309252.049289758</v>
      </c>
      <c r="CJ15" t="n">
        <v>15298.2769747008</v>
      </c>
      <c r="CK15" t="n">
        <v>789896.05064378</v>
      </c>
      <c r="CL15" t="n">
        <v>0.0619797139288086</v>
      </c>
      <c r="CM15" t="n">
        <v>16.134311319162</v>
      </c>
      <c r="CN15" t="n">
        <v>1173913.56718296</v>
      </c>
      <c r="CO15" t="n">
        <v>2834676.01126937</v>
      </c>
      <c r="CP15" t="n">
        <v>3227016.89475181</v>
      </c>
      <c r="CQ15" t="n">
        <v>4008589.57845233</v>
      </c>
      <c r="CR15" t="n">
        <v>9291918.98434708</v>
      </c>
      <c r="CS15" t="n">
        <v>0.0221726564630251</v>
      </c>
      <c r="CT15" t="n">
        <v>0.0045787200054262</v>
      </c>
      <c r="CU15" t="n">
        <v>0.0742722300689897</v>
      </c>
      <c r="CV15" t="n">
        <v>1.51098361839891</v>
      </c>
      <c r="CW15" t="n">
        <v>0.0742722300689893</v>
      </c>
      <c r="CX15" t="n">
        <v>0.039440022763365</v>
      </c>
      <c r="CY15" t="n">
        <v>0.014150022763365</v>
      </c>
      <c r="CZ15" t="n">
        <v>-0.00957130275793879</v>
      </c>
      <c r="DA15" t="n">
        <v>0.560867729070326</v>
      </c>
      <c r="DB15" t="n">
        <v>5.94523288554288</v>
      </c>
      <c r="DC15" t="n">
        <v>0.0833060913724467</v>
      </c>
      <c r="DD15" t="n">
        <v>0.0565798236656618</v>
      </c>
      <c r="DE15" t="n">
        <v>0.00753822809942976</v>
      </c>
      <c r="DF15" t="n">
        <v>0.124363592262456</v>
      </c>
      <c r="DG15" t="n">
        <v>213708.378348979</v>
      </c>
      <c r="DH15" t="n">
        <v>118.876866424661</v>
      </c>
      <c r="DI15" t="n">
        <v>4.81188704505393</v>
      </c>
      <c r="DJ15" t="n">
        <v>4.18382822147552</v>
      </c>
      <c r="DK15" t="n">
        <v>0.0411256875275234</v>
      </c>
      <c r="DL15" t="n">
        <v>0.670223574218165</v>
      </c>
      <c r="DM15" t="n">
        <v>1.18105716727937</v>
      </c>
      <c r="DN15" t="n">
        <v>0.0357615042376472</v>
      </c>
      <c r="DO15" t="n">
        <v>0.0465455822795444</v>
      </c>
      <c r="DP15" t="n">
        <v>28690.4</v>
      </c>
      <c r="DQ15" t="n">
        <v>23919.168118144</v>
      </c>
      <c r="DR15" t="n">
        <v>170698.053847284</v>
      </c>
      <c r="DS15" t="n">
        <v>30137.9361870694</v>
      </c>
      <c r="DT15" t="n">
        <v>12872.3883146252</v>
      </c>
      <c r="DU15" t="n">
        <v>0</v>
      </c>
      <c r="DV15" t="n">
        <v>56.25</v>
      </c>
      <c r="DW15" t="n">
        <v>208288.96</v>
      </c>
      <c r="DX15" t="n">
        <v>2.16709423898477</v>
      </c>
      <c r="DY15" t="n">
        <v>75.0955125823108</v>
      </c>
      <c r="DZ15" t="n">
        <v>1.12345779495229</v>
      </c>
      <c r="EA15" t="n">
        <v>1.204971192359</v>
      </c>
      <c r="EB15" t="n">
        <v>155190398.888756</v>
      </c>
      <c r="EC15" t="n">
        <v>3.15266544813075</v>
      </c>
      <c r="ED15" t="n">
        <v>0.0435</v>
      </c>
      <c r="EE15" t="n">
        <v>0.0304926484848485</v>
      </c>
      <c r="EF15" t="n">
        <v>0.03050813492075</v>
      </c>
      <c r="EG15" t="n">
        <v>0.0441803333333333</v>
      </c>
      <c r="EH15" t="n">
        <v>738032.304501318</v>
      </c>
      <c r="EI15" t="n">
        <v>383854.586780545</v>
      </c>
      <c r="EJ15" t="n">
        <v>912.741594575101</v>
      </c>
      <c r="EK15" t="n">
        <v>2.04039746920361</v>
      </c>
      <c r="EL15" t="n">
        <v>4.34039436594216</v>
      </c>
    </row>
    <row r="16">
      <c r="A16" s="2" t="n">
        <v>46997</v>
      </c>
      <c r="B16" t="n">
        <v>385431.962576448</v>
      </c>
      <c r="C16" t="n">
        <v>34858.1800872736</v>
      </c>
      <c r="D16" t="n">
        <v>24220.3790884602</v>
      </c>
      <c r="E16" t="n">
        <v>231497.020179725</v>
      </c>
      <c r="F16" t="n">
        <v>49487.0383735892</v>
      </c>
      <c r="G16" t="n">
        <v>12559.6441691613</v>
      </c>
      <c r="H16" t="n">
        <v>57567.1947751221</v>
      </c>
      <c r="I16" t="n">
        <v>63782.5910758462</v>
      </c>
      <c r="J16" t="n">
        <v>96783.1163981099</v>
      </c>
      <c r="K16" t="n">
        <v>405.426033895587</v>
      </c>
      <c r="L16" t="n">
        <v>4953.94582932742</v>
      </c>
      <c r="M16" t="n">
        <v>0.669572118538407</v>
      </c>
      <c r="N16" t="n">
        <v>29609.8685495542</v>
      </c>
      <c r="O16" t="n">
        <v>158.148707378578</v>
      </c>
      <c r="P16" t="n">
        <v>1.5863667341125</v>
      </c>
      <c r="Q16" t="n">
        <v>1.42026339996752</v>
      </c>
      <c r="R16" t="n">
        <v>1.06747392185534</v>
      </c>
      <c r="S16" t="n">
        <v>0.118247053031248</v>
      </c>
      <c r="T16" t="n">
        <v>9831.69116523616</v>
      </c>
      <c r="U16" t="n">
        <v>0.386705003046884</v>
      </c>
      <c r="V16" t="n">
        <v>0.559586238734993</v>
      </c>
      <c r="W16" t="n">
        <v>22241982.1976446</v>
      </c>
      <c r="X16" t="n">
        <v>68737.7775889931</v>
      </c>
      <c r="Y16" t="n">
        <v>4386538.65057154</v>
      </c>
      <c r="Z16" t="n">
        <v>948.848690259249</v>
      </c>
      <c r="AA16" t="n">
        <v>1.11620320638031</v>
      </c>
      <c r="AB16" t="n">
        <v>1.09160005462559</v>
      </c>
      <c r="AC16" t="n">
        <v>1.19936999805946</v>
      </c>
      <c r="AD16" t="n">
        <v>1.25998516803729</v>
      </c>
      <c r="AE16" t="n">
        <v>118.595525082015</v>
      </c>
      <c r="AF16" t="n">
        <v>92189.7304991062</v>
      </c>
      <c r="AG16" t="n">
        <v>1152.53117880719</v>
      </c>
      <c r="AH16" t="n">
        <v>108.848541529062</v>
      </c>
      <c r="AI16" t="n">
        <v>72499.1805201915</v>
      </c>
      <c r="AJ16" t="n">
        <v>79296.9185456278</v>
      </c>
      <c r="AK16" t="n">
        <v>620.739484353512</v>
      </c>
      <c r="AL16" t="n">
        <v>24546.4845343168</v>
      </c>
      <c r="AM16" t="n">
        <v>19252.0202696679</v>
      </c>
      <c r="AN16" t="n">
        <v>1.02603877346314</v>
      </c>
      <c r="AO16" t="n">
        <v>1.01804532056948</v>
      </c>
      <c r="AP16" t="n">
        <v>1.15086532132898</v>
      </c>
      <c r="AQ16" t="n">
        <v>1.16162389317448</v>
      </c>
      <c r="AR16" t="n">
        <v>34253.2189414842</v>
      </c>
      <c r="AS16" t="n">
        <v>178810.990634378</v>
      </c>
      <c r="AT16" t="n">
        <v>0.0648592762524967</v>
      </c>
      <c r="AU16" t="n">
        <v>0.0488631260349396</v>
      </c>
      <c r="AV16" t="n">
        <v>0.166365899686265</v>
      </c>
      <c r="AW16" t="n">
        <v>1165.59344235971</v>
      </c>
      <c r="AX16" t="n">
        <v>10316.7194377297</v>
      </c>
      <c r="AY16" t="n">
        <v>18607.2980185766</v>
      </c>
      <c r="AZ16" t="n">
        <v>176940.653627839</v>
      </c>
      <c r="BA16" t="n">
        <v>447726.978183579</v>
      </c>
      <c r="BB16" t="n">
        <v>205339.882100853</v>
      </c>
      <c r="BC16" t="n">
        <v>236350.092351296</v>
      </c>
      <c r="BD16" t="n">
        <v>79862.2870631032</v>
      </c>
      <c r="BE16" t="n">
        <v>18.6641630184771</v>
      </c>
      <c r="BF16" t="n">
        <v>43920.7898947377</v>
      </c>
      <c r="BG16" t="n">
        <v>16366.1005211862</v>
      </c>
      <c r="BH16" t="n">
        <v>27034.8647982858</v>
      </c>
      <c r="BI16" t="n">
        <v>79140.1086798044</v>
      </c>
      <c r="BJ16" t="n">
        <v>47142.0570035825</v>
      </c>
      <c r="BK16" t="n">
        <v>99303.2300410568</v>
      </c>
      <c r="BL16" t="n">
        <v>26427.2643480725</v>
      </c>
      <c r="BM16" t="n">
        <v>19599.4291470443</v>
      </c>
      <c r="BN16" t="n">
        <v>40622.7848611453</v>
      </c>
      <c r="BO16" t="n">
        <v>197542.268397319</v>
      </c>
      <c r="BP16" t="n">
        <v>190876.069443318</v>
      </c>
      <c r="BQ16" t="n">
        <v>873336.980136029</v>
      </c>
      <c r="BR16" t="n">
        <v>740695.565959707</v>
      </c>
      <c r="BS16" t="n">
        <v>742995.880200524</v>
      </c>
      <c r="BT16" t="n">
        <v>116.705950999311</v>
      </c>
      <c r="BU16" t="n">
        <v>1.17907682942711</v>
      </c>
      <c r="BV16" t="n">
        <v>1.1164323424102</v>
      </c>
      <c r="BW16" t="n">
        <v>104.58638094594</v>
      </c>
      <c r="BX16" t="n">
        <v>82007.3447049271</v>
      </c>
      <c r="BY16" t="n">
        <v>1.20114807437872</v>
      </c>
      <c r="BZ16" t="n">
        <v>98502.9641772355</v>
      </c>
      <c r="CA16" t="n">
        <v>10428.8956185379</v>
      </c>
      <c r="CB16" t="n">
        <v>15382.8414478653</v>
      </c>
      <c r="CC16" t="n">
        <v>16072.317035519</v>
      </c>
      <c r="CD16" t="n">
        <v>689.475587653737</v>
      </c>
      <c r="CE16" t="n">
        <v>0.0428983231576381</v>
      </c>
      <c r="CF16" t="n">
        <v>11311651.1845183</v>
      </c>
      <c r="CG16" t="n">
        <v>418491.624739336</v>
      </c>
      <c r="CH16" t="n">
        <v>533542.15744256</v>
      </c>
      <c r="CI16" t="n">
        <v>312999.458522361</v>
      </c>
      <c r="CJ16" t="n">
        <v>15587.2896037806</v>
      </c>
      <c r="CK16" t="n">
        <v>799769.92245263</v>
      </c>
      <c r="CL16" t="n">
        <v>0.0631365930765179</v>
      </c>
      <c r="CM16" t="n">
        <v>15.8386753429672</v>
      </c>
      <c r="CN16" t="n">
        <v>1179042.30215462</v>
      </c>
      <c r="CO16" t="n">
        <v>2859999.84779278</v>
      </c>
      <c r="CP16" t="n">
        <v>3236055.40051146</v>
      </c>
      <c r="CQ16" t="n">
        <v>4039042.1499474</v>
      </c>
      <c r="CR16" t="n">
        <v>9331410.0616018</v>
      </c>
      <c r="CS16" t="n">
        <v>0.0210114183778922</v>
      </c>
      <c r="CT16" t="n">
        <v>0.00501526816033521</v>
      </c>
      <c r="CU16" t="n">
        <v>0.0743991951566434</v>
      </c>
      <c r="CV16" t="n">
        <v>1.5273275166663</v>
      </c>
      <c r="CW16" t="n">
        <v>0.0743991951566429</v>
      </c>
      <c r="CX16" t="n">
        <v>0.039440022763365</v>
      </c>
      <c r="CY16" t="n">
        <v>0.0151272823316509</v>
      </c>
      <c r="CZ16" t="n">
        <v>-0.0101120141713157</v>
      </c>
      <c r="DA16" t="n">
        <v>0.554622945303826</v>
      </c>
      <c r="DB16" t="n">
        <v>5.99972460089657</v>
      </c>
      <c r="DC16" t="n">
        <v>0.0825887675024967</v>
      </c>
      <c r="DD16" t="n">
        <v>0.0561254860024934</v>
      </c>
      <c r="DE16" t="n">
        <v>0.00760380168936621</v>
      </c>
      <c r="DF16" t="n">
        <v>0.125073904849252</v>
      </c>
      <c r="DG16" t="n">
        <v>214344.876304041</v>
      </c>
      <c r="DH16" t="n">
        <v>119.966684019177</v>
      </c>
      <c r="DI16" t="n">
        <v>4.82117009847031</v>
      </c>
      <c r="DJ16" t="n">
        <v>4.1901900710613</v>
      </c>
      <c r="DK16" t="n">
        <v>0.0411256875275234</v>
      </c>
      <c r="DL16" t="n">
        <v>0.670223574218165</v>
      </c>
      <c r="DM16" t="n">
        <v>1.19315598959956</v>
      </c>
      <c r="DN16" t="n">
        <v>0.0357615042376472</v>
      </c>
      <c r="DO16" t="n">
        <v>0.0465455822795444</v>
      </c>
      <c r="DP16" t="n">
        <v>28775.85</v>
      </c>
      <c r="DQ16" t="n">
        <v>24003.8624526405</v>
      </c>
      <c r="DR16" t="n">
        <v>171206.452081581</v>
      </c>
      <c r="DS16" t="n">
        <v>30227.6974538062</v>
      </c>
      <c r="DT16" t="n">
        <v>12910.7267686546</v>
      </c>
      <c r="DU16" t="n">
        <v>0</v>
      </c>
      <c r="DV16" t="n">
        <v>56.25</v>
      </c>
      <c r="DW16" t="n">
        <v>208288.96</v>
      </c>
      <c r="DX16" t="n">
        <v>2.17837230191767</v>
      </c>
      <c r="DY16" t="n">
        <v>74.6640166114029</v>
      </c>
      <c r="DZ16" t="n">
        <v>1.11207462291414</v>
      </c>
      <c r="EA16" t="n">
        <v>1.20504421700137</v>
      </c>
      <c r="EB16" t="n">
        <v>156719552.981504</v>
      </c>
      <c r="EC16" t="n">
        <v>3.15145143679701</v>
      </c>
      <c r="ED16" t="n">
        <v>0.0435</v>
      </c>
      <c r="EE16" t="n">
        <v>0.0304926484848485</v>
      </c>
      <c r="EF16" t="n">
        <v>0.03050813492075</v>
      </c>
      <c r="EG16" t="n">
        <v>0.0441803333333333</v>
      </c>
      <c r="EH16" t="n">
        <v>741802.461079868</v>
      </c>
      <c r="EI16" t="n">
        <v>386109.943252501</v>
      </c>
      <c r="EJ16" t="n">
        <v>928.064209876903</v>
      </c>
      <c r="EK16" t="n">
        <v>1.93576714830856</v>
      </c>
      <c r="EL16" t="n">
        <v>4.38478578746044</v>
      </c>
    </row>
    <row r="17">
      <c r="A17" s="2" t="n">
        <v>47088</v>
      </c>
      <c r="B17" t="n">
        <v>387466.243146817</v>
      </c>
      <c r="C17" t="n">
        <v>34949.6054311503</v>
      </c>
      <c r="D17" t="n">
        <v>24572.895942934</v>
      </c>
      <c r="E17" t="n">
        <v>232568.587435518</v>
      </c>
      <c r="F17" t="n">
        <v>50148.6465088019</v>
      </c>
      <c r="G17" t="n">
        <v>12673.7981306061</v>
      </c>
      <c r="H17" t="n">
        <v>58364.4251970058</v>
      </c>
      <c r="I17" t="n">
        <v>63984.799359948</v>
      </c>
      <c r="J17" t="n">
        <v>97175.6763329593</v>
      </c>
      <c r="K17" t="n">
        <v>404.659560926447</v>
      </c>
      <c r="L17" t="n">
        <v>4973.30708545517</v>
      </c>
      <c r="M17" t="n">
        <v>0.669304951483236</v>
      </c>
      <c r="N17" t="n">
        <v>29894.8097083675</v>
      </c>
      <c r="O17" t="n">
        <v>159.86824945787</v>
      </c>
      <c r="P17" t="n">
        <v>1.61356317642807</v>
      </c>
      <c r="Q17" t="n">
        <v>1.44364359679267</v>
      </c>
      <c r="R17" t="n">
        <v>1.07468226987822</v>
      </c>
      <c r="S17" t="n">
        <v>0.118143574806729</v>
      </c>
      <c r="T17" t="n">
        <v>9659.91842946332</v>
      </c>
      <c r="U17" t="n">
        <v>0.384695841645308</v>
      </c>
      <c r="V17" t="n">
        <v>0.554171825818004</v>
      </c>
      <c r="W17" t="n">
        <v>22640259.4907336</v>
      </c>
      <c r="X17" t="n">
        <v>69696.7486965762</v>
      </c>
      <c r="Y17" t="n">
        <v>4382336.43238942</v>
      </c>
      <c r="Z17" t="n">
        <v>968.378091020888</v>
      </c>
      <c r="AA17" t="n">
        <v>1.12293886264704</v>
      </c>
      <c r="AB17" t="n">
        <v>1.09800156310874</v>
      </c>
      <c r="AC17" t="n">
        <v>1.21083441356024</v>
      </c>
      <c r="AD17" t="n">
        <v>1.2771642853947</v>
      </c>
      <c r="AE17" t="n">
        <v>119.626678720146</v>
      </c>
      <c r="AF17" t="n">
        <v>91800.5703322104</v>
      </c>
      <c r="AG17" t="n">
        <v>1177.97401293621</v>
      </c>
      <c r="AH17" t="n">
        <v>110.589318481884</v>
      </c>
      <c r="AI17" t="n">
        <v>72912.8381242379</v>
      </c>
      <c r="AJ17" t="n">
        <v>79477.472984763</v>
      </c>
      <c r="AK17" t="n">
        <v>623.21711464619</v>
      </c>
      <c r="AL17" t="n">
        <v>24754.7175183716</v>
      </c>
      <c r="AM17" t="n">
        <v>19211.9794831674</v>
      </c>
      <c r="AN17" t="n">
        <v>1.03023766770458</v>
      </c>
      <c r="AO17" t="n">
        <v>1.02487877759408</v>
      </c>
      <c r="AP17" t="n">
        <v>1.15891004817062</v>
      </c>
      <c r="AQ17" t="n">
        <v>1.17182747980867</v>
      </c>
      <c r="AR17" t="n">
        <v>34394.4987310075</v>
      </c>
      <c r="AS17" t="n">
        <v>179699.063779387</v>
      </c>
      <c r="AT17" t="n">
        <v>0.0638022081441815</v>
      </c>
      <c r="AU17" t="n">
        <v>0.0496194057629149</v>
      </c>
      <c r="AV17" t="n">
        <v>0.188725997827087</v>
      </c>
      <c r="AW17" t="n">
        <v>1071.56725579308</v>
      </c>
      <c r="AX17" t="n">
        <v>10343.7779250034</v>
      </c>
      <c r="AY17" t="n">
        <v>18686.3342229962</v>
      </c>
      <c r="AZ17" t="n">
        <v>177513.48877013</v>
      </c>
      <c r="BA17" t="n">
        <v>454043.59248557</v>
      </c>
      <c r="BB17" t="n">
        <v>207918.250081809</v>
      </c>
      <c r="BC17" t="n">
        <v>237742.157686996</v>
      </c>
      <c r="BD17" t="n">
        <v>81667.602674706</v>
      </c>
      <c r="BE17" t="n">
        <v>18.852304804923</v>
      </c>
      <c r="BF17" t="n">
        <v>44636.3878453019</v>
      </c>
      <c r="BG17" t="n">
        <v>16690.339164935</v>
      </c>
      <c r="BH17" t="n">
        <v>27593.8598221025</v>
      </c>
      <c r="BI17" t="n">
        <v>80058.4094707847</v>
      </c>
      <c r="BJ17" t="n">
        <v>47454.9826667417</v>
      </c>
      <c r="BK17" t="n">
        <v>100114.042142883</v>
      </c>
      <c r="BL17" t="n">
        <v>26976.4067485563</v>
      </c>
      <c r="BM17" t="n">
        <v>19689.9500478711</v>
      </c>
      <c r="BN17" t="n">
        <v>41144.9964943469</v>
      </c>
      <c r="BO17" t="n">
        <v>199514.955433657</v>
      </c>
      <c r="BP17" t="n">
        <v>193119.397757423</v>
      </c>
      <c r="BQ17" t="n">
        <v>884791.379213478</v>
      </c>
      <c r="BR17" t="n">
        <v>743841.738322759</v>
      </c>
      <c r="BS17" t="n">
        <v>746457.290113405</v>
      </c>
      <c r="BT17" t="n">
        <v>117.735914311055</v>
      </c>
      <c r="BU17" t="n">
        <v>1.18948875041301</v>
      </c>
      <c r="BV17" t="n">
        <v>1.12394250609325</v>
      </c>
      <c r="BW17" t="n">
        <v>104.583702327257</v>
      </c>
      <c r="BX17" t="n">
        <v>82440.1732302149</v>
      </c>
      <c r="BY17" t="n">
        <v>1.22035761871834</v>
      </c>
      <c r="BZ17" t="n">
        <v>100606.493489953</v>
      </c>
      <c r="CA17" t="n">
        <v>10438.6395762996</v>
      </c>
      <c r="CB17" t="n">
        <v>15411.9466617547</v>
      </c>
      <c r="CC17" t="n">
        <v>16122.6438143439</v>
      </c>
      <c r="CD17" t="n">
        <v>710.697152589149</v>
      </c>
      <c r="CE17" t="n">
        <v>0.0440806742693279</v>
      </c>
      <c r="CF17" t="n">
        <v>11345241.1772976</v>
      </c>
      <c r="CG17" t="n">
        <v>423318.275645785</v>
      </c>
      <c r="CH17" t="n">
        <v>539906.01233211</v>
      </c>
      <c r="CI17" t="n">
        <v>317594.872477736</v>
      </c>
      <c r="CJ17" t="n">
        <v>15773.2079005378</v>
      </c>
      <c r="CK17" t="n">
        <v>810259.440325199</v>
      </c>
      <c r="CL17" t="n">
        <v>0.0645157740406317</v>
      </c>
      <c r="CM17" t="n">
        <v>15.5000852872075</v>
      </c>
      <c r="CN17" t="n">
        <v>1184447.15452717</v>
      </c>
      <c r="CO17" t="n">
        <v>2885377.80961771</v>
      </c>
      <c r="CP17" t="n">
        <v>3245099.26734933</v>
      </c>
      <c r="CQ17" t="n">
        <v>4069824.96414487</v>
      </c>
      <c r="CR17" t="n">
        <v>9371236.74263714</v>
      </c>
      <c r="CS17" t="n">
        <v>0.0196886354194982</v>
      </c>
      <c r="CT17" t="n">
        <v>0.00550583303823161</v>
      </c>
      <c r="CU17" t="n">
        <v>0.0740300020820459</v>
      </c>
      <c r="CV17" t="n">
        <v>1.5439340636138</v>
      </c>
      <c r="CW17" t="n">
        <v>0.0740300020820456</v>
      </c>
      <c r="CX17" t="n">
        <v>0.039440022763365</v>
      </c>
      <c r="CY17" t="n">
        <v>0.0161030338327086</v>
      </c>
      <c r="CZ17" t="n">
        <v>-0.010597200794477</v>
      </c>
      <c r="DA17" t="n">
        <v>0.548677842434987</v>
      </c>
      <c r="DB17" t="n">
        <v>6.05735093931884</v>
      </c>
      <c r="DC17" t="n">
        <v>0.0815316993941815</v>
      </c>
      <c r="DD17" t="n">
        <v>0.0554416596844718</v>
      </c>
      <c r="DE17" t="n">
        <v>0.00766020601966004</v>
      </c>
      <c r="DF17" t="n">
        <v>0.125882538001379</v>
      </c>
      <c r="DG17" t="n">
        <v>214981.374259104</v>
      </c>
      <c r="DH17" t="n">
        <v>120.83704673451</v>
      </c>
      <c r="DI17" t="n">
        <v>4.82855614798997</v>
      </c>
      <c r="DJ17" t="n">
        <v>4.19465491675036</v>
      </c>
      <c r="DK17" t="n">
        <v>0.0411256875275234</v>
      </c>
      <c r="DL17" t="n">
        <v>0.670223574218165</v>
      </c>
      <c r="DM17" t="n">
        <v>1.20537875300032</v>
      </c>
      <c r="DN17" t="n">
        <v>0.0357615042376472</v>
      </c>
      <c r="DO17" t="n">
        <v>0.0465455822795444</v>
      </c>
      <c r="DP17" t="n">
        <v>28861.3</v>
      </c>
      <c r="DQ17" t="n">
        <v>24088.63669485</v>
      </c>
      <c r="DR17" t="n">
        <v>171714.850315877</v>
      </c>
      <c r="DS17" t="n">
        <v>30317.458720543</v>
      </c>
      <c r="DT17" t="n">
        <v>12949.065222684</v>
      </c>
      <c r="DU17" t="n">
        <v>0</v>
      </c>
      <c r="DV17" t="n">
        <v>56.25</v>
      </c>
      <c r="DW17" t="n">
        <v>208288.96</v>
      </c>
      <c r="DX17" t="n">
        <v>2.18970905851568</v>
      </c>
      <c r="DY17" t="n">
        <v>74.235</v>
      </c>
      <c r="DZ17" t="n">
        <v>1.10080678819105</v>
      </c>
      <c r="EA17" t="n">
        <v>1.20511724606925</v>
      </c>
      <c r="EB17" t="n">
        <v>158263774.451203</v>
      </c>
      <c r="EC17" t="n">
        <v>3.15023789294817</v>
      </c>
      <c r="ED17" t="n">
        <v>0.0435</v>
      </c>
      <c r="EE17" t="n">
        <v>0.0304926484848485</v>
      </c>
      <c r="EF17" t="n">
        <v>0.03050813492075</v>
      </c>
      <c r="EG17" t="n">
        <v>0.0441803333333333</v>
      </c>
      <c r="EH17" t="n">
        <v>745422.731423312</v>
      </c>
      <c r="EI17" t="n">
        <v>388305.806740327</v>
      </c>
      <c r="EJ17" t="n">
        <v>944.695115671521</v>
      </c>
      <c r="EK17" t="n">
        <v>1.83841451193691</v>
      </c>
      <c r="EL17" t="n">
        <v>4.41135727246833</v>
      </c>
    </row>
    <row r="18">
      <c r="A18" s="2" t="n">
        <v>47178</v>
      </c>
      <c r="B18" t="n">
        <v>389643.059315583</v>
      </c>
      <c r="C18" t="n">
        <v>35048.7342141302</v>
      </c>
      <c r="D18" t="n">
        <v>24913.1265243969</v>
      </c>
      <c r="E18" t="n">
        <v>233655.432010371</v>
      </c>
      <c r="F18" t="n">
        <v>50861.6303567335</v>
      </c>
      <c r="G18" t="n">
        <v>12772.496094119</v>
      </c>
      <c r="H18" t="n">
        <v>59174.2238184025</v>
      </c>
      <c r="I18" t="n">
        <v>64516.1794309912</v>
      </c>
      <c r="J18" t="n">
        <v>97468.0359325413</v>
      </c>
      <c r="K18" t="n">
        <v>403.943865525212</v>
      </c>
      <c r="L18" t="n">
        <v>4992.85058007011</v>
      </c>
      <c r="M18" t="n">
        <v>0.669011292804413</v>
      </c>
      <c r="N18" t="n">
        <v>30179.1869068894</v>
      </c>
      <c r="O18" t="n">
        <v>161.607011372269</v>
      </c>
      <c r="P18" t="n">
        <v>1.64123617984993</v>
      </c>
      <c r="Q18" t="n">
        <v>1.46651478089298</v>
      </c>
      <c r="R18" t="n">
        <v>1.08196080020997</v>
      </c>
      <c r="S18" t="n">
        <v>0.117724365562505</v>
      </c>
      <c r="T18" t="n">
        <v>9494.56042546546</v>
      </c>
      <c r="U18" t="n">
        <v>0.382833986597607</v>
      </c>
      <c r="V18" t="n">
        <v>0.549009895371885</v>
      </c>
      <c r="W18" t="n">
        <v>23043847.1180118</v>
      </c>
      <c r="X18" t="n">
        <v>70674.4306834057</v>
      </c>
      <c r="Y18" t="n">
        <v>4378916.66302517</v>
      </c>
      <c r="Z18" t="n">
        <v>987.829632893223</v>
      </c>
      <c r="AA18" t="n">
        <v>1.12979427613842</v>
      </c>
      <c r="AB18" t="n">
        <v>1.10436478244885</v>
      </c>
      <c r="AC18" t="n">
        <v>1.22233828009154</v>
      </c>
      <c r="AD18" t="n">
        <v>1.29438328126286</v>
      </c>
      <c r="AE18" t="n">
        <v>120.652626697034</v>
      </c>
      <c r="AF18" t="n">
        <v>91464.1362936552</v>
      </c>
      <c r="AG18" t="n">
        <v>1203.92203776392</v>
      </c>
      <c r="AH18" t="n">
        <v>112.42453668618</v>
      </c>
      <c r="AI18" t="n">
        <v>73309.8263862056</v>
      </c>
      <c r="AJ18" t="n">
        <v>79994.8757001605</v>
      </c>
      <c r="AK18" t="n">
        <v>625.627751081152</v>
      </c>
      <c r="AL18" t="n">
        <v>24978.7320909984</v>
      </c>
      <c r="AM18" t="n">
        <v>19172.6832218103</v>
      </c>
      <c r="AN18" t="n">
        <v>1.0346906809937</v>
      </c>
      <c r="AO18" t="n">
        <v>1.03173455092097</v>
      </c>
      <c r="AP18" t="n">
        <v>1.16687000813309</v>
      </c>
      <c r="AQ18" t="n">
        <v>1.18214649419969</v>
      </c>
      <c r="AR18" t="n">
        <v>34539.4486807219</v>
      </c>
      <c r="AS18" t="n">
        <v>180691.964044531</v>
      </c>
      <c r="AT18" t="n">
        <v>0.0624341553319498</v>
      </c>
      <c r="AU18" t="n">
        <v>0.0502412258695847</v>
      </c>
      <c r="AV18" t="n">
        <v>0.208300468152218</v>
      </c>
      <c r="AW18" t="n">
        <v>1086.84457485299</v>
      </c>
      <c r="AX18" t="n">
        <v>10373.1163425469</v>
      </c>
      <c r="AY18" t="n">
        <v>18766.2015723111</v>
      </c>
      <c r="AZ18" t="n">
        <v>177991.369407385</v>
      </c>
      <c r="BA18" t="n">
        <v>460615.177819814</v>
      </c>
      <c r="BB18" t="n">
        <v>210515.069424596</v>
      </c>
      <c r="BC18" t="n">
        <v>239251.218653909</v>
      </c>
      <c r="BD18" t="n">
        <v>83703.5243238144</v>
      </c>
      <c r="BE18" t="n">
        <v>19.0644793043099</v>
      </c>
      <c r="BF18" t="n">
        <v>45366.4955961959</v>
      </c>
      <c r="BG18" t="n">
        <v>17024.7338391804</v>
      </c>
      <c r="BH18" t="n">
        <v>28146.7077479757</v>
      </c>
      <c r="BI18" t="n">
        <v>80960.7896939326</v>
      </c>
      <c r="BJ18" t="n">
        <v>47884.3427887942</v>
      </c>
      <c r="BK18" t="n">
        <v>100849.268474159</v>
      </c>
      <c r="BL18" t="n">
        <v>27520.9119870113</v>
      </c>
      <c r="BM18" t="n">
        <v>19781.1197138044</v>
      </c>
      <c r="BN18" t="n">
        <v>41672.7520799649</v>
      </c>
      <c r="BO18" t="n">
        <v>201413.61225494</v>
      </c>
      <c r="BP18" t="n">
        <v>195501.622009132</v>
      </c>
      <c r="BQ18" t="n">
        <v>896425.307156296</v>
      </c>
      <c r="BR18" t="n">
        <v>747020.99584957</v>
      </c>
      <c r="BS18" t="n">
        <v>750151.567081315</v>
      </c>
      <c r="BT18" t="n">
        <v>118.771833537176</v>
      </c>
      <c r="BU18" t="n">
        <v>1.20000015229706</v>
      </c>
      <c r="BV18" t="n">
        <v>1.13159201440799</v>
      </c>
      <c r="BW18" t="n">
        <v>104.587154561273</v>
      </c>
      <c r="BX18" t="n">
        <v>82903.3286797993</v>
      </c>
      <c r="BY18" t="n">
        <v>1.24060932610173</v>
      </c>
      <c r="BZ18" t="n">
        <v>102850.642725036</v>
      </c>
      <c r="CA18" t="n">
        <v>10448.9741828322</v>
      </c>
      <c r="CB18" t="n">
        <v>15441.8247629023</v>
      </c>
      <c r="CC18" t="n">
        <v>16172.3383616569</v>
      </c>
      <c r="CD18" t="n">
        <v>730.513598754625</v>
      </c>
      <c r="CE18" t="n">
        <v>0.0451705521932834</v>
      </c>
      <c r="CF18" t="n">
        <v>11378831.1700768</v>
      </c>
      <c r="CG18" t="n">
        <v>428173.595863233</v>
      </c>
      <c r="CH18" t="n">
        <v>546999.581804255</v>
      </c>
      <c r="CI18" t="n">
        <v>322297.413218845</v>
      </c>
      <c r="CJ18" t="n">
        <v>15980.4446111603</v>
      </c>
      <c r="CK18" t="n">
        <v>820913.364137286</v>
      </c>
      <c r="CL18" t="n">
        <v>0.0658932823686234</v>
      </c>
      <c r="CM18" t="n">
        <v>15.1760538260297</v>
      </c>
      <c r="CN18" t="n">
        <v>1190118.27142547</v>
      </c>
      <c r="CO18" t="n">
        <v>2910751.30297926</v>
      </c>
      <c r="CP18" t="n">
        <v>3254162.4157688</v>
      </c>
      <c r="CQ18" t="n">
        <v>4100869.57440473</v>
      </c>
      <c r="CR18" t="n">
        <v>9411344.50131647</v>
      </c>
      <c r="CS18" t="n">
        <v>0.0182186601091216</v>
      </c>
      <c r="CT18" t="n">
        <v>0.00602573064675653</v>
      </c>
      <c r="CU18" t="n">
        <v>0.0735088703396773</v>
      </c>
      <c r="CV18" t="n">
        <v>1.56072622689361</v>
      </c>
      <c r="CW18" t="n">
        <v>0.073508870339677</v>
      </c>
      <c r="CX18" t="n">
        <v>0.039440022763365</v>
      </c>
      <c r="CY18" t="n">
        <v>0.0170772798001701</v>
      </c>
      <c r="CZ18" t="n">
        <v>-0.0110515491534135</v>
      </c>
      <c r="DA18" t="n">
        <v>0.542960394830371</v>
      </c>
      <c r="DB18" t="n">
        <v>6.11254192813278</v>
      </c>
      <c r="DC18" t="n">
        <v>0.0801636465819498</v>
      </c>
      <c r="DD18" t="n">
        <v>0.0545466414308142</v>
      </c>
      <c r="DE18" t="n">
        <v>0.00770663714668185</v>
      </c>
      <c r="DF18" t="n">
        <v>0.126632448029749</v>
      </c>
      <c r="DG18" t="n">
        <v>215617.872214166</v>
      </c>
      <c r="DH18" t="n">
        <v>121.702836695075</v>
      </c>
      <c r="DI18" t="n">
        <v>4.83585274370802</v>
      </c>
      <c r="DJ18" t="n">
        <v>4.19903030863781</v>
      </c>
      <c r="DK18" t="n">
        <v>0.0411256875275234</v>
      </c>
      <c r="DL18" t="n">
        <v>0.670223574218165</v>
      </c>
      <c r="DM18" t="n">
        <v>1.21772672714172</v>
      </c>
      <c r="DN18" t="n">
        <v>0.0357615042376472</v>
      </c>
      <c r="DO18" t="n">
        <v>0.0465455822795444</v>
      </c>
      <c r="DP18" t="n">
        <v>28946.75</v>
      </c>
      <c r="DQ18" t="n">
        <v>24173.4908447725</v>
      </c>
      <c r="DR18" t="n">
        <v>172223.248550173</v>
      </c>
      <c r="DS18" t="n">
        <v>30407.2199872798</v>
      </c>
      <c r="DT18" t="n">
        <v>12987.4036767134</v>
      </c>
      <c r="DU18" t="n">
        <v>0</v>
      </c>
      <c r="DV18" t="n">
        <v>56.25</v>
      </c>
      <c r="DW18" t="n">
        <v>208288.96</v>
      </c>
      <c r="DX18" t="n">
        <v>2.20113715164015</v>
      </c>
      <c r="DY18" t="n">
        <v>74.1536162664648</v>
      </c>
      <c r="DZ18" t="n">
        <v>1.09227040691832</v>
      </c>
      <c r="EA18" t="n">
        <v>1.20496274583581</v>
      </c>
      <c r="EB18" t="n">
        <v>159694352.216244</v>
      </c>
      <c r="EC18" t="n">
        <v>3.15120884017177</v>
      </c>
      <c r="ED18" t="n">
        <v>0.0435</v>
      </c>
      <c r="EE18" t="n">
        <v>0.0304926484848485</v>
      </c>
      <c r="EF18" t="n">
        <v>0.03050813492075</v>
      </c>
      <c r="EG18" t="n">
        <v>0.0441803333333333</v>
      </c>
      <c r="EH18" t="n">
        <v>748919.21411601</v>
      </c>
      <c r="EI18" t="n">
        <v>390479.083484577</v>
      </c>
      <c r="EJ18" t="n">
        <v>962.421100865939</v>
      </c>
      <c r="EK18" t="n">
        <v>1.74991602327677</v>
      </c>
      <c r="EL18" t="n">
        <v>4.42154952228282</v>
      </c>
    </row>
    <row r="19">
      <c r="A19" s="2" t="n">
        <v>47270</v>
      </c>
      <c r="B19" t="n">
        <v>391610.103392981</v>
      </c>
      <c r="C19" t="n">
        <v>35151.8818420371</v>
      </c>
      <c r="D19" t="n">
        <v>25242.9286646652</v>
      </c>
      <c r="E19" t="n">
        <v>234723.65809429</v>
      </c>
      <c r="F19" t="n">
        <v>51519.2765551365</v>
      </c>
      <c r="G19" t="n">
        <v>12870.1383923579</v>
      </c>
      <c r="H19" t="n">
        <v>59963.5547399821</v>
      </c>
      <c r="I19" t="n">
        <v>65285.4594812366</v>
      </c>
      <c r="J19" t="n">
        <v>97676.6123322206</v>
      </c>
      <c r="K19" t="n">
        <v>403.232009522015</v>
      </c>
      <c r="L19" t="n">
        <v>5012.23650805362</v>
      </c>
      <c r="M19" t="n">
        <v>0.668705623544291</v>
      </c>
      <c r="N19" t="n">
        <v>30463.1427529336</v>
      </c>
      <c r="O19" t="n">
        <v>163.361277725096</v>
      </c>
      <c r="P19" t="n">
        <v>1.66929601427566</v>
      </c>
      <c r="Q19" t="n">
        <v>1.48890082330649</v>
      </c>
      <c r="R19" t="n">
        <v>1.08919117845625</v>
      </c>
      <c r="S19" t="n">
        <v>0.116888145919763</v>
      </c>
      <c r="T19" t="n">
        <v>9314.14974186232</v>
      </c>
      <c r="U19" t="n">
        <v>0.381094133602241</v>
      </c>
      <c r="V19" t="n">
        <v>0.544067508726748</v>
      </c>
      <c r="W19" t="n">
        <v>23441354.3937326</v>
      </c>
      <c r="X19" t="n">
        <v>71666.8377363983</v>
      </c>
      <c r="Y19" t="n">
        <v>4375125.58663593</v>
      </c>
      <c r="Z19" t="n">
        <v>1006.7923658035</v>
      </c>
      <c r="AA19" t="n">
        <v>1.13666314927133</v>
      </c>
      <c r="AB19" t="n">
        <v>1.11077703970575</v>
      </c>
      <c r="AC19" t="n">
        <v>1.23383886826983</v>
      </c>
      <c r="AD19" t="n">
        <v>1.31160699905533</v>
      </c>
      <c r="AE19" t="n">
        <v>121.683725031957</v>
      </c>
      <c r="AF19" t="n">
        <v>91191.721257248</v>
      </c>
      <c r="AG19" t="n">
        <v>1230.41446342594</v>
      </c>
      <c r="AH19" t="n">
        <v>114.356188679551</v>
      </c>
      <c r="AI19" t="n">
        <v>73667.6630037595</v>
      </c>
      <c r="AJ19" t="n">
        <v>80733.7394468823</v>
      </c>
      <c r="AK19" t="n">
        <v>626.828853882565</v>
      </c>
      <c r="AL19" t="n">
        <v>25202.5217218838</v>
      </c>
      <c r="AM19" t="n">
        <v>19123.7925208014</v>
      </c>
      <c r="AN19" t="n">
        <v>1.03857741243079</v>
      </c>
      <c r="AO19" t="n">
        <v>1.03875276641603</v>
      </c>
      <c r="AP19" t="n">
        <v>1.1747297146083</v>
      </c>
      <c r="AQ19" t="n">
        <v>1.1925681798337</v>
      </c>
      <c r="AR19" t="n">
        <v>34660.6023403749</v>
      </c>
      <c r="AS19" t="n">
        <v>181646.062803435</v>
      </c>
      <c r="AT19" t="n">
        <v>0.0605866391446929</v>
      </c>
      <c r="AU19" t="n">
        <v>0.0507088361788923</v>
      </c>
      <c r="AV19" t="n">
        <v>0.227699027772613</v>
      </c>
      <c r="AW19" t="n">
        <v>1068.22608391949</v>
      </c>
      <c r="AX19" t="n">
        <v>10403.6441880947</v>
      </c>
      <c r="AY19" t="n">
        <v>18836.6269421519</v>
      </c>
      <c r="AZ19" t="n">
        <v>178342.634135549</v>
      </c>
      <c r="BA19" t="n">
        <v>467021.749445392</v>
      </c>
      <c r="BB19" t="n">
        <v>213123.019582934</v>
      </c>
      <c r="BC19" t="n">
        <v>240747.212666608</v>
      </c>
      <c r="BD19" t="n">
        <v>86005.3082388176</v>
      </c>
      <c r="BE19" t="n">
        <v>19.304360760493</v>
      </c>
      <c r="BF19" t="n">
        <v>46105.454253982</v>
      </c>
      <c r="BG19" t="n">
        <v>17366.7617771286</v>
      </c>
      <c r="BH19" t="n">
        <v>28692.7067928098</v>
      </c>
      <c r="BI19" t="n">
        <v>81828.3478449958</v>
      </c>
      <c r="BJ19" t="n">
        <v>48280.9139126769</v>
      </c>
      <c r="BK19" t="n">
        <v>101444.723291003</v>
      </c>
      <c r="BL19" t="n">
        <v>28045.8693624871</v>
      </c>
      <c r="BM19" t="n">
        <v>19864.8923853486</v>
      </c>
      <c r="BN19" t="n">
        <v>42176.3120462817</v>
      </c>
      <c r="BO19" t="n">
        <v>203121.35708512</v>
      </c>
      <c r="BP19" t="n">
        <v>197847.289206811</v>
      </c>
      <c r="BQ19" t="n">
        <v>907693.021488228</v>
      </c>
      <c r="BR19" t="n">
        <v>749824.399125121</v>
      </c>
      <c r="BS19" t="n">
        <v>753557.804220865</v>
      </c>
      <c r="BT19" t="n">
        <v>119.815264507042</v>
      </c>
      <c r="BU19" t="n">
        <v>1.21054079498627</v>
      </c>
      <c r="BV19" t="n">
        <v>1.13893886377577</v>
      </c>
      <c r="BW19" t="n">
        <v>104.567397010141</v>
      </c>
      <c r="BX19" t="n">
        <v>83321.8514733596</v>
      </c>
      <c r="BY19" t="n">
        <v>1.2619251842622</v>
      </c>
      <c r="BZ19" t="n">
        <v>105145.942773587</v>
      </c>
      <c r="CA19" t="n">
        <v>10458.358308908</v>
      </c>
      <c r="CB19" t="n">
        <v>15470.5948169616</v>
      </c>
      <c r="CC19" t="n">
        <v>16221.7451505671</v>
      </c>
      <c r="CD19" t="n">
        <v>751.150333605463</v>
      </c>
      <c r="CE19" t="n">
        <v>0.0463051404752305</v>
      </c>
      <c r="CF19" t="n">
        <v>11412421.1628561</v>
      </c>
      <c r="CG19" t="n">
        <v>433007.526465879</v>
      </c>
      <c r="CH19" t="n">
        <v>554518.220026904</v>
      </c>
      <c r="CI19" t="n">
        <v>326708.484254971</v>
      </c>
      <c r="CJ19" t="n">
        <v>16200.0995901862</v>
      </c>
      <c r="CK19" t="n">
        <v>831231.922978186</v>
      </c>
      <c r="CL19" t="n">
        <v>0.0672985587793688</v>
      </c>
      <c r="CM19" t="n">
        <v>14.8591592173377</v>
      </c>
      <c r="CN19" t="n">
        <v>1196039.11744374</v>
      </c>
      <c r="CO19" t="n">
        <v>2936103.73215754</v>
      </c>
      <c r="CP19" t="n">
        <v>3263252.39539801</v>
      </c>
      <c r="CQ19" t="n">
        <v>4132142.84960128</v>
      </c>
      <c r="CR19" t="n">
        <v>9451707.75614223</v>
      </c>
      <c r="CS19" t="n">
        <v>0.016453462780879</v>
      </c>
      <c r="CT19" t="n">
        <v>0.00657565981507831</v>
      </c>
      <c r="CU19" t="n">
        <v>0.072754969555949</v>
      </c>
      <c r="CV19" t="n">
        <v>1.57766812491254</v>
      </c>
      <c r="CW19" t="n">
        <v>0.072754969555949</v>
      </c>
      <c r="CX19" t="n">
        <v>0.039440022763365</v>
      </c>
      <c r="CY19" t="n">
        <v>0.018050022763365</v>
      </c>
      <c r="CZ19" t="n">
        <v>-0.0114743629482867</v>
      </c>
      <c r="DA19" t="n">
        <v>0.537468033583577</v>
      </c>
      <c r="DB19" t="n">
        <v>6.16298047997474</v>
      </c>
      <c r="DC19" t="n">
        <v>0.0783161303946929</v>
      </c>
      <c r="DD19" t="n">
        <v>0.0533278159574719</v>
      </c>
      <c r="DE19" t="n">
        <v>0.00774158615207075</v>
      </c>
      <c r="DF19" t="n">
        <v>0.127314152366536</v>
      </c>
      <c r="DG19" t="n">
        <v>216254.370169228</v>
      </c>
      <c r="DH19" t="n">
        <v>122.616666068068</v>
      </c>
      <c r="DI19" t="n">
        <v>4.8434905917291</v>
      </c>
      <c r="DJ19" t="n">
        <v>4.2037469528283</v>
      </c>
      <c r="DK19" t="n">
        <v>0.0411256875275234</v>
      </c>
      <c r="DL19" t="n">
        <v>0.670223574218165</v>
      </c>
      <c r="DM19" t="n">
        <v>1.23020119469029</v>
      </c>
      <c r="DN19" t="n">
        <v>0.0357615042376472</v>
      </c>
      <c r="DO19" t="n">
        <v>0.0465455822795444</v>
      </c>
      <c r="DP19" t="n">
        <v>29032.2</v>
      </c>
      <c r="DQ19" t="n">
        <v>24258.424902408</v>
      </c>
      <c r="DR19" t="n">
        <v>172731.646784469</v>
      </c>
      <c r="DS19" t="n">
        <v>30496.9812540166</v>
      </c>
      <c r="DT19" t="n">
        <v>13025.7421307428</v>
      </c>
      <c r="DU19" t="n">
        <v>0</v>
      </c>
      <c r="DV19" t="n">
        <v>56.25</v>
      </c>
      <c r="DW19" t="n">
        <v>208288.96</v>
      </c>
      <c r="DX19" t="n">
        <v>2.21262488799071</v>
      </c>
      <c r="DY19" t="n">
        <v>74.0723217538103</v>
      </c>
      <c r="DZ19" t="n">
        <v>1.08380022237149</v>
      </c>
      <c r="EA19" t="n">
        <v>1.20480826540984</v>
      </c>
      <c r="EB19" t="n">
        <v>161137861.258508</v>
      </c>
      <c r="EC19" t="n">
        <v>3.15218008665484</v>
      </c>
      <c r="ED19" t="n">
        <v>0.0435</v>
      </c>
      <c r="EE19" t="n">
        <v>0.0304926484848485</v>
      </c>
      <c r="EF19" t="n">
        <v>0.03050813492075</v>
      </c>
      <c r="EG19" t="n">
        <v>0.0441803333333333</v>
      </c>
      <c r="EH19" t="n">
        <v>752234.264730274</v>
      </c>
      <c r="EI19" t="n">
        <v>392592.311416539</v>
      </c>
      <c r="EJ19" t="n">
        <v>980.963078007337</v>
      </c>
      <c r="EK19" t="n">
        <v>1.57924957810245</v>
      </c>
      <c r="EL19" t="n">
        <v>4.4133176363814</v>
      </c>
    </row>
    <row r="20">
      <c r="A20" s="2" t="n">
        <v>47362</v>
      </c>
      <c r="B20" t="n">
        <v>393781.997663888</v>
      </c>
      <c r="C20" t="n">
        <v>35250.3072547363</v>
      </c>
      <c r="D20" t="n">
        <v>25568.4034834453</v>
      </c>
      <c r="E20" t="n">
        <v>235761.060434498</v>
      </c>
      <c r="F20" t="n">
        <v>52248.0181445351</v>
      </c>
      <c r="G20" t="n">
        <v>12963.7339834796</v>
      </c>
      <c r="H20" t="n">
        <v>60779.1816788657</v>
      </c>
      <c r="I20" t="n">
        <v>69206.0190161885</v>
      </c>
      <c r="J20" t="n">
        <v>97975.3118056053</v>
      </c>
      <c r="K20" t="n">
        <v>402.605181861448</v>
      </c>
      <c r="L20" t="n">
        <v>5032.00569229176</v>
      </c>
      <c r="M20" t="n">
        <v>0.668383991565772</v>
      </c>
      <c r="N20" t="n">
        <v>30739.0378471745</v>
      </c>
      <c r="O20" t="n">
        <v>165.14157795204</v>
      </c>
      <c r="P20" t="n">
        <v>1.69770514434843</v>
      </c>
      <c r="Q20" t="n">
        <v>1.51099794446651</v>
      </c>
      <c r="R20" t="n">
        <v>1.09654852330498</v>
      </c>
      <c r="S20" t="n">
        <v>0.11602902678262</v>
      </c>
      <c r="T20" t="n">
        <v>9137.06397284908</v>
      </c>
      <c r="U20" t="n">
        <v>0.379360355688795</v>
      </c>
      <c r="V20" t="n">
        <v>0.539178692571791</v>
      </c>
      <c r="W20" t="n">
        <v>23835767.2086092</v>
      </c>
      <c r="X20" t="n">
        <v>72680.5141773582</v>
      </c>
      <c r="Y20" t="n">
        <v>4372693.98382519</v>
      </c>
      <c r="Z20" t="n">
        <v>1025.23783553874</v>
      </c>
      <c r="AA20" t="n">
        <v>1.14350042956995</v>
      </c>
      <c r="AB20" t="n">
        <v>1.11728808499172</v>
      </c>
      <c r="AC20" t="n">
        <v>1.24520229135714</v>
      </c>
      <c r="AD20" t="n">
        <v>1.32882015837797</v>
      </c>
      <c r="AE20" t="n">
        <v>122.717310138999</v>
      </c>
      <c r="AF20" t="n">
        <v>91020.8838975839</v>
      </c>
      <c r="AG20" t="n">
        <v>1257.76659117368</v>
      </c>
      <c r="AH20" t="n">
        <v>116.386302517372</v>
      </c>
      <c r="AI20" t="n">
        <v>74038.9400837767</v>
      </c>
      <c r="AJ20" t="n">
        <v>81806.0814175126</v>
      </c>
      <c r="AK20" t="n">
        <v>627.448409501574</v>
      </c>
      <c r="AL20" t="n">
        <v>25444.3029607584</v>
      </c>
      <c r="AM20" t="n">
        <v>19082.0941974722</v>
      </c>
      <c r="AN20" t="n">
        <v>1.04225517278901</v>
      </c>
      <c r="AO20" t="n">
        <v>1.04555318876025</v>
      </c>
      <c r="AP20" t="n">
        <v>1.18259241213184</v>
      </c>
      <c r="AQ20" t="n">
        <v>1.20317604746947</v>
      </c>
      <c r="AR20" t="n">
        <v>34800.831743783</v>
      </c>
      <c r="AS20" t="n">
        <v>182642.468918271</v>
      </c>
      <c r="AT20" t="n">
        <v>0.0589412696578986</v>
      </c>
      <c r="AU20" t="n">
        <v>0.0510450140619169</v>
      </c>
      <c r="AV20" t="n">
        <v>0.242358332586499</v>
      </c>
      <c r="AW20" t="n">
        <v>1037.40234020739</v>
      </c>
      <c r="AX20" t="n">
        <v>10432.7744343043</v>
      </c>
      <c r="AY20" t="n">
        <v>18914.209049417</v>
      </c>
      <c r="AZ20" t="n">
        <v>178817.446796277</v>
      </c>
      <c r="BA20" t="n">
        <v>473789.068718753</v>
      </c>
      <c r="BB20" t="n">
        <v>215726.865178883</v>
      </c>
      <c r="BC20" t="n">
        <v>242456.120665223</v>
      </c>
      <c r="BD20" t="n">
        <v>91249.1086546461</v>
      </c>
      <c r="BE20" t="n">
        <v>19.8508458025872</v>
      </c>
      <c r="BF20" t="n">
        <v>46841.3188691109</v>
      </c>
      <c r="BG20" t="n">
        <v>17711.7748269451</v>
      </c>
      <c r="BH20" t="n">
        <v>29237.4803667374</v>
      </c>
      <c r="BI20" t="n">
        <v>82722.8247965255</v>
      </c>
      <c r="BJ20" t="n">
        <v>48671.62052824</v>
      </c>
      <c r="BK20" t="n">
        <v>102115.275535008</v>
      </c>
      <c r="BL20" t="n">
        <v>28579.330994879</v>
      </c>
      <c r="BM20" t="n">
        <v>19951.3444363905</v>
      </c>
      <c r="BN20" t="n">
        <v>42706.6446219693</v>
      </c>
      <c r="BO20" t="n">
        <v>204942.155588247</v>
      </c>
      <c r="BP20" t="n">
        <v>200276.329585106</v>
      </c>
      <c r="BQ20" t="n">
        <v>919366.779288336</v>
      </c>
      <c r="BR20" t="n">
        <v>752912.68867117</v>
      </c>
      <c r="BS20" t="n">
        <v>757167.687541223</v>
      </c>
      <c r="BT20" t="n">
        <v>120.866519474544</v>
      </c>
      <c r="BU20" t="n">
        <v>1.22108020822101</v>
      </c>
      <c r="BV20" t="n">
        <v>1.14609709097196</v>
      </c>
      <c r="BW20" t="n">
        <v>104.518593260027</v>
      </c>
      <c r="BX20" t="n">
        <v>83783.9597036848</v>
      </c>
      <c r="BY20" t="n">
        <v>1.28432757287314</v>
      </c>
      <c r="BZ20" t="n">
        <v>107606.049611934</v>
      </c>
      <c r="CA20" t="n">
        <v>10468.8196443056</v>
      </c>
      <c r="CB20" t="n">
        <v>15500.8253365974</v>
      </c>
      <c r="CC20" t="n">
        <v>16268.7269639201</v>
      </c>
      <c r="CD20" t="n">
        <v>767.901627322743</v>
      </c>
      <c r="CE20" t="n">
        <v>0.0472010800355525</v>
      </c>
      <c r="CF20" t="n">
        <v>11446433.7330752</v>
      </c>
      <c r="CG20" t="n">
        <v>437782.926465567</v>
      </c>
      <c r="CH20" t="n">
        <v>565815.961159147</v>
      </c>
      <c r="CI20" t="n">
        <v>331478.921783147</v>
      </c>
      <c r="CJ20" t="n">
        <v>16530.1600370325</v>
      </c>
      <c r="CK20" t="n">
        <v>841922.32151034</v>
      </c>
      <c r="CL20" t="n">
        <v>0.0686706814536974</v>
      </c>
      <c r="CM20" t="n">
        <v>14.5622553734853</v>
      </c>
      <c r="CN20" t="n">
        <v>1202195.2788852</v>
      </c>
      <c r="CO20" t="n">
        <v>2961396.2925606</v>
      </c>
      <c r="CP20" t="n">
        <v>3272373.01104684</v>
      </c>
      <c r="CQ20" t="n">
        <v>4163591.57144579</v>
      </c>
      <c r="CR20" t="n">
        <v>9492277.09363558</v>
      </c>
      <c r="CS20" t="n">
        <v>0.0147242116156739</v>
      </c>
      <c r="CT20" t="n">
        <v>0.00682795601969211</v>
      </c>
      <c r="CU20" t="n">
        <v>0.071811968740395</v>
      </c>
      <c r="CV20" t="n">
        <v>1.59486144612022</v>
      </c>
      <c r="CW20" t="n">
        <v>0.0718119687403952</v>
      </c>
      <c r="CX20" t="n">
        <v>0.039440022763365</v>
      </c>
      <c r="CY20" t="n">
        <v>0.0181450537893905</v>
      </c>
      <c r="CZ20" t="n">
        <v>-0.0113170977696984</v>
      </c>
      <c r="DA20" t="n">
        <v>0.532039756411947</v>
      </c>
      <c r="DB20" t="n">
        <v>6.20823567421941</v>
      </c>
      <c r="DC20" t="n">
        <v>0.0766707609078986</v>
      </c>
      <c r="DD20" t="n">
        <v>0.0522296636512484</v>
      </c>
      <c r="DE20" t="n">
        <v>0.00776672928507669</v>
      </c>
      <c r="DF20" t="n">
        <v>0.128005289981984</v>
      </c>
      <c r="DG20" t="n">
        <v>216898.875559068</v>
      </c>
      <c r="DH20" t="n">
        <v>123.460442603108</v>
      </c>
      <c r="DI20" t="n">
        <v>4.85050564468269</v>
      </c>
      <c r="DJ20" t="n">
        <v>4.20784080195129</v>
      </c>
      <c r="DK20" t="n">
        <v>0.0411256875275234</v>
      </c>
      <c r="DL20" t="n">
        <v>0.670223574218165</v>
      </c>
      <c r="DM20" t="n">
        <v>1.24280345145228</v>
      </c>
      <c r="DN20" t="n">
        <v>0.0357615042376472</v>
      </c>
      <c r="DO20" t="n">
        <v>0.0465455822795444</v>
      </c>
      <c r="DP20" t="n">
        <v>29118.725</v>
      </c>
      <c r="DQ20" t="n">
        <v>24340.3899094122</v>
      </c>
      <c r="DR20" t="n">
        <v>173246.440900589</v>
      </c>
      <c r="DS20" t="n">
        <v>30587.8717584566</v>
      </c>
      <c r="DT20" t="n">
        <v>13064.5629000218</v>
      </c>
      <c r="DU20" t="n">
        <v>0</v>
      </c>
      <c r="DV20" t="n">
        <v>56.25</v>
      </c>
      <c r="DW20" t="n">
        <v>208288.96</v>
      </c>
      <c r="DX20" t="n">
        <v>2.22417257884541</v>
      </c>
      <c r="DY20" t="n">
        <v>73.9911163642239</v>
      </c>
      <c r="DZ20" t="n">
        <v>1.07539572121753</v>
      </c>
      <c r="EA20" t="n">
        <v>1.2046538047888</v>
      </c>
      <c r="EB20" t="n">
        <v>162594418.466384</v>
      </c>
      <c r="EC20" t="n">
        <v>3.1531516324896</v>
      </c>
      <c r="ED20" t="n">
        <v>0.0435</v>
      </c>
      <c r="EE20" t="n">
        <v>0.0304926484848485</v>
      </c>
      <c r="EF20" t="n">
        <v>0.03050813492075</v>
      </c>
      <c r="EG20" t="n">
        <v>0.0441803333333333</v>
      </c>
      <c r="EH20" t="n">
        <v>755449.969505651</v>
      </c>
      <c r="EI20" t="n">
        <v>394695.350044851</v>
      </c>
      <c r="EJ20" t="n">
        <v>1000.06305960648</v>
      </c>
      <c r="EK20" t="n">
        <v>1.64941215702212</v>
      </c>
      <c r="EL20" t="n">
        <v>4.42170580422248</v>
      </c>
    </row>
    <row r="21">
      <c r="A21" s="2" t="n">
        <v>47453</v>
      </c>
      <c r="B21" t="n">
        <v>396128.479287384</v>
      </c>
      <c r="C21" t="n">
        <v>35341.1250372016</v>
      </c>
      <c r="D21" t="n">
        <v>25878.57438634</v>
      </c>
      <c r="E21" t="n">
        <v>236800.735033662</v>
      </c>
      <c r="F21" t="n">
        <v>52966.8782957721</v>
      </c>
      <c r="G21" t="n">
        <v>13054.6630825837</v>
      </c>
      <c r="H21" t="n">
        <v>61602.6281698372</v>
      </c>
      <c r="I21" t="n">
        <v>69359.9844652789</v>
      </c>
      <c r="J21" t="n">
        <v>98202.4179018794</v>
      </c>
      <c r="K21" t="n">
        <v>402.01052158279</v>
      </c>
      <c r="L21" t="n">
        <v>5052.21392670981</v>
      </c>
      <c r="M21" t="n">
        <v>0.668103764190531</v>
      </c>
      <c r="N21" t="n">
        <v>31018.8791408324</v>
      </c>
      <c r="O21" t="n">
        <v>166.940658585809</v>
      </c>
      <c r="P21" t="n">
        <v>1.7265157099285</v>
      </c>
      <c r="Q21" t="n">
        <v>1.53255807676075</v>
      </c>
      <c r="R21" t="n">
        <v>1.10359799356888</v>
      </c>
      <c r="S21" t="n">
        <v>0.115193069912244</v>
      </c>
      <c r="T21" t="n">
        <v>8966.76366005512</v>
      </c>
      <c r="U21" t="n">
        <v>0.377911322664567</v>
      </c>
      <c r="V21" t="n">
        <v>0.534737746051517</v>
      </c>
      <c r="W21" t="n">
        <v>24223104.3738583</v>
      </c>
      <c r="X21" t="n">
        <v>73717.8427779521</v>
      </c>
      <c r="Y21" t="n">
        <v>4371320.84328195</v>
      </c>
      <c r="Z21" t="n">
        <v>1042.74006758625</v>
      </c>
      <c r="AA21" t="n">
        <v>1.15039250573494</v>
      </c>
      <c r="AB21" t="n">
        <v>1.12379506435258</v>
      </c>
      <c r="AC21" t="n">
        <v>1.25657709709551</v>
      </c>
      <c r="AD21" t="n">
        <v>1.3460001072227</v>
      </c>
      <c r="AE21" t="n">
        <v>123.75174346846</v>
      </c>
      <c r="AF21" t="n">
        <v>90969.1411057967</v>
      </c>
      <c r="AG21" t="n">
        <v>1285.56859733877</v>
      </c>
      <c r="AH21" t="n">
        <v>118.50814792288</v>
      </c>
      <c r="AI21" t="n">
        <v>74430.9095648451</v>
      </c>
      <c r="AJ21" t="n">
        <v>83033.0402964936</v>
      </c>
      <c r="AK21" t="n">
        <v>629.493030755173</v>
      </c>
      <c r="AL21" t="n">
        <v>25697.5258159297</v>
      </c>
      <c r="AM21" t="n">
        <v>19040.6741903822</v>
      </c>
      <c r="AN21" t="n">
        <v>1.04488470101783</v>
      </c>
      <c r="AO21" t="n">
        <v>1.05225404856868</v>
      </c>
      <c r="AP21" t="n">
        <v>1.19042890450747</v>
      </c>
      <c r="AQ21" t="n">
        <v>1.21392805827723</v>
      </c>
      <c r="AR21" t="n">
        <v>34942.2145044066</v>
      </c>
      <c r="AS21" t="n">
        <v>183763.836653914</v>
      </c>
      <c r="AT21" t="n">
        <v>0.0573000265577333</v>
      </c>
      <c r="AU21" t="n">
        <v>0.0512590143266541</v>
      </c>
      <c r="AV21" t="n">
        <v>0.255231821980835</v>
      </c>
      <c r="AW21" t="n">
        <v>1039.67459916446</v>
      </c>
      <c r="AX21" t="n">
        <v>10459.6531060911</v>
      </c>
      <c r="AY21" t="n">
        <v>18991.9996076944</v>
      </c>
      <c r="AZ21" t="n">
        <v>179222.306204363</v>
      </c>
      <c r="BA21" t="n">
        <v>480871.476855263</v>
      </c>
      <c r="BB21" t="n">
        <v>218344.388285028</v>
      </c>
      <c r="BC21" t="n">
        <v>244290.836469919</v>
      </c>
      <c r="BD21" t="n">
        <v>92615.6957857553</v>
      </c>
      <c r="BE21" t="n">
        <v>19.9932653011659</v>
      </c>
      <c r="BF21" t="n">
        <v>47569.1580894441</v>
      </c>
      <c r="BG21" t="n">
        <v>18058.7554080687</v>
      </c>
      <c r="BH21" t="n">
        <v>29770.5180331496</v>
      </c>
      <c r="BI21" t="n">
        <v>83645.0880293107</v>
      </c>
      <c r="BJ21" t="n">
        <v>49099.6595812258</v>
      </c>
      <c r="BK21" t="n">
        <v>102610.204068633</v>
      </c>
      <c r="BL21" t="n">
        <v>29106.3423926091</v>
      </c>
      <c r="BM21" t="n">
        <v>20035.6265043068</v>
      </c>
      <c r="BN21" t="n">
        <v>43241.5996556923</v>
      </c>
      <c r="BO21" t="n">
        <v>206583.332621241</v>
      </c>
      <c r="BP21" t="n">
        <v>202801.401421778</v>
      </c>
      <c r="BQ21" t="n">
        <v>931140.975480953</v>
      </c>
      <c r="BR21" t="n">
        <v>756009.275970578</v>
      </c>
      <c r="BS21" t="n">
        <v>760980.783628016</v>
      </c>
      <c r="BT21" t="n">
        <v>121.924676594588</v>
      </c>
      <c r="BU21" t="n">
        <v>1.23165284984506</v>
      </c>
      <c r="BV21" t="n">
        <v>1.15266529594636</v>
      </c>
      <c r="BW21" t="n">
        <v>104.446121020827</v>
      </c>
      <c r="BX21" t="n">
        <v>84283.2144257258</v>
      </c>
      <c r="BY21" t="n">
        <v>1.30774222305726</v>
      </c>
      <c r="BZ21" t="n">
        <v>110220.71819951</v>
      </c>
      <c r="CA21" t="n">
        <v>10481.0129400656</v>
      </c>
      <c r="CB21" t="n">
        <v>15533.2268667754</v>
      </c>
      <c r="CC21" t="n">
        <v>16316.7056340642</v>
      </c>
      <c r="CD21" t="n">
        <v>783.478767288771</v>
      </c>
      <c r="CE21" t="n">
        <v>0.0480169615273496</v>
      </c>
      <c r="CF21" t="n">
        <v>11480446.3032944</v>
      </c>
      <c r="CG21" t="n">
        <v>442691.836771931</v>
      </c>
      <c r="CH21" t="n">
        <v>573024.382442434</v>
      </c>
      <c r="CI21" t="n">
        <v>336203.375742483</v>
      </c>
      <c r="CJ21" t="n">
        <v>16740.7521122065</v>
      </c>
      <c r="CK21" t="n">
        <v>852704.697832531</v>
      </c>
      <c r="CL21" t="n">
        <v>0.0702029243348323</v>
      </c>
      <c r="CM21" t="n">
        <v>14.2444208624488</v>
      </c>
      <c r="CN21" t="n">
        <v>1208578.67319104</v>
      </c>
      <c r="CO21" t="n">
        <v>2986643.41104593</v>
      </c>
      <c r="CP21" t="n">
        <v>3281519.29611374</v>
      </c>
      <c r="CQ21" t="n">
        <v>4195222.08423697</v>
      </c>
      <c r="CR21" t="n">
        <v>9533053.89149364</v>
      </c>
      <c r="CS21" t="n">
        <v>0.0130610413188104</v>
      </c>
      <c r="CT21" t="n">
        <v>0.00702002908773117</v>
      </c>
      <c r="CU21" t="n">
        <v>0.0709540846733214</v>
      </c>
      <c r="CV21" t="n">
        <v>1.61223613986388</v>
      </c>
      <c r="CW21" t="n">
        <v>0.0709540846733216</v>
      </c>
      <c r="CX21" t="n">
        <v>0.039440022763365</v>
      </c>
      <c r="CY21" t="n">
        <v>0.0182400641286471</v>
      </c>
      <c r="CZ21" t="n">
        <v>-0.0112200350409159</v>
      </c>
      <c r="DA21" t="n">
        <v>0.52703010878476</v>
      </c>
      <c r="DB21" t="n">
        <v>6.24617200159346</v>
      </c>
      <c r="DC21" t="n">
        <v>0.0750295178077333</v>
      </c>
      <c r="DD21" t="n">
        <v>0.0511300786105559</v>
      </c>
      <c r="DE21" t="n">
        <v>0.00778274216534645</v>
      </c>
      <c r="DF21" t="n">
        <v>0.128812253485503</v>
      </c>
      <c r="DG21" t="n">
        <v>217543.380948907</v>
      </c>
      <c r="DH21" t="n">
        <v>124.33345859062</v>
      </c>
      <c r="DI21" t="n">
        <v>4.85770918496845</v>
      </c>
      <c r="DJ21" t="n">
        <v>4.21212313840646</v>
      </c>
      <c r="DK21" t="n">
        <v>0.0411256875275234</v>
      </c>
      <c r="DL21" t="n">
        <v>0.670223574218165</v>
      </c>
      <c r="DM21" t="n">
        <v>1.25553480650826</v>
      </c>
      <c r="DN21" t="n">
        <v>0.0357615042376472</v>
      </c>
      <c r="DO21" t="n">
        <v>0.0465455822795444</v>
      </c>
      <c r="DP21" t="n">
        <v>29205.25</v>
      </c>
      <c r="DQ21" t="n">
        <v>24422.4123685837</v>
      </c>
      <c r="DR21" t="n">
        <v>173761.23501671</v>
      </c>
      <c r="DS21" t="n">
        <v>30678.7622628966</v>
      </c>
      <c r="DT21" t="n">
        <v>13103.3836693008</v>
      </c>
      <c r="DU21" t="n">
        <v>0</v>
      </c>
      <c r="DV21" t="n">
        <v>56.25</v>
      </c>
      <c r="DW21" t="n">
        <v>208288.96</v>
      </c>
      <c r="DX21" t="n">
        <v>2.23578053710685</v>
      </c>
      <c r="DY21" t="n">
        <v>73.91</v>
      </c>
      <c r="DZ21" t="n">
        <v>1.06705639410413</v>
      </c>
      <c r="EA21" t="n">
        <v>1.20449936397015</v>
      </c>
      <c r="EB21" t="n">
        <v>164064141.784839</v>
      </c>
      <c r="EC21" t="n">
        <v>3.15412347776834</v>
      </c>
      <c r="ED21" t="n">
        <v>0.0435</v>
      </c>
      <c r="EE21" t="n">
        <v>0.0304926484848485</v>
      </c>
      <c r="EF21" t="n">
        <v>0.03050813492075</v>
      </c>
      <c r="EG21" t="n">
        <v>0.0441803333333333</v>
      </c>
      <c r="EH21" t="n">
        <v>758585.068933052</v>
      </c>
      <c r="EI21" t="n">
        <v>396826.796600168</v>
      </c>
      <c r="EJ21" t="n">
        <v>1019.40533197658</v>
      </c>
      <c r="EK21" t="n">
        <v>1.63576968338113</v>
      </c>
      <c r="EL21" t="n">
        <v>4.42389852389229</v>
      </c>
    </row>
    <row r="22">
      <c r="A22" s="2" t="n">
        <v>47543</v>
      </c>
      <c r="B22" t="n">
        <v>398632.05398897</v>
      </c>
      <c r="C22" t="n">
        <v>35420.9674022131</v>
      </c>
      <c r="D22" t="n">
        <v>26185.5167666544</v>
      </c>
      <c r="E22" t="n">
        <v>237832.384823184</v>
      </c>
      <c r="F22" t="n">
        <v>53737.283349469</v>
      </c>
      <c r="G22" t="n">
        <v>13148.7720373365</v>
      </c>
      <c r="H22" t="n">
        <v>62444.9580072119</v>
      </c>
      <c r="I22" t="n">
        <v>69821.0076627381</v>
      </c>
      <c r="J22" t="n">
        <v>98463.3994088143</v>
      </c>
      <c r="K22" t="n">
        <v>401.464492577297</v>
      </c>
      <c r="L22" t="n">
        <v>5072.96568858404</v>
      </c>
      <c r="M22" t="n">
        <v>0.667837645377789</v>
      </c>
      <c r="N22" t="n">
        <v>31297.1503707654</v>
      </c>
      <c r="O22" t="n">
        <v>168.762496402075</v>
      </c>
      <c r="P22" t="n">
        <v>1.75588857559454</v>
      </c>
      <c r="Q22" t="n">
        <v>1.55342289603399</v>
      </c>
      <c r="R22" t="n">
        <v>1.11036205662912</v>
      </c>
      <c r="S22" t="n">
        <v>0.114450179302289</v>
      </c>
      <c r="T22" t="n">
        <v>8809.57542479981</v>
      </c>
      <c r="U22" t="n">
        <v>0.376712751883248</v>
      </c>
      <c r="V22" t="n">
        <v>0.530678391461427</v>
      </c>
      <c r="W22" t="n">
        <v>24607680.4924354</v>
      </c>
      <c r="X22" t="n">
        <v>74783.0123362424</v>
      </c>
      <c r="Y22" t="n">
        <v>4371371.94411108</v>
      </c>
      <c r="Z22" t="n">
        <v>1059.48223582766</v>
      </c>
      <c r="AA22" t="n">
        <v>1.15729385998674</v>
      </c>
      <c r="AB22" t="n">
        <v>1.13030979013956</v>
      </c>
      <c r="AC22" t="n">
        <v>1.26789553964989</v>
      </c>
      <c r="AD22" t="n">
        <v>1.36313536273857</v>
      </c>
      <c r="AE22" t="n">
        <v>124.79001993822</v>
      </c>
      <c r="AF22" t="n">
        <v>91039.946912588</v>
      </c>
      <c r="AG22" t="n">
        <v>1313.81973651942</v>
      </c>
      <c r="AH22" t="n">
        <v>120.723754781897</v>
      </c>
      <c r="AI22" t="n">
        <v>74839.522563598</v>
      </c>
      <c r="AJ22" t="n">
        <v>84424.1000549416</v>
      </c>
      <c r="AK22" t="n">
        <v>631.13161859776</v>
      </c>
      <c r="AL22" t="n">
        <v>25964.0881063791</v>
      </c>
      <c r="AM22" t="n">
        <v>19001.805267377</v>
      </c>
      <c r="AN22" t="n">
        <v>1.04751741591197</v>
      </c>
      <c r="AO22" t="n">
        <v>1.05875044806634</v>
      </c>
      <c r="AP22" t="n">
        <v>1.19828072069903</v>
      </c>
      <c r="AQ22" t="n">
        <v>1.22485798260079</v>
      </c>
      <c r="AR22" t="n">
        <v>35090.3739643962</v>
      </c>
      <c r="AS22" t="n">
        <v>184989.653538105</v>
      </c>
      <c r="AT22" t="n">
        <v>0.0558435594072501</v>
      </c>
      <c r="AU22" t="n">
        <v>0.0513703702275362</v>
      </c>
      <c r="AV22" t="n">
        <v>0.265391056175949</v>
      </c>
      <c r="AW22" t="n">
        <v>1031.6497895222</v>
      </c>
      <c r="AX22" t="n">
        <v>10483.2834642167</v>
      </c>
      <c r="AY22" t="n">
        <v>19071.9738534358</v>
      </c>
      <c r="AZ22" t="n">
        <v>179672.552494023</v>
      </c>
      <c r="BA22" t="n">
        <v>488267.654625547</v>
      </c>
      <c r="BB22" t="n">
        <v>220963.80000541</v>
      </c>
      <c r="BC22" t="n">
        <v>246335.048412984</v>
      </c>
      <c r="BD22" t="n">
        <v>94083.7613582215</v>
      </c>
      <c r="BE22" t="n">
        <v>20.1462604216027</v>
      </c>
      <c r="BF22" t="n">
        <v>48283.5732483668</v>
      </c>
      <c r="BG22" t="n">
        <v>18407.4776695372</v>
      </c>
      <c r="BH22" t="n">
        <v>30304.337774629</v>
      </c>
      <c r="BI22" t="n">
        <v>84591.8442227107</v>
      </c>
      <c r="BJ22" t="n">
        <v>49518.3671497244</v>
      </c>
      <c r="BK22" t="n">
        <v>103142.12571063</v>
      </c>
      <c r="BL22" t="n">
        <v>29626.8408564887</v>
      </c>
      <c r="BM22" t="n">
        <v>20118.1698409048</v>
      </c>
      <c r="BN22" t="n">
        <v>43789.284666566</v>
      </c>
      <c r="BO22" t="n">
        <v>208265.981074589</v>
      </c>
      <c r="BP22" t="n">
        <v>205405.492157679</v>
      </c>
      <c r="BQ22" t="n">
        <v>943197.543612835</v>
      </c>
      <c r="BR22" t="n">
        <v>759192.788664545</v>
      </c>
      <c r="BS22" t="n">
        <v>764939.865797952</v>
      </c>
      <c r="BT22" t="n">
        <v>122.990644442763</v>
      </c>
      <c r="BU22" t="n">
        <v>1.24236895077663</v>
      </c>
      <c r="BV22" t="n">
        <v>1.15914188440951</v>
      </c>
      <c r="BW22" t="n">
        <v>104.393146135457</v>
      </c>
      <c r="BX22" t="n">
        <v>84815.8934287205</v>
      </c>
      <c r="BY22" t="n">
        <v>1.33219153468702</v>
      </c>
      <c r="BZ22" t="n">
        <v>112991.015232658</v>
      </c>
      <c r="CA22" t="n">
        <v>10495.3907812345</v>
      </c>
      <c r="CB22" t="n">
        <v>15568.3564698186</v>
      </c>
      <c r="CC22" t="n">
        <v>16365.0224254018</v>
      </c>
      <c r="CD22" t="n">
        <v>796.665955583236</v>
      </c>
      <c r="CE22" t="n">
        <v>0.0486810094753953</v>
      </c>
      <c r="CF22" t="n">
        <v>11514458.8735135</v>
      </c>
      <c r="CG22" t="n">
        <v>447673.401306598</v>
      </c>
      <c r="CH22" t="n">
        <v>580711.65150065</v>
      </c>
      <c r="CI22" t="n">
        <v>341075.268728042</v>
      </c>
      <c r="CJ22" t="n">
        <v>16965.3335954148</v>
      </c>
      <c r="CK22" t="n">
        <v>863745.660003144</v>
      </c>
      <c r="CL22" t="n">
        <v>0.0716415477664295</v>
      </c>
      <c r="CM22" t="n">
        <v>13.9583807326478</v>
      </c>
      <c r="CN22" t="n">
        <v>1215170.3701921</v>
      </c>
      <c r="CO22" t="n">
        <v>3011866.52871342</v>
      </c>
      <c r="CP22" t="n">
        <v>3290683.43820113</v>
      </c>
      <c r="CQ22" t="n">
        <v>4227036.89890552</v>
      </c>
      <c r="CR22" t="n">
        <v>9574032.84824958</v>
      </c>
      <c r="CS22" t="n">
        <v>0.0115664889444857</v>
      </c>
      <c r="CT22" t="n">
        <v>0.00709329976477175</v>
      </c>
      <c r="CU22" t="n">
        <v>0.0701731088395244</v>
      </c>
      <c r="CV22" t="n">
        <v>1.62983061201486</v>
      </c>
      <c r="CW22" t="n">
        <v>0.0701731088395249</v>
      </c>
      <c r="CX22" t="n">
        <v>0.039440022763365</v>
      </c>
      <c r="CY22" t="n">
        <v>0.018335053785263</v>
      </c>
      <c r="CZ22" t="n">
        <v>-0.0112417540204913</v>
      </c>
      <c r="DA22" t="n">
        <v>0.522409229174958</v>
      </c>
      <c r="DB22" t="n">
        <v>6.27794834999037</v>
      </c>
      <c r="DC22" t="n">
        <v>0.0735730506572501</v>
      </c>
      <c r="DD22" t="n">
        <v>0.0501511284585335</v>
      </c>
      <c r="DE22" t="n">
        <v>0.00779107685630871</v>
      </c>
      <c r="DF22" t="n">
        <v>0.129584810517837</v>
      </c>
      <c r="DG22" t="n">
        <v>218187.886338746</v>
      </c>
      <c r="DH22" t="n">
        <v>125.205337038878</v>
      </c>
      <c r="DI22" t="n">
        <v>4.86485433625609</v>
      </c>
      <c r="DJ22" t="n">
        <v>4.2163470858635</v>
      </c>
      <c r="DK22" t="n">
        <v>0.0411256875275234</v>
      </c>
      <c r="DL22" t="n">
        <v>0.670223574218165</v>
      </c>
      <c r="DM22" t="n">
        <v>1.26839658234909</v>
      </c>
      <c r="DN22" t="n">
        <v>0.0357615042376472</v>
      </c>
      <c r="DO22" t="n">
        <v>0.0465455822795444</v>
      </c>
      <c r="DP22" t="n">
        <v>29291.775</v>
      </c>
      <c r="DQ22" t="n">
        <v>24504.4922799227</v>
      </c>
      <c r="DR22" t="n">
        <v>174276.02913283</v>
      </c>
      <c r="DS22" t="n">
        <v>30769.6527673366</v>
      </c>
      <c r="DT22" t="n">
        <v>13142.2044385798</v>
      </c>
      <c r="DU22" t="n">
        <v>0</v>
      </c>
      <c r="DV22" t="n">
        <v>56.25</v>
      </c>
      <c r="DW22" t="n">
        <v>208288.96</v>
      </c>
      <c r="DX22" t="n">
        <v>2.24747659101981</v>
      </c>
      <c r="DY22" t="n">
        <v>73.8549385009494</v>
      </c>
      <c r="DZ22" t="n">
        <v>1.06103140913822</v>
      </c>
      <c r="EA22" t="n">
        <v>1.20449936397015</v>
      </c>
      <c r="EB22" t="n">
        <v>165420447.064754</v>
      </c>
      <c r="EC22" t="n">
        <v>3.15533702248047</v>
      </c>
      <c r="ED22" t="n">
        <v>0.0435</v>
      </c>
      <c r="EE22" t="n">
        <v>0.0304926484848485</v>
      </c>
      <c r="EF22" t="n">
        <v>0.03050813492075</v>
      </c>
      <c r="EG22" t="n">
        <v>0.0441803333333333</v>
      </c>
      <c r="EH22" t="n">
        <v>761672.301486501</v>
      </c>
      <c r="EI22" t="n">
        <v>399017.266348031</v>
      </c>
      <c r="EJ22" t="n">
        <v>1038.74773642933</v>
      </c>
      <c r="EK22" t="n">
        <v>1.6293776055293</v>
      </c>
      <c r="EL22" t="n">
        <v>4.42770704627644</v>
      </c>
    </row>
    <row r="23">
      <c r="A23" s="2" t="n">
        <v>47635</v>
      </c>
      <c r="B23" t="n">
        <v>400872.187783373</v>
      </c>
      <c r="C23" t="n">
        <v>35489.2005332863</v>
      </c>
      <c r="D23" t="n">
        <v>26474.3390482254</v>
      </c>
      <c r="E23" t="n">
        <v>238867.225372747</v>
      </c>
      <c r="F23" t="n">
        <v>54420.792309338</v>
      </c>
      <c r="G23" t="n">
        <v>13243.0561258139</v>
      </c>
      <c r="H23" t="n">
        <v>63262.991590068</v>
      </c>
      <c r="I23" t="n">
        <v>70507.6769057155</v>
      </c>
      <c r="J23" t="n">
        <v>98553.778808257</v>
      </c>
      <c r="K23" t="n">
        <v>400.901223020114</v>
      </c>
      <c r="L23" t="n">
        <v>5093.60822731111</v>
      </c>
      <c r="M23" t="n">
        <v>0.667597436162315</v>
      </c>
      <c r="N23" t="n">
        <v>31581.3610914426</v>
      </c>
      <c r="O23" t="n">
        <v>170.599726611923</v>
      </c>
      <c r="P23" t="n">
        <v>1.78578294666615</v>
      </c>
      <c r="Q23" t="n">
        <v>1.57367619858477</v>
      </c>
      <c r="R23" t="n">
        <v>1.11694827323381</v>
      </c>
      <c r="S23" t="n">
        <v>0.113631989129018</v>
      </c>
      <c r="T23" t="n">
        <v>8649.50293856523</v>
      </c>
      <c r="U23" t="n">
        <v>0.375683181392215</v>
      </c>
      <c r="V23" t="n">
        <v>0.526882685464675</v>
      </c>
      <c r="W23" t="n">
        <v>24985791.239503</v>
      </c>
      <c r="X23" t="n">
        <v>75869.8529865139</v>
      </c>
      <c r="Y23" t="n">
        <v>4370906.73510824</v>
      </c>
      <c r="Z23" t="n">
        <v>1075.55334358291</v>
      </c>
      <c r="AA23" t="n">
        <v>1.16424512969743</v>
      </c>
      <c r="AB23" t="n">
        <v>1.13679973188439</v>
      </c>
      <c r="AC23" t="n">
        <v>1.2793355988024</v>
      </c>
      <c r="AD23" t="n">
        <v>1.38021741621694</v>
      </c>
      <c r="AE23" t="n">
        <v>125.835705965139</v>
      </c>
      <c r="AF23" t="n">
        <v>91174.8052718237</v>
      </c>
      <c r="AG23" t="n">
        <v>1342.53849809481</v>
      </c>
      <c r="AH23" t="n">
        <v>123.02756741808</v>
      </c>
      <c r="AI23" t="n">
        <v>75241.9513086006</v>
      </c>
      <c r="AJ23" t="n">
        <v>85778.1291039489</v>
      </c>
      <c r="AK23" t="n">
        <v>632.520473844872</v>
      </c>
      <c r="AL23" t="n">
        <v>26222.8340746494</v>
      </c>
      <c r="AM23" t="n">
        <v>18951.4259227662</v>
      </c>
      <c r="AN23" t="n">
        <v>1.04959801435711</v>
      </c>
      <c r="AO23" t="n">
        <v>1.06551739036255</v>
      </c>
      <c r="AP23" t="n">
        <v>1.20611037488222</v>
      </c>
      <c r="AQ23" t="n">
        <v>1.23591968736216</v>
      </c>
      <c r="AR23" t="n">
        <v>35209.4770794064</v>
      </c>
      <c r="AS23" t="n">
        <v>186163.872429526</v>
      </c>
      <c r="AT23" t="n">
        <v>0.05423350340282</v>
      </c>
      <c r="AU23" t="n">
        <v>0.0513768368912261</v>
      </c>
      <c r="AV23" t="n">
        <v>0.276523664581988</v>
      </c>
      <c r="AW23" t="n">
        <v>1034.84054956312</v>
      </c>
      <c r="AX23" t="n">
        <v>10503.4779226731</v>
      </c>
      <c r="AY23" t="n">
        <v>19140.3226332873</v>
      </c>
      <c r="AZ23" t="n">
        <v>179900.004443717</v>
      </c>
      <c r="BA23" t="n">
        <v>495445.830118542</v>
      </c>
      <c r="BB23" t="n">
        <v>223616.122526359</v>
      </c>
      <c r="BC23" t="n">
        <v>248324.479371693</v>
      </c>
      <c r="BD23" t="n">
        <v>95865.7632997996</v>
      </c>
      <c r="BE23" t="n">
        <v>20.3319725633379</v>
      </c>
      <c r="BF23" t="n">
        <v>48982.8126636572</v>
      </c>
      <c r="BG23" t="n">
        <v>18756.9317549941</v>
      </c>
      <c r="BH23" t="n">
        <v>30822.620298855</v>
      </c>
      <c r="BI23" t="n">
        <v>85535.0292710045</v>
      </c>
      <c r="BJ23" t="n">
        <v>49949.9596746564</v>
      </c>
      <c r="BK23" t="n">
        <v>103441.850544536</v>
      </c>
      <c r="BL23" t="n">
        <v>30120.6701612376</v>
      </c>
      <c r="BM23" t="n">
        <v>20193.0738928751</v>
      </c>
      <c r="BN23" t="n">
        <v>44306.0940495048</v>
      </c>
      <c r="BO23" t="n">
        <v>209651.248648154</v>
      </c>
      <c r="BP23" t="n">
        <v>207935.415848678</v>
      </c>
      <c r="BQ23" t="n">
        <v>954825.139107545</v>
      </c>
      <c r="BR23" t="n">
        <v>761913.529711362</v>
      </c>
      <c r="BS23" t="n">
        <v>768607.374458679</v>
      </c>
      <c r="BT23" t="n">
        <v>124.065910282309</v>
      </c>
      <c r="BU23" t="n">
        <v>1.25319358006768</v>
      </c>
      <c r="BV23" t="n">
        <v>1.16537656180962</v>
      </c>
      <c r="BW23" t="n">
        <v>104.335768247853</v>
      </c>
      <c r="BX23" t="n">
        <v>85292.5208029391</v>
      </c>
      <c r="BY23" t="n">
        <v>1.35761420064844</v>
      </c>
      <c r="BZ23" t="n">
        <v>115794.337451172</v>
      </c>
      <c r="CA23" t="n">
        <v>10509.0183856491</v>
      </c>
      <c r="CB23" t="n">
        <v>15602.6266129602</v>
      </c>
      <c r="CC23" t="n">
        <v>16413.9709138256</v>
      </c>
      <c r="CD23" t="n">
        <v>811.344300865389</v>
      </c>
      <c r="CE23" t="n">
        <v>0.0494300962784344</v>
      </c>
      <c r="CF23" t="n">
        <v>11548471.4437326</v>
      </c>
      <c r="CG23" t="n">
        <v>452733.140598931</v>
      </c>
      <c r="CH23" t="n">
        <v>588629.370730708</v>
      </c>
      <c r="CI23" t="n">
        <v>345518.473157497</v>
      </c>
      <c r="CJ23" t="n">
        <v>17196.6476179691</v>
      </c>
      <c r="CK23" t="n">
        <v>874393.78479189</v>
      </c>
      <c r="CL23" t="n">
        <v>0.0731279564083013</v>
      </c>
      <c r="CM23" t="n">
        <v>13.674660815306</v>
      </c>
      <c r="CN23" t="n">
        <v>1221963.81720608</v>
      </c>
      <c r="CO23" t="n">
        <v>3037082.68451706</v>
      </c>
      <c r="CP23" t="n">
        <v>3299854.31944446</v>
      </c>
      <c r="CQ23" t="n">
        <v>4259046.50172314</v>
      </c>
      <c r="CR23" t="n">
        <v>9615213.33231053</v>
      </c>
      <c r="CS23" t="n">
        <v>0.00992405022255942</v>
      </c>
      <c r="CT23" t="n">
        <v>0.00706738371096555</v>
      </c>
      <c r="CU23" t="n">
        <v>0.0693225359487572</v>
      </c>
      <c r="CV23" t="n">
        <v>1.64757373682735</v>
      </c>
      <c r="CW23" t="n">
        <v>0.0693225359487576</v>
      </c>
      <c r="CX23" t="n">
        <v>0.039440022763365</v>
      </c>
      <c r="CY23" t="n">
        <v>0.018430022763365</v>
      </c>
      <c r="CZ23" t="n">
        <v>-0.0113626390523995</v>
      </c>
      <c r="DA23" t="n">
        <v>0.518053317874315</v>
      </c>
      <c r="DB23" t="n">
        <v>6.30454318387949</v>
      </c>
      <c r="DC23" t="n">
        <v>0.07196299465282</v>
      </c>
      <c r="DD23" t="n">
        <v>0.0490634596567374</v>
      </c>
      <c r="DE23" t="n">
        <v>0.00779156091764385</v>
      </c>
      <c r="DF23" t="n">
        <v>0.130362465084057</v>
      </c>
      <c r="DG23" t="n">
        <v>218832.391728586</v>
      </c>
      <c r="DH23" t="n">
        <v>126.168292261926</v>
      </c>
      <c r="DI23" t="n">
        <v>4.87267312285626</v>
      </c>
      <c r="DJ23" t="n">
        <v>4.22124466863307</v>
      </c>
      <c r="DK23" t="n">
        <v>0.0411256875275234</v>
      </c>
      <c r="DL23" t="n">
        <v>0.670223574218165</v>
      </c>
      <c r="DM23" t="n">
        <v>1.28139011501333</v>
      </c>
      <c r="DN23" t="n">
        <v>0.0357615042376472</v>
      </c>
      <c r="DO23" t="n">
        <v>0.0465455822795444</v>
      </c>
      <c r="DP23" t="n">
        <v>29378.3</v>
      </c>
      <c r="DQ23" t="n">
        <v>24586.629643429</v>
      </c>
      <c r="DR23" t="n">
        <v>174790.82324895</v>
      </c>
      <c r="DS23" t="n">
        <v>30860.5432717767</v>
      </c>
      <c r="DT23" t="n">
        <v>13181.0252078589</v>
      </c>
      <c r="DU23" t="n">
        <v>0</v>
      </c>
      <c r="DV23" t="n">
        <v>56.25</v>
      </c>
      <c r="DW23" t="n">
        <v>208288.96</v>
      </c>
      <c r="DX23" t="n">
        <v>2.25923383057906</v>
      </c>
      <c r="DY23" t="n">
        <v>73.7999180216347</v>
      </c>
      <c r="DZ23" t="n">
        <v>1.05504044340882</v>
      </c>
      <c r="EA23" t="n">
        <v>1.20449936397015</v>
      </c>
      <c r="EB23" t="n">
        <v>166787964.813112</v>
      </c>
      <c r="EC23" t="n">
        <v>3.15655103410227</v>
      </c>
      <c r="ED23" t="n">
        <v>0.0435</v>
      </c>
      <c r="EE23" t="n">
        <v>0.0304926484848485</v>
      </c>
      <c r="EF23" t="n">
        <v>0.03050813492075</v>
      </c>
      <c r="EG23" t="n">
        <v>0.0441803333333333</v>
      </c>
      <c r="EH23" t="n">
        <v>764630.60757526</v>
      </c>
      <c r="EI23" t="n">
        <v>401209.085913896</v>
      </c>
      <c r="EJ23" t="n">
        <v>1057.89753828933</v>
      </c>
      <c r="EK23" t="n">
        <v>1.61226156422043</v>
      </c>
      <c r="EL23" t="n">
        <v>4.43094531802606</v>
      </c>
    </row>
    <row r="24">
      <c r="A24" s="2" t="n">
        <v>47727</v>
      </c>
      <c r="B24" t="n">
        <v>403261.175593451</v>
      </c>
      <c r="C24" t="n">
        <v>35546.0981166681</v>
      </c>
      <c r="D24" t="n">
        <v>26758.3556368565</v>
      </c>
      <c r="E24" t="n">
        <v>239866.700131137</v>
      </c>
      <c r="F24" t="n">
        <v>55176.8498331914</v>
      </c>
      <c r="G24" t="n">
        <v>13341.1443006706</v>
      </c>
      <c r="H24" t="n">
        <v>64113.4908922544</v>
      </c>
      <c r="I24" t="n">
        <v>74565.2584941145</v>
      </c>
      <c r="J24" t="n">
        <v>98873.3743278736</v>
      </c>
      <c r="K24" t="n">
        <v>400.382876731079</v>
      </c>
      <c r="L24" t="n">
        <v>5114.91543148655</v>
      </c>
      <c r="M24" t="n">
        <v>0.667355915820956</v>
      </c>
      <c r="N24" t="n">
        <v>31859.5712406884</v>
      </c>
      <c r="O24" t="n">
        <v>172.460386726461</v>
      </c>
      <c r="P24" t="n">
        <v>1.81603814628113</v>
      </c>
      <c r="Q24" t="n">
        <v>1.59342770564908</v>
      </c>
      <c r="R24" t="n">
        <v>1.12347688649194</v>
      </c>
      <c r="S24" t="n">
        <v>0.112892773673288</v>
      </c>
      <c r="T24" t="n">
        <v>8492.74959255808</v>
      </c>
      <c r="U24" t="n">
        <v>0.374732094931171</v>
      </c>
      <c r="V24" t="n">
        <v>0.52323320387536</v>
      </c>
      <c r="W24" t="n">
        <v>25365887.2348693</v>
      </c>
      <c r="X24" t="n">
        <v>76983.139060475</v>
      </c>
      <c r="Y24" t="n">
        <v>4371723.216262</v>
      </c>
      <c r="Z24" t="n">
        <v>1091.57646970776</v>
      </c>
      <c r="AA24" t="n">
        <v>1.17120524094581</v>
      </c>
      <c r="AB24" t="n">
        <v>1.14332259131857</v>
      </c>
      <c r="AC24" t="n">
        <v>1.29066325760474</v>
      </c>
      <c r="AD24" t="n">
        <v>1.39726325989526</v>
      </c>
      <c r="AE24" t="n">
        <v>126.887091724411</v>
      </c>
      <c r="AF24" t="n">
        <v>91400.0235945829</v>
      </c>
      <c r="AG24" t="n">
        <v>1372.03700398354</v>
      </c>
      <c r="AH24" t="n">
        <v>125.425011394986</v>
      </c>
      <c r="AI24" t="n">
        <v>75640.3974477255</v>
      </c>
      <c r="AJ24" t="n">
        <v>87301.7140103835</v>
      </c>
      <c r="AK24" t="n">
        <v>633.942395945256</v>
      </c>
      <c r="AL24" t="n">
        <v>26491.5322075604</v>
      </c>
      <c r="AM24" t="n">
        <v>18909.9454979783</v>
      </c>
      <c r="AN24" t="n">
        <v>1.05137962963113</v>
      </c>
      <c r="AO24" t="n">
        <v>1.07197919689473</v>
      </c>
      <c r="AP24" t="n">
        <v>1.21398120580552</v>
      </c>
      <c r="AQ24" t="n">
        <v>1.24717185528284</v>
      </c>
      <c r="AR24" t="n">
        <v>35352.1823041744</v>
      </c>
      <c r="AS24" t="n">
        <v>187351.628855238</v>
      </c>
      <c r="AT24" t="n">
        <v>0.0528393344740737</v>
      </c>
      <c r="AU24" t="n">
        <v>0.051298642341798</v>
      </c>
      <c r="AV24" t="n">
        <v>0.285143517146642</v>
      </c>
      <c r="AW24" t="n">
        <v>999.474758389551</v>
      </c>
      <c r="AX24" t="n">
        <v>10520.317482368</v>
      </c>
      <c r="AY24" t="n">
        <v>19217.6829977603</v>
      </c>
      <c r="AZ24" t="n">
        <v>180398.185127787</v>
      </c>
      <c r="BA24" t="n">
        <v>502935.989643623</v>
      </c>
      <c r="BB24" t="n">
        <v>226275.685218392</v>
      </c>
      <c r="BC24" t="n">
        <v>250523.04082826</v>
      </c>
      <c r="BD24" t="n">
        <v>100823.310017592</v>
      </c>
      <c r="BE24" t="n">
        <v>20.8486255462734</v>
      </c>
      <c r="BF24" t="n">
        <v>49667.2569310525</v>
      </c>
      <c r="BG24" t="n">
        <v>19105.2978589686</v>
      </c>
      <c r="BH24" t="n">
        <v>31339.5263609781</v>
      </c>
      <c r="BI24" t="n">
        <v>86481.3743764937</v>
      </c>
      <c r="BJ24" t="n">
        <v>50345.0137176838</v>
      </c>
      <c r="BK24" t="n">
        <v>103953.45168122</v>
      </c>
      <c r="BL24" t="n">
        <v>30621.9885270126</v>
      </c>
      <c r="BM24" t="n">
        <v>20271.0681882459</v>
      </c>
      <c r="BN24" t="n">
        <v>44857.3559868788</v>
      </c>
      <c r="BO24" t="n">
        <v>211293.424383357</v>
      </c>
      <c r="BP24" t="n">
        <v>210485.224665476</v>
      </c>
      <c r="BQ24" t="n">
        <v>966958.343825072</v>
      </c>
      <c r="BR24" t="n">
        <v>764992.992370151</v>
      </c>
      <c r="BS24" t="n">
        <v>772376.411949455</v>
      </c>
      <c r="BT24" t="n">
        <v>125.149295009813</v>
      </c>
      <c r="BU24" t="n">
        <v>1.26400942123541</v>
      </c>
      <c r="BV24" t="n">
        <v>1.17126136404136</v>
      </c>
      <c r="BW24" t="n">
        <v>104.253267523699</v>
      </c>
      <c r="BX24" t="n">
        <v>85800.8194544763</v>
      </c>
      <c r="BY24" t="n">
        <v>1.38407009225561</v>
      </c>
      <c r="BZ24" t="n">
        <v>118754.348097964</v>
      </c>
      <c r="CA24" t="n">
        <v>10524.5892554413</v>
      </c>
      <c r="CB24" t="n">
        <v>15639.5046869279</v>
      </c>
      <c r="CC24" t="n">
        <v>16463.0895187754</v>
      </c>
      <c r="CD24" t="n">
        <v>823.584831847487</v>
      </c>
      <c r="CE24" t="n">
        <v>0.050026132192193</v>
      </c>
      <c r="CF24" t="n">
        <v>11583260.3771553</v>
      </c>
      <c r="CG24" t="n">
        <v>457800.907428599</v>
      </c>
      <c r="CH24" t="n">
        <v>600477.925754065</v>
      </c>
      <c r="CI24" t="n">
        <v>350343.605845572</v>
      </c>
      <c r="CJ24" t="n">
        <v>17542.7999434398</v>
      </c>
      <c r="CK24" t="n">
        <v>885504.927932224</v>
      </c>
      <c r="CL24" t="n">
        <v>0.0746451298294206</v>
      </c>
      <c r="CM24" t="n">
        <v>13.3967212902597</v>
      </c>
      <c r="CN24" t="n">
        <v>1228937.67454427</v>
      </c>
      <c r="CO24" t="n">
        <v>3062285.80890643</v>
      </c>
      <c r="CP24" t="n">
        <v>3309020.27685092</v>
      </c>
      <c r="CQ24" t="n">
        <v>4291223.4834507</v>
      </c>
      <c r="CR24" t="n">
        <v>9656556.27144456</v>
      </c>
      <c r="CS24" t="n">
        <v>0.00852094497347763</v>
      </c>
      <c r="CT24" t="n">
        <v>0.00698025284120191</v>
      </c>
      <c r="CU24" t="n">
        <v>0.068574384172692</v>
      </c>
      <c r="CV24" t="n">
        <v>1.66554313688886</v>
      </c>
      <c r="CW24" t="n">
        <v>0.068574384172692</v>
      </c>
      <c r="CX24" t="n">
        <v>0.039440022763365</v>
      </c>
      <c r="CY24" t="n">
        <v>0.0184162730434113</v>
      </c>
      <c r="CZ24" t="n">
        <v>-0.0114360202022094</v>
      </c>
      <c r="DA24" t="n">
        <v>0.513851008697816</v>
      </c>
      <c r="DB24" t="n">
        <v>6.32943303924689</v>
      </c>
      <c r="DC24" t="n">
        <v>0.0705688257240737</v>
      </c>
      <c r="DD24" t="n">
        <v>0.0481209348255753</v>
      </c>
      <c r="DE24" t="n">
        <v>0.00778570803381494</v>
      </c>
      <c r="DF24" t="n">
        <v>0.131202400572351</v>
      </c>
      <c r="DG24" t="n">
        <v>219491.608452085</v>
      </c>
      <c r="DH24" t="n">
        <v>127.067011427786</v>
      </c>
      <c r="DI24" t="n">
        <v>4.87992825439226</v>
      </c>
      <c r="DJ24" t="n">
        <v>4.22557859633847</v>
      </c>
      <c r="DK24" t="n">
        <v>0.0411256875275234</v>
      </c>
      <c r="DL24" t="n">
        <v>0.670223574218165</v>
      </c>
      <c r="DM24" t="n">
        <v>1.29451675422598</v>
      </c>
      <c r="DN24" t="n">
        <v>0.0357615042376472</v>
      </c>
      <c r="DO24" t="n">
        <v>0.0465455822795444</v>
      </c>
      <c r="DP24" t="n">
        <v>29466.8</v>
      </c>
      <c r="DQ24" t="n">
        <v>24669.129513182</v>
      </c>
      <c r="DR24" t="n">
        <v>175317.367938654</v>
      </c>
      <c r="DS24" t="n">
        <v>30953.5084222296</v>
      </c>
      <c r="DT24" t="n">
        <v>13220.7320912012</v>
      </c>
      <c r="DU24" t="n">
        <v>0</v>
      </c>
      <c r="DV24" t="n">
        <v>57.125</v>
      </c>
      <c r="DW24" t="n">
        <v>208288.96</v>
      </c>
      <c r="DX24" t="n">
        <v>2.27105257586549</v>
      </c>
      <c r="DY24" t="n">
        <v>73.7449385314969</v>
      </c>
      <c r="DZ24" t="n">
        <v>1.04908330483105</v>
      </c>
      <c r="EA24" t="n">
        <v>1.20449936397015</v>
      </c>
      <c r="EB24" t="n">
        <v>168166787.722502</v>
      </c>
      <c r="EC24" t="n">
        <v>3.15776551281339</v>
      </c>
      <c r="ED24" t="n">
        <v>0.0435</v>
      </c>
      <c r="EE24" t="n">
        <v>0.0304926484848485</v>
      </c>
      <c r="EF24" t="n">
        <v>0.03050813492075</v>
      </c>
      <c r="EG24" t="n">
        <v>0.0441803333333333</v>
      </c>
      <c r="EH24" t="n">
        <v>767552.477783718</v>
      </c>
      <c r="EI24" t="n">
        <v>403432.918144902</v>
      </c>
      <c r="EJ24" t="n">
        <v>1076.8149244325</v>
      </c>
      <c r="EK24" t="n">
        <v>1.60447604094733</v>
      </c>
      <c r="EL24" t="n">
        <v>4.43183895005961</v>
      </c>
    </row>
    <row r="25">
      <c r="A25" s="2" t="n">
        <v>47818</v>
      </c>
      <c r="B25" t="n">
        <v>405817.120423883</v>
      </c>
      <c r="C25" t="n">
        <v>35597.17893894</v>
      </c>
      <c r="D25" t="n">
        <v>27027.2580344932</v>
      </c>
      <c r="E25" t="n">
        <v>240878.223880044</v>
      </c>
      <c r="F25" t="n">
        <v>55920.1196909745</v>
      </c>
      <c r="G25" t="n">
        <v>13440.9281783968</v>
      </c>
      <c r="H25" t="n">
        <v>64971.6518602416</v>
      </c>
      <c r="I25" t="n">
        <v>74563.8023284201</v>
      </c>
      <c r="J25" t="n">
        <v>99046.9718798536</v>
      </c>
      <c r="K25" t="n">
        <v>399.88604468427</v>
      </c>
      <c r="L25" t="n">
        <v>5136.58192416614</v>
      </c>
      <c r="M25" t="n">
        <v>0.667138583256789</v>
      </c>
      <c r="N25" t="n">
        <v>32141.3612137549</v>
      </c>
      <c r="O25" t="n">
        <v>174.339854165942</v>
      </c>
      <c r="P25" t="n">
        <v>1.84685668352137</v>
      </c>
      <c r="Q25" t="n">
        <v>1.61271921711312</v>
      </c>
      <c r="R25" t="n">
        <v>1.12992122088277</v>
      </c>
      <c r="S25" t="n">
        <v>0.112263843198696</v>
      </c>
      <c r="T25" t="n">
        <v>8346.18375260622</v>
      </c>
      <c r="U25" t="n">
        <v>0.373886929411068</v>
      </c>
      <c r="V25" t="n">
        <v>0.519750700831493</v>
      </c>
      <c r="W25" t="n">
        <v>25751610.0403159</v>
      </c>
      <c r="X25" t="n">
        <v>78125.3815127929</v>
      </c>
      <c r="Y25" t="n">
        <v>4373308.28032539</v>
      </c>
      <c r="Z25" t="n">
        <v>1107.63271139946</v>
      </c>
      <c r="AA25" t="n">
        <v>1.17825287413183</v>
      </c>
      <c r="AB25" t="n">
        <v>1.14983098257412</v>
      </c>
      <c r="AC25" t="n">
        <v>1.30206569404213</v>
      </c>
      <c r="AD25" t="n">
        <v>1.41427629100906</v>
      </c>
      <c r="AE25" t="n">
        <v>127.941315895872</v>
      </c>
      <c r="AF25" t="n">
        <v>91718.9168303487</v>
      </c>
      <c r="AG25" t="n">
        <v>1401.8698213039</v>
      </c>
      <c r="AH25" t="n">
        <v>127.903820614155</v>
      </c>
      <c r="AI25" t="n">
        <v>76051.6566705481</v>
      </c>
      <c r="AJ25" t="n">
        <v>88832.7875271219</v>
      </c>
      <c r="AK25" t="n">
        <v>635.277302603655</v>
      </c>
      <c r="AL25" t="n">
        <v>26772.8109633167</v>
      </c>
      <c r="AM25" t="n">
        <v>18867.0225307608</v>
      </c>
      <c r="AN25" t="n">
        <v>1.05281333287728</v>
      </c>
      <c r="AO25" t="n">
        <v>1.07854080659157</v>
      </c>
      <c r="AP25" t="n">
        <v>1.22189162635479</v>
      </c>
      <c r="AQ25" t="n">
        <v>1.25858494203165</v>
      </c>
      <c r="AR25" t="n">
        <v>35492.5345286907</v>
      </c>
      <c r="AS25" t="n">
        <v>188646.550081688</v>
      </c>
      <c r="AT25" t="n">
        <v>0.051561459905307</v>
      </c>
      <c r="AU25" t="n">
        <v>0.0511486124733081</v>
      </c>
      <c r="AV25" t="n">
        <v>0.292560815717158</v>
      </c>
      <c r="AW25" t="n">
        <v>1011.52374890671</v>
      </c>
      <c r="AX25" t="n">
        <v>10535.4354980162</v>
      </c>
      <c r="AY25" t="n">
        <v>19293.6924048865</v>
      </c>
      <c r="AZ25" t="n">
        <v>180745.221344192</v>
      </c>
      <c r="BA25" t="n">
        <v>510755.318043893</v>
      </c>
      <c r="BB25" t="n">
        <v>228960.326139526</v>
      </c>
      <c r="BC25" t="n">
        <v>252824.427523278</v>
      </c>
      <c r="BD25" t="n">
        <v>101645.161733671</v>
      </c>
      <c r="BE25" t="n">
        <v>20.9342751961535</v>
      </c>
      <c r="BF25" t="n">
        <v>50344.2462001498</v>
      </c>
      <c r="BG25" t="n">
        <v>19457.4394633196</v>
      </c>
      <c r="BH25" t="n">
        <v>31844.9444590441</v>
      </c>
      <c r="BI25" t="n">
        <v>87446.5503097458</v>
      </c>
      <c r="BJ25" t="n">
        <v>50793.8101346353</v>
      </c>
      <c r="BK25" t="n">
        <v>104277.972576231</v>
      </c>
      <c r="BL25" t="n">
        <v>31115.3085104299</v>
      </c>
      <c r="BM25" t="n">
        <v>20348.8536983081</v>
      </c>
      <c r="BN25" t="n">
        <v>45409.6157208038</v>
      </c>
      <c r="BO25" t="n">
        <v>212741.310505773</v>
      </c>
      <c r="BP25" t="n">
        <v>213155.740183623</v>
      </c>
      <c r="BQ25" t="n">
        <v>979188.205072464</v>
      </c>
      <c r="BR25" t="n">
        <v>768018.677880552</v>
      </c>
      <c r="BS25" t="n">
        <v>776349.983602408</v>
      </c>
      <c r="BT25" t="n">
        <v>126.24193936789</v>
      </c>
      <c r="BU25" t="n">
        <v>1.27495364197549</v>
      </c>
      <c r="BV25" t="n">
        <v>1.17702315404871</v>
      </c>
      <c r="BW25" t="n">
        <v>104.168603288037</v>
      </c>
      <c r="BX25" t="n">
        <v>86344.6411120131</v>
      </c>
      <c r="BY25" t="n">
        <v>1.4114238526141</v>
      </c>
      <c r="BZ25" t="n">
        <v>121868.886010899</v>
      </c>
      <c r="CA25" t="n">
        <v>10541.4860252481</v>
      </c>
      <c r="CB25" t="n">
        <v>15678.0679494142</v>
      </c>
      <c r="CC25" t="n">
        <v>16512.8007594674</v>
      </c>
      <c r="CD25" t="n">
        <v>834.732810053141</v>
      </c>
      <c r="CE25" t="n">
        <v>0.0505506418945779</v>
      </c>
      <c r="CF25" t="n">
        <v>11618049.3105779</v>
      </c>
      <c r="CG25" t="n">
        <v>462988.853724627</v>
      </c>
      <c r="CH25" t="n">
        <v>607751.244185355</v>
      </c>
      <c r="CI25" t="n">
        <v>355126.195993493</v>
      </c>
      <c r="CJ25" t="n">
        <v>17755.2879712134</v>
      </c>
      <c r="CK25" t="n">
        <v>896704.585571718</v>
      </c>
      <c r="CL25" t="n">
        <v>0.076115901762321</v>
      </c>
      <c r="CM25" t="n">
        <v>13.1378591969204</v>
      </c>
      <c r="CN25" t="n">
        <v>1236084.25746921</v>
      </c>
      <c r="CO25" t="n">
        <v>3087472.13398061</v>
      </c>
      <c r="CP25" t="n">
        <v>3318170.01415073</v>
      </c>
      <c r="CQ25" t="n">
        <v>4323556.39144982</v>
      </c>
      <c r="CR25" t="n">
        <v>9698038.91674349</v>
      </c>
      <c r="CS25" t="n">
        <v>0.00723915015276701</v>
      </c>
      <c r="CT25" t="n">
        <v>0.00682630272076804</v>
      </c>
      <c r="CU25" t="n">
        <v>0.0679415334461558</v>
      </c>
      <c r="CV25" t="n">
        <v>1.68369416944916</v>
      </c>
      <c r="CW25" t="n">
        <v>0.0679415334461558</v>
      </c>
      <c r="CX25" t="n">
        <v>0.039440022763365</v>
      </c>
      <c r="CY25" t="n">
        <v>0.0184025231367616</v>
      </c>
      <c r="CZ25" t="n">
        <v>-0.0115762204159936</v>
      </c>
      <c r="DA25" t="n">
        <v>0.509813799229987</v>
      </c>
      <c r="DB25" t="n">
        <v>6.35329607620971</v>
      </c>
      <c r="DC25" t="n">
        <v>0.069290951155307</v>
      </c>
      <c r="DD25" t="n">
        <v>0.0472547356147437</v>
      </c>
      <c r="DE25" t="n">
        <v>0.00777448045280619</v>
      </c>
      <c r="DF25" t="n">
        <v>0.132029884819841</v>
      </c>
      <c r="DG25" t="n">
        <v>220150.825175584</v>
      </c>
      <c r="DH25" t="n">
        <v>128.000709341759</v>
      </c>
      <c r="DI25" t="n">
        <v>4.88740666752114</v>
      </c>
      <c r="DJ25" t="n">
        <v>4.23013580563675</v>
      </c>
      <c r="DK25" t="n">
        <v>0.0411256875275234</v>
      </c>
      <c r="DL25" t="n">
        <v>0.670223574218165</v>
      </c>
      <c r="DM25" t="n">
        <v>1.30777786353872</v>
      </c>
      <c r="DN25" t="n">
        <v>0.0357615042376472</v>
      </c>
      <c r="DO25" t="n">
        <v>0.0465455822795444</v>
      </c>
      <c r="DP25" t="n">
        <v>29555.3</v>
      </c>
      <c r="DQ25" t="n">
        <v>24751.68004653</v>
      </c>
      <c r="DR25" t="n">
        <v>175843.912628358</v>
      </c>
      <c r="DS25" t="n">
        <v>31046.4735726826</v>
      </c>
      <c r="DT25" t="n">
        <v>13260.4389745435</v>
      </c>
      <c r="DU25" t="n">
        <v>0</v>
      </c>
      <c r="DV25" t="n">
        <v>57.125</v>
      </c>
      <c r="DW25" t="n">
        <v>208288.96</v>
      </c>
      <c r="DX25" t="n">
        <v>2.28293314863443</v>
      </c>
      <c r="DY25" t="n">
        <v>73.69</v>
      </c>
      <c r="DZ25" t="n">
        <v>1.04315980240464</v>
      </c>
      <c r="EA25" t="n">
        <v>1.20449936397015</v>
      </c>
      <c r="EB25" t="n">
        <v>169557009.251796</v>
      </c>
      <c r="EC25" t="n">
        <v>3.15898045879354</v>
      </c>
      <c r="ED25" t="n">
        <v>0.0435</v>
      </c>
      <c r="EE25" t="n">
        <v>0.0304926484848485</v>
      </c>
      <c r="EF25" t="n">
        <v>0.03050813492075</v>
      </c>
      <c r="EG25" t="n">
        <v>0.0441803333333333</v>
      </c>
      <c r="EH25" t="n">
        <v>770437.956861816</v>
      </c>
      <c r="EI25" t="n">
        <v>405719.518677358</v>
      </c>
      <c r="EJ25" t="n">
        <v>1095.48845368902</v>
      </c>
      <c r="EK25" t="n">
        <v>1.58852573529016</v>
      </c>
      <c r="EL25" t="n">
        <v>4.432230975254</v>
      </c>
    </row>
    <row r="26">
      <c r="A26" s="2" t="n">
        <v>47908</v>
      </c>
      <c r="B26" t="n">
        <v>408498.312529432</v>
      </c>
      <c r="C26" t="n">
        <v>35649.9148686235</v>
      </c>
      <c r="D26" t="n">
        <v>27288.7301486904</v>
      </c>
      <c r="E26" t="n">
        <v>241879.840460641</v>
      </c>
      <c r="F26" t="n">
        <v>56684.0057446809</v>
      </c>
      <c r="G26" t="n">
        <v>13547.8058097149</v>
      </c>
      <c r="H26" t="n">
        <v>65847.7287627449</v>
      </c>
      <c r="I26" t="n">
        <v>74900.0811595026</v>
      </c>
      <c r="J26" t="n">
        <v>99278.9790679047</v>
      </c>
      <c r="K26" t="n">
        <v>399.4166053075</v>
      </c>
      <c r="L26" t="n">
        <v>5158.69171674781</v>
      </c>
      <c r="M26" t="n">
        <v>0.666943300653046</v>
      </c>
      <c r="N26" t="n">
        <v>32423.8128568776</v>
      </c>
      <c r="O26" t="n">
        <v>176.238948247898</v>
      </c>
      <c r="P26" t="n">
        <v>1.87821654685825</v>
      </c>
      <c r="Q26" t="n">
        <v>1.63158882024225</v>
      </c>
      <c r="R26" t="n">
        <v>1.1362757543282</v>
      </c>
      <c r="S26" t="n">
        <v>0.111752838164103</v>
      </c>
      <c r="T26" t="n">
        <v>8206.72518373176</v>
      </c>
      <c r="U26" t="n">
        <v>0.373106707596935</v>
      </c>
      <c r="V26" t="n">
        <v>0.516370802840193</v>
      </c>
      <c r="W26" t="n">
        <v>26144781.7425462</v>
      </c>
      <c r="X26" t="n">
        <v>79299.2629557062</v>
      </c>
      <c r="Y26" t="n">
        <v>4375875.07805387</v>
      </c>
      <c r="Z26" t="n">
        <v>1123.97985151107</v>
      </c>
      <c r="AA26" t="n">
        <v>1.18533304009344</v>
      </c>
      <c r="AB26" t="n">
        <v>1.15636428516252</v>
      </c>
      <c r="AC26" t="n">
        <v>1.31345895592817</v>
      </c>
      <c r="AD26" t="n">
        <v>1.431271174684</v>
      </c>
      <c r="AE26" t="n">
        <v>129.001467897572</v>
      </c>
      <c r="AF26" t="n">
        <v>92138.5073584496</v>
      </c>
      <c r="AG26" t="n">
        <v>1432.03987723012</v>
      </c>
      <c r="AH26" t="n">
        <v>130.460431474844</v>
      </c>
      <c r="AI26" t="n">
        <v>76473.4158625947</v>
      </c>
      <c r="AJ26" t="n">
        <v>90378.3245220035</v>
      </c>
      <c r="AK26" t="n">
        <v>636.171986345956</v>
      </c>
      <c r="AL26" t="n">
        <v>27066.9427980217</v>
      </c>
      <c r="AM26" t="n">
        <v>18826.2492356816</v>
      </c>
      <c r="AN26" t="n">
        <v>1.05412898467182</v>
      </c>
      <c r="AO26" t="n">
        <v>1.08506268244266</v>
      </c>
      <c r="AP26" t="n">
        <v>1.22986240580672</v>
      </c>
      <c r="AQ26" t="n">
        <v>1.27016585114172</v>
      </c>
      <c r="AR26" t="n">
        <v>35639.5351756402</v>
      </c>
      <c r="AS26" t="n">
        <v>190029.39170195</v>
      </c>
      <c r="AT26" t="n">
        <v>0.0504456422903688</v>
      </c>
      <c r="AU26" t="n">
        <v>0.0509414587692223</v>
      </c>
      <c r="AV26" t="n">
        <v>0.298445066663859</v>
      </c>
      <c r="AW26" t="n">
        <v>1001.6165805968</v>
      </c>
      <c r="AX26" t="n">
        <v>10551.0433636441</v>
      </c>
      <c r="AY26" t="n">
        <v>19371.9641385135</v>
      </c>
      <c r="AZ26" t="n">
        <v>181161.72761774</v>
      </c>
      <c r="BA26" t="n">
        <v>518860.607876279</v>
      </c>
      <c r="BB26" t="n">
        <v>231655.356725556</v>
      </c>
      <c r="BC26" t="n">
        <v>255284.990473612</v>
      </c>
      <c r="BD26" t="n">
        <v>102658.795868399</v>
      </c>
      <c r="BE26" t="n">
        <v>21.0399115379015</v>
      </c>
      <c r="BF26" t="n">
        <v>51024.6955313993</v>
      </c>
      <c r="BG26" t="n">
        <v>19817.1442322151</v>
      </c>
      <c r="BH26" t="n">
        <v>32346.2334674365</v>
      </c>
      <c r="BI26" t="n">
        <v>88431.1260386142</v>
      </c>
      <c r="BJ26" t="n">
        <v>51220.7980679794</v>
      </c>
      <c r="BK26" t="n">
        <v>104652.849404105</v>
      </c>
      <c r="BL26" t="n">
        <v>31607.0801145324</v>
      </c>
      <c r="BM26" t="n">
        <v>20427.6604960027</v>
      </c>
      <c r="BN26" t="n">
        <v>45975.5235284475</v>
      </c>
      <c r="BO26" t="n">
        <v>214252.673543088</v>
      </c>
      <c r="BP26" t="n">
        <v>215925.790400663</v>
      </c>
      <c r="BQ26" t="n">
        <v>991682.845081904</v>
      </c>
      <c r="BR26" t="n">
        <v>771134.419153049</v>
      </c>
      <c r="BS26" t="n">
        <v>780432.059703863</v>
      </c>
      <c r="BT26" t="n">
        <v>127.344307986988</v>
      </c>
      <c r="BU26" t="n">
        <v>1.28600517131302</v>
      </c>
      <c r="BV26" t="n">
        <v>1.18265969507186</v>
      </c>
      <c r="BW26" t="n">
        <v>104.0821024797</v>
      </c>
      <c r="BX26" t="n">
        <v>86915.1113027833</v>
      </c>
      <c r="BY26" t="n">
        <v>1.43963615724505</v>
      </c>
      <c r="BZ26" t="n">
        <v>125126.136842464</v>
      </c>
      <c r="CA26" t="n">
        <v>10560.0698851779</v>
      </c>
      <c r="CB26" t="n">
        <v>15718.7616019257</v>
      </c>
      <c r="CC26" t="n">
        <v>16563.0575018679</v>
      </c>
      <c r="CD26" t="n">
        <v>844.295899942241</v>
      </c>
      <c r="CE26" t="n">
        <v>0.0509746324325546</v>
      </c>
      <c r="CF26" t="n">
        <v>11652838.2440006</v>
      </c>
      <c r="CG26" t="n">
        <v>468269.788444038</v>
      </c>
      <c r="CH26" t="n">
        <v>615416.141247739</v>
      </c>
      <c r="CI26" t="n">
        <v>360022.400321964</v>
      </c>
      <c r="CJ26" t="n">
        <v>17979.2158626235</v>
      </c>
      <c r="CK26" t="n">
        <v>908146.717874265</v>
      </c>
      <c r="CL26" t="n">
        <v>0.0775183732979196</v>
      </c>
      <c r="CM26" t="n">
        <v>12.9001675016681</v>
      </c>
      <c r="CN26" t="n">
        <v>1243385.69538085</v>
      </c>
      <c r="CO26" t="n">
        <v>3112654.74960799</v>
      </c>
      <c r="CP26" t="n">
        <v>3327297.84397206</v>
      </c>
      <c r="CQ26" t="n">
        <v>4356040.44498884</v>
      </c>
      <c r="CR26" t="n">
        <v>9739650.80010384</v>
      </c>
      <c r="CS26" t="n">
        <v>0.00614402312013359</v>
      </c>
      <c r="CT26" t="n">
        <v>0.00663983959898712</v>
      </c>
      <c r="CU26" t="n">
        <v>0.0674512189938675</v>
      </c>
      <c r="CV26" t="n">
        <v>1.70203474710034</v>
      </c>
      <c r="CW26" t="n">
        <v>0.0674512189938673</v>
      </c>
      <c r="CX26" t="n">
        <v>0.039440022763365</v>
      </c>
      <c r="CY26" t="n">
        <v>0.0183887730434136</v>
      </c>
      <c r="CZ26" t="n">
        <v>-0.0117489334444265</v>
      </c>
      <c r="DA26" t="n">
        <v>0.505898093891098</v>
      </c>
      <c r="DB26" t="n">
        <v>6.37759055353686</v>
      </c>
      <c r="DC26" t="n">
        <v>0.0681751335403688</v>
      </c>
      <c r="DD26" t="n">
        <v>0.0464971231226831</v>
      </c>
      <c r="DE26" t="n">
        <v>0.00775898271957037</v>
      </c>
      <c r="DF26" t="n">
        <v>0.132837868871142</v>
      </c>
      <c r="DG26" t="n">
        <v>220810.041899084</v>
      </c>
      <c r="DH26" t="n">
        <v>128.937627051718</v>
      </c>
      <c r="DI26" t="n">
        <v>4.89485684192041</v>
      </c>
      <c r="DJ26" t="n">
        <v>4.23466477620543</v>
      </c>
      <c r="DK26" t="n">
        <v>0.0411256875275234</v>
      </c>
      <c r="DL26" t="n">
        <v>0.670223574218165</v>
      </c>
      <c r="DM26" t="n">
        <v>1.32117482047153</v>
      </c>
      <c r="DN26" t="n">
        <v>0.0357615042376472</v>
      </c>
      <c r="DO26" t="n">
        <v>0.0465455822795444</v>
      </c>
      <c r="DP26" t="n">
        <v>29643.8</v>
      </c>
      <c r="DQ26" t="n">
        <v>24834.281243473</v>
      </c>
      <c r="DR26" t="n">
        <v>176370.457318062</v>
      </c>
      <c r="DS26" t="n">
        <v>31139.4387231356</v>
      </c>
      <c r="DT26" t="n">
        <v>13300.1458578858</v>
      </c>
      <c r="DU26" t="n">
        <v>0</v>
      </c>
      <c r="DV26" t="n">
        <v>57.125</v>
      </c>
      <c r="DW26" t="n">
        <v>208288.96</v>
      </c>
      <c r="DX26" t="n">
        <v>2.2947578707023</v>
      </c>
      <c r="DY26" t="n">
        <v>73.5938118310111</v>
      </c>
      <c r="DZ26" t="n">
        <v>1.03747956574746</v>
      </c>
      <c r="EA26" t="n">
        <v>1.20449936397015</v>
      </c>
      <c r="EB26" t="n">
        <v>170935146.341831</v>
      </c>
      <c r="EC26" t="n">
        <v>3.16067903168604</v>
      </c>
      <c r="ED26" t="n">
        <v>0.0435</v>
      </c>
      <c r="EE26" t="n">
        <v>0.0304926484848485</v>
      </c>
      <c r="EF26" t="n">
        <v>0.03050813492075</v>
      </c>
      <c r="EG26" t="n">
        <v>0.0441803333333333</v>
      </c>
      <c r="EH26" t="n">
        <v>773315.538541278</v>
      </c>
      <c r="EI26" t="n">
        <v>408087.438685521</v>
      </c>
      <c r="EJ26" t="n">
        <v>1113.96687057999</v>
      </c>
      <c r="EK26" t="n">
        <v>1.57293781853618</v>
      </c>
      <c r="EL26" t="n">
        <v>4.43016191702352</v>
      </c>
    </row>
    <row r="27">
      <c r="A27" s="2" t="n">
        <v>48000</v>
      </c>
      <c r="B27" t="n">
        <v>410918.282681266</v>
      </c>
      <c r="C27" t="n">
        <v>35709.4100571145</v>
      </c>
      <c r="D27" t="n">
        <v>27537.6812553523</v>
      </c>
      <c r="E27" t="n">
        <v>242886.981234583</v>
      </c>
      <c r="F27" t="n">
        <v>57398.3419202567</v>
      </c>
      <c r="G27" t="n">
        <v>13657.3848622118</v>
      </c>
      <c r="H27" t="n">
        <v>66714.8435618055</v>
      </c>
      <c r="I27" t="n">
        <v>75480.9376901168</v>
      </c>
      <c r="J27" t="n">
        <v>99495.6364340653</v>
      </c>
      <c r="K27" t="n">
        <v>398.939546671499</v>
      </c>
      <c r="L27" t="n">
        <v>5180.82784174368</v>
      </c>
      <c r="M27" t="n">
        <v>0.666770982346455</v>
      </c>
      <c r="N27" t="n">
        <v>32711.1969303773</v>
      </c>
      <c r="O27" t="n">
        <v>178.153058960589</v>
      </c>
      <c r="P27" t="n">
        <v>1.91011447646467</v>
      </c>
      <c r="Q27" t="n">
        <v>1.65009411285079</v>
      </c>
      <c r="R27" t="n">
        <v>1.14264560749203</v>
      </c>
      <c r="S27" t="n">
        <v>0.111239734957713</v>
      </c>
      <c r="T27" t="n">
        <v>8070.08925403838</v>
      </c>
      <c r="U27" t="n">
        <v>0.372372639219318</v>
      </c>
      <c r="V27" t="n">
        <v>0.513074595215352</v>
      </c>
      <c r="W27" t="n">
        <v>26545398.7478585</v>
      </c>
      <c r="X27" t="n">
        <v>80498.6638408018</v>
      </c>
      <c r="Y27" t="n">
        <v>4378269.78225659</v>
      </c>
      <c r="Z27" t="n">
        <v>1140.67182940438</v>
      </c>
      <c r="AA27" t="n">
        <v>1.19248064927736</v>
      </c>
      <c r="AB27" t="n">
        <v>1.16292120539257</v>
      </c>
      <c r="AC27" t="n">
        <v>1.32496507284908</v>
      </c>
      <c r="AD27" t="n">
        <v>1.44826400759005</v>
      </c>
      <c r="AE27" t="n">
        <v>130.069246624784</v>
      </c>
      <c r="AF27" t="n">
        <v>92614.7356093896</v>
      </c>
      <c r="AG27" t="n">
        <v>1462.56198311016</v>
      </c>
      <c r="AH27" t="n">
        <v>133.087986903586</v>
      </c>
      <c r="AI27" t="n">
        <v>76885.7676720094</v>
      </c>
      <c r="AJ27" t="n">
        <v>91863.9520979878</v>
      </c>
      <c r="AK27" t="n">
        <v>636.769823229381</v>
      </c>
      <c r="AL27" t="n">
        <v>27354.9731271075</v>
      </c>
      <c r="AM27" t="n">
        <v>18779.1643844167</v>
      </c>
      <c r="AN27" t="n">
        <v>1.05529070712683</v>
      </c>
      <c r="AO27" t="n">
        <v>1.0918524751175</v>
      </c>
      <c r="AP27" t="n">
        <v>1.23787548489096</v>
      </c>
      <c r="AQ27" t="n">
        <v>1.28188350633227</v>
      </c>
      <c r="AR27" t="n">
        <v>35771.126837722</v>
      </c>
      <c r="AS27" t="n">
        <v>191358.897008286</v>
      </c>
      <c r="AT27" t="n">
        <v>0.0492826471078849</v>
      </c>
      <c r="AU27" t="n">
        <v>0.050678245390711</v>
      </c>
      <c r="AV27" t="n">
        <v>0.304757626313857</v>
      </c>
      <c r="AW27" t="n">
        <v>1007.14077394229</v>
      </c>
      <c r="AX27" t="n">
        <v>10568.651717437</v>
      </c>
      <c r="AY27" t="n">
        <v>19443.9819726214</v>
      </c>
      <c r="AZ27" t="n">
        <v>181534.909628825</v>
      </c>
      <c r="BA27" t="n">
        <v>526749.37005744</v>
      </c>
      <c r="BB27" t="n">
        <v>234382.349152004</v>
      </c>
      <c r="BC27" t="n">
        <v>257740.279080771</v>
      </c>
      <c r="BD27" t="n">
        <v>103957.030150919</v>
      </c>
      <c r="BE27" t="n">
        <v>21.1752076133185</v>
      </c>
      <c r="BF27" t="n">
        <v>51716.6533179933</v>
      </c>
      <c r="BG27" t="n">
        <v>20187.3346421896</v>
      </c>
      <c r="BH27" t="n">
        <v>32838.1520229754</v>
      </c>
      <c r="BI27" t="n">
        <v>89412.0887663317</v>
      </c>
      <c r="BJ27" t="n">
        <v>51667.8912930288</v>
      </c>
      <c r="BK27" t="n">
        <v>104996.820528539</v>
      </c>
      <c r="BL27" t="n">
        <v>32084.4001833994</v>
      </c>
      <c r="BM27" t="n">
        <v>20504.0771137638</v>
      </c>
      <c r="BN27" t="n">
        <v>46527.2351870209</v>
      </c>
      <c r="BO27" t="n">
        <v>215702.093012723</v>
      </c>
      <c r="BP27" t="n">
        <v>218655.403121037</v>
      </c>
      <c r="BQ27" t="n">
        <v>1004000.52914365</v>
      </c>
      <c r="BR27" t="n">
        <v>774001.213183132</v>
      </c>
      <c r="BS27" t="n">
        <v>784255.176530579</v>
      </c>
      <c r="BT27" t="n">
        <v>128.457782837109</v>
      </c>
      <c r="BU27" t="n">
        <v>1.29715628108624</v>
      </c>
      <c r="BV27" t="n">
        <v>1.18821274350899</v>
      </c>
      <c r="BW27" t="n">
        <v>103.987862528696</v>
      </c>
      <c r="BX27" t="n">
        <v>87430.0019856693</v>
      </c>
      <c r="BY27" t="n">
        <v>1.46863133806439</v>
      </c>
      <c r="BZ27" t="n">
        <v>128402.440803186</v>
      </c>
      <c r="CA27" t="n">
        <v>10578.4837195217</v>
      </c>
      <c r="CB27" t="n">
        <v>15759.3115612654</v>
      </c>
      <c r="CC27" t="n">
        <v>16613.8879628223</v>
      </c>
      <c r="CD27" t="n">
        <v>854.576401556958</v>
      </c>
      <c r="CE27" t="n">
        <v>0.0514374644007083</v>
      </c>
      <c r="CF27" t="n">
        <v>11687627.1774232</v>
      </c>
      <c r="CG27" t="n">
        <v>473638.944881642</v>
      </c>
      <c r="CH27" t="n">
        <v>623326.850574803</v>
      </c>
      <c r="CI27" t="n">
        <v>364682.950022944</v>
      </c>
      <c r="CJ27" t="n">
        <v>18210.3250927607</v>
      </c>
      <c r="CK27" t="n">
        <v>919426.80042078</v>
      </c>
      <c r="CL27" t="n">
        <v>0.0789049294480521</v>
      </c>
      <c r="CM27" t="n">
        <v>12.6734794263819</v>
      </c>
      <c r="CN27" t="n">
        <v>1250832.08677132</v>
      </c>
      <c r="CO27" t="n">
        <v>3137844.21687446</v>
      </c>
      <c r="CP27" t="n">
        <v>3336405.59618031</v>
      </c>
      <c r="CQ27" t="n">
        <v>4388676.30364578</v>
      </c>
      <c r="CR27" t="n">
        <v>9781394.41096903</v>
      </c>
      <c r="CS27" t="n">
        <v>0.00500747446444683</v>
      </c>
      <c r="CT27" t="n">
        <v>0.0064030727472729</v>
      </c>
      <c r="CU27" t="n">
        <v>0.0669645623142747</v>
      </c>
      <c r="CV27" t="n">
        <v>1.72052034846817</v>
      </c>
      <c r="CW27" t="n">
        <v>0.0669645623142747</v>
      </c>
      <c r="CX27" t="n">
        <v>0.039440022763365</v>
      </c>
      <c r="CY27" t="n">
        <v>0.018375022763365</v>
      </c>
      <c r="CZ27" t="n">
        <v>-0.0119719500160921</v>
      </c>
      <c r="DA27" t="n">
        <v>0.502049118796214</v>
      </c>
      <c r="DB27" t="n">
        <v>6.40276308506559</v>
      </c>
      <c r="DC27" t="n">
        <v>0.0670121383578849</v>
      </c>
      <c r="DD27" t="n">
        <v>0.045704778398229</v>
      </c>
      <c r="DE27" t="n">
        <v>0.00773929895134519</v>
      </c>
      <c r="DF27" t="n">
        <v>0.133624994608067</v>
      </c>
      <c r="DG27" t="n">
        <v>221469.258622583</v>
      </c>
      <c r="DH27" t="n">
        <v>129.932975857101</v>
      </c>
      <c r="DI27" t="n">
        <v>4.90270401671908</v>
      </c>
      <c r="DJ27" t="n">
        <v>4.23959074717351</v>
      </c>
      <c r="DK27" t="n">
        <v>0.0411256875275234</v>
      </c>
      <c r="DL27" t="n">
        <v>0.670223574218165</v>
      </c>
      <c r="DM27" t="n">
        <v>1.3347090166558</v>
      </c>
      <c r="DN27" t="n">
        <v>0.0357615042376472</v>
      </c>
      <c r="DO27" t="n">
        <v>0.0465455822795444</v>
      </c>
      <c r="DP27" t="n">
        <v>29732.3</v>
      </c>
      <c r="DQ27" t="n">
        <v>24916.933104011</v>
      </c>
      <c r="DR27" t="n">
        <v>176897.002007766</v>
      </c>
      <c r="DS27" t="n">
        <v>31232.4038735885</v>
      </c>
      <c r="DT27" t="n">
        <v>13339.8527412281</v>
      </c>
      <c r="DU27" t="n">
        <v>0</v>
      </c>
      <c r="DV27" t="n">
        <v>57.125</v>
      </c>
      <c r="DW27" t="n">
        <v>208288.96</v>
      </c>
      <c r="DX27" t="n">
        <v>2.30664384031571</v>
      </c>
      <c r="DY27" t="n">
        <v>73.4977492172379</v>
      </c>
      <c r="DZ27" t="n">
        <v>1.03183025923963</v>
      </c>
      <c r="EA27" t="n">
        <v>1.20449936397015</v>
      </c>
      <c r="EB27" t="n">
        <v>172324484.749035</v>
      </c>
      <c r="EC27" t="n">
        <v>3.16237851789531</v>
      </c>
      <c r="ED27" t="n">
        <v>0.0435</v>
      </c>
      <c r="EE27" t="n">
        <v>0.0304926484848485</v>
      </c>
      <c r="EF27" t="n">
        <v>0.03050813492075</v>
      </c>
      <c r="EG27" t="n">
        <v>0.0441803333333333</v>
      </c>
      <c r="EH27" t="n">
        <v>776142.202335747</v>
      </c>
      <c r="EI27" t="n">
        <v>410474.981897473</v>
      </c>
      <c r="EJ27" t="n">
        <v>1132.31082523605</v>
      </c>
      <c r="EK27" t="n">
        <v>1.58649019874333</v>
      </c>
      <c r="EL27" t="n">
        <v>4.42751726434381</v>
      </c>
    </row>
    <row r="28">
      <c r="A28" s="2" t="n">
        <v>48092</v>
      </c>
      <c r="B28" t="n">
        <v>413479.725044692</v>
      </c>
      <c r="C28" t="n">
        <v>35777.3124723607</v>
      </c>
      <c r="D28" t="n">
        <v>27778.3829893863</v>
      </c>
      <c r="E28" t="n">
        <v>243874.855387047</v>
      </c>
      <c r="F28" t="n">
        <v>58157.9344624719</v>
      </c>
      <c r="G28" t="n">
        <v>13773.6455080511</v>
      </c>
      <c r="H28" t="n">
        <v>67604.5720698973</v>
      </c>
      <c r="I28" t="n">
        <v>79678.9379598466</v>
      </c>
      <c r="J28" t="n">
        <v>99738.356878033</v>
      </c>
      <c r="K28" t="n">
        <v>398.501384925136</v>
      </c>
      <c r="L28" t="n">
        <v>5203.29824147</v>
      </c>
      <c r="M28" t="n">
        <v>0.666607971341531</v>
      </c>
      <c r="N28" t="n">
        <v>32995.2053205049</v>
      </c>
      <c r="O28" t="n">
        <v>180.088948774833</v>
      </c>
      <c r="P28" t="n">
        <v>1.94256439653408</v>
      </c>
      <c r="Q28" t="n">
        <v>1.66827984663978</v>
      </c>
      <c r="R28" t="n">
        <v>1.14901539054387</v>
      </c>
      <c r="S28" t="n">
        <v>0.110864363634453</v>
      </c>
      <c r="T28" t="n">
        <v>7939.79929731069</v>
      </c>
      <c r="U28" t="n">
        <v>0.37166373030796</v>
      </c>
      <c r="V28" t="n">
        <v>0.509831614610079</v>
      </c>
      <c r="W28" t="n">
        <v>26957146.9893824</v>
      </c>
      <c r="X28" t="n">
        <v>81727.7562928769</v>
      </c>
      <c r="Y28" t="n">
        <v>4381339.7613037</v>
      </c>
      <c r="Z28" t="n">
        <v>1157.98164988629</v>
      </c>
      <c r="AA28" t="n">
        <v>1.19966976351499</v>
      </c>
      <c r="AB28" t="n">
        <v>1.16952755342077</v>
      </c>
      <c r="AC28" t="n">
        <v>1.33644193067579</v>
      </c>
      <c r="AD28" t="n">
        <v>1.46528608009327</v>
      </c>
      <c r="AE28" t="n">
        <v>131.143806378865</v>
      </c>
      <c r="AF28" t="n">
        <v>93175.8667626699</v>
      </c>
      <c r="AG28" t="n">
        <v>1493.78160305256</v>
      </c>
      <c r="AH28" t="n">
        <v>135.786658223847</v>
      </c>
      <c r="AI28" t="n">
        <v>77298.2948592299</v>
      </c>
      <c r="AJ28" t="n">
        <v>93391.0672573448</v>
      </c>
      <c r="AK28" t="n">
        <v>637.573694714786</v>
      </c>
      <c r="AL28" t="n">
        <v>27653.7519419997</v>
      </c>
      <c r="AM28" t="n">
        <v>18735.7880887086</v>
      </c>
      <c r="AN28" t="n">
        <v>1.05636693367682</v>
      </c>
      <c r="AO28" t="n">
        <v>1.0985117697907</v>
      </c>
      <c r="AP28" t="n">
        <v>1.24598906052329</v>
      </c>
      <c r="AQ28" t="n">
        <v>1.29378404155586</v>
      </c>
      <c r="AR28" t="n">
        <v>35913.3867639511</v>
      </c>
      <c r="AS28" t="n">
        <v>192712.299414277</v>
      </c>
      <c r="AT28" t="n">
        <v>0.0483696869482906</v>
      </c>
      <c r="AU28" t="n">
        <v>0.0503779174256857</v>
      </c>
      <c r="AV28" t="n">
        <v>0.308891287772515</v>
      </c>
      <c r="AW28" t="n">
        <v>987.874152464356</v>
      </c>
      <c r="AX28" t="n">
        <v>10588.7482963601</v>
      </c>
      <c r="AY28" t="n">
        <v>19519.779054255</v>
      </c>
      <c r="AZ28" t="n">
        <v>181952.310784948</v>
      </c>
      <c r="BA28" t="n">
        <v>534953.470794771</v>
      </c>
      <c r="BB28" t="n">
        <v>237127.598000487</v>
      </c>
      <c r="BC28" t="n">
        <v>260365.77074509</v>
      </c>
      <c r="BD28" t="n">
        <v>108726.90944044</v>
      </c>
      <c r="BE28" t="n">
        <v>21.6723027499772</v>
      </c>
      <c r="BF28" t="n">
        <v>52423.9979488976</v>
      </c>
      <c r="BG28" t="n">
        <v>20569.3254443701</v>
      </c>
      <c r="BH28" t="n">
        <v>33324.8861517058</v>
      </c>
      <c r="BI28" t="n">
        <v>90402.4848067706</v>
      </c>
      <c r="BJ28" t="n">
        <v>52093.1271275201</v>
      </c>
      <c r="BK28" t="n">
        <v>105360.302225212</v>
      </c>
      <c r="BL28" t="n">
        <v>32564.454007075</v>
      </c>
      <c r="BM28" t="n">
        <v>20581.4837317507</v>
      </c>
      <c r="BN28" t="n">
        <v>47098.1824018091</v>
      </c>
      <c r="BO28" t="n">
        <v>217193.982365847</v>
      </c>
      <c r="BP28" t="n">
        <v>221429.397974103</v>
      </c>
      <c r="BQ28" t="n">
        <v>1016659.47466627</v>
      </c>
      <c r="BR28" t="n">
        <v>777018.446669993</v>
      </c>
      <c r="BS28" t="n">
        <v>788208.41107687</v>
      </c>
      <c r="BT28" t="n">
        <v>129.582613110468</v>
      </c>
      <c r="BU28" t="n">
        <v>1.30841099746083</v>
      </c>
      <c r="BV28" t="n">
        <v>1.19368630949981</v>
      </c>
      <c r="BW28" t="n">
        <v>103.887756362845</v>
      </c>
      <c r="BX28" t="n">
        <v>87974.9933388386</v>
      </c>
      <c r="BY28" t="n">
        <v>1.49841128563352</v>
      </c>
      <c r="BZ28" t="n">
        <v>131822.722872449</v>
      </c>
      <c r="CA28" t="n">
        <v>10597.5406483675</v>
      </c>
      <c r="CB28" t="n">
        <v>15800.8388898375</v>
      </c>
      <c r="CC28" t="n">
        <v>16663.0717021214</v>
      </c>
      <c r="CD28" t="n">
        <v>862.232812283884</v>
      </c>
      <c r="CE28" t="n">
        <v>0.0517451222948922</v>
      </c>
      <c r="CF28" t="n">
        <v>11722976.2716382</v>
      </c>
      <c r="CG28" t="n">
        <v>479010.141015342</v>
      </c>
      <c r="CH28" t="n">
        <v>635302.107452238</v>
      </c>
      <c r="CI28" t="n">
        <v>369594.421461479</v>
      </c>
      <c r="CJ28" t="n">
        <v>18560.1789785773</v>
      </c>
      <c r="CK28" t="n">
        <v>931019.39767617</v>
      </c>
      <c r="CL28" t="n">
        <v>0.0803009837957416</v>
      </c>
      <c r="CM28" t="n">
        <v>12.4531475547505</v>
      </c>
      <c r="CN28" t="n">
        <v>1258408.59742002</v>
      </c>
      <c r="CO28" t="n">
        <v>3163031.01551012</v>
      </c>
      <c r="CP28" t="n">
        <v>3345500.19019527</v>
      </c>
      <c r="CQ28" t="n">
        <v>4421439.61293013</v>
      </c>
      <c r="CR28" t="n">
        <v>9823252.31426834</v>
      </c>
      <c r="CS28" t="n">
        <v>0.00413598091775168</v>
      </c>
      <c r="CT28" t="n">
        <v>0.00614421139514677</v>
      </c>
      <c r="CU28" t="n">
        <v>0.0666306576039138</v>
      </c>
      <c r="CV28" t="n">
        <v>1.73921628238719</v>
      </c>
      <c r="CW28" t="n">
        <v>0.066630657603914</v>
      </c>
      <c r="CX28" t="n">
        <v>0.039440022763365</v>
      </c>
      <c r="CY28" t="n">
        <v>0.0183950249028683</v>
      </c>
      <c r="CZ28" t="n">
        <v>-0.0122508135077215</v>
      </c>
      <c r="DA28" t="n">
        <v>0.49827707948792</v>
      </c>
      <c r="DB28" t="n">
        <v>6.43005391371423</v>
      </c>
      <c r="DC28" t="n">
        <v>0.0660991781982906</v>
      </c>
      <c r="DD28" t="n">
        <v>0.0450808227904906</v>
      </c>
      <c r="DE28" t="n">
        <v>0.00771685051660851</v>
      </c>
      <c r="DF28" t="n">
        <v>0.134465252442949</v>
      </c>
      <c r="DG28" t="n">
        <v>222139.089852647</v>
      </c>
      <c r="DH28" t="n">
        <v>130.896188211365</v>
      </c>
      <c r="DI28" t="n">
        <v>4.91024702601598</v>
      </c>
      <c r="DJ28" t="n">
        <v>4.2442125526398</v>
      </c>
      <c r="DK28" t="n">
        <v>0.0411256875275234</v>
      </c>
      <c r="DL28" t="n">
        <v>0.670223574218165</v>
      </c>
      <c r="DM28" t="n">
        <v>1.34838185797886</v>
      </c>
      <c r="DN28" t="n">
        <v>0.0357615042376472</v>
      </c>
      <c r="DO28" t="n">
        <v>0.0465455822795444</v>
      </c>
      <c r="DP28" t="n">
        <v>29822.225</v>
      </c>
      <c r="DQ28" t="n">
        <v>24996.8083468721</v>
      </c>
      <c r="DR28" t="n">
        <v>177432.024959423</v>
      </c>
      <c r="DS28" t="n">
        <v>31326.8659205318</v>
      </c>
      <c r="DT28" t="n">
        <v>13380.1989726921</v>
      </c>
      <c r="DU28" t="n">
        <v>0</v>
      </c>
      <c r="DV28" t="n">
        <v>57.45</v>
      </c>
      <c r="DW28" t="n">
        <v>208288.96</v>
      </c>
      <c r="DX28" t="n">
        <v>2.31859137471356</v>
      </c>
      <c r="DY28" t="n">
        <v>73.4018119947924</v>
      </c>
      <c r="DZ28" t="n">
        <v>1.02621171445962</v>
      </c>
      <c r="EA28" t="n">
        <v>1.20449936397015</v>
      </c>
      <c r="EB28" t="n">
        <v>173725115.516243</v>
      </c>
      <c r="EC28" t="n">
        <v>3.16407891791246</v>
      </c>
      <c r="ED28" t="n">
        <v>0.0435</v>
      </c>
      <c r="EE28" t="n">
        <v>0.0304926484848485</v>
      </c>
      <c r="EF28" t="n">
        <v>0.03050813492075</v>
      </c>
      <c r="EG28" t="n">
        <v>0.0441803333333333</v>
      </c>
      <c r="EH28" t="n">
        <v>778959.228739688</v>
      </c>
      <c r="EI28" t="n">
        <v>412907.310725773</v>
      </c>
      <c r="EJ28" t="n">
        <v>1150.63427058727</v>
      </c>
      <c r="EK28" t="n">
        <v>1.57196921014713</v>
      </c>
      <c r="EL28" t="n">
        <v>4.42337060305389</v>
      </c>
    </row>
    <row r="29">
      <c r="A29" s="2" t="n">
        <v>48183</v>
      </c>
      <c r="B29" t="n">
        <v>416192.360269139</v>
      </c>
      <c r="C29" t="n">
        <v>35856.1655988353</v>
      </c>
      <c r="D29" t="n">
        <v>28008.9130905476</v>
      </c>
      <c r="E29" t="n">
        <v>244867.011088667</v>
      </c>
      <c r="F29" t="n">
        <v>58932.7465104095</v>
      </c>
      <c r="G29" t="n">
        <v>13894.5865649313</v>
      </c>
      <c r="H29" t="n">
        <v>68514.8826973049</v>
      </c>
      <c r="I29" t="n">
        <v>79529.3198031524</v>
      </c>
      <c r="J29" t="n">
        <v>99984.9750943562</v>
      </c>
      <c r="K29" t="n">
        <v>398.080029267262</v>
      </c>
      <c r="L29" t="n">
        <v>5226.15363374075</v>
      </c>
      <c r="M29" t="n">
        <v>0.666474297007358</v>
      </c>
      <c r="N29" t="n">
        <v>33284.3272636924</v>
      </c>
      <c r="O29" t="n">
        <v>182.042101605875</v>
      </c>
      <c r="P29" t="n">
        <v>1.97560432778596</v>
      </c>
      <c r="Q29" t="n">
        <v>1.68621413739496</v>
      </c>
      <c r="R29" t="n">
        <v>1.15545529530577</v>
      </c>
      <c r="S29" t="n">
        <v>0.110623081288831</v>
      </c>
      <c r="T29" t="n">
        <v>7817.13736844426</v>
      </c>
      <c r="U29" t="n">
        <v>0.37095265287929</v>
      </c>
      <c r="V29" t="n">
        <v>0.506601456641368</v>
      </c>
      <c r="W29" t="n">
        <v>27378111.7340773</v>
      </c>
      <c r="X29" t="n">
        <v>82988.5512964097</v>
      </c>
      <c r="Y29" t="n">
        <v>4385157.01322144</v>
      </c>
      <c r="Z29" t="n">
        <v>1175.68143296744</v>
      </c>
      <c r="AA29" t="n">
        <v>1.20694797086816</v>
      </c>
      <c r="AB29" t="n">
        <v>1.17616572886251</v>
      </c>
      <c r="AC29" t="n">
        <v>1.34798586009269</v>
      </c>
      <c r="AD29" t="n">
        <v>1.48235880463006</v>
      </c>
      <c r="AE29" t="n">
        <v>132.22302745566</v>
      </c>
      <c r="AF29" t="n">
        <v>93815.5752035362</v>
      </c>
      <c r="AG29" t="n">
        <v>1525.22333418019</v>
      </c>
      <c r="AH29" t="n">
        <v>138.546458054913</v>
      </c>
      <c r="AI29" t="n">
        <v>77722.8427257777</v>
      </c>
      <c r="AJ29" t="n">
        <v>94896.6085771345</v>
      </c>
      <c r="AK29" t="n">
        <v>638.33347335196</v>
      </c>
      <c r="AL29" t="n">
        <v>27965.0031827774</v>
      </c>
      <c r="AM29" t="n">
        <v>18694.6413833263</v>
      </c>
      <c r="AN29" t="n">
        <v>1.05745042456003</v>
      </c>
      <c r="AO29" t="n">
        <v>1.10529012445032</v>
      </c>
      <c r="AP29" t="n">
        <v>1.25419049321811</v>
      </c>
      <c r="AQ29" t="n">
        <v>1.30583601680308</v>
      </c>
      <c r="AR29" t="n">
        <v>36063.6384225965</v>
      </c>
      <c r="AS29" t="n">
        <v>194165.127049979</v>
      </c>
      <c r="AT29" t="n">
        <v>0.0475814269913548</v>
      </c>
      <c r="AU29" t="n">
        <v>0.0500505507230739</v>
      </c>
      <c r="AV29" t="n">
        <v>0.312083711583534</v>
      </c>
      <c r="AW29" t="n">
        <v>992.15570162033</v>
      </c>
      <c r="AX29" t="n">
        <v>10612.0858768244</v>
      </c>
      <c r="AY29" t="n">
        <v>19598.2941114654</v>
      </c>
      <c r="AZ29" t="n">
        <v>182386.549011744</v>
      </c>
      <c r="BA29" t="n">
        <v>543478.974973756</v>
      </c>
      <c r="BB29" t="n">
        <v>239897.064146575</v>
      </c>
      <c r="BC29" t="n">
        <v>263122.794158959</v>
      </c>
      <c r="BD29" t="n">
        <v>109045.06423324</v>
      </c>
      <c r="BE29" t="n">
        <v>21.7054593962163</v>
      </c>
      <c r="BF29" t="n">
        <v>53151.702775707</v>
      </c>
      <c r="BG29" t="n">
        <v>20965.2827850906</v>
      </c>
      <c r="BH29" t="n">
        <v>33805.3008208591</v>
      </c>
      <c r="BI29" t="n">
        <v>91414.9430964004</v>
      </c>
      <c r="BJ29" t="n">
        <v>52548.2700528775</v>
      </c>
      <c r="BK29" t="n">
        <v>105729.154363151</v>
      </c>
      <c r="BL29" t="n">
        <v>33046.9205995774</v>
      </c>
      <c r="BM29" t="n">
        <v>20663.0025011309</v>
      </c>
      <c r="BN29" t="n">
        <v>47684.4345330196</v>
      </c>
      <c r="BO29" t="n">
        <v>218713.071996879</v>
      </c>
      <c r="BP29" t="n">
        <v>224349.124213616</v>
      </c>
      <c r="BQ29" t="n">
        <v>1029625.48643453</v>
      </c>
      <c r="BR29" t="n">
        <v>780143.873852708</v>
      </c>
      <c r="BS29" t="n">
        <v>792352.427654032</v>
      </c>
      <c r="BT29" t="n">
        <v>130.718471599111</v>
      </c>
      <c r="BU29" t="n">
        <v>1.31978924270531</v>
      </c>
      <c r="BV29" t="n">
        <v>1.19917325692036</v>
      </c>
      <c r="BW29" t="n">
        <v>103.783613419939</v>
      </c>
      <c r="BX29" t="n">
        <v>88552.153599298</v>
      </c>
      <c r="BY29" t="n">
        <v>1.52886578880085</v>
      </c>
      <c r="BZ29" t="n">
        <v>135384.358162605</v>
      </c>
      <c r="CA29" t="n">
        <v>10618.0007278926</v>
      </c>
      <c r="CB29" t="n">
        <v>15844.1543616334</v>
      </c>
      <c r="CC29" t="n">
        <v>16712.9832110689</v>
      </c>
      <c r="CD29" t="n">
        <v>868.828849435573</v>
      </c>
      <c r="CE29" t="n">
        <v>0.0519852566698578</v>
      </c>
      <c r="CF29" t="n">
        <v>11758325.3658533</v>
      </c>
      <c r="CG29" t="n">
        <v>484532.124541851</v>
      </c>
      <c r="CH29" t="n">
        <v>642393.018435935</v>
      </c>
      <c r="CI29" t="n">
        <v>374606.881114482</v>
      </c>
      <c r="CJ29" t="n">
        <v>18767.33802218</v>
      </c>
      <c r="CK29" t="n">
        <v>942893.194918566</v>
      </c>
      <c r="CL29" t="n">
        <v>0.0816582136484829</v>
      </c>
      <c r="CM29" t="n">
        <v>12.2461655150177</v>
      </c>
      <c r="CN29" t="n">
        <v>1266104.9014704</v>
      </c>
      <c r="CO29" t="n">
        <v>3188215.364861</v>
      </c>
      <c r="CP29" t="n">
        <v>3354590.1382078</v>
      </c>
      <c r="CQ29" t="n">
        <v>4454320.2663314</v>
      </c>
      <c r="CR29" t="n">
        <v>9865222.91568214</v>
      </c>
      <c r="CS29" t="n">
        <v>0.00340192783563321</v>
      </c>
      <c r="CT29" t="n">
        <v>0.00587105156735225</v>
      </c>
      <c r="CU29" t="n">
        <v>0.0664435821331095</v>
      </c>
      <c r="CV29" t="n">
        <v>1.75807893458684</v>
      </c>
      <c r="CW29" t="n">
        <v>0.0664435821331095</v>
      </c>
      <c r="CX29" t="n">
        <v>0.039440022763365</v>
      </c>
      <c r="CY29" t="n">
        <v>0.0184150256159903</v>
      </c>
      <c r="CZ29" t="n">
        <v>-0.0125439740486381</v>
      </c>
      <c r="DA29" t="n">
        <v>0.494525971464937</v>
      </c>
      <c r="DB29" t="n">
        <v>6.4582941121654</v>
      </c>
      <c r="DC29" t="n">
        <v>0.0653109182413548</v>
      </c>
      <c r="DD29" t="n">
        <v>0.0445402872834113</v>
      </c>
      <c r="DE29" t="n">
        <v>0.00769239421521411</v>
      </c>
      <c r="DF29" t="n">
        <v>0.13530036268909</v>
      </c>
      <c r="DG29" t="n">
        <v>222808.921082711</v>
      </c>
      <c r="DH29" t="n">
        <v>131.874702901793</v>
      </c>
      <c r="DI29" t="n">
        <v>4.91785192855717</v>
      </c>
      <c r="DJ29" t="n">
        <v>4.24889625135039</v>
      </c>
      <c r="DK29" t="n">
        <v>0.0411256875275234</v>
      </c>
      <c r="DL29" t="n">
        <v>0.670223574218165</v>
      </c>
      <c r="DM29" t="n">
        <v>1.36219476473004</v>
      </c>
      <c r="DN29" t="n">
        <v>0.0357615042376472</v>
      </c>
      <c r="DO29" t="n">
        <v>0.0465455822795444</v>
      </c>
      <c r="DP29" t="n">
        <v>29912.15</v>
      </c>
      <c r="DQ29" t="n">
        <v>25076.7108140773</v>
      </c>
      <c r="DR29" t="n">
        <v>177967.04791108</v>
      </c>
      <c r="DS29" t="n">
        <v>31421.3279674751</v>
      </c>
      <c r="DT29" t="n">
        <v>13420.545204156</v>
      </c>
      <c r="DU29" t="n">
        <v>0</v>
      </c>
      <c r="DV29" t="n">
        <v>57.45</v>
      </c>
      <c r="DW29" t="n">
        <v>208288.96</v>
      </c>
      <c r="DX29" t="n">
        <v>2.33060079277792</v>
      </c>
      <c r="DY29" t="n">
        <v>73.306</v>
      </c>
      <c r="DZ29" t="n">
        <v>1.02062376390299</v>
      </c>
      <c r="EA29" t="n">
        <v>1.20449936397015</v>
      </c>
      <c r="EB29" t="n">
        <v>175137130.426272</v>
      </c>
      <c r="EC29" t="n">
        <v>3.16578023222883</v>
      </c>
      <c r="ED29" t="n">
        <v>0.0435</v>
      </c>
      <c r="EE29" t="n">
        <v>0.0304926484848485</v>
      </c>
      <c r="EF29" t="n">
        <v>0.03050813492075</v>
      </c>
      <c r="EG29" t="n">
        <v>0.0441803333333333</v>
      </c>
      <c r="EH29" t="n">
        <v>781794.724719423</v>
      </c>
      <c r="EI29" t="n">
        <v>415408.651867177</v>
      </c>
      <c r="EJ29" t="n">
        <v>1168.99687186465</v>
      </c>
      <c r="EK29" t="n">
        <v>1.57876316310654</v>
      </c>
      <c r="EL29" t="n">
        <v>4.41794991557216</v>
      </c>
    </row>
    <row r="30">
      <c r="A30" s="2" t="n">
        <v>48274</v>
      </c>
      <c r="B30" t="n">
        <v>419029.167211491</v>
      </c>
      <c r="C30" t="n">
        <v>35947.4212055551</v>
      </c>
      <c r="D30" t="n">
        <v>28245.764805297</v>
      </c>
      <c r="E30" t="n">
        <v>245862.827817491</v>
      </c>
      <c r="F30" t="n">
        <v>59837.6459080997</v>
      </c>
      <c r="G30" t="n">
        <v>14023.736676981</v>
      </c>
      <c r="H30" t="n">
        <v>69462.2166903007</v>
      </c>
      <c r="I30" t="n">
        <v>79740.5217665337</v>
      </c>
      <c r="J30" t="n">
        <v>100249.164224416</v>
      </c>
      <c r="K30" t="n">
        <v>397.688033471872</v>
      </c>
      <c r="L30" t="n">
        <v>5249.54881517844</v>
      </c>
      <c r="M30" t="n">
        <v>0.666364843252076</v>
      </c>
      <c r="N30" t="n">
        <v>33574.8859216124</v>
      </c>
      <c r="O30" t="n">
        <v>184.015421843889</v>
      </c>
      <c r="P30" t="n">
        <v>2.00978924083992</v>
      </c>
      <c r="Q30" t="n">
        <v>1.70392843389854</v>
      </c>
      <c r="R30" t="n">
        <v>1.16175771017325</v>
      </c>
      <c r="S30" t="n">
        <v>0.110548186430195</v>
      </c>
      <c r="T30" t="n">
        <v>7715.05395329204</v>
      </c>
      <c r="U30" t="n">
        <v>0.370295999870135</v>
      </c>
      <c r="V30" t="n">
        <v>0.503392835840062</v>
      </c>
      <c r="W30" t="n">
        <v>27815052.6870912</v>
      </c>
      <c r="X30" t="n">
        <v>84283.9696921642</v>
      </c>
      <c r="Y30" t="n">
        <v>4390135.04991909</v>
      </c>
      <c r="Z30" t="n">
        <v>1193.77167677926</v>
      </c>
      <c r="AA30" t="n">
        <v>1.21426667112254</v>
      </c>
      <c r="AB30" t="n">
        <v>1.1828273380227</v>
      </c>
      <c r="AC30" t="n">
        <v>1.35956637436502</v>
      </c>
      <c r="AD30" t="n">
        <v>1.49950700292132</v>
      </c>
      <c r="AE30" t="n">
        <v>133.30877678781</v>
      </c>
      <c r="AF30" t="n">
        <v>94546.2625594988</v>
      </c>
      <c r="AG30" t="n">
        <v>1556.88477110995</v>
      </c>
      <c r="AH30" t="n">
        <v>141.366041587311</v>
      </c>
      <c r="AI30" t="n">
        <v>78164.6687459282</v>
      </c>
      <c r="AJ30" t="n">
        <v>96411.2403065963</v>
      </c>
      <c r="AK30" t="n">
        <v>639.268872046045</v>
      </c>
      <c r="AL30" t="n">
        <v>28289.9218266959</v>
      </c>
      <c r="AM30" t="n">
        <v>18656.2638436416</v>
      </c>
      <c r="AN30" t="n">
        <v>1.06090733948393</v>
      </c>
      <c r="AO30" t="n">
        <v>1.11201589838686</v>
      </c>
      <c r="AP30" t="n">
        <v>1.26250704567263</v>
      </c>
      <c r="AQ30" t="n">
        <v>1.31805820620224</v>
      </c>
      <c r="AR30" t="n">
        <v>36223.2770511904</v>
      </c>
      <c r="AS30" t="n">
        <v>195719.936662272</v>
      </c>
      <c r="AT30" t="n">
        <v>0.0470132169394001</v>
      </c>
      <c r="AU30" t="n">
        <v>0.0497112905785479</v>
      </c>
      <c r="AV30" t="n">
        <v>0.313631192107091</v>
      </c>
      <c r="AW30" t="n">
        <v>995.816728823818</v>
      </c>
      <c r="AX30" t="n">
        <v>10639.0941282389</v>
      </c>
      <c r="AY30" t="n">
        <v>19679.1533320107</v>
      </c>
      <c r="AZ30" t="n">
        <v>182852.858451259</v>
      </c>
      <c r="BA30" t="n">
        <v>552304.833495366</v>
      </c>
      <c r="BB30" t="n">
        <v>242685.413299499</v>
      </c>
      <c r="BC30" t="n">
        <v>266159.783661576</v>
      </c>
      <c r="BD30" t="n">
        <v>109465.7997971</v>
      </c>
      <c r="BE30" t="n">
        <v>21.7493065441041</v>
      </c>
      <c r="BF30" t="n">
        <v>53903.4098346922</v>
      </c>
      <c r="BG30" t="n">
        <v>21382.3369112177</v>
      </c>
      <c r="BH30" t="n">
        <v>34297.8908034382</v>
      </c>
      <c r="BI30" t="n">
        <v>92455.3062017433</v>
      </c>
      <c r="BJ30" t="n">
        <v>53005.5476803797</v>
      </c>
      <c r="BK30" t="n">
        <v>106355.074102813</v>
      </c>
      <c r="BL30" t="n">
        <v>33531.8689174624</v>
      </c>
      <c r="BM30" t="n">
        <v>20746.0619986294</v>
      </c>
      <c r="BN30" t="n">
        <v>48288.8075494016</v>
      </c>
      <c r="BO30" t="n">
        <v>220511.372568306</v>
      </c>
      <c r="BP30" t="n">
        <v>227379.145452016</v>
      </c>
      <c r="BQ30" t="n">
        <v>1043166.96534263</v>
      </c>
      <c r="BR30" t="n">
        <v>783362.614487101</v>
      </c>
      <c r="BS30" t="n">
        <v>796659.668763709</v>
      </c>
      <c r="BT30" t="n">
        <v>131.86653984634</v>
      </c>
      <c r="BU30" t="n">
        <v>1.33165273854729</v>
      </c>
      <c r="BV30" t="n">
        <v>1.20594982455298</v>
      </c>
      <c r="BW30" t="n">
        <v>103.803901105432</v>
      </c>
      <c r="BX30" t="n">
        <v>89155.733549512</v>
      </c>
      <c r="BY30" t="n">
        <v>1.55998000753924</v>
      </c>
      <c r="BZ30" t="n">
        <v>139081.161894734</v>
      </c>
      <c r="CA30" t="n">
        <v>10640.5322008275</v>
      </c>
      <c r="CB30" t="n">
        <v>15890.0810160059</v>
      </c>
      <c r="CC30" t="n">
        <v>16763.5008072807</v>
      </c>
      <c r="CD30" t="n">
        <v>873.419791274726</v>
      </c>
      <c r="CE30" t="n">
        <v>0.0521024621132365</v>
      </c>
      <c r="CF30" t="n">
        <v>11793674.4600683</v>
      </c>
      <c r="CG30" t="n">
        <v>490178.642735276</v>
      </c>
      <c r="CH30" t="n">
        <v>649942.546374952</v>
      </c>
      <c r="CI30" t="n">
        <v>379956.82317997</v>
      </c>
      <c r="CJ30" t="n">
        <v>18987.8954359022</v>
      </c>
      <c r="CK30" t="n">
        <v>955293.983826574</v>
      </c>
      <c r="CL30" t="n">
        <v>0.0828599353829881</v>
      </c>
      <c r="CM30" t="n">
        <v>12.0685587718345</v>
      </c>
      <c r="CN30" t="n">
        <v>1273908.91558893</v>
      </c>
      <c r="CO30" t="n">
        <v>3213409.32596074</v>
      </c>
      <c r="CP30" t="n">
        <v>3363686.42799074</v>
      </c>
      <c r="CQ30" t="n">
        <v>4487318.24154966</v>
      </c>
      <c r="CR30" t="n">
        <v>9907317.18068334</v>
      </c>
      <c r="CS30" t="n">
        <v>0.00288861410159568</v>
      </c>
      <c r="CT30" t="n">
        <v>0.00558668774074349</v>
      </c>
      <c r="CU30" t="n">
        <v>0.0664235835923905</v>
      </c>
      <c r="CV30" t="n">
        <v>1.77713635433228</v>
      </c>
      <c r="CW30" t="n">
        <v>0.0664235835923907</v>
      </c>
      <c r="CX30" t="n">
        <v>0.039440022763365</v>
      </c>
      <c r="CY30" t="n">
        <v>0.0184350249027997</v>
      </c>
      <c r="CZ30" t="n">
        <v>-0.0128483371620562</v>
      </c>
      <c r="DA30" t="n">
        <v>0.490883619680699</v>
      </c>
      <c r="DB30" t="n">
        <v>6.48734581491765</v>
      </c>
      <c r="DC30" t="n">
        <v>0.0647427081894001</v>
      </c>
      <c r="DD30" t="n">
        <v>0.0441480593614312</v>
      </c>
      <c r="DE30" t="n">
        <v>0.00766706390860044</v>
      </c>
      <c r="DF30" t="n">
        <v>0.13606361486757</v>
      </c>
      <c r="DG30" t="n">
        <v>223478.752312775</v>
      </c>
      <c r="DH30" t="n">
        <v>132.863339387513</v>
      </c>
      <c r="DI30" t="n">
        <v>4.9254779575929</v>
      </c>
      <c r="DJ30" t="n">
        <v>4.25360107655552</v>
      </c>
      <c r="DK30" t="n">
        <v>0.0411256875275234</v>
      </c>
      <c r="DL30" t="n">
        <v>0.670223574218165</v>
      </c>
      <c r="DM30" t="n">
        <v>1.37614917174823</v>
      </c>
      <c r="DN30" t="n">
        <v>0.0357615042376472</v>
      </c>
      <c r="DO30" t="n">
        <v>0.0465455822795444</v>
      </c>
      <c r="DP30" t="n">
        <v>30002.075</v>
      </c>
      <c r="DQ30" t="n">
        <v>25156.6405056266</v>
      </c>
      <c r="DR30" t="n">
        <v>178502.070862737</v>
      </c>
      <c r="DS30" t="n">
        <v>31515.7900144184</v>
      </c>
      <c r="DT30" t="n">
        <v>13460.8914356199</v>
      </c>
      <c r="DU30" t="n">
        <v>0</v>
      </c>
      <c r="DV30" t="n">
        <v>57.45</v>
      </c>
      <c r="DW30" t="n">
        <v>208288.96</v>
      </c>
      <c r="DX30" t="n">
        <v>2.34216740503693</v>
      </c>
      <c r="DY30" t="n">
        <v>73.306</v>
      </c>
      <c r="DZ30" t="n">
        <v>1.02062376390299</v>
      </c>
      <c r="EA30" t="n">
        <v>1.20449936397015</v>
      </c>
      <c r="EB30" t="n">
        <v>176343282.108263</v>
      </c>
      <c r="EC30" t="n">
        <v>3.16578023222883</v>
      </c>
      <c r="ED30" t="n">
        <v>0.0435</v>
      </c>
      <c r="EE30" t="n">
        <v>0.0304926484848485</v>
      </c>
      <c r="EF30" t="n">
        <v>0.03050813492075</v>
      </c>
      <c r="EG30" t="n">
        <v>0.0441803333333333</v>
      </c>
      <c r="EH30" t="n">
        <v>784670.181484849</v>
      </c>
      <c r="EI30" t="n">
        <v>417994.790920148</v>
      </c>
      <c r="EJ30" t="n">
        <v>1187.45426951939</v>
      </c>
      <c r="EK30" t="n">
        <v>1.58574108875624</v>
      </c>
      <c r="EL30" t="n">
        <v>4.41246028378044</v>
      </c>
    </row>
    <row r="31">
      <c r="A31" s="2" t="n">
        <v>48366</v>
      </c>
      <c r="B31" t="n">
        <v>421477.217660733</v>
      </c>
      <c r="C31" t="n">
        <v>36050.0045001612</v>
      </c>
      <c r="D31" t="n">
        <v>28470.2619362316</v>
      </c>
      <c r="E31" t="n">
        <v>246867.955890086</v>
      </c>
      <c r="F31" t="n">
        <v>60611.6321921862</v>
      </c>
      <c r="G31" t="n">
        <v>14155.5219028202</v>
      </c>
      <c r="H31" t="n">
        <v>70370.5217896531</v>
      </c>
      <c r="I31" t="n">
        <v>80237.4917826242</v>
      </c>
      <c r="J31" t="n">
        <v>100176.183804578</v>
      </c>
      <c r="K31" t="n">
        <v>397.243766069357</v>
      </c>
      <c r="L31" t="n">
        <v>5272.40469429814</v>
      </c>
      <c r="M31" t="n">
        <v>0.666279822177756</v>
      </c>
      <c r="N31" t="n">
        <v>33876.2283184817</v>
      </c>
      <c r="O31" t="n">
        <v>185.999467730928</v>
      </c>
      <c r="P31" t="n">
        <v>2.04481760859741</v>
      </c>
      <c r="Q31" t="n">
        <v>1.72141689647256</v>
      </c>
      <c r="R31" t="n">
        <v>1.16822568434474</v>
      </c>
      <c r="S31" t="n">
        <v>0.110305745431162</v>
      </c>
      <c r="T31" t="n">
        <v>7601.49131377934</v>
      </c>
      <c r="U31" t="n">
        <v>0.369662619712634</v>
      </c>
      <c r="V31" t="n">
        <v>0.500217410431374</v>
      </c>
      <c r="W31" t="n">
        <v>28252515.0565672</v>
      </c>
      <c r="X31" t="n">
        <v>85603.8173868221</v>
      </c>
      <c r="Y31" t="n">
        <v>4393416.64399948</v>
      </c>
      <c r="Z31" t="n">
        <v>1212.03329565638</v>
      </c>
      <c r="AA31" t="n">
        <v>1.22171317854879</v>
      </c>
      <c r="AB31" t="n">
        <v>1.18954076736724</v>
      </c>
      <c r="AC31" t="n">
        <v>1.37140892473212</v>
      </c>
      <c r="AD31" t="n">
        <v>1.5167533844886</v>
      </c>
      <c r="AE31" t="n">
        <v>134.407646539799</v>
      </c>
      <c r="AF31" t="n">
        <v>95277.9333637309</v>
      </c>
      <c r="AG31" t="n">
        <v>1588.80988957318</v>
      </c>
      <c r="AH31" t="n">
        <v>144.239159883953</v>
      </c>
      <c r="AI31" t="n">
        <v>78587.860221642</v>
      </c>
      <c r="AJ31" t="n">
        <v>97741.769805805</v>
      </c>
      <c r="AK31" t="n">
        <v>640.524563178602</v>
      </c>
      <c r="AL31" t="n">
        <v>28602.1325154759</v>
      </c>
      <c r="AM31" t="n">
        <v>18600.7023718451</v>
      </c>
      <c r="AN31" t="n">
        <v>1.06460393702408</v>
      </c>
      <c r="AO31" t="n">
        <v>1.11943386526885</v>
      </c>
      <c r="AP31" t="n">
        <v>1.27087546982303</v>
      </c>
      <c r="AQ31" t="n">
        <v>1.33038495265913</v>
      </c>
      <c r="AR31" t="n">
        <v>36338.6957237479</v>
      </c>
      <c r="AS31" t="n">
        <v>197173.875560103</v>
      </c>
      <c r="AT31" t="n">
        <v>0.0461039414526211</v>
      </c>
      <c r="AU31" t="n">
        <v>0.0493403490341537</v>
      </c>
      <c r="AV31" t="n">
        <v>0.318108199360368</v>
      </c>
      <c r="AW31" t="n">
        <v>1005.12807259447</v>
      </c>
      <c r="AX31" t="n">
        <v>10669.4549522062</v>
      </c>
      <c r="AY31" t="n">
        <v>19742.0487084389</v>
      </c>
      <c r="AZ31" t="n">
        <v>182902.63060861</v>
      </c>
      <c r="BA31" t="n">
        <v>560726.949264319</v>
      </c>
      <c r="BB31" t="n">
        <v>245533.068315161</v>
      </c>
      <c r="BC31" t="n">
        <v>269017.741763866</v>
      </c>
      <c r="BD31" t="n">
        <v>110414.774442573</v>
      </c>
      <c r="BE31" t="n">
        <v>21.8482043678108</v>
      </c>
      <c r="BF31" t="n">
        <v>54678.9663364489</v>
      </c>
      <c r="BG31" t="n">
        <v>21817.089360408</v>
      </c>
      <c r="BH31" t="n">
        <v>34782.49420423</v>
      </c>
      <c r="BI31" t="n">
        <v>93483.4626894111</v>
      </c>
      <c r="BJ31" t="n">
        <v>53473.5045081422</v>
      </c>
      <c r="BK31" t="n">
        <v>106647.959674402</v>
      </c>
      <c r="BL31" t="n">
        <v>33984.296217691</v>
      </c>
      <c r="BM31" t="n">
        <v>20822.2561528301</v>
      </c>
      <c r="BN31" t="n">
        <v>48841.985705548</v>
      </c>
      <c r="BO31" t="n">
        <v>221886.057750471</v>
      </c>
      <c r="BP31" t="n">
        <v>230343.585711107</v>
      </c>
      <c r="BQ31" t="n">
        <v>1056038.00671748</v>
      </c>
      <c r="BR31" t="n">
        <v>785866.273360823</v>
      </c>
      <c r="BS31" t="n">
        <v>800567.494317225</v>
      </c>
      <c r="BT31" t="n">
        <v>133.029579840989</v>
      </c>
      <c r="BU31" t="n">
        <v>1.34378843827175</v>
      </c>
      <c r="BV31" t="n">
        <v>1.21313759683031</v>
      </c>
      <c r="BW31" t="n">
        <v>103.844455150013</v>
      </c>
      <c r="BX31" t="n">
        <v>89676.5988034054</v>
      </c>
      <c r="BY31" t="n">
        <v>1.59168498457425</v>
      </c>
      <c r="BZ31" t="n">
        <v>142736.89578307</v>
      </c>
      <c r="CA31" t="n">
        <v>10660.3949193174</v>
      </c>
      <c r="CB31" t="n">
        <v>15932.7996136155</v>
      </c>
      <c r="CC31" t="n">
        <v>16814.635642382</v>
      </c>
      <c r="CD31" t="n">
        <v>881.836028766425</v>
      </c>
      <c r="CE31" t="n">
        <v>0.0524445443714409</v>
      </c>
      <c r="CF31" t="n">
        <v>11829023.5542834</v>
      </c>
      <c r="CG31" t="n">
        <v>495907.724439515</v>
      </c>
      <c r="CH31" t="n">
        <v>657700.368473093</v>
      </c>
      <c r="CI31" t="n">
        <v>384676.538618552</v>
      </c>
      <c r="CJ31" t="n">
        <v>19214.5381070605</v>
      </c>
      <c r="CK31" t="n">
        <v>967080.810671639</v>
      </c>
      <c r="CL31" t="n">
        <v>0.0842630132349836</v>
      </c>
      <c r="CM31" t="n">
        <v>11.8676031346198</v>
      </c>
      <c r="CN31" t="n">
        <v>1281825.24251816</v>
      </c>
      <c r="CO31" t="n">
        <v>3238630.01860022</v>
      </c>
      <c r="CP31" t="n">
        <v>3372801.41143544</v>
      </c>
      <c r="CQ31" t="n">
        <v>4520455.26111837</v>
      </c>
      <c r="CR31" t="n">
        <v>9949569.18369675</v>
      </c>
      <c r="CS31" t="n">
        <v>0.00206086514443309</v>
      </c>
      <c r="CT31" t="n">
        <v>0.00529727272596563</v>
      </c>
      <c r="CU31" t="n">
        <v>0.0662626691229737</v>
      </c>
      <c r="CV31" t="n">
        <v>1.79629735746555</v>
      </c>
      <c r="CW31" t="n">
        <v>0.0662626691229739</v>
      </c>
      <c r="CX31" t="n">
        <v>0.039440022763365</v>
      </c>
      <c r="CY31" t="n">
        <v>0.018455022763365</v>
      </c>
      <c r="CZ31" t="n">
        <v>-0.0131577500373994</v>
      </c>
      <c r="DA31" t="n">
        <v>0.487194883423482</v>
      </c>
      <c r="DB31" t="n">
        <v>6.51632668868568</v>
      </c>
      <c r="DC31" t="n">
        <v>0.0638334327026211</v>
      </c>
      <c r="DD31" t="n">
        <v>0.0435231384464525</v>
      </c>
      <c r="DE31" t="n">
        <v>0.0076393850613719</v>
      </c>
      <c r="DF31" t="n">
        <v>0.136908941174429</v>
      </c>
      <c r="DG31" t="n">
        <v>224148.583542839</v>
      </c>
      <c r="DH31" t="n">
        <v>133.987980664853</v>
      </c>
      <c r="DI31" t="n">
        <v>4.93406418426495</v>
      </c>
      <c r="DJ31" t="n">
        <v>4.25926609939699</v>
      </c>
      <c r="DK31" t="n">
        <v>0.0411256875275234</v>
      </c>
      <c r="DL31" t="n">
        <v>0.670223574218165</v>
      </c>
      <c r="DM31" t="n">
        <v>1.39024652857085</v>
      </c>
      <c r="DN31" t="n">
        <v>0.0357615042376472</v>
      </c>
      <c r="DO31" t="n">
        <v>0.0465455822795444</v>
      </c>
      <c r="DP31" t="n">
        <v>30092</v>
      </c>
      <c r="DQ31" t="n">
        <v>25236.59742152</v>
      </c>
      <c r="DR31" t="n">
        <v>179037.093814394</v>
      </c>
      <c r="DS31" t="n">
        <v>31610.2520613617</v>
      </c>
      <c r="DT31" t="n">
        <v>13501.2376670838</v>
      </c>
      <c r="DU31" t="n">
        <v>0</v>
      </c>
      <c r="DV31" t="n">
        <v>57.45</v>
      </c>
      <c r="DW31" t="n">
        <v>208288.96</v>
      </c>
      <c r="DX31" t="n">
        <v>2.35379142160112</v>
      </c>
      <c r="DY31" t="n">
        <v>73.306</v>
      </c>
      <c r="DZ31" t="n">
        <v>1.02062376390299</v>
      </c>
      <c r="EA31" t="n">
        <v>1.20449936397015</v>
      </c>
      <c r="EB31" t="n">
        <v>177557740.434747</v>
      </c>
      <c r="EC31" t="n">
        <v>3.16578023222883</v>
      </c>
      <c r="ED31" t="n">
        <v>0.0435</v>
      </c>
      <c r="EE31" t="n">
        <v>0.0304926484848485</v>
      </c>
      <c r="EF31" t="n">
        <v>0.03050813492075</v>
      </c>
      <c r="EG31" t="n">
        <v>0.0441803333333333</v>
      </c>
      <c r="EH31" t="n">
        <v>787441.843950687</v>
      </c>
      <c r="EI31" t="n">
        <v>420576.35676017</v>
      </c>
      <c r="EJ31" t="n">
        <v>1206.01361492773</v>
      </c>
      <c r="EK31" t="n">
        <v>1.53295110855123</v>
      </c>
      <c r="EL31" t="n">
        <v>4.4043076308188</v>
      </c>
    </row>
    <row r="32">
      <c r="A32" s="2" t="n">
        <v>48458</v>
      </c>
      <c r="B32" t="n">
        <v>424111.418509631</v>
      </c>
      <c r="C32" t="n">
        <v>36159.8628485509</v>
      </c>
      <c r="D32" t="n">
        <v>28706.8310029843</v>
      </c>
      <c r="E32" t="n">
        <v>247825.398225946</v>
      </c>
      <c r="F32" t="n">
        <v>61546.2454253794</v>
      </c>
      <c r="G32" t="n">
        <v>14295.8312495684</v>
      </c>
      <c r="H32" t="n">
        <v>71342.8986856972</v>
      </c>
      <c r="I32" t="n">
        <v>84575.5032475259</v>
      </c>
      <c r="J32" t="n">
        <v>100616.524735759</v>
      </c>
      <c r="K32" t="n">
        <v>396.8653939581</v>
      </c>
      <c r="L32" t="n">
        <v>5295.83190257182</v>
      </c>
      <c r="M32" t="n">
        <v>0.666177363827818</v>
      </c>
      <c r="N32" t="n">
        <v>34166.0259537175</v>
      </c>
      <c r="O32" t="n">
        <v>188.009681493195</v>
      </c>
      <c r="P32" t="n">
        <v>2.08020554964141</v>
      </c>
      <c r="Q32" t="n">
        <v>1.73864377458816</v>
      </c>
      <c r="R32" t="n">
        <v>1.17468441593604</v>
      </c>
      <c r="S32" t="n">
        <v>0.110263711251791</v>
      </c>
      <c r="T32" t="n">
        <v>7493.71764589675</v>
      </c>
      <c r="U32" t="n">
        <v>0.369053239566586</v>
      </c>
      <c r="V32" t="n">
        <v>0.497110234738241</v>
      </c>
      <c r="W32" t="n">
        <v>28701914.4434888</v>
      </c>
      <c r="X32" t="n">
        <v>86954.9801790719</v>
      </c>
      <c r="Y32" t="n">
        <v>4398370.98107401</v>
      </c>
      <c r="Z32" t="n">
        <v>1230.99619498033</v>
      </c>
      <c r="AA32" t="n">
        <v>1.22914884013255</v>
      </c>
      <c r="AB32" t="n">
        <v>1.19633912779737</v>
      </c>
      <c r="AC32" t="n">
        <v>1.38307842075149</v>
      </c>
      <c r="AD32" t="n">
        <v>1.53415276776701</v>
      </c>
      <c r="AE32" t="n">
        <v>135.513863948541</v>
      </c>
      <c r="AF32" t="n">
        <v>96084.999489407</v>
      </c>
      <c r="AG32" t="n">
        <v>1621.3523425916</v>
      </c>
      <c r="AH32" t="n">
        <v>147.174018864395</v>
      </c>
      <c r="AI32" t="n">
        <v>79004.5852686376</v>
      </c>
      <c r="AJ32" t="n">
        <v>99269.8345431392</v>
      </c>
      <c r="AK32" t="n">
        <v>642.30366371488</v>
      </c>
      <c r="AL32" t="n">
        <v>28928.7553125847</v>
      </c>
      <c r="AM32" t="n">
        <v>18562.5796600095</v>
      </c>
      <c r="AN32" t="n">
        <v>1.06843833125784</v>
      </c>
      <c r="AO32" t="n">
        <v>1.12621685016265</v>
      </c>
      <c r="AP32" t="n">
        <v>1.27940241597112</v>
      </c>
      <c r="AQ32" t="n">
        <v>1.34291962889575</v>
      </c>
      <c r="AR32" t="n">
        <v>36502.2911007768</v>
      </c>
      <c r="AS32" t="n">
        <v>198630.689119812</v>
      </c>
      <c r="AT32" t="n">
        <v>0.0456472101824892</v>
      </c>
      <c r="AU32" t="n">
        <v>0.0489672338716038</v>
      </c>
      <c r="AV32" t="n">
        <v>0.318892617740777</v>
      </c>
      <c r="AW32" t="n">
        <v>957.442335860658</v>
      </c>
      <c r="AX32" t="n">
        <v>10701.9689203879</v>
      </c>
      <c r="AY32" t="n">
        <v>19823.4368218595</v>
      </c>
      <c r="AZ32" t="n">
        <v>183549.832318405</v>
      </c>
      <c r="BA32" t="n">
        <v>569547.549791456</v>
      </c>
      <c r="BB32" t="n">
        <v>248359.439572771</v>
      </c>
      <c r="BC32" t="n">
        <v>272198.730162637</v>
      </c>
      <c r="BD32" t="n">
        <v>114865.501642077</v>
      </c>
      <c r="BE32" t="n">
        <v>22.3120389244481</v>
      </c>
      <c r="BF32" t="n">
        <v>55474.7536711796</v>
      </c>
      <c r="BG32" t="n">
        <v>22262.2951402807</v>
      </c>
      <c r="BH32" t="n">
        <v>35284.9680311992</v>
      </c>
      <c r="BI32" t="n">
        <v>94516.2757143275</v>
      </c>
      <c r="BJ32" t="n">
        <v>53880.0981443677</v>
      </c>
      <c r="BK32" t="n">
        <v>107502.551785638</v>
      </c>
      <c r="BL32" t="n">
        <v>34465.8950212678</v>
      </c>
      <c r="BM32" t="n">
        <v>20905.4899955892</v>
      </c>
      <c r="BN32" t="n">
        <v>49465.6651004072</v>
      </c>
      <c r="BO32" t="n">
        <v>223929.161902902</v>
      </c>
      <c r="BP32" t="n">
        <v>233328.37503568</v>
      </c>
      <c r="BQ32" t="n">
        <v>1069926.1669328</v>
      </c>
      <c r="BR32" t="n">
        <v>789106.067456277</v>
      </c>
      <c r="BS32" t="n">
        <v>804616.898887417</v>
      </c>
      <c r="BT32" t="n">
        <v>134.203585018323</v>
      </c>
      <c r="BU32" t="n">
        <v>1.35587117722461</v>
      </c>
      <c r="BV32" t="n">
        <v>1.21999110037023</v>
      </c>
      <c r="BW32" t="n">
        <v>103.856923938</v>
      </c>
      <c r="BX32" t="n">
        <v>90237.0707881199</v>
      </c>
      <c r="BY32" t="n">
        <v>1.62407127256131</v>
      </c>
      <c r="BZ32" t="n">
        <v>146551.434387067</v>
      </c>
      <c r="CA32" t="n">
        <v>10682.5914573161</v>
      </c>
      <c r="CB32" t="n">
        <v>15978.4233598879</v>
      </c>
      <c r="CC32" t="n">
        <v>16863.8594815143</v>
      </c>
      <c r="CD32" t="n">
        <v>885.436121626462</v>
      </c>
      <c r="CE32" t="n">
        <v>0.0525049437757247</v>
      </c>
      <c r="CF32" t="n">
        <v>11864235.0651459</v>
      </c>
      <c r="CG32" t="n">
        <v>501582.202482137</v>
      </c>
      <c r="CH32" t="n">
        <v>669901.040167533</v>
      </c>
      <c r="CI32" t="n">
        <v>390239.663958841</v>
      </c>
      <c r="CJ32" t="n">
        <v>19570.9774256955</v>
      </c>
      <c r="CK32" t="n">
        <v>979799.077584699</v>
      </c>
      <c r="CL32" t="n">
        <v>0.0857122851521606</v>
      </c>
      <c r="CM32" t="n">
        <v>11.6669389717559</v>
      </c>
      <c r="CN32" t="n">
        <v>1289839.73535122</v>
      </c>
      <c r="CO32" t="n">
        <v>3263858.36780745</v>
      </c>
      <c r="CP32" t="n">
        <v>3381946.26710871</v>
      </c>
      <c r="CQ32" t="n">
        <v>4553698.10315867</v>
      </c>
      <c r="CR32" t="n">
        <v>9991956.88141032</v>
      </c>
      <c r="CS32" t="n">
        <v>0.00166487383010553</v>
      </c>
      <c r="CT32" t="n">
        <v>0.00498489751922013</v>
      </c>
      <c r="CU32" t="n">
        <v>0.0662813748994071</v>
      </c>
      <c r="CV32" t="n">
        <v>1.81571107790868</v>
      </c>
      <c r="CW32" t="n">
        <v>0.0662813748994071</v>
      </c>
      <c r="CX32" t="n">
        <v>0.039440022763365</v>
      </c>
      <c r="CY32" t="n">
        <v>0.0185913103635471</v>
      </c>
      <c r="CZ32" t="n">
        <v>-0.013606412844327</v>
      </c>
      <c r="DA32" t="n">
        <v>0.483591620298309</v>
      </c>
      <c r="DB32" t="n">
        <v>6.54751492159135</v>
      </c>
      <c r="DC32" t="n">
        <v>0.0633767014324892</v>
      </c>
      <c r="DD32" t="n">
        <v>0.0432050721366624</v>
      </c>
      <c r="DE32" t="n">
        <v>0.00761156183240092</v>
      </c>
      <c r="DF32" t="n">
        <v>0.137871797259734</v>
      </c>
      <c r="DG32" t="n">
        <v>224815.807701116</v>
      </c>
      <c r="DH32" t="n">
        <v>134.964749985155</v>
      </c>
      <c r="DI32" t="n">
        <v>4.94148492182045</v>
      </c>
      <c r="DJ32" t="n">
        <v>4.26376563312188</v>
      </c>
      <c r="DK32" t="n">
        <v>0.0411256875275234</v>
      </c>
      <c r="DL32" t="n">
        <v>0.670223574218165</v>
      </c>
      <c r="DM32" t="n">
        <v>1.40448829958451</v>
      </c>
      <c r="DN32" t="n">
        <v>0.0357615042376472</v>
      </c>
      <c r="DO32" t="n">
        <v>0.0465455822795444</v>
      </c>
      <c r="DP32" t="n">
        <v>30181.575</v>
      </c>
      <c r="DQ32" t="n">
        <v>25314.3688110559</v>
      </c>
      <c r="DR32" t="n">
        <v>179570.034385922</v>
      </c>
      <c r="DS32" t="n">
        <v>31704.3464495179</v>
      </c>
      <c r="DT32" t="n">
        <v>13541.4268656758</v>
      </c>
      <c r="DU32" t="n">
        <v>0</v>
      </c>
      <c r="DV32" t="n">
        <v>57.775</v>
      </c>
      <c r="DW32" t="n">
        <v>208288.96</v>
      </c>
      <c r="DX32" t="n">
        <v>2.36547312736412</v>
      </c>
      <c r="DY32" t="n">
        <v>73.306</v>
      </c>
      <c r="DZ32" t="n">
        <v>1.02062376390299</v>
      </c>
      <c r="EA32" t="n">
        <v>1.20449936397015</v>
      </c>
      <c r="EB32" t="n">
        <v>178780562.612743</v>
      </c>
      <c r="EC32" t="n">
        <v>3.16578023222883</v>
      </c>
      <c r="ED32" t="n">
        <v>0.0435</v>
      </c>
      <c r="EE32" t="n">
        <v>0.0304926484848485</v>
      </c>
      <c r="EF32" t="n">
        <v>0.03050813492075</v>
      </c>
      <c r="EG32" t="n">
        <v>0.0441803333333333</v>
      </c>
      <c r="EH32" t="n">
        <v>790272.174545301</v>
      </c>
      <c r="EI32" t="n">
        <v>423188.615736643</v>
      </c>
      <c r="EJ32" t="n">
        <v>1224.7884529345</v>
      </c>
      <c r="EK32" t="n">
        <v>1.55564141856432</v>
      </c>
      <c r="EL32" t="n">
        <v>4.39823363523837</v>
      </c>
    </row>
    <row r="33">
      <c r="A33" s="2" t="n">
        <v>48549</v>
      </c>
      <c r="B33" t="n">
        <v>426831.334873674</v>
      </c>
      <c r="C33" t="n">
        <v>36276.8556236671</v>
      </c>
      <c r="D33" t="n">
        <v>28935.3165821212</v>
      </c>
      <c r="E33" t="n">
        <v>248819.56266202</v>
      </c>
      <c r="F33" t="n">
        <v>62423.053831541</v>
      </c>
      <c r="G33" t="n">
        <v>14437.7384752871</v>
      </c>
      <c r="H33" t="n">
        <v>72313.8406807334</v>
      </c>
      <c r="I33" t="n">
        <v>84313.1534597466</v>
      </c>
      <c r="J33" t="n">
        <v>100721.251483168</v>
      </c>
      <c r="K33" t="n">
        <v>396.478709834814</v>
      </c>
      <c r="L33" t="n">
        <v>5319.38258494967</v>
      </c>
      <c r="M33" t="n">
        <v>0.666115577069368</v>
      </c>
      <c r="N33" t="n">
        <v>34468.4060067217</v>
      </c>
      <c r="O33" t="n">
        <v>190.034665207412</v>
      </c>
      <c r="P33" t="n">
        <v>2.11652289741977</v>
      </c>
      <c r="Q33" t="n">
        <v>1.75570177121922</v>
      </c>
      <c r="R33" t="n">
        <v>1.18127605913022</v>
      </c>
      <c r="S33" t="n">
        <v>0.110313193158887</v>
      </c>
      <c r="T33" t="n">
        <v>7394.59504039132</v>
      </c>
      <c r="U33" t="n">
        <v>0.368419543993751</v>
      </c>
      <c r="V33" t="n">
        <v>0.493967052886701</v>
      </c>
      <c r="W33" t="n">
        <v>29158765.595922</v>
      </c>
      <c r="X33" t="n">
        <v>88336.6549804926</v>
      </c>
      <c r="Y33" t="n">
        <v>4403311.0951772</v>
      </c>
      <c r="Z33" t="n">
        <v>1250.02668300631</v>
      </c>
      <c r="AA33" t="n">
        <v>1.23676410681984</v>
      </c>
      <c r="AB33" t="n">
        <v>1.20314611987368</v>
      </c>
      <c r="AC33" t="n">
        <v>1.39499844560457</v>
      </c>
      <c r="AD33" t="n">
        <v>1.55171446837449</v>
      </c>
      <c r="AE33" t="n">
        <v>136.624593309907</v>
      </c>
      <c r="AF33" t="n">
        <v>96943.5760234385</v>
      </c>
      <c r="AG33" t="n">
        <v>1654.03270009565</v>
      </c>
      <c r="AH33" t="n">
        <v>150.153365389867</v>
      </c>
      <c r="AI33" t="n">
        <v>79429.698807227</v>
      </c>
      <c r="AJ33" t="n">
        <v>100642.720084409</v>
      </c>
      <c r="AK33" t="n">
        <v>644.739421669447</v>
      </c>
      <c r="AL33" t="n">
        <v>29265.3886513158</v>
      </c>
      <c r="AM33" t="n">
        <v>18517.5374905953</v>
      </c>
      <c r="AN33" t="n">
        <v>1.07264145826789</v>
      </c>
      <c r="AO33" t="n">
        <v>1.13350856724533</v>
      </c>
      <c r="AP33" t="n">
        <v>1.28803194681912</v>
      </c>
      <c r="AQ33" t="n">
        <v>1.355583119693</v>
      </c>
      <c r="AR33" t="n">
        <v>36650.2322687504</v>
      </c>
      <c r="AS33" t="n">
        <v>200181.6057864</v>
      </c>
      <c r="AT33" t="n">
        <v>0.0451606998827933</v>
      </c>
      <c r="AU33" t="n">
        <v>0.048590295149898</v>
      </c>
      <c r="AV33" t="n">
        <v>0.320142943126549</v>
      </c>
      <c r="AW33" t="n">
        <v>994.164436073566</v>
      </c>
      <c r="AX33" t="n">
        <v>10736.5944124271</v>
      </c>
      <c r="AY33" t="n">
        <v>19897.7999434037</v>
      </c>
      <c r="AZ33" t="n">
        <v>183831.821185918</v>
      </c>
      <c r="BA33" t="n">
        <v>578605.353543057</v>
      </c>
      <c r="BB33" t="n">
        <v>251243.370114402</v>
      </c>
      <c r="BC33" t="n">
        <v>275383.597662316</v>
      </c>
      <c r="BD33" t="n">
        <v>114771.76529305</v>
      </c>
      <c r="BE33" t="n">
        <v>22.3022701482588</v>
      </c>
      <c r="BF33" t="n">
        <v>56291.3217383768</v>
      </c>
      <c r="BG33" t="n">
        <v>22724.2479142112</v>
      </c>
      <c r="BH33" t="n">
        <v>35786.1609682366</v>
      </c>
      <c r="BI33" t="n">
        <v>95565.5330223819</v>
      </c>
      <c r="BJ33" t="n">
        <v>54387.2216604285</v>
      </c>
      <c r="BK33" t="n">
        <v>108037.790069472</v>
      </c>
      <c r="BL33" t="n">
        <v>34934.6026039996</v>
      </c>
      <c r="BM33" t="n">
        <v>20989.7873898764</v>
      </c>
      <c r="BN33" t="n">
        <v>50073.2307843164</v>
      </c>
      <c r="BO33" t="n">
        <v>225624.970847664</v>
      </c>
      <c r="BP33" t="n">
        <v>236469.738393718</v>
      </c>
      <c r="BQ33" t="n">
        <v>1083758.44141504</v>
      </c>
      <c r="BR33" t="n">
        <v>792066.219675151</v>
      </c>
      <c r="BS33" t="n">
        <v>808845.979435455</v>
      </c>
      <c r="BT33" t="n">
        <v>135.391158872064</v>
      </c>
      <c r="BU33" t="n">
        <v>1.36826747503712</v>
      </c>
      <c r="BV33" t="n">
        <v>1.22734447927532</v>
      </c>
      <c r="BW33" t="n">
        <v>103.899886041797</v>
      </c>
      <c r="BX33" t="n">
        <v>90815.7802374962</v>
      </c>
      <c r="BY33" t="n">
        <v>1.6569484824137</v>
      </c>
      <c r="BZ33" t="n">
        <v>150477.069243735</v>
      </c>
      <c r="CA33" t="n">
        <v>10705.020204586</v>
      </c>
      <c r="CB33" t="n">
        <v>16024.4027895356</v>
      </c>
      <c r="CC33" t="n">
        <v>16914.1105985318</v>
      </c>
      <c r="CD33" t="n">
        <v>889.707808996176</v>
      </c>
      <c r="CE33" t="n">
        <v>0.052601505619043</v>
      </c>
      <c r="CF33" t="n">
        <v>11899446.5760084</v>
      </c>
      <c r="CG33" t="n">
        <v>507477.486894361</v>
      </c>
      <c r="CH33" t="n">
        <v>676888.563751956</v>
      </c>
      <c r="CI33" t="n">
        <v>395553.753211277</v>
      </c>
      <c r="CJ33" t="n">
        <v>19775.116034434</v>
      </c>
      <c r="CK33" t="n">
        <v>992466.166396486</v>
      </c>
      <c r="CL33" t="n">
        <v>0.0871906329079147</v>
      </c>
      <c r="CM33" t="n">
        <v>11.4691219302897</v>
      </c>
      <c r="CN33" t="n">
        <v>1297962.89946168</v>
      </c>
      <c r="CO33" t="n">
        <v>3289087.78100449</v>
      </c>
      <c r="CP33" t="n">
        <v>3391128.03177081</v>
      </c>
      <c r="CQ33" t="n">
        <v>4587050.68046616</v>
      </c>
      <c r="CR33" t="n">
        <v>10034491.2233799</v>
      </c>
      <c r="CS33" t="n">
        <v>0.00125567169958261</v>
      </c>
      <c r="CT33" t="n">
        <v>0.00468526696668729</v>
      </c>
      <c r="CU33" t="n">
        <v>0.0664081649756767</v>
      </c>
      <c r="CV33" t="n">
        <v>1.83526743975818</v>
      </c>
      <c r="CW33" t="n">
        <v>0.0664081649756769</v>
      </c>
      <c r="CX33" t="n">
        <v>0.039440022763365</v>
      </c>
      <c r="CY33" t="n">
        <v>0.0187275728934862</v>
      </c>
      <c r="CZ33" t="n">
        <v>-0.0140423059267989</v>
      </c>
      <c r="DA33" t="n">
        <v>0.479969826552528</v>
      </c>
      <c r="DB33" t="n">
        <v>6.57788767981873</v>
      </c>
      <c r="DC33" t="n">
        <v>0.0628901911327933</v>
      </c>
      <c r="DD33" t="n">
        <v>0.0428664801530322</v>
      </c>
      <c r="DE33" t="n">
        <v>0.00758347161670825</v>
      </c>
      <c r="DF33" t="n">
        <v>0.138850099309213</v>
      </c>
      <c r="DG33" t="n">
        <v>225483.031859392</v>
      </c>
      <c r="DH33" t="n">
        <v>136.040715477077</v>
      </c>
      <c r="DI33" t="n">
        <v>4.94958271196833</v>
      </c>
      <c r="DJ33" t="n">
        <v>4.26894221943917</v>
      </c>
      <c r="DK33" t="n">
        <v>0.0411256875275234</v>
      </c>
      <c r="DL33" t="n">
        <v>0.670223574218165</v>
      </c>
      <c r="DM33" t="n">
        <v>1.41887596417708</v>
      </c>
      <c r="DN33" t="n">
        <v>0.0357615042376472</v>
      </c>
      <c r="DO33" t="n">
        <v>0.0465455822795444</v>
      </c>
      <c r="DP33" t="n">
        <v>30271.15</v>
      </c>
      <c r="DQ33" t="n">
        <v>25392.1559272745</v>
      </c>
      <c r="DR33" t="n">
        <v>180102.97495745</v>
      </c>
      <c r="DS33" t="n">
        <v>31798.4408376741</v>
      </c>
      <c r="DT33" t="n">
        <v>13581.6160642677</v>
      </c>
      <c r="DU33" t="n">
        <v>0</v>
      </c>
      <c r="DV33" t="n">
        <v>57.775</v>
      </c>
      <c r="DW33" t="n">
        <v>208288.96</v>
      </c>
      <c r="DX33" t="n">
        <v>2.37721280863348</v>
      </c>
      <c r="DY33" t="n">
        <v>73.306</v>
      </c>
      <c r="DZ33" t="n">
        <v>1.02062376390299</v>
      </c>
      <c r="EA33" t="n">
        <v>1.20449936397015</v>
      </c>
      <c r="EB33" t="n">
        <v>180011806.243249</v>
      </c>
      <c r="EC33" t="n">
        <v>3.16578023222883</v>
      </c>
      <c r="ED33" t="n">
        <v>0.0435</v>
      </c>
      <c r="EE33" t="n">
        <v>0.0304926484848485</v>
      </c>
      <c r="EF33" t="n">
        <v>0.03050813492075</v>
      </c>
      <c r="EG33" t="n">
        <v>0.0441803333333333</v>
      </c>
      <c r="EH33" t="n">
        <v>793102.475792585</v>
      </c>
      <c r="EI33" t="n">
        <v>425843.093394191</v>
      </c>
      <c r="EJ33" t="n">
        <v>1243.75332421037</v>
      </c>
      <c r="EK33" t="n">
        <v>1.52822398816839</v>
      </c>
      <c r="EL33" t="n">
        <v>4.39050281832107</v>
      </c>
    </row>
    <row r="34">
      <c r="A34" s="2" t="n">
        <v>48639</v>
      </c>
      <c r="B34" t="n">
        <v>429620.214759845</v>
      </c>
      <c r="C34" t="n">
        <v>36400.89171465</v>
      </c>
      <c r="D34" t="n">
        <v>29164.2648562973</v>
      </c>
      <c r="E34" t="n">
        <v>249794.079404261</v>
      </c>
      <c r="F34" t="n">
        <v>63332.0428969605</v>
      </c>
      <c r="G34" t="n">
        <v>14589.5554142775</v>
      </c>
      <c r="H34" t="n">
        <v>73306.8997676713</v>
      </c>
      <c r="I34" t="n">
        <v>84456.332860452</v>
      </c>
      <c r="J34" t="n">
        <v>100940.089868703</v>
      </c>
      <c r="K34" t="n">
        <v>396.104222037586</v>
      </c>
      <c r="L34" t="n">
        <v>5343.18993639395</v>
      </c>
      <c r="M34" t="n">
        <v>0.666061290594567</v>
      </c>
      <c r="N34" t="n">
        <v>34770.704364306</v>
      </c>
      <c r="O34" t="n">
        <v>192.079652551578</v>
      </c>
      <c r="P34" t="n">
        <v>2.15351810175345</v>
      </c>
      <c r="Q34" t="n">
        <v>1.77266231108492</v>
      </c>
      <c r="R34" t="n">
        <v>1.18795867726748</v>
      </c>
      <c r="S34" t="n">
        <v>0.110418294381627</v>
      </c>
      <c r="T34" t="n">
        <v>7297.0642710079</v>
      </c>
      <c r="U34" t="n">
        <v>0.367763131313332</v>
      </c>
      <c r="V34" t="n">
        <v>0.490808744804917</v>
      </c>
      <c r="W34" t="n">
        <v>29622359.3081047</v>
      </c>
      <c r="X34" t="n">
        <v>89751.1214684992</v>
      </c>
      <c r="Y34" t="n">
        <v>4408701.31732064</v>
      </c>
      <c r="Z34" t="n">
        <v>1269.35449735005</v>
      </c>
      <c r="AA34" t="n">
        <v>1.24440504219989</v>
      </c>
      <c r="AB34" t="n">
        <v>1.21004554066971</v>
      </c>
      <c r="AC34" t="n">
        <v>1.4069253583565</v>
      </c>
      <c r="AD34" t="n">
        <v>1.56947131071657</v>
      </c>
      <c r="AE34" t="n">
        <v>137.746481477766</v>
      </c>
      <c r="AF34" t="n">
        <v>97859.701835123</v>
      </c>
      <c r="AG34" t="n">
        <v>1686.87403809437</v>
      </c>
      <c r="AH34" t="n">
        <v>153.184405432756</v>
      </c>
      <c r="AI34" t="n">
        <v>79851.9228344317</v>
      </c>
      <c r="AJ34" t="n">
        <v>101999.950721498</v>
      </c>
      <c r="AK34" t="n">
        <v>646.944843395549</v>
      </c>
      <c r="AL34" t="n">
        <v>29614.4161371668</v>
      </c>
      <c r="AM34" t="n">
        <v>18474.7775336873</v>
      </c>
      <c r="AN34" t="n">
        <v>1.07715063646298</v>
      </c>
      <c r="AO34" t="n">
        <v>1.14081212119309</v>
      </c>
      <c r="AP34" t="n">
        <v>1.29678877556958</v>
      </c>
      <c r="AQ34" t="n">
        <v>1.36840895886499</v>
      </c>
      <c r="AR34" t="n">
        <v>36806.0996292961</v>
      </c>
      <c r="AS34" t="n">
        <v>201775.167614523</v>
      </c>
      <c r="AT34" t="n">
        <v>0.0447739661669404</v>
      </c>
      <c r="AU34" t="n">
        <v>0.0482158220978467</v>
      </c>
      <c r="AV34" t="n">
        <v>0.320709859326669</v>
      </c>
      <c r="AW34" t="n">
        <v>974.516742240958</v>
      </c>
      <c r="AX34" t="n">
        <v>10773.3044629123</v>
      </c>
      <c r="AY34" t="n">
        <v>19974.7649339314</v>
      </c>
      <c r="AZ34" t="n">
        <v>184240.731965617</v>
      </c>
      <c r="BA34" t="n">
        <v>587896.151860551</v>
      </c>
      <c r="BB34" t="n">
        <v>254141.250187663</v>
      </c>
      <c r="BC34" t="n">
        <v>278702.616051199</v>
      </c>
      <c r="BD34" t="n">
        <v>114969.391741778</v>
      </c>
      <c r="BE34" t="n">
        <v>22.3228658783757</v>
      </c>
      <c r="BF34" t="n">
        <v>57130.1552306436</v>
      </c>
      <c r="BG34" t="n">
        <v>23200.5061765828</v>
      </c>
      <c r="BH34" t="n">
        <v>36292.1582392295</v>
      </c>
      <c r="BI34" t="n">
        <v>96624.4621898368</v>
      </c>
      <c r="BJ34" t="n">
        <v>54834.319041798</v>
      </c>
      <c r="BK34" t="n">
        <v>108727.682046703</v>
      </c>
      <c r="BL34" t="n">
        <v>35408.5129711609</v>
      </c>
      <c r="BM34" t="n">
        <v>21076.2501467763</v>
      </c>
      <c r="BN34" t="n">
        <v>50699.1072085566</v>
      </c>
      <c r="BO34" t="n">
        <v>227501.112373197</v>
      </c>
      <c r="BP34" t="n">
        <v>239700.561224772</v>
      </c>
      <c r="BQ34" t="n">
        <v>1097919.55407473</v>
      </c>
      <c r="BR34" t="n">
        <v>795129.94373341</v>
      </c>
      <c r="BS34" t="n">
        <v>813094.353255207</v>
      </c>
      <c r="BT34" t="n">
        <v>136.592408166899</v>
      </c>
      <c r="BU34" t="n">
        <v>1.38080519769263</v>
      </c>
      <c r="BV34" t="n">
        <v>1.23480356350111</v>
      </c>
      <c r="BW34" t="n">
        <v>103.943309403773</v>
      </c>
      <c r="BX34" t="n">
        <v>91409.1628740504</v>
      </c>
      <c r="BY34" t="n">
        <v>1.69039613232924</v>
      </c>
      <c r="BZ34" t="n">
        <v>154517.695381748</v>
      </c>
      <c r="CA34" t="n">
        <v>10728.2577424592</v>
      </c>
      <c r="CB34" t="n">
        <v>16071.4476788532</v>
      </c>
      <c r="CC34" t="n">
        <v>16964.5536098538</v>
      </c>
      <c r="CD34" t="n">
        <v>893.10593100058</v>
      </c>
      <c r="CE34" t="n">
        <v>0.0526454053610854</v>
      </c>
      <c r="CF34" t="n">
        <v>11934658.0868709</v>
      </c>
      <c r="CG34" t="n">
        <v>513431.151279109</v>
      </c>
      <c r="CH34" t="n">
        <v>684320.198619437</v>
      </c>
      <c r="CI34" t="n">
        <v>401060.507658147</v>
      </c>
      <c r="CJ34" t="n">
        <v>19992.2292340061</v>
      </c>
      <c r="CK34" t="n">
        <v>1005434.39313059</v>
      </c>
      <c r="CL34" t="n">
        <v>0.0886582356093447</v>
      </c>
      <c r="CM34" t="n">
        <v>11.2792680017489</v>
      </c>
      <c r="CN34" t="n">
        <v>1306184.91715159</v>
      </c>
      <c r="CO34" t="n">
        <v>3314326.62915267</v>
      </c>
      <c r="CP34" t="n">
        <v>3400353.54542205</v>
      </c>
      <c r="CQ34" t="n">
        <v>4620511.54630426</v>
      </c>
      <c r="CR34" t="n">
        <v>10077177.6028692</v>
      </c>
      <c r="CS34" t="n">
        <v>0.000950298417341261</v>
      </c>
      <c r="CT34" t="n">
        <v>0.00439215434824761</v>
      </c>
      <c r="CU34" t="n">
        <v>0.0665946266320279</v>
      </c>
      <c r="CV34" t="n">
        <v>1.85501698747027</v>
      </c>
      <c r="CW34" t="n">
        <v>0.0665946266320279</v>
      </c>
      <c r="CX34" t="n">
        <v>0.039440022763365</v>
      </c>
      <c r="CY34" t="n">
        <v>0.0188638103583651</v>
      </c>
      <c r="CZ34" t="n">
        <v>-0.0144716560101175</v>
      </c>
      <c r="DA34" t="n">
        <v>0.47636175937368</v>
      </c>
      <c r="DB34" t="n">
        <v>6.60847976601371</v>
      </c>
      <c r="DC34" t="n">
        <v>0.0625034574169404</v>
      </c>
      <c r="DD34" t="n">
        <v>0.042595787223088</v>
      </c>
      <c r="DE34" t="n">
        <v>0.00755558319796167</v>
      </c>
      <c r="DF34" t="n">
        <v>0.13983923758323</v>
      </c>
      <c r="DG34" t="n">
        <v>226150.256017668</v>
      </c>
      <c r="DH34" t="n">
        <v>137.1063988837</v>
      </c>
      <c r="DI34" t="n">
        <v>4.9575429549512</v>
      </c>
      <c r="DJ34" t="n">
        <v>4.27398125859144</v>
      </c>
      <c r="DK34" t="n">
        <v>0.0411256875275234</v>
      </c>
      <c r="DL34" t="n">
        <v>0.670223574218165</v>
      </c>
      <c r="DM34" t="n">
        <v>1.43341101689134</v>
      </c>
      <c r="DN34" t="n">
        <v>0.0357615042376472</v>
      </c>
      <c r="DO34" t="n">
        <v>0.0465455822795444</v>
      </c>
      <c r="DP34" t="n">
        <v>30360.725</v>
      </c>
      <c r="DQ34" t="n">
        <v>25469.9587701759</v>
      </c>
      <c r="DR34" t="n">
        <v>180635.915528978</v>
      </c>
      <c r="DS34" t="n">
        <v>31892.5352258304</v>
      </c>
      <c r="DT34" t="n">
        <v>13621.8052628597</v>
      </c>
      <c r="DU34" t="n">
        <v>0</v>
      </c>
      <c r="DV34" t="n">
        <v>57.775</v>
      </c>
      <c r="DW34" t="n">
        <v>208288.96</v>
      </c>
      <c r="DX34" t="n">
        <v>2.38901075313767</v>
      </c>
      <c r="DY34" t="n">
        <v>73.306</v>
      </c>
      <c r="DZ34" t="n">
        <v>1.02062376390299</v>
      </c>
      <c r="EA34" t="n">
        <v>1.20449936397015</v>
      </c>
      <c r="EB34" t="n">
        <v>181251529.323957</v>
      </c>
      <c r="EC34" t="n">
        <v>3.16578023222883</v>
      </c>
      <c r="ED34" t="n">
        <v>0.0435</v>
      </c>
      <c r="EE34" t="n">
        <v>0.0304926484848485</v>
      </c>
      <c r="EF34" t="n">
        <v>0.03050813492075</v>
      </c>
      <c r="EG34" t="n">
        <v>0.0441803333333333</v>
      </c>
      <c r="EH34" t="n">
        <v>795956.428101096</v>
      </c>
      <c r="EI34" t="n">
        <v>428546.616322181</v>
      </c>
      <c r="EJ34" t="n">
        <v>1262.93121376833</v>
      </c>
      <c r="EK34" t="n">
        <v>1.50215609332003</v>
      </c>
      <c r="EL34" t="n">
        <v>4.38236677495991</v>
      </c>
    </row>
    <row r="35">
      <c r="A35" s="2" t="n">
        <v>48731</v>
      </c>
      <c r="B35" t="n">
        <v>432068.010626061</v>
      </c>
      <c r="C35" t="n">
        <v>36529.9084596336</v>
      </c>
      <c r="D35" t="n">
        <v>29388.6806710786</v>
      </c>
      <c r="E35" t="n">
        <v>250778.593848055</v>
      </c>
      <c r="F35" t="n">
        <v>64192.6219214832</v>
      </c>
      <c r="G35" t="n">
        <v>14742.6213913538</v>
      </c>
      <c r="H35" t="n">
        <v>74291.7886845756</v>
      </c>
      <c r="I35" t="n">
        <v>84897.7929351638</v>
      </c>
      <c r="J35" t="n">
        <v>101150.117261981</v>
      </c>
      <c r="K35" t="n">
        <v>395.709745141282</v>
      </c>
      <c r="L35" t="n">
        <v>5366.83247932382</v>
      </c>
      <c r="M35" t="n">
        <v>0.66601920734667</v>
      </c>
      <c r="N35" t="n">
        <v>35079.48880468</v>
      </c>
      <c r="O35" t="n">
        <v>194.139658585201</v>
      </c>
      <c r="P35" t="n">
        <v>2.19123260658505</v>
      </c>
      <c r="Q35" t="n">
        <v>1.78950902350364</v>
      </c>
      <c r="R35" t="n">
        <v>1.19472556095773</v>
      </c>
      <c r="S35" t="n">
        <v>0.110479600018891</v>
      </c>
      <c r="T35" t="n">
        <v>7200.27504596017</v>
      </c>
      <c r="U35" t="n">
        <v>0.367097711128637</v>
      </c>
      <c r="V35" t="n">
        <v>0.487652365397931</v>
      </c>
      <c r="W35" t="n">
        <v>30091973.9020549</v>
      </c>
      <c r="X35" t="n">
        <v>91189.8262781221</v>
      </c>
      <c r="Y35" t="n">
        <v>4413429.41166626</v>
      </c>
      <c r="Z35" t="n">
        <v>1288.85811540266</v>
      </c>
      <c r="AA35" t="n">
        <v>1.25214466374361</v>
      </c>
      <c r="AB35" t="n">
        <v>1.21700554640086</v>
      </c>
      <c r="AC35" t="n">
        <v>1.41904268270658</v>
      </c>
      <c r="AD35" t="n">
        <v>1.58744771140057</v>
      </c>
      <c r="AE35" t="n">
        <v>138.878599283004</v>
      </c>
      <c r="AF35" t="n">
        <v>98776.8550525141</v>
      </c>
      <c r="AG35" t="n">
        <v>1719.91517966142</v>
      </c>
      <c r="AH35" t="n">
        <v>156.261342955868</v>
      </c>
      <c r="AI35" t="n">
        <v>80253.0606142962</v>
      </c>
      <c r="AJ35" t="n">
        <v>103260.715425102</v>
      </c>
      <c r="AK35" t="n">
        <v>649.173321704265</v>
      </c>
      <c r="AL35" t="n">
        <v>29954.5410492634</v>
      </c>
      <c r="AM35" t="n">
        <v>18425.6598788201</v>
      </c>
      <c r="AN35" t="n">
        <v>1.08191231449041</v>
      </c>
      <c r="AO35" t="n">
        <v>1.1484164206508</v>
      </c>
      <c r="AP35" t="n">
        <v>1.30564322776239</v>
      </c>
      <c r="AQ35" t="n">
        <v>1.38136136732117</v>
      </c>
      <c r="AR35" t="n">
        <v>36946.071114369</v>
      </c>
      <c r="AS35" t="n">
        <v>203267.067703145</v>
      </c>
      <c r="AT35" t="n">
        <v>0.0442806643699795</v>
      </c>
      <c r="AU35" t="n">
        <v>0.0478372082703706</v>
      </c>
      <c r="AV35" t="n">
        <v>0.322397002527759</v>
      </c>
      <c r="AW35" t="n">
        <v>984.51444379444</v>
      </c>
      <c r="AX35" t="n">
        <v>10811.4886009663</v>
      </c>
      <c r="AY35" t="n">
        <v>20045.0299054656</v>
      </c>
      <c r="AZ35" t="n">
        <v>184611.878160636</v>
      </c>
      <c r="BA35" t="n">
        <v>596842.059001177</v>
      </c>
      <c r="BB35" t="n">
        <v>257086.339583745</v>
      </c>
      <c r="BC35" t="n">
        <v>281958.42809919</v>
      </c>
      <c r="BD35" t="n">
        <v>115580.333105095</v>
      </c>
      <c r="BE35" t="n">
        <v>22.3865354100463</v>
      </c>
      <c r="BF35" t="n">
        <v>57989.3195819176</v>
      </c>
      <c r="BG35" t="n">
        <v>23690.4863481599</v>
      </c>
      <c r="BH35" t="n">
        <v>36798.879676756</v>
      </c>
      <c r="BI35" t="n">
        <v>97668.4189559984</v>
      </c>
      <c r="BJ35" t="n">
        <v>55320.878910528</v>
      </c>
      <c r="BK35" t="n">
        <v>109435.557477886</v>
      </c>
      <c r="BL35" t="n">
        <v>35870.7618922309</v>
      </c>
      <c r="BM35" t="n">
        <v>21160.3303661637</v>
      </c>
      <c r="BN35" t="n">
        <v>51310.1860537384</v>
      </c>
      <c r="BO35" t="n">
        <v>229366.395790019</v>
      </c>
      <c r="BP35" t="n">
        <v>242848.361485873</v>
      </c>
      <c r="BQ35" t="n">
        <v>1111914.41636243</v>
      </c>
      <c r="BR35" t="n">
        <v>797926.962030986</v>
      </c>
      <c r="BS35" t="n">
        <v>817012.126111852</v>
      </c>
      <c r="BT35" t="n">
        <v>137.807729740326</v>
      </c>
      <c r="BU35" t="n">
        <v>1.39350400930808</v>
      </c>
      <c r="BV35" t="n">
        <v>1.242424908274</v>
      </c>
      <c r="BW35" t="n">
        <v>103.992494081907</v>
      </c>
      <c r="BX35" t="n">
        <v>91929.9739609831</v>
      </c>
      <c r="BY35" t="n">
        <v>1.7243502628022</v>
      </c>
      <c r="BZ35" t="n">
        <v>158519.474759021</v>
      </c>
      <c r="CA35" t="n">
        <v>10750.4695232543</v>
      </c>
      <c r="CB35" t="n">
        <v>16117.3020025781</v>
      </c>
      <c r="CC35" t="n">
        <v>17015.3104132962</v>
      </c>
      <c r="CD35" t="n">
        <v>898.008410718092</v>
      </c>
      <c r="CE35" t="n">
        <v>0.0527764855406062</v>
      </c>
      <c r="CF35" t="n">
        <v>11969869.5977334</v>
      </c>
      <c r="CG35" t="n">
        <v>519468.631453375</v>
      </c>
      <c r="CH35" t="n">
        <v>692075.339624405</v>
      </c>
      <c r="CI35" t="n">
        <v>406344.896216277</v>
      </c>
      <c r="CJ35" t="n">
        <v>20218.7935777536</v>
      </c>
      <c r="CK35" t="n">
        <v>1018250.3738816</v>
      </c>
      <c r="CL35" t="n">
        <v>0.0901595171796241</v>
      </c>
      <c r="CM35" t="n">
        <v>11.0914524753688</v>
      </c>
      <c r="CN35" t="n">
        <v>1314504.67357958</v>
      </c>
      <c r="CO35" t="n">
        <v>3339571.86729082</v>
      </c>
      <c r="CP35" t="n">
        <v>3409629.50238856</v>
      </c>
      <c r="CQ35" t="n">
        <v>4654076.54087039</v>
      </c>
      <c r="CR35" t="n">
        <v>10120018.5544019</v>
      </c>
      <c r="CS35" t="n">
        <v>0.000516072172066888</v>
      </c>
      <c r="CT35" t="n">
        <v>0.00407261607245799</v>
      </c>
      <c r="CU35" t="n">
        <v>0.0667150078209786</v>
      </c>
      <c r="CV35" t="n">
        <v>1.87491157878121</v>
      </c>
      <c r="CW35" t="n">
        <v>0.0667150078209786</v>
      </c>
      <c r="CX35" t="n">
        <v>0.039440022763365</v>
      </c>
      <c r="CY35" t="n">
        <v>0.019000022763365</v>
      </c>
      <c r="CZ35" t="n">
        <v>-0.014927406690907</v>
      </c>
      <c r="DA35" t="n">
        <v>0.472772155444903</v>
      </c>
      <c r="DB35" t="n">
        <v>6.63881931592572</v>
      </c>
      <c r="DC35" t="n">
        <v>0.0620101556199795</v>
      </c>
      <c r="DD35" t="n">
        <v>0.0422512281970628</v>
      </c>
      <c r="DE35" t="n">
        <v>0.00752740469073896</v>
      </c>
      <c r="DF35" t="n">
        <v>0.140832539386172</v>
      </c>
      <c r="DG35" t="n">
        <v>226817.480175945</v>
      </c>
      <c r="DH35" t="n">
        <v>138.232386139981</v>
      </c>
      <c r="DI35" t="n">
        <v>4.9658791266169</v>
      </c>
      <c r="DJ35" t="n">
        <v>4.27939622642654</v>
      </c>
      <c r="DK35" t="n">
        <v>0.0411256875275234</v>
      </c>
      <c r="DL35" t="n">
        <v>0.670223574218165</v>
      </c>
      <c r="DM35" t="n">
        <v>1.4480949675803</v>
      </c>
      <c r="DN35" t="n">
        <v>0.0357615042376472</v>
      </c>
      <c r="DO35" t="n">
        <v>0.0465455822795444</v>
      </c>
      <c r="DP35" t="n">
        <v>30450.3</v>
      </c>
      <c r="DQ35" t="n">
        <v>25547.77733976</v>
      </c>
      <c r="DR35" t="n">
        <v>181168.856100506</v>
      </c>
      <c r="DS35" t="n">
        <v>31986.6296139866</v>
      </c>
      <c r="DT35" t="n">
        <v>13661.9944614517</v>
      </c>
      <c r="DU35" t="n">
        <v>0</v>
      </c>
      <c r="DV35" t="n">
        <v>57.775</v>
      </c>
      <c r="DW35" t="n">
        <v>208288.96</v>
      </c>
      <c r="DX35" t="n">
        <v>2.40086725003314</v>
      </c>
      <c r="DY35" t="n">
        <v>73.306</v>
      </c>
      <c r="DZ35" t="n">
        <v>1.02062376390299</v>
      </c>
      <c r="EA35" t="n">
        <v>1.20449936397015</v>
      </c>
      <c r="EB35" t="n">
        <v>182499790.251982</v>
      </c>
      <c r="EC35" t="n">
        <v>3.16578023222883</v>
      </c>
      <c r="ED35" t="n">
        <v>0.0435</v>
      </c>
      <c r="EE35" t="n">
        <v>0.0304926484848485</v>
      </c>
      <c r="EF35" t="n">
        <v>0.03050813492075</v>
      </c>
      <c r="EG35" t="n">
        <v>0.0441803333333333</v>
      </c>
      <c r="EH35" t="n">
        <v>798780.487613333</v>
      </c>
      <c r="EI35" t="n">
        <v>431222.849642196</v>
      </c>
      <c r="EJ35" t="n">
        <v>1282.31800924917</v>
      </c>
      <c r="EK35" t="n">
        <v>1.5346998693027</v>
      </c>
      <c r="EL35" t="n">
        <v>4.37645921979126</v>
      </c>
    </row>
    <row r="36">
      <c r="A36" s="2" t="n">
        <v>48823</v>
      </c>
      <c r="B36" t="n">
        <v>434573.17106672</v>
      </c>
      <c r="C36" t="n">
        <v>36661.0211344785</v>
      </c>
      <c r="D36" t="n">
        <v>29611.6387900714</v>
      </c>
      <c r="E36" t="n">
        <v>251741.742598017</v>
      </c>
      <c r="F36" t="n">
        <v>65093.1885974997</v>
      </c>
      <c r="G36" t="n">
        <v>14900.8040938007</v>
      </c>
      <c r="H36" t="n">
        <v>75297.1534729666</v>
      </c>
      <c r="I36" t="n">
        <v>89422.6265994435</v>
      </c>
      <c r="J36" t="n">
        <v>101384.233943334</v>
      </c>
      <c r="K36" t="n">
        <v>395.32386575572</v>
      </c>
      <c r="L36" t="n">
        <v>5390.46604833752</v>
      </c>
      <c r="M36" t="n">
        <v>0.665973769928464</v>
      </c>
      <c r="N36" t="n">
        <v>35386.7419326216</v>
      </c>
      <c r="O36" t="n">
        <v>196.219442814874</v>
      </c>
      <c r="P36" t="n">
        <v>2.22966497437427</v>
      </c>
      <c r="Q36" t="n">
        <v>1.80627435808902</v>
      </c>
      <c r="R36" t="n">
        <v>1.2015992130553</v>
      </c>
      <c r="S36" t="n">
        <v>0.110546110077852</v>
      </c>
      <c r="T36" t="n">
        <v>7104.06488065504</v>
      </c>
      <c r="U36" t="n">
        <v>0.366402401271334</v>
      </c>
      <c r="V36" t="n">
        <v>0.484471119661234</v>
      </c>
      <c r="W36" t="n">
        <v>30570043.2404949</v>
      </c>
      <c r="X36" t="n">
        <v>92654.8414255279</v>
      </c>
      <c r="Y36" t="n">
        <v>4418152.29842559</v>
      </c>
      <c r="Z36" t="n">
        <v>1308.7876409749</v>
      </c>
      <c r="AA36" t="n">
        <v>1.25997022672823</v>
      </c>
      <c r="AB36" t="n">
        <v>1.22405314353592</v>
      </c>
      <c r="AC36" t="n">
        <v>1.43119710272503</v>
      </c>
      <c r="AD36" t="n">
        <v>1.60567747981336</v>
      </c>
      <c r="AE36" t="n">
        <v>140.021074592638</v>
      </c>
      <c r="AF36" t="n">
        <v>99719.6451342209</v>
      </c>
      <c r="AG36" t="n">
        <v>1753.56516468546</v>
      </c>
      <c r="AH36" t="n">
        <v>159.388459453349</v>
      </c>
      <c r="AI36" t="n">
        <v>80633.3934220182</v>
      </c>
      <c r="AJ36" t="n">
        <v>104555.351308303</v>
      </c>
      <c r="AK36" t="n">
        <v>651.899125987877</v>
      </c>
      <c r="AL36" t="n">
        <v>30301.9588870005</v>
      </c>
      <c r="AM36" t="n">
        <v>18378.341708523</v>
      </c>
      <c r="AN36" t="n">
        <v>1.08698138168505</v>
      </c>
      <c r="AO36" t="n">
        <v>1.15598869729965</v>
      </c>
      <c r="AP36" t="n">
        <v>1.31462223374478</v>
      </c>
      <c r="AQ36" t="n">
        <v>1.39447043104736</v>
      </c>
      <c r="AR36" t="n">
        <v>37092.5171797518</v>
      </c>
      <c r="AS36" t="n">
        <v>204720.273769292</v>
      </c>
      <c r="AT36" t="n">
        <v>0.0438380316716759</v>
      </c>
      <c r="AU36" t="n">
        <v>0.0474577981756829</v>
      </c>
      <c r="AV36" t="n">
        <v>0.323602373692847</v>
      </c>
      <c r="AW36" t="n">
        <v>963.148749962013</v>
      </c>
      <c r="AX36" t="n">
        <v>10850.2930559814</v>
      </c>
      <c r="AY36" t="n">
        <v>20117.2202942891</v>
      </c>
      <c r="AZ36" t="n">
        <v>185017.313125898</v>
      </c>
      <c r="BA36" t="n">
        <v>605999.43828071</v>
      </c>
      <c r="BB36" t="n">
        <v>260047.891782227</v>
      </c>
      <c r="BC36" t="n">
        <v>285312.750185488</v>
      </c>
      <c r="BD36" t="n">
        <v>120197.792114787</v>
      </c>
      <c r="BE36" t="n">
        <v>22.8677459980127</v>
      </c>
      <c r="BF36" t="n">
        <v>58865.7760225939</v>
      </c>
      <c r="BG36" t="n">
        <v>24192.5183886181</v>
      </c>
      <c r="BH36" t="n">
        <v>37309.7832401207</v>
      </c>
      <c r="BI36" t="n">
        <v>98699.5577143832</v>
      </c>
      <c r="BJ36" t="n">
        <v>55775.2978153251</v>
      </c>
      <c r="BK36" t="n">
        <v>110202.774692806</v>
      </c>
      <c r="BL36" t="n">
        <v>36337.2191736023</v>
      </c>
      <c r="BM36" t="n">
        <v>21245.1552901632</v>
      </c>
      <c r="BN36" t="n">
        <v>51937.3411485473</v>
      </c>
      <c r="BO36" t="n">
        <v>231312.050305118</v>
      </c>
      <c r="BP36" t="n">
        <v>245991.719857648</v>
      </c>
      <c r="BQ36" t="n">
        <v>1126210.59369145</v>
      </c>
      <c r="BR36" t="n">
        <v>800800.624846803</v>
      </c>
      <c r="BS36" t="n">
        <v>820933.558745458</v>
      </c>
      <c r="BT36" t="n">
        <v>139.037206974134</v>
      </c>
      <c r="BU36" t="n">
        <v>1.40635579348594</v>
      </c>
      <c r="BV36" t="n">
        <v>1.25021840603489</v>
      </c>
      <c r="BW36" t="n">
        <v>104.046207125583</v>
      </c>
      <c r="BX36" t="n">
        <v>92462.9903575087</v>
      </c>
      <c r="BY36" t="n">
        <v>1.75885812029429</v>
      </c>
      <c r="BZ36" t="n">
        <v>162629.281416997</v>
      </c>
      <c r="CA36" t="n">
        <v>10772.478650661</v>
      </c>
      <c r="CB36" t="n">
        <v>16162.9446989985</v>
      </c>
      <c r="CC36" t="n">
        <v>17065.190597123</v>
      </c>
      <c r="CD36" t="n">
        <v>902.245898124447</v>
      </c>
      <c r="CE36" t="n">
        <v>0.0528705356449133</v>
      </c>
      <c r="CF36" t="n">
        <v>12004933.6978611</v>
      </c>
      <c r="CG36" t="n">
        <v>525502.508669105</v>
      </c>
      <c r="CH36" t="n">
        <v>704477.283763769</v>
      </c>
      <c r="CI36" t="n">
        <v>411855.139050216</v>
      </c>
      <c r="CJ36" t="n">
        <v>20581.1130163464</v>
      </c>
      <c r="CK36" t="n">
        <v>1031342.28787798</v>
      </c>
      <c r="CL36" t="n">
        <v>0.0917642415911843</v>
      </c>
      <c r="CM36" t="n">
        <v>10.897491034199</v>
      </c>
      <c r="CN36" t="n">
        <v>1322916.07654082</v>
      </c>
      <c r="CO36" t="n">
        <v>3364802.30389043</v>
      </c>
      <c r="CP36" t="n">
        <v>3418960.48093335</v>
      </c>
      <c r="CQ36" t="n">
        <v>4687718.38043126</v>
      </c>
      <c r="CR36" t="n">
        <v>10162991.3725075</v>
      </c>
      <c r="CS36" t="n">
        <v>0.000171337188300931</v>
      </c>
      <c r="CT36" t="n">
        <v>0.00379110369230787</v>
      </c>
      <c r="CU36" t="n">
        <v>0.0668794155944769</v>
      </c>
      <c r="CV36" t="n">
        <v>1.8949971788178</v>
      </c>
      <c r="CW36" t="n">
        <v>0.0668794155944771</v>
      </c>
      <c r="CX36" t="n">
        <v>0.039440022763365</v>
      </c>
      <c r="CY36" t="n">
        <v>0.0191100583388133</v>
      </c>
      <c r="CZ36" t="n">
        <v>-0.0153189546465054</v>
      </c>
      <c r="DA36" t="n">
        <v>0.469186672970477</v>
      </c>
      <c r="DB36" t="n">
        <v>6.67002016823422</v>
      </c>
      <c r="DC36" t="n">
        <v>0.0615675229216759</v>
      </c>
      <c r="DD36" t="n">
        <v>0.041942654615599</v>
      </c>
      <c r="DE36" t="n">
        <v>0.00749918537026051</v>
      </c>
      <c r="DF36" t="n">
        <v>0.141910585864803</v>
      </c>
      <c r="DG36" t="n">
        <v>227481.911043019</v>
      </c>
      <c r="DH36" t="n">
        <v>139.336214451903</v>
      </c>
      <c r="DI36" t="n">
        <v>4.97398992554829</v>
      </c>
      <c r="DJ36" t="n">
        <v>4.28458582152733</v>
      </c>
      <c r="DK36" t="n">
        <v>0.0411256875275234</v>
      </c>
      <c r="DL36" t="n">
        <v>0.670223574218165</v>
      </c>
      <c r="DM36" t="n">
        <v>1.46292934156396</v>
      </c>
      <c r="DN36" t="n">
        <v>0.0357615042376472</v>
      </c>
      <c r="DO36" t="n">
        <v>0.0465455822795444</v>
      </c>
      <c r="DP36" t="n">
        <v>30539.5</v>
      </c>
      <c r="DQ36" t="n">
        <v>25624.41850969</v>
      </c>
      <c r="DR36" t="n">
        <v>181699.565550468</v>
      </c>
      <c r="DS36" t="n">
        <v>32080.3300820137</v>
      </c>
      <c r="DT36" t="n">
        <v>13702.0154105379</v>
      </c>
      <c r="DU36" t="n">
        <v>0</v>
      </c>
      <c r="DV36" t="n">
        <v>58.1</v>
      </c>
      <c r="DW36" t="n">
        <v>208288.96</v>
      </c>
      <c r="DX36" t="n">
        <v>2.4127825899114</v>
      </c>
      <c r="DY36" t="n">
        <v>73.306</v>
      </c>
      <c r="DZ36" t="n">
        <v>1.02062376390299</v>
      </c>
      <c r="EA36" t="n">
        <v>1.20449936397015</v>
      </c>
      <c r="EB36" t="n">
        <v>183756647.826614</v>
      </c>
      <c r="EC36" t="n">
        <v>3.16578023222883</v>
      </c>
      <c r="ED36" t="n">
        <v>0.0435</v>
      </c>
      <c r="EE36" t="n">
        <v>0.0304926484848485</v>
      </c>
      <c r="EF36" t="n">
        <v>0.03050813492075</v>
      </c>
      <c r="EG36" t="n">
        <v>0.0441803333333333</v>
      </c>
      <c r="EH36" t="n">
        <v>801595.416599983</v>
      </c>
      <c r="EI36" t="n">
        <v>433883.665035887</v>
      </c>
      <c r="EJ36" t="n">
        <v>1301.95984299545</v>
      </c>
      <c r="EK36" t="n">
        <v>1.48200069329398</v>
      </c>
      <c r="EL36" t="n">
        <v>4.3666694483375</v>
      </c>
    </row>
    <row r="37">
      <c r="A37" s="2" t="n">
        <v>48914</v>
      </c>
      <c r="B37" t="n">
        <v>437203.807584838</v>
      </c>
      <c r="C37" t="n">
        <v>36793.9212516167</v>
      </c>
      <c r="D37" t="n">
        <v>29830.3330678186</v>
      </c>
      <c r="E37" t="n">
        <v>252704.377473934</v>
      </c>
      <c r="F37" t="n">
        <v>66026.3097909556</v>
      </c>
      <c r="G37" t="n">
        <v>15061.7024344787</v>
      </c>
      <c r="H37" t="n">
        <v>76326.4758269676</v>
      </c>
      <c r="I37" t="n">
        <v>89094.3691239481</v>
      </c>
      <c r="J37" t="n">
        <v>101632.962877346</v>
      </c>
      <c r="K37" t="n">
        <v>394.948212974277</v>
      </c>
      <c r="L37" t="n">
        <v>5414.30968454221</v>
      </c>
      <c r="M37" t="n">
        <v>0.665930724122717</v>
      </c>
      <c r="N37" t="n">
        <v>35696.8369879974</v>
      </c>
      <c r="O37" t="n">
        <v>198.317669352106</v>
      </c>
      <c r="P37" t="n">
        <v>2.26884365943806</v>
      </c>
      <c r="Q37" t="n">
        <v>1.82293999986827</v>
      </c>
      <c r="R37" t="n">
        <v>1.20852712783366</v>
      </c>
      <c r="S37" t="n">
        <v>0.110677609330836</v>
      </c>
      <c r="T37" t="n">
        <v>7012.37970756333</v>
      </c>
      <c r="U37" t="n">
        <v>0.365714069333023</v>
      </c>
      <c r="V37" t="n">
        <v>0.481313838550252</v>
      </c>
      <c r="W37" t="n">
        <v>31057310.7848112</v>
      </c>
      <c r="X37" t="n">
        <v>94148.4787420351</v>
      </c>
      <c r="Y37" t="n">
        <v>4423218.67977284</v>
      </c>
      <c r="Z37" t="n">
        <v>1329.05999727069</v>
      </c>
      <c r="AA37" t="n">
        <v>1.26788427041699</v>
      </c>
      <c r="AB37" t="n">
        <v>1.23115344421203</v>
      </c>
      <c r="AC37" t="n">
        <v>1.44344789719917</v>
      </c>
      <c r="AD37" t="n">
        <v>1.62418161602164</v>
      </c>
      <c r="AE37" t="n">
        <v>141.170927141704</v>
      </c>
      <c r="AF37" t="n">
        <v>100692.699072287</v>
      </c>
      <c r="AG37" t="n">
        <v>1787.31129202741</v>
      </c>
      <c r="AH37" t="n">
        <v>162.559667615244</v>
      </c>
      <c r="AI37" t="n">
        <v>81008.9366912989</v>
      </c>
      <c r="AJ37" t="n">
        <v>105865.383548846</v>
      </c>
      <c r="AK37" t="n">
        <v>654.409102299637</v>
      </c>
      <c r="AL37" t="n">
        <v>30663.0059634689</v>
      </c>
      <c r="AM37" t="n">
        <v>18333.3757880048</v>
      </c>
      <c r="AN37" t="n">
        <v>1.0922267964051</v>
      </c>
      <c r="AO37" t="n">
        <v>1.16357721589616</v>
      </c>
      <c r="AP37" t="n">
        <v>1.32372545870415</v>
      </c>
      <c r="AQ37" t="n">
        <v>1.4077250370055</v>
      </c>
      <c r="AR37" t="n">
        <v>37247.480394901</v>
      </c>
      <c r="AS37" t="n">
        <v>206234.259866701</v>
      </c>
      <c r="AT37" t="n">
        <v>0.043477890187448</v>
      </c>
      <c r="AU37" t="n">
        <v>0.0470826294529621</v>
      </c>
      <c r="AV37" t="n">
        <v>0.324234668846758</v>
      </c>
      <c r="AW37" t="n">
        <v>962.634875916789</v>
      </c>
      <c r="AX37" t="n">
        <v>10889.6265271587</v>
      </c>
      <c r="AY37" t="n">
        <v>20192.0981639836</v>
      </c>
      <c r="AZ37" t="n">
        <v>185450.917224236</v>
      </c>
      <c r="BA37" t="n">
        <v>615462.747307894</v>
      </c>
      <c r="BB37" t="n">
        <v>263039.907255395</v>
      </c>
      <c r="BC37" t="n">
        <v>288770.193088158</v>
      </c>
      <c r="BD37" t="n">
        <v>119893.80721169</v>
      </c>
      <c r="BE37" t="n">
        <v>22.8360660732651</v>
      </c>
      <c r="BF37" t="n">
        <v>59760.0104782236</v>
      </c>
      <c r="BG37" t="n">
        <v>24706.8600997925</v>
      </c>
      <c r="BH37" t="n">
        <v>37821.4100779869</v>
      </c>
      <c r="BI37" t="n">
        <v>99734.4304746996</v>
      </c>
      <c r="BJ37" t="n">
        <v>56258.6917783756</v>
      </c>
      <c r="BK37" t="n">
        <v>111006.245452683</v>
      </c>
      <c r="BL37" t="n">
        <v>36808.9834243923</v>
      </c>
      <c r="BM37" t="n">
        <v>21332.2983573846</v>
      </c>
      <c r="BN37" t="n">
        <v>52582.613410406</v>
      </c>
      <c r="BO37" t="n">
        <v>233319.700644866</v>
      </c>
      <c r="BP37" t="n">
        <v>249239.697737603</v>
      </c>
      <c r="BQ37" t="n">
        <v>1140864.06037963</v>
      </c>
      <c r="BR37" t="n">
        <v>803781.267504392</v>
      </c>
      <c r="BS37" t="n">
        <v>824994.584324393</v>
      </c>
      <c r="BT37" t="n">
        <v>140.279745804812</v>
      </c>
      <c r="BU37" t="n">
        <v>1.41937130174071</v>
      </c>
      <c r="BV37" t="n">
        <v>1.25812103890945</v>
      </c>
      <c r="BW37" t="n">
        <v>104.103665522568</v>
      </c>
      <c r="BX37" t="n">
        <v>93022.7039689398</v>
      </c>
      <c r="BY37" t="n">
        <v>1.79385253109305</v>
      </c>
      <c r="BZ37" t="n">
        <v>166869.012963802</v>
      </c>
      <c r="CA37" t="n">
        <v>10795.0895941282</v>
      </c>
      <c r="CB37" t="n">
        <v>16209.3992786704</v>
      </c>
      <c r="CC37" t="n">
        <v>17115.132294867</v>
      </c>
      <c r="CD37" t="n">
        <v>905.733016196533</v>
      </c>
      <c r="CE37" t="n">
        <v>0.0529200051367122</v>
      </c>
      <c r="CF37" t="n">
        <v>12039997.7979888</v>
      </c>
      <c r="CG37" t="n">
        <v>531631.106164549</v>
      </c>
      <c r="CH37" t="n">
        <v>711453.525327066</v>
      </c>
      <c r="CI37" t="n">
        <v>417555.031765353</v>
      </c>
      <c r="CJ37" t="n">
        <v>20784.9220238937</v>
      </c>
      <c r="CK37" t="n">
        <v>1044761.39434367</v>
      </c>
      <c r="CL37" t="n">
        <v>0.0933219719396843</v>
      </c>
      <c r="CM37" t="n">
        <v>10.7155901146872</v>
      </c>
      <c r="CN37" t="n">
        <v>1331416.20581543</v>
      </c>
      <c r="CO37" t="n">
        <v>3389997.3778488</v>
      </c>
      <c r="CP37" t="n">
        <v>3428348.13807407</v>
      </c>
      <c r="CQ37" t="n">
        <v>4721413.58366423</v>
      </c>
      <c r="CR37" t="n">
        <v>10206074.2328812</v>
      </c>
      <c r="CS37" t="n">
        <v>-0.000108916123144828</v>
      </c>
      <c r="CT37" t="n">
        <v>0.00349582314236925</v>
      </c>
      <c r="CU37" t="n">
        <v>0.0670908030202428</v>
      </c>
      <c r="CV37" t="n">
        <v>1.91526088618306</v>
      </c>
      <c r="CW37" t="n">
        <v>0.0670908030202428</v>
      </c>
      <c r="CX37" t="n">
        <v>0.039440022763365</v>
      </c>
      <c r="CY37" t="n">
        <v>0.0192200701938874</v>
      </c>
      <c r="CZ37" t="n">
        <v>-0.0157242470515182</v>
      </c>
      <c r="DA37" t="n">
        <v>0.465641083503309</v>
      </c>
      <c r="DB37" t="n">
        <v>6.70167212842238</v>
      </c>
      <c r="DC37" t="n">
        <v>0.061207381437448</v>
      </c>
      <c r="DD37" t="n">
        <v>0.0416898711949135</v>
      </c>
      <c r="DE37" t="n">
        <v>0.00747129966972944</v>
      </c>
      <c r="DF37" t="n">
        <v>0.142969911677349</v>
      </c>
      <c r="DG37" t="n">
        <v>228146.341910095</v>
      </c>
      <c r="DH37" t="n">
        <v>140.438479832205</v>
      </c>
      <c r="DI37" t="n">
        <v>4.98202683477111</v>
      </c>
      <c r="DJ37" t="n">
        <v>4.28970152691955</v>
      </c>
      <c r="DK37" t="n">
        <v>0.0411256875275234</v>
      </c>
      <c r="DL37" t="n">
        <v>0.670223574218165</v>
      </c>
      <c r="DM37" t="n">
        <v>1.47791567978783</v>
      </c>
      <c r="DN37" t="n">
        <v>0.0357615042376472</v>
      </c>
      <c r="DO37" t="n">
        <v>0.0465455822795444</v>
      </c>
      <c r="DP37" t="n">
        <v>30628.7</v>
      </c>
      <c r="DQ37" t="n">
        <v>25701.070208788</v>
      </c>
      <c r="DR37" t="n">
        <v>182230.275000429</v>
      </c>
      <c r="DS37" t="n">
        <v>32174.0305500409</v>
      </c>
      <c r="DT37" t="n">
        <v>13742.0363596242</v>
      </c>
      <c r="DU37" t="n">
        <v>0</v>
      </c>
      <c r="DV37" t="n">
        <v>58.1</v>
      </c>
      <c r="DW37" t="n">
        <v>208288.96</v>
      </c>
      <c r="DX37" t="n">
        <v>2.42475706480615</v>
      </c>
      <c r="DY37" t="n">
        <v>73.306</v>
      </c>
      <c r="DZ37" t="n">
        <v>1.02062376390299</v>
      </c>
      <c r="EA37" t="n">
        <v>1.20449936397015</v>
      </c>
      <c r="EB37" t="n">
        <v>185022161.252085</v>
      </c>
      <c r="EC37" t="n">
        <v>3.16578023222883</v>
      </c>
      <c r="ED37" t="n">
        <v>0.0435</v>
      </c>
      <c r="EE37" t="n">
        <v>0.0304926484848485</v>
      </c>
      <c r="EF37" t="n">
        <v>0.03050813492075</v>
      </c>
      <c r="EG37" t="n">
        <v>0.0441803333333333</v>
      </c>
      <c r="EH37" t="n">
        <v>804425.814588935</v>
      </c>
      <c r="EI37" t="n">
        <v>436553.840331318</v>
      </c>
      <c r="EJ37" t="n">
        <v>1321.88075307882</v>
      </c>
      <c r="EK37" t="n">
        <v>1.47904904138512</v>
      </c>
      <c r="EL37" t="n">
        <v>4.35868063105929</v>
      </c>
    </row>
    <row r="38">
      <c r="A38" s="2" t="n">
        <v>49004</v>
      </c>
      <c r="B38" t="n">
        <v>439890.351987598</v>
      </c>
      <c r="C38" t="n">
        <v>36930.1689281851</v>
      </c>
      <c r="D38" t="n">
        <v>30046.9156339281</v>
      </c>
      <c r="E38" t="n">
        <v>253668.092778838</v>
      </c>
      <c r="F38" t="n">
        <v>66973.9550710731</v>
      </c>
      <c r="G38" t="n">
        <v>15227.445961859</v>
      </c>
      <c r="H38" t="n">
        <v>77373.4936423517</v>
      </c>
      <c r="I38" t="n">
        <v>89205.7460847067</v>
      </c>
      <c r="J38" t="n">
        <v>101898.37141841</v>
      </c>
      <c r="K38" t="n">
        <v>394.579464877703</v>
      </c>
      <c r="L38" t="n">
        <v>5438.36289485949</v>
      </c>
      <c r="M38" t="n">
        <v>0.665899541495939</v>
      </c>
      <c r="N38" t="n">
        <v>36010.3645919842</v>
      </c>
      <c r="O38" t="n">
        <v>200.434420988199</v>
      </c>
      <c r="P38" t="n">
        <v>2.30878932080478</v>
      </c>
      <c r="Q38" t="n">
        <v>1.83949395403339</v>
      </c>
      <c r="R38" t="n">
        <v>1.21552141507585</v>
      </c>
      <c r="S38" t="n">
        <v>0.11086643461712</v>
      </c>
      <c r="T38" t="n">
        <v>6924.71556187209</v>
      </c>
      <c r="U38" t="n">
        <v>0.365023282421655</v>
      </c>
      <c r="V38" t="n">
        <v>0.478167560166428</v>
      </c>
      <c r="W38" t="n">
        <v>31553170.5745509</v>
      </c>
      <c r="X38" t="n">
        <v>95671.8490689178</v>
      </c>
      <c r="Y38" t="n">
        <v>4428588.36674539</v>
      </c>
      <c r="Z38" t="n">
        <v>1349.62405142739</v>
      </c>
      <c r="AA38" t="n">
        <v>1.27587757430495</v>
      </c>
      <c r="AB38" t="n">
        <v>1.23831310697197</v>
      </c>
      <c r="AC38" t="n">
        <v>1.45579425414939</v>
      </c>
      <c r="AD38" t="n">
        <v>1.64297419370739</v>
      </c>
      <c r="AE38" t="n">
        <v>142.32948532477</v>
      </c>
      <c r="AF38" t="n">
        <v>101706.844694114</v>
      </c>
      <c r="AG38" t="n">
        <v>1821.1901929768</v>
      </c>
      <c r="AH38" t="n">
        <v>165.773762195895</v>
      </c>
      <c r="AI38" t="n">
        <v>81383.1607488819</v>
      </c>
      <c r="AJ38" t="n">
        <v>107135.61010346</v>
      </c>
      <c r="AK38" t="n">
        <v>656.904004619724</v>
      </c>
      <c r="AL38" t="n">
        <v>31035.8859944197</v>
      </c>
      <c r="AM38" t="n">
        <v>18288.9035457207</v>
      </c>
      <c r="AN38" t="n">
        <v>1.0976706106723</v>
      </c>
      <c r="AO38" t="n">
        <v>1.17125698030232</v>
      </c>
      <c r="AP38" t="n">
        <v>1.33295343123694</v>
      </c>
      <c r="AQ38" t="n">
        <v>1.42112362935057</v>
      </c>
      <c r="AR38" t="n">
        <v>37405.6588001247</v>
      </c>
      <c r="AS38" t="n">
        <v>207799.607877436</v>
      </c>
      <c r="AT38" t="n">
        <v>0.0431747075029965</v>
      </c>
      <c r="AU38" t="n">
        <v>0.0467148522233547</v>
      </c>
      <c r="AV38" t="n">
        <v>0.324480040520386</v>
      </c>
      <c r="AW38" t="n">
        <v>963.71530490421</v>
      </c>
      <c r="AX38" t="n">
        <v>10929.9507509042</v>
      </c>
      <c r="AY38" t="n">
        <v>20267.6830362601</v>
      </c>
      <c r="AZ38" t="n">
        <v>185905.616800516</v>
      </c>
      <c r="BA38" t="n">
        <v>625138.574665613</v>
      </c>
      <c r="BB38" t="n">
        <v>266062.391045565</v>
      </c>
      <c r="BC38" t="n">
        <v>292317.625363817</v>
      </c>
      <c r="BD38" t="n">
        <v>119974.568224789</v>
      </c>
      <c r="BE38" t="n">
        <v>22.8444826189272</v>
      </c>
      <c r="BF38" t="n">
        <v>60675.3145182627</v>
      </c>
      <c r="BG38" t="n">
        <v>25234.9535706098</v>
      </c>
      <c r="BH38" t="n">
        <v>38336.1858343615</v>
      </c>
      <c r="BI38" t="n">
        <v>100777.833658967</v>
      </c>
      <c r="BJ38" t="n">
        <v>56748.5743896305</v>
      </c>
      <c r="BK38" t="n">
        <v>111850.847581359</v>
      </c>
      <c r="BL38" t="n">
        <v>37282.2804074656</v>
      </c>
      <c r="BM38" t="n">
        <v>21421.0059400011</v>
      </c>
      <c r="BN38" t="n">
        <v>53239.281652557</v>
      </c>
      <c r="BO38" t="n">
        <v>235382.975581383</v>
      </c>
      <c r="BP38" t="n">
        <v>252584.873419387</v>
      </c>
      <c r="BQ38" t="n">
        <v>1155771.92984501</v>
      </c>
      <c r="BR38" t="n">
        <v>806790.053580935</v>
      </c>
      <c r="BS38" t="n">
        <v>829114.017851547</v>
      </c>
      <c r="BT38" t="n">
        <v>141.53584563792</v>
      </c>
      <c r="BU38" t="n">
        <v>1.43255600155267</v>
      </c>
      <c r="BV38" t="n">
        <v>1.26614235563393</v>
      </c>
      <c r="BW38" t="n">
        <v>104.164545349036</v>
      </c>
      <c r="BX38" t="n">
        <v>93594.3129539071</v>
      </c>
      <c r="BY38" t="n">
        <v>1.82932019526373</v>
      </c>
      <c r="BZ38" t="n">
        <v>171213.966848416</v>
      </c>
      <c r="CA38" t="n">
        <v>10818.2952176119</v>
      </c>
      <c r="CB38" t="n">
        <v>16256.6581124714</v>
      </c>
      <c r="CC38" t="n">
        <v>17165.3802106392</v>
      </c>
      <c r="CD38" t="n">
        <v>908.722098167877</v>
      </c>
      <c r="CE38" t="n">
        <v>0.0529392274876428</v>
      </c>
      <c r="CF38" t="n">
        <v>12075061.8981165</v>
      </c>
      <c r="CG38" t="n">
        <v>537864.051101317</v>
      </c>
      <c r="CH38" t="n">
        <v>718956.151415578</v>
      </c>
      <c r="CI38" t="n">
        <v>423352.464194529</v>
      </c>
      <c r="CJ38" t="n">
        <v>21004.1092127582</v>
      </c>
      <c r="CK38" t="n">
        <v>1058413.47352667</v>
      </c>
      <c r="CL38" t="n">
        <v>0.0948636805007094</v>
      </c>
      <c r="CM38" t="n">
        <v>10.5414421485842</v>
      </c>
      <c r="CN38" t="n">
        <v>1339999.38163983</v>
      </c>
      <c r="CO38" t="n">
        <v>3415152.88226063</v>
      </c>
      <c r="CP38" t="n">
        <v>3437793.8091226</v>
      </c>
      <c r="CQ38" t="n">
        <v>4755152.26390046</v>
      </c>
      <c r="CR38" t="n">
        <v>10249258.584166</v>
      </c>
      <c r="CS38" t="n">
        <v>-0.000321666660723724</v>
      </c>
      <c r="CT38" t="n">
        <v>0.00321847805963447</v>
      </c>
      <c r="CU38" t="n">
        <v>0.0673700604534002</v>
      </c>
      <c r="CV38" t="n">
        <v>1.93570350043734</v>
      </c>
      <c r="CW38" t="n">
        <v>0.0673700604534004</v>
      </c>
      <c r="CX38" t="n">
        <v>0.039440022763365</v>
      </c>
      <c r="CY38" t="n">
        <v>0.0193300583337005</v>
      </c>
      <c r="CZ38" t="n">
        <v>-0.016111580274066</v>
      </c>
      <c r="DA38" t="n">
        <v>0.462126485986648</v>
      </c>
      <c r="DB38" t="n">
        <v>6.73349440067908</v>
      </c>
      <c r="DC38" t="n">
        <v>0.0609041987529965</v>
      </c>
      <c r="DD38" t="n">
        <v>0.0414762553844491</v>
      </c>
      <c r="DE38" t="n">
        <v>0.00744398089515176</v>
      </c>
      <c r="DF38" t="n">
        <v>0.144028367369202</v>
      </c>
      <c r="DG38" t="n">
        <v>228810.772777169</v>
      </c>
      <c r="DH38" t="n">
        <v>141.555125460116</v>
      </c>
      <c r="DI38" t="n">
        <v>4.99010373212259</v>
      </c>
      <c r="DJ38" t="n">
        <v>4.29485722044044</v>
      </c>
      <c r="DK38" t="n">
        <v>0.0411256875275234</v>
      </c>
      <c r="DL38" t="n">
        <v>0.670223574218165</v>
      </c>
      <c r="DM38" t="n">
        <v>1.49305553898293</v>
      </c>
      <c r="DN38" t="n">
        <v>0.0357615042376472</v>
      </c>
      <c r="DO38" t="n">
        <v>0.0465455822795444</v>
      </c>
      <c r="DP38" t="n">
        <v>30717.9</v>
      </c>
      <c r="DQ38" t="n">
        <v>25777.732437054</v>
      </c>
      <c r="DR38" t="n">
        <v>182760.984450391</v>
      </c>
      <c r="DS38" t="n">
        <v>32267.7310180681</v>
      </c>
      <c r="DT38" t="n">
        <v>13782.0573087104</v>
      </c>
      <c r="DU38" t="n">
        <v>0</v>
      </c>
      <c r="DV38" t="n">
        <v>58.1</v>
      </c>
      <c r="DW38" t="n">
        <v>208288.96</v>
      </c>
      <c r="DX38" t="n">
        <v>2.43679096820042</v>
      </c>
      <c r="DY38" t="n">
        <v>73.306</v>
      </c>
      <c r="DZ38" t="n">
        <v>1.02062376390299</v>
      </c>
      <c r="EA38" t="n">
        <v>1.20449936397015</v>
      </c>
      <c r="EB38" t="n">
        <v>186296390.140366</v>
      </c>
      <c r="EC38" t="n">
        <v>3.16578023222883</v>
      </c>
      <c r="ED38" t="n">
        <v>0.0435</v>
      </c>
      <c r="EE38" t="n">
        <v>0.0304926484848485</v>
      </c>
      <c r="EF38" t="n">
        <v>0.03050813492075</v>
      </c>
      <c r="EG38" t="n">
        <v>0.0441803333333333</v>
      </c>
      <c r="EH38" t="n">
        <v>807277.581918088</v>
      </c>
      <c r="EI38" t="n">
        <v>439241.827209317</v>
      </c>
      <c r="EJ38" t="n">
        <v>1342.09112666818</v>
      </c>
      <c r="EK38" t="n">
        <v>1.4664407924039</v>
      </c>
      <c r="EL38" t="n">
        <v>4.34963741637202</v>
      </c>
    </row>
    <row r="39">
      <c r="A39" s="2" t="n">
        <v>49096</v>
      </c>
      <c r="B39" t="n">
        <v>442222.43984065</v>
      </c>
      <c r="C39" t="n">
        <v>37069.4246076972</v>
      </c>
      <c r="D39" t="n">
        <v>30259.2589718729</v>
      </c>
      <c r="E39" t="n">
        <v>254633.882737421</v>
      </c>
      <c r="F39" t="n">
        <v>67870.4091707517</v>
      </c>
      <c r="G39" t="n">
        <v>15395.4460071106</v>
      </c>
      <c r="H39" t="n">
        <v>78409.3825799749</v>
      </c>
      <c r="I39" t="n">
        <v>89641.7957411988</v>
      </c>
      <c r="J39" t="n">
        <v>102179.389576416</v>
      </c>
      <c r="K39" t="n">
        <v>394.188489654018</v>
      </c>
      <c r="L39" t="n">
        <v>5462.18481981894</v>
      </c>
      <c r="M39" t="n">
        <v>0.665874439670637</v>
      </c>
      <c r="N39" t="n">
        <v>36329.8460727799</v>
      </c>
      <c r="O39" t="n">
        <v>202.566000470008</v>
      </c>
      <c r="P39" t="n">
        <v>2.34947454226825</v>
      </c>
      <c r="Q39" t="n">
        <v>1.85594056083797</v>
      </c>
      <c r="R39" t="n">
        <v>1.22256481492277</v>
      </c>
      <c r="S39" t="n">
        <v>0.110975980471837</v>
      </c>
      <c r="T39" t="n">
        <v>6836.13655737387</v>
      </c>
      <c r="U39" t="n">
        <v>0.364338626394369</v>
      </c>
      <c r="V39" t="n">
        <v>0.475046147741755</v>
      </c>
      <c r="W39" t="n">
        <v>32055495.8441375</v>
      </c>
      <c r="X39" t="n">
        <v>97216.2136639015</v>
      </c>
      <c r="Y39" t="n">
        <v>4433156.71363377</v>
      </c>
      <c r="Z39" t="n">
        <v>1370.42529425422</v>
      </c>
      <c r="AA39" t="n">
        <v>1.28395327198456</v>
      </c>
      <c r="AB39" t="n">
        <v>1.24553295806444</v>
      </c>
      <c r="AC39" t="n">
        <v>1.46831635414568</v>
      </c>
      <c r="AD39" t="n">
        <v>1.6620673026281</v>
      </c>
      <c r="AE39" t="n">
        <v>143.499951403744</v>
      </c>
      <c r="AF39" t="n">
        <v>102718.783907949</v>
      </c>
      <c r="AG39" t="n">
        <v>1855.24659493238</v>
      </c>
      <c r="AH39" t="n">
        <v>169.029621131285</v>
      </c>
      <c r="AI39" t="n">
        <v>81728.7414728306</v>
      </c>
      <c r="AJ39" t="n">
        <v>108337.757204026</v>
      </c>
      <c r="AK39" t="n">
        <v>659.220077542104</v>
      </c>
      <c r="AL39" t="n">
        <v>31398.8007931799</v>
      </c>
      <c r="AM39" t="n">
        <v>18237.8965218533</v>
      </c>
      <c r="AN39" t="n">
        <v>1.10326815905671</v>
      </c>
      <c r="AO39" t="n">
        <v>1.17920020752687</v>
      </c>
      <c r="AP39" t="n">
        <v>1.34227658896667</v>
      </c>
      <c r="AQ39" t="n">
        <v>1.43463916353203</v>
      </c>
      <c r="AR39" t="n">
        <v>37546.4613212029</v>
      </c>
      <c r="AS39" t="n">
        <v>209251.982284928</v>
      </c>
      <c r="AT39" t="n">
        <v>0.0427246308681462</v>
      </c>
      <c r="AU39" t="n">
        <v>0.0463450865509561</v>
      </c>
      <c r="AV39" t="n">
        <v>0.325971020821987</v>
      </c>
      <c r="AW39" t="n">
        <v>965.789958582638</v>
      </c>
      <c r="AX39" t="n">
        <v>10971.1652311794</v>
      </c>
      <c r="AY39" t="n">
        <v>20336.1100141208</v>
      </c>
      <c r="AZ39" t="n">
        <v>186344.857433593</v>
      </c>
      <c r="BA39" t="n">
        <v>634429.63231218</v>
      </c>
      <c r="BB39" t="n">
        <v>269130.191732952</v>
      </c>
      <c r="BC39" t="n">
        <v>295792.822458966</v>
      </c>
      <c r="BD39" t="n">
        <v>120502.248520292</v>
      </c>
      <c r="BE39" t="n">
        <v>22.899475060598</v>
      </c>
      <c r="BF39" t="n">
        <v>61611.8785676911</v>
      </c>
      <c r="BG39" t="n">
        <v>25776.4734096745</v>
      </c>
      <c r="BH39" t="n">
        <v>38851.4745647643</v>
      </c>
      <c r="BI39" t="n">
        <v>101795.840176357</v>
      </c>
      <c r="BJ39" t="n">
        <v>57244.3118448546</v>
      </c>
      <c r="BK39" t="n">
        <v>112731.267031511</v>
      </c>
      <c r="BL39" t="n">
        <v>37742.6114248701</v>
      </c>
      <c r="BM39" t="n">
        <v>21506.131363423</v>
      </c>
      <c r="BN39" t="n">
        <v>53879.1537497515</v>
      </c>
      <c r="BO39" t="n">
        <v>237448.723569555</v>
      </c>
      <c r="BP39" t="n">
        <v>255824.110994397</v>
      </c>
      <c r="BQ39" t="n">
        <v>1170464.41518363</v>
      </c>
      <c r="BR39" t="n">
        <v>809513.907375128</v>
      </c>
      <c r="BS39" t="n">
        <v>832851.006369303</v>
      </c>
      <c r="BT39" t="n">
        <v>142.806198432669</v>
      </c>
      <c r="BU39" t="n">
        <v>1.44588549631425</v>
      </c>
      <c r="BV39" t="n">
        <v>1.27424350121481</v>
      </c>
      <c r="BW39" t="n">
        <v>104.227071289901</v>
      </c>
      <c r="BX39" t="n">
        <v>94090.505151277</v>
      </c>
      <c r="BY39" t="n">
        <v>1.86524873078432</v>
      </c>
      <c r="BZ39" t="n">
        <v>175502.195312275</v>
      </c>
      <c r="CA39" t="n">
        <v>10840.1960969103</v>
      </c>
      <c r="CB39" t="n">
        <v>16302.3809167292</v>
      </c>
      <c r="CC39" t="n">
        <v>17215.7875718973</v>
      </c>
      <c r="CD39" t="n">
        <v>913.40665516809</v>
      </c>
      <c r="CE39" t="n">
        <v>0.0530563312484757</v>
      </c>
      <c r="CF39" t="n">
        <v>12110125.9982441</v>
      </c>
      <c r="CG39" t="n">
        <v>544162.139425716</v>
      </c>
      <c r="CH39" t="n">
        <v>726827.001011865</v>
      </c>
      <c r="CI39" t="n">
        <v>428905.46693604</v>
      </c>
      <c r="CJ39" t="n">
        <v>21234.0539516579</v>
      </c>
      <c r="CK39" t="n">
        <v>1071868.311839</v>
      </c>
      <c r="CL39" t="n">
        <v>0.0964316718967571</v>
      </c>
      <c r="CM39" t="n">
        <v>10.3700369425372</v>
      </c>
      <c r="CN39" t="n">
        <v>1348662.1670195</v>
      </c>
      <c r="CO39" t="n">
        <v>3440268.14986016</v>
      </c>
      <c r="CP39" t="n">
        <v>3447300.37885606</v>
      </c>
      <c r="CQ39" t="n">
        <v>4788930.31687966</v>
      </c>
      <c r="CR39" t="n">
        <v>10292543.2068787</v>
      </c>
      <c r="CS39" t="n">
        <v>-0.00067887538201588</v>
      </c>
      <c r="CT39" t="n">
        <v>0.00294158030079405</v>
      </c>
      <c r="CU39" t="n">
        <v>0.0675724742216751</v>
      </c>
      <c r="CV39" t="n">
        <v>1.95628931520934</v>
      </c>
      <c r="CW39" t="n">
        <v>0.0675724742216751</v>
      </c>
      <c r="CX39" t="n">
        <v>0.039440022763365</v>
      </c>
      <c r="CY39" t="n">
        <v>0.019440022763365</v>
      </c>
      <c r="CZ39" t="n">
        <v>-0.016498442462571</v>
      </c>
      <c r="DA39" t="n">
        <v>0.458653442618635</v>
      </c>
      <c r="DB39" t="n">
        <v>6.76532730603585</v>
      </c>
      <c r="DC39" t="n">
        <v>0.0604541221181462</v>
      </c>
      <c r="DD39" t="n">
        <v>0.0411629473745419</v>
      </c>
      <c r="DE39" t="n">
        <v>0.00741653191203272</v>
      </c>
      <c r="DF39" t="n">
        <v>0.145078551198406</v>
      </c>
      <c r="DG39" t="n">
        <v>229475.203644245</v>
      </c>
      <c r="DH39" t="n">
        <v>142.730774722998</v>
      </c>
      <c r="DI39" t="n">
        <v>4.9985318770315</v>
      </c>
      <c r="DJ39" t="n">
        <v>4.30036416151876</v>
      </c>
      <c r="DK39" t="n">
        <v>0.0411256875275234</v>
      </c>
      <c r="DL39" t="n">
        <v>0.670223574218165</v>
      </c>
      <c r="DM39" t="n">
        <v>1.50835049182754</v>
      </c>
      <c r="DN39" t="n">
        <v>0.0357615042376472</v>
      </c>
      <c r="DO39" t="n">
        <v>0.0465455822795444</v>
      </c>
      <c r="DP39" t="n">
        <v>30807.1</v>
      </c>
      <c r="DQ39" t="n">
        <v>25854.405194488</v>
      </c>
      <c r="DR39" t="n">
        <v>183291.693900353</v>
      </c>
      <c r="DS39" t="n">
        <v>32361.4314860952</v>
      </c>
      <c r="DT39" t="n">
        <v>13822.0782577967</v>
      </c>
      <c r="DU39" t="n">
        <v>0</v>
      </c>
      <c r="DV39" t="n">
        <v>58.1</v>
      </c>
      <c r="DW39" t="n">
        <v>208288.96</v>
      </c>
      <c r="DX39" t="n">
        <v>2.4488845950338</v>
      </c>
      <c r="DY39" t="n">
        <v>73.306</v>
      </c>
      <c r="DZ39" t="n">
        <v>1.02062376390299</v>
      </c>
      <c r="EA39" t="n">
        <v>1.20449936397015</v>
      </c>
      <c r="EB39" t="n">
        <v>187579394.513965</v>
      </c>
      <c r="EC39" t="n">
        <v>3.16578023222883</v>
      </c>
      <c r="ED39" t="n">
        <v>0.0435</v>
      </c>
      <c r="EE39" t="n">
        <v>0.0304926484848485</v>
      </c>
      <c r="EF39" t="n">
        <v>0.03050813492075</v>
      </c>
      <c r="EG39" t="n">
        <v>0.0441803333333333</v>
      </c>
      <c r="EH39" t="n">
        <v>810092.797718</v>
      </c>
      <c r="EI39" t="n">
        <v>441872.932738164</v>
      </c>
      <c r="EJ39" t="n">
        <v>1362.58838550836</v>
      </c>
      <c r="EK39" t="n">
        <v>1.45213107157702</v>
      </c>
      <c r="EL39" t="n">
        <v>4.34035062501621</v>
      </c>
    </row>
    <row r="40">
      <c r="A40" s="2" t="n">
        <v>49188</v>
      </c>
      <c r="B40" t="n">
        <v>444628.398675269</v>
      </c>
      <c r="C40" t="n">
        <v>37208.8420748795</v>
      </c>
      <c r="D40" t="n">
        <v>30468.7767038202</v>
      </c>
      <c r="E40" t="n">
        <v>255579.7093934</v>
      </c>
      <c r="F40" t="n">
        <v>68816.6472633146</v>
      </c>
      <c r="G40" t="n">
        <v>15566.8616138372</v>
      </c>
      <c r="H40" t="n">
        <v>79467.6332365647</v>
      </c>
      <c r="I40" t="n">
        <v>94395.602182816</v>
      </c>
      <c r="J40" t="n">
        <v>102475.813036874</v>
      </c>
      <c r="K40" t="n">
        <v>393.812285410692</v>
      </c>
      <c r="L40" t="n">
        <v>5485.94279914899</v>
      </c>
      <c r="M40" t="n">
        <v>0.665839995977804</v>
      </c>
      <c r="N40" t="n">
        <v>36646.8949896022</v>
      </c>
      <c r="O40" t="n">
        <v>204.71888383637</v>
      </c>
      <c r="P40" t="n">
        <v>2.39092210990225</v>
      </c>
      <c r="Q40" t="n">
        <v>1.872307333577</v>
      </c>
      <c r="R40" t="n">
        <v>1.22967935125676</v>
      </c>
      <c r="S40" t="n">
        <v>0.111115111394001</v>
      </c>
      <c r="T40" t="n">
        <v>6748.96815978801</v>
      </c>
      <c r="U40" t="n">
        <v>0.363641803206217</v>
      </c>
      <c r="V40" t="n">
        <v>0.471924897227968</v>
      </c>
      <c r="W40" t="n">
        <v>32567579.3064065</v>
      </c>
      <c r="X40" t="n">
        <v>98784.6499168798</v>
      </c>
      <c r="Y40" t="n">
        <v>4437691.3051535</v>
      </c>
      <c r="Z40" t="n">
        <v>1391.70956247857</v>
      </c>
      <c r="AA40" t="n">
        <v>1.29209000604641</v>
      </c>
      <c r="AB40" t="n">
        <v>1.25283283600157</v>
      </c>
      <c r="AC40" t="n">
        <v>1.48088113433172</v>
      </c>
      <c r="AD40" t="n">
        <v>1.68148184178261</v>
      </c>
      <c r="AE40" t="n">
        <v>144.681015873194</v>
      </c>
      <c r="AF40" t="n">
        <v>103750.895828568</v>
      </c>
      <c r="AG40" t="n">
        <v>1889.91885775306</v>
      </c>
      <c r="AH40" t="n">
        <v>172.332525497679</v>
      </c>
      <c r="AI40" t="n">
        <v>82055.8760935377</v>
      </c>
      <c r="AJ40" t="n">
        <v>109594.0553578</v>
      </c>
      <c r="AK40" t="n">
        <v>661.721918745803</v>
      </c>
      <c r="AL40" t="n">
        <v>31770.5393811148</v>
      </c>
      <c r="AM40" t="n">
        <v>18189.0852271398</v>
      </c>
      <c r="AN40" t="n">
        <v>1.10907428181923</v>
      </c>
      <c r="AO40" t="n">
        <v>1.18704555815186</v>
      </c>
      <c r="AP40" t="n">
        <v>1.35173297272409</v>
      </c>
      <c r="AQ40" t="n">
        <v>1.44831314118546</v>
      </c>
      <c r="AR40" t="n">
        <v>37694.6375682366</v>
      </c>
      <c r="AS40" t="n">
        <v>210667.972117096</v>
      </c>
      <c r="AT40" t="n">
        <v>0.0423779785256065</v>
      </c>
      <c r="AU40" t="n">
        <v>0.0459797162738858</v>
      </c>
      <c r="AV40" t="n">
        <v>0.326634246010119</v>
      </c>
      <c r="AW40" t="n">
        <v>945.826655979356</v>
      </c>
      <c r="AX40" t="n">
        <v>11012.4275945626</v>
      </c>
      <c r="AY40" t="n">
        <v>20406.8439032646</v>
      </c>
      <c r="AZ40" t="n">
        <v>186811.379735515</v>
      </c>
      <c r="BA40" t="n">
        <v>643961.153914678</v>
      </c>
      <c r="BB40" t="n">
        <v>272216.04543155</v>
      </c>
      <c r="BC40" t="n">
        <v>299372.577323399</v>
      </c>
      <c r="BD40" t="n">
        <v>125266.16101121</v>
      </c>
      <c r="BE40" t="n">
        <v>23.3959483646302</v>
      </c>
      <c r="BF40" t="n">
        <v>62565.9923026667</v>
      </c>
      <c r="BG40" t="n">
        <v>26329.8566195373</v>
      </c>
      <c r="BH40" t="n">
        <v>39368.4018754657</v>
      </c>
      <c r="BI40" t="n">
        <v>102802.294966184</v>
      </c>
      <c r="BJ40" t="n">
        <v>57718.0952576643</v>
      </c>
      <c r="BK40" t="n">
        <v>113653.288747713</v>
      </c>
      <c r="BL40" t="n">
        <v>38207.8834952434</v>
      </c>
      <c r="BM40" t="n">
        <v>21591.2728257219</v>
      </c>
      <c r="BN40" t="n">
        <v>54536.9845634432</v>
      </c>
      <c r="BO40" t="n">
        <v>239578.989632121</v>
      </c>
      <c r="BP40" t="n">
        <v>259054.055283528</v>
      </c>
      <c r="BQ40" t="n">
        <v>1185486.77471634</v>
      </c>
      <c r="BR40" t="n">
        <v>812329.591700811</v>
      </c>
      <c r="BS40" t="n">
        <v>836616.157167051</v>
      </c>
      <c r="BT40" t="n">
        <v>144.090963135557</v>
      </c>
      <c r="BU40" t="n">
        <v>1.45936672647768</v>
      </c>
      <c r="BV40" t="n">
        <v>1.28246464413096</v>
      </c>
      <c r="BW40" t="n">
        <v>104.292606265223</v>
      </c>
      <c r="BX40" t="n">
        <v>94602.4146830593</v>
      </c>
      <c r="BY40" t="n">
        <v>1.90169641454582</v>
      </c>
      <c r="BZ40" t="n">
        <v>179905.07281015</v>
      </c>
      <c r="CA40" t="n">
        <v>10861.6504311759</v>
      </c>
      <c r="CB40" t="n">
        <v>16347.5932303249</v>
      </c>
      <c r="CC40" t="n">
        <v>17264.4858369655</v>
      </c>
      <c r="CD40" t="n">
        <v>916.892606640566</v>
      </c>
      <c r="CE40" t="n">
        <v>0.0531085885987919</v>
      </c>
      <c r="CF40" t="n">
        <v>12145052.5150193</v>
      </c>
      <c r="CG40" t="n">
        <v>550433.343626872</v>
      </c>
      <c r="CH40" t="n">
        <v>739613.874802134</v>
      </c>
      <c r="CI40" t="n">
        <v>434728.163281645</v>
      </c>
      <c r="CJ40" t="n">
        <v>21607.6190057322</v>
      </c>
      <c r="CK40" t="n">
        <v>1085625.23681961</v>
      </c>
      <c r="CL40" t="n">
        <v>0.0980478649593433</v>
      </c>
      <c r="CM40" t="n">
        <v>10.1991002090118</v>
      </c>
      <c r="CN40" t="n">
        <v>1357399.05229203</v>
      </c>
      <c r="CO40" t="n">
        <v>3465315.20025353</v>
      </c>
      <c r="CP40" t="n">
        <v>3456870.36948296</v>
      </c>
      <c r="CQ40" t="n">
        <v>4822714.25254556</v>
      </c>
      <c r="CR40" t="n">
        <v>10335897.1331715</v>
      </c>
      <c r="CS40" t="n">
        <v>-0.000938019622009123</v>
      </c>
      <c r="CT40" t="n">
        <v>0.00266371812627014</v>
      </c>
      <c r="CU40" t="n">
        <v>0.0677991132463852</v>
      </c>
      <c r="CV40" t="n">
        <v>1.97708087310521</v>
      </c>
      <c r="CW40" t="n">
        <v>0.0677991132463852</v>
      </c>
      <c r="CX40" t="n">
        <v>0.039440022763365</v>
      </c>
      <c r="CY40" t="n">
        <v>0.0194400227633649</v>
      </c>
      <c r="CZ40" t="n">
        <v>-0.0167763046370948</v>
      </c>
      <c r="DA40" t="n">
        <v>0.45520711239445</v>
      </c>
      <c r="DB40" t="n">
        <v>6.79814942519397</v>
      </c>
      <c r="DC40" t="n">
        <v>0.0601074697756065</v>
      </c>
      <c r="DD40" t="n">
        <v>0.0409200873567051</v>
      </c>
      <c r="DE40" t="n">
        <v>0.00738942644443417</v>
      </c>
      <c r="DF40" t="n">
        <v>0.146182927976798</v>
      </c>
      <c r="DG40" t="n">
        <v>230137.027439532</v>
      </c>
      <c r="DH40" t="n">
        <v>143.875244595813</v>
      </c>
      <c r="DI40" t="n">
        <v>5.00667548644172</v>
      </c>
      <c r="DJ40" t="n">
        <v>4.30558656709838</v>
      </c>
      <c r="DK40" t="n">
        <v>0.0411256875275234</v>
      </c>
      <c r="DL40" t="n">
        <v>0.670223574218165</v>
      </c>
      <c r="DM40" t="n">
        <v>1.52380212711056</v>
      </c>
      <c r="DN40" t="n">
        <v>0.0357615042376472</v>
      </c>
      <c r="DO40" t="n">
        <v>0.0465455822795444</v>
      </c>
      <c r="DP40" t="n">
        <v>30895.95</v>
      </c>
      <c r="DQ40" t="n">
        <v>25928.8807239825</v>
      </c>
      <c r="DR40" t="n">
        <v>183820.320970185</v>
      </c>
      <c r="DS40" t="n">
        <v>32454.7642953353</v>
      </c>
      <c r="DT40" t="n">
        <v>13861.942174011</v>
      </c>
      <c r="DU40" t="n">
        <v>0</v>
      </c>
      <c r="DV40" t="n">
        <v>58.425</v>
      </c>
      <c r="DW40" t="n">
        <v>208288.96</v>
      </c>
      <c r="DX40" t="n">
        <v>2.46103824170963</v>
      </c>
      <c r="DY40" t="n">
        <v>73.306</v>
      </c>
      <c r="DZ40" t="n">
        <v>1.02062376390299</v>
      </c>
      <c r="EA40" t="n">
        <v>1.20449936397015</v>
      </c>
      <c r="EB40" t="n">
        <v>188871234.808762</v>
      </c>
      <c r="EC40" t="n">
        <v>3.16578023222883</v>
      </c>
      <c r="ED40" t="n">
        <v>0.0435</v>
      </c>
      <c r="EE40" t="n">
        <v>0.0304926484848485</v>
      </c>
      <c r="EF40" t="n">
        <v>0.03050813492075</v>
      </c>
      <c r="EG40" t="n">
        <v>0.0441803333333333</v>
      </c>
      <c r="EH40" t="n">
        <v>812895.167602697</v>
      </c>
      <c r="EI40" t="n">
        <v>444466.696196848</v>
      </c>
      <c r="EJ40" t="n">
        <v>1383.41866165013</v>
      </c>
      <c r="EK40" t="n">
        <v>1.43968005222437</v>
      </c>
      <c r="EL40" t="n">
        <v>4.33159981476157</v>
      </c>
    </row>
    <row r="41">
      <c r="A41" s="2" t="n">
        <v>49279</v>
      </c>
      <c r="B41" t="n">
        <v>447149.71257049</v>
      </c>
      <c r="C41" t="n">
        <v>37348.6991416241</v>
      </c>
      <c r="D41" t="n">
        <v>30673.3614658163</v>
      </c>
      <c r="E41" t="n">
        <v>256524.381053251</v>
      </c>
      <c r="F41" t="n">
        <v>69790.8120039073</v>
      </c>
      <c r="G41" t="n">
        <v>15739.9936383883</v>
      </c>
      <c r="H41" t="n">
        <v>80548.7390818751</v>
      </c>
      <c r="I41" t="n">
        <v>94026.0079030436</v>
      </c>
      <c r="J41" t="n">
        <v>102787.205289115</v>
      </c>
      <c r="K41" t="n">
        <v>393.441158430456</v>
      </c>
      <c r="L41" t="n">
        <v>5509.86692056009</v>
      </c>
      <c r="M41" t="n">
        <v>0.665813557273051</v>
      </c>
      <c r="N41" t="n">
        <v>36968.3896649248</v>
      </c>
      <c r="O41" t="n">
        <v>206.889671219782</v>
      </c>
      <c r="P41" t="n">
        <v>2.43315707541416</v>
      </c>
      <c r="Q41" t="n">
        <v>1.88854710722242</v>
      </c>
      <c r="R41" t="n">
        <v>1.23678982740275</v>
      </c>
      <c r="S41" t="n">
        <v>0.11130697296002</v>
      </c>
      <c r="T41" t="n">
        <v>6665.32529224671</v>
      </c>
      <c r="U41" t="n">
        <v>0.362981986260834</v>
      </c>
      <c r="V41" t="n">
        <v>0.468867761178554</v>
      </c>
      <c r="W41" t="n">
        <v>33088361.238186</v>
      </c>
      <c r="X41" t="n">
        <v>100379.095177443</v>
      </c>
      <c r="Y41" t="n">
        <v>4442433.01856902</v>
      </c>
      <c r="Z41" t="n">
        <v>1413.28755274202</v>
      </c>
      <c r="AA41" t="n">
        <v>1.30031902931979</v>
      </c>
      <c r="AB41" t="n">
        <v>1.26017021188787</v>
      </c>
      <c r="AC41" t="n">
        <v>1.49356016948378</v>
      </c>
      <c r="AD41" t="n">
        <v>1.70122362076347</v>
      </c>
      <c r="AE41" t="n">
        <v>145.86993728919</v>
      </c>
      <c r="AF41" t="n">
        <v>104808.452889088</v>
      </c>
      <c r="AG41" t="n">
        <v>1924.66788372979</v>
      </c>
      <c r="AH41" t="n">
        <v>175.675962439385</v>
      </c>
      <c r="AI41" t="n">
        <v>82379.4355994018</v>
      </c>
      <c r="AJ41" t="n">
        <v>110861.169829293</v>
      </c>
      <c r="AK41" t="n">
        <v>664.38938555394</v>
      </c>
      <c r="AL41" t="n">
        <v>32154.2410129805</v>
      </c>
      <c r="AM41" t="n">
        <v>18142.2081839439</v>
      </c>
      <c r="AN41" t="n">
        <v>1.11491416709481</v>
      </c>
      <c r="AO41" t="n">
        <v>1.19489387337383</v>
      </c>
      <c r="AP41" t="n">
        <v>1.36130625484583</v>
      </c>
      <c r="AQ41" t="n">
        <v>1.46212070234604</v>
      </c>
      <c r="AR41" t="n">
        <v>37850.0234195714</v>
      </c>
      <c r="AS41" t="n">
        <v>212147.634205376</v>
      </c>
      <c r="AT41" t="n">
        <v>0.0420729916826968</v>
      </c>
      <c r="AU41" t="n">
        <v>0.0456209571312714</v>
      </c>
      <c r="AV41" t="n">
        <v>0.327012946711965</v>
      </c>
      <c r="AW41" t="n">
        <v>944.671659850836</v>
      </c>
      <c r="AX41" t="n">
        <v>11053.8200629983</v>
      </c>
      <c r="AY41" t="n">
        <v>20479.8110503275</v>
      </c>
      <c r="AZ41" t="n">
        <v>187304.247942958</v>
      </c>
      <c r="BA41" t="n">
        <v>653786.853015</v>
      </c>
      <c r="BB41" t="n">
        <v>275336.246078807</v>
      </c>
      <c r="BC41" t="n">
        <v>303042.238626239</v>
      </c>
      <c r="BD41" t="n">
        <v>124854.799706774</v>
      </c>
      <c r="BE41" t="n">
        <v>23.3530781594462</v>
      </c>
      <c r="BF41" t="n">
        <v>63538.489184519</v>
      </c>
      <c r="BG41" t="n">
        <v>26895.6804966392</v>
      </c>
      <c r="BH41" t="n">
        <v>39885.1556072052</v>
      </c>
      <c r="BI41" t="n">
        <v>103812.109784656</v>
      </c>
      <c r="BJ41" t="n">
        <v>58218.3254712547</v>
      </c>
      <c r="BK41" t="n">
        <v>114598.911372917</v>
      </c>
      <c r="BL41" t="n">
        <v>38677.0879155579</v>
      </c>
      <c r="BM41" t="n">
        <v>21678.0134084671</v>
      </c>
      <c r="BN41" t="n">
        <v>55211.8054260724</v>
      </c>
      <c r="BO41" t="n">
        <v>241755.378123014</v>
      </c>
      <c r="BP41" t="n">
        <v>262382.03589277</v>
      </c>
      <c r="BQ41" t="n">
        <v>1200846.20186832</v>
      </c>
      <c r="BR41" t="n">
        <v>815234.174702791</v>
      </c>
      <c r="BS41" t="n">
        <v>840507.533040829</v>
      </c>
      <c r="BT41" t="n">
        <v>145.38867237312</v>
      </c>
      <c r="BU41" t="n">
        <v>1.4730076843283</v>
      </c>
      <c r="BV41" t="n">
        <v>1.29070953156727</v>
      </c>
      <c r="BW41" t="n">
        <v>104.359649713302</v>
      </c>
      <c r="BX41" t="n">
        <v>95138.8680076164</v>
      </c>
      <c r="BY41" t="n">
        <v>1.93859137692127</v>
      </c>
      <c r="BZ41" t="n">
        <v>184435.389129616</v>
      </c>
      <c r="CA41" t="n">
        <v>10883.5127781676</v>
      </c>
      <c r="CB41" t="n">
        <v>16393.3796987277</v>
      </c>
      <c r="CC41" t="n">
        <v>17313.3867815028</v>
      </c>
      <c r="CD41" t="n">
        <v>920.007082775115</v>
      </c>
      <c r="CE41" t="n">
        <v>0.0531384736833085</v>
      </c>
      <c r="CF41" t="n">
        <v>12179979.0317945</v>
      </c>
      <c r="CG41" t="n">
        <v>556817.349833235</v>
      </c>
      <c r="CH41" t="n">
        <v>746688.611894187</v>
      </c>
      <c r="CI41" t="n">
        <v>440711.577038784</v>
      </c>
      <c r="CJ41" t="n">
        <v>21814.3055334716</v>
      </c>
      <c r="CK41" t="n">
        <v>1099690.83594305</v>
      </c>
      <c r="CL41" t="n">
        <v>0.099678463754316</v>
      </c>
      <c r="CM41" t="n">
        <v>10.03225734362</v>
      </c>
      <c r="CN41" t="n">
        <v>1366206.02934211</v>
      </c>
      <c r="CO41" t="n">
        <v>3490276.71128086</v>
      </c>
      <c r="CP41" t="n">
        <v>3466503.43687663</v>
      </c>
      <c r="CQ41" t="n">
        <v>4856482.74062297</v>
      </c>
      <c r="CR41" t="n">
        <v>10379298.6886425</v>
      </c>
      <c r="CS41" t="n">
        <v>-0.00115059951661672</v>
      </c>
      <c r="CT41" t="n">
        <v>0.00239736593195786</v>
      </c>
      <c r="CU41" t="n">
        <v>0.0680833817607066</v>
      </c>
      <c r="CV41" t="n">
        <v>1.99804533976747</v>
      </c>
      <c r="CW41" t="n">
        <v>0.0680833817607068</v>
      </c>
      <c r="CX41" t="n">
        <v>0.039440022763365</v>
      </c>
      <c r="CY41" t="n">
        <v>0.019440022763365</v>
      </c>
      <c r="CZ41" t="n">
        <v>-0.0170426568314071</v>
      </c>
      <c r="DA41" t="n">
        <v>0.451834096215488</v>
      </c>
      <c r="DB41" t="n">
        <v>6.8311170123165</v>
      </c>
      <c r="DC41" t="n">
        <v>0.0598024829326968</v>
      </c>
      <c r="DD41" t="n">
        <v>0.0407060852096704</v>
      </c>
      <c r="DE41" t="n">
        <v>0.00736282809748547</v>
      </c>
      <c r="DF41" t="n">
        <v>0.14730563438341</v>
      </c>
      <c r="DG41" t="n">
        <v>230798.851234819</v>
      </c>
      <c r="DH41" t="n">
        <v>145.025374648525</v>
      </c>
      <c r="DI41" t="n">
        <v>5.01479484786026</v>
      </c>
      <c r="DJ41" t="n">
        <v>4.31078472468632</v>
      </c>
      <c r="DK41" t="n">
        <v>0.0411256875275234</v>
      </c>
      <c r="DL41" t="n">
        <v>0.670223574218165</v>
      </c>
      <c r="DM41" t="n">
        <v>1.53941204989652</v>
      </c>
      <c r="DN41" t="n">
        <v>0.0357615042376472</v>
      </c>
      <c r="DO41" t="n">
        <v>0.0465455822795444</v>
      </c>
      <c r="DP41" t="n">
        <v>30984.8</v>
      </c>
      <c r="DQ41" t="n">
        <v>26003.355732816</v>
      </c>
      <c r="DR41" t="n">
        <v>184348.948040018</v>
      </c>
      <c r="DS41" t="n">
        <v>32548.0971045753</v>
      </c>
      <c r="DT41" t="n">
        <v>13901.8060902253</v>
      </c>
      <c r="DU41" t="n">
        <v>0</v>
      </c>
      <c r="DV41" t="n">
        <v>58.425</v>
      </c>
      <c r="DW41" t="n">
        <v>208288.96</v>
      </c>
      <c r="DX41" t="n">
        <v>2.47325220610227</v>
      </c>
      <c r="DY41" t="n">
        <v>73.306</v>
      </c>
      <c r="DZ41" t="n">
        <v>1.02062376390299</v>
      </c>
      <c r="EA41" t="n">
        <v>1.20449936397015</v>
      </c>
      <c r="EB41" t="n">
        <v>190171971.876851</v>
      </c>
      <c r="EC41" t="n">
        <v>3.16578023222883</v>
      </c>
      <c r="ED41" t="n">
        <v>0.0435</v>
      </c>
      <c r="EE41" t="n">
        <v>0.0304926484848485</v>
      </c>
      <c r="EF41" t="n">
        <v>0.03050813492075</v>
      </c>
      <c r="EG41" t="n">
        <v>0.0441803333333333</v>
      </c>
      <c r="EH41" t="n">
        <v>815705.394699001</v>
      </c>
      <c r="EI41" t="n">
        <v>447049.543965301</v>
      </c>
      <c r="EJ41" t="n">
        <v>1404.58422222625</v>
      </c>
      <c r="EK41" t="n">
        <v>1.42487859090805</v>
      </c>
      <c r="EL41" t="n">
        <v>4.32235911993135</v>
      </c>
    </row>
    <row r="42">
      <c r="A42" s="2" t="n">
        <v>49369</v>
      </c>
      <c r="B42" t="n">
        <v>449723.710946837</v>
      </c>
      <c r="C42" t="n">
        <v>37489.7935415296</v>
      </c>
      <c r="D42" t="n">
        <v>30874.4099433738</v>
      </c>
      <c r="E42" t="n">
        <v>257468.924869545</v>
      </c>
      <c r="F42" t="n">
        <v>70780.5304215177</v>
      </c>
      <c r="G42" t="n">
        <v>15917.1872669394</v>
      </c>
      <c r="H42" t="n">
        <v>81646.6600267831</v>
      </c>
      <c r="I42" t="n">
        <v>94124.1354890411</v>
      </c>
      <c r="J42" t="n">
        <v>103113.201684976</v>
      </c>
      <c r="K42" t="n">
        <v>393.075304435862</v>
      </c>
      <c r="L42" t="n">
        <v>5533.95069131552</v>
      </c>
      <c r="M42" t="n">
        <v>0.665792725688036</v>
      </c>
      <c r="N42" t="n">
        <v>37292.8060097412</v>
      </c>
      <c r="O42" t="n">
        <v>209.079209289457</v>
      </c>
      <c r="P42" t="n">
        <v>2.47620085754393</v>
      </c>
      <c r="Q42" t="n">
        <v>1.90461194175711</v>
      </c>
      <c r="R42" t="n">
        <v>1.24388310414995</v>
      </c>
      <c r="S42" t="n">
        <v>0.111538660583231</v>
      </c>
      <c r="T42" t="n">
        <v>6585.02209618669</v>
      </c>
      <c r="U42" t="n">
        <v>0.362357868581453</v>
      </c>
      <c r="V42" t="n">
        <v>0.465872016923751</v>
      </c>
      <c r="W42" t="n">
        <v>33618002.4052073</v>
      </c>
      <c r="X42" t="n">
        <v>102001.006584192</v>
      </c>
      <c r="Y42" t="n">
        <v>4447371.1401667</v>
      </c>
      <c r="Z42" t="n">
        <v>1435.15259771012</v>
      </c>
      <c r="AA42" t="n">
        <v>1.30861316780088</v>
      </c>
      <c r="AB42" t="n">
        <v>1.26755079268917</v>
      </c>
      <c r="AC42" t="n">
        <v>1.50633937210988</v>
      </c>
      <c r="AD42" t="n">
        <v>1.72129379216559</v>
      </c>
      <c r="AE42" t="n">
        <v>147.068388560695</v>
      </c>
      <c r="AF42" t="n">
        <v>105899.190584068</v>
      </c>
      <c r="AG42" t="n">
        <v>1959.53588121182</v>
      </c>
      <c r="AH42" t="n">
        <v>179.061142461647</v>
      </c>
      <c r="AI42" t="n">
        <v>82700.5726590225</v>
      </c>
      <c r="AJ42" t="n">
        <v>112112.189704962</v>
      </c>
      <c r="AK42" t="n">
        <v>666.829307665624</v>
      </c>
      <c r="AL42" t="n">
        <v>32549.2157587345</v>
      </c>
      <c r="AM42" t="n">
        <v>18095.6775714979</v>
      </c>
      <c r="AN42" t="n">
        <v>1.12078420154676</v>
      </c>
      <c r="AO42" t="n">
        <v>1.2027646146749</v>
      </c>
      <c r="AP42" t="n">
        <v>1.37099813784238</v>
      </c>
      <c r="AQ42" t="n">
        <v>1.47606554393451</v>
      </c>
      <c r="AR42" t="n">
        <v>38007.6836131648</v>
      </c>
      <c r="AS42" t="n">
        <v>213678.319847066</v>
      </c>
      <c r="AT42" t="n">
        <v>0.0418126783413797</v>
      </c>
      <c r="AU42" t="n">
        <v>0.0452710547488647</v>
      </c>
      <c r="AV42" t="n">
        <v>0.327096153481031</v>
      </c>
      <c r="AW42" t="n">
        <v>944.543816294114</v>
      </c>
      <c r="AX42" t="n">
        <v>11095.5787358382</v>
      </c>
      <c r="AY42" t="n">
        <v>20553.1790932891</v>
      </c>
      <c r="AZ42" t="n">
        <v>187814.741962928</v>
      </c>
      <c r="BA42" t="n">
        <v>663821.675240285</v>
      </c>
      <c r="BB42" t="n">
        <v>278488.37040817</v>
      </c>
      <c r="BC42" t="n">
        <v>306792.784058043</v>
      </c>
      <c r="BD42" t="n">
        <v>124866.167069006</v>
      </c>
      <c r="BE42" t="n">
        <v>23.3542628142643</v>
      </c>
      <c r="BF42" t="n">
        <v>64530.9488926044</v>
      </c>
      <c r="BG42" t="n">
        <v>27474.8815806288</v>
      </c>
      <c r="BH42" t="n">
        <v>40402.6593999813</v>
      </c>
      <c r="BI42" t="n">
        <v>104827.175446941</v>
      </c>
      <c r="BJ42" t="n">
        <v>58723.7151693576</v>
      </c>
      <c r="BK42" t="n">
        <v>115567.647419426</v>
      </c>
      <c r="BL42" t="n">
        <v>39145.8303421509</v>
      </c>
      <c r="BM42" t="n">
        <v>21764.8406615638</v>
      </c>
      <c r="BN42" t="n">
        <v>55897.287819129</v>
      </c>
      <c r="BO42" t="n">
        <v>243965.16624227</v>
      </c>
      <c r="BP42" t="n">
        <v>265790.851780914</v>
      </c>
      <c r="BQ42" t="n">
        <v>1216443.74059932</v>
      </c>
      <c r="BR42" t="n">
        <v>818154.71609854</v>
      </c>
      <c r="BS42" t="n">
        <v>844448.267303734</v>
      </c>
      <c r="BT42" t="n">
        <v>146.699667107997</v>
      </c>
      <c r="BU42" t="n">
        <v>1.48681382315527</v>
      </c>
      <c r="BV42" t="n">
        <v>1.29896707623955</v>
      </c>
      <c r="BW42" t="n">
        <v>104.428388158487</v>
      </c>
      <c r="BX42" t="n">
        <v>95686.5308706234</v>
      </c>
      <c r="BY42" t="n">
        <v>1.97594697588517</v>
      </c>
      <c r="BZ42" t="n">
        <v>189071.511306751</v>
      </c>
      <c r="CA42" t="n">
        <v>10905.7517441792</v>
      </c>
      <c r="CB42" t="n">
        <v>16439.7024354948</v>
      </c>
      <c r="CC42" t="n">
        <v>17362.4296628618</v>
      </c>
      <c r="CD42" t="n">
        <v>922.727227367017</v>
      </c>
      <c r="CE42" t="n">
        <v>0.0531450444081242</v>
      </c>
      <c r="CF42" t="n">
        <v>12214905.5485696</v>
      </c>
      <c r="CG42" t="n">
        <v>563290.909036076</v>
      </c>
      <c r="CH42" t="n">
        <v>754340.788180439</v>
      </c>
      <c r="CI42" t="n">
        <v>446793.154803022</v>
      </c>
      <c r="CJ42" t="n">
        <v>22037.8617908529</v>
      </c>
      <c r="CK42" t="n">
        <v>1113974.48890298</v>
      </c>
      <c r="CL42" t="n">
        <v>0.101264551268822</v>
      </c>
      <c r="CM42" t="n">
        <v>9.87512399423316</v>
      </c>
      <c r="CN42" t="n">
        <v>1375077.04665322</v>
      </c>
      <c r="CO42" t="n">
        <v>3515150.51716977</v>
      </c>
      <c r="CP42" t="n">
        <v>3476199.51746744</v>
      </c>
      <c r="CQ42" t="n">
        <v>4890227.56382299</v>
      </c>
      <c r="CR42" t="n">
        <v>10422739.5924334</v>
      </c>
      <c r="CS42" t="n">
        <v>-0.00131757971827315</v>
      </c>
      <c r="CT42" t="n">
        <v>0.00214079668921185</v>
      </c>
      <c r="CU42" t="n">
        <v>0.0684084025235786</v>
      </c>
      <c r="CV42" t="n">
        <v>2.01919089193817</v>
      </c>
      <c r="CW42" t="n">
        <v>0.0684084025235788</v>
      </c>
      <c r="CX42" t="n">
        <v>0.039440022763365</v>
      </c>
      <c r="CY42" t="n">
        <v>0.019440022763365</v>
      </c>
      <c r="CZ42" t="n">
        <v>-0.0172992260741532</v>
      </c>
      <c r="DA42" t="n">
        <v>0.448539570263143</v>
      </c>
      <c r="DB42" t="n">
        <v>6.86415738124991</v>
      </c>
      <c r="DC42" t="n">
        <v>0.0595421695913797</v>
      </c>
      <c r="DD42" t="n">
        <v>0.0405229270183534</v>
      </c>
      <c r="DE42" t="n">
        <v>0.00733690229582667</v>
      </c>
      <c r="DF42" t="n">
        <v>0.148404564497453</v>
      </c>
      <c r="DG42" t="n">
        <v>231460.675030106</v>
      </c>
      <c r="DH42" t="n">
        <v>146.187728379498</v>
      </c>
      <c r="DI42" t="n">
        <v>5.02293493358455</v>
      </c>
      <c r="DJ42" t="n">
        <v>4.31600360658001</v>
      </c>
      <c r="DK42" t="n">
        <v>0.0411256875275234</v>
      </c>
      <c r="DL42" t="n">
        <v>0.670223574218165</v>
      </c>
      <c r="DM42" t="n">
        <v>1.55518188169235</v>
      </c>
      <c r="DN42" t="n">
        <v>0.0357615042376472</v>
      </c>
      <c r="DO42" t="n">
        <v>0.0465455822795444</v>
      </c>
      <c r="DP42" t="n">
        <v>31073.65</v>
      </c>
      <c r="DQ42" t="n">
        <v>26077.8302209885</v>
      </c>
      <c r="DR42" t="n">
        <v>184877.575109851</v>
      </c>
      <c r="DS42" t="n">
        <v>32641.4299138154</v>
      </c>
      <c r="DT42" t="n">
        <v>13941.6700064396</v>
      </c>
      <c r="DU42" t="n">
        <v>0</v>
      </c>
      <c r="DV42" t="n">
        <v>58.425</v>
      </c>
      <c r="DW42" t="n">
        <v>208288.96</v>
      </c>
      <c r="DX42" t="n">
        <v>2.48552678756443</v>
      </c>
      <c r="DY42" t="n">
        <v>73.306</v>
      </c>
      <c r="DZ42" t="n">
        <v>1.02062376390299</v>
      </c>
      <c r="EA42" t="n">
        <v>1.20449936397015</v>
      </c>
      <c r="EB42" t="n">
        <v>191481666.98941</v>
      </c>
      <c r="EC42" t="n">
        <v>3.16578023222883</v>
      </c>
      <c r="ED42" t="n">
        <v>0.0435</v>
      </c>
      <c r="EE42" t="n">
        <v>0.0304926484848485</v>
      </c>
      <c r="EF42" t="n">
        <v>0.03050813492075</v>
      </c>
      <c r="EG42" t="n">
        <v>0.0441803333333333</v>
      </c>
      <c r="EH42" t="n">
        <v>818527.212878162</v>
      </c>
      <c r="EI42" t="n">
        <v>449632.855992558</v>
      </c>
      <c r="EJ42" t="n">
        <v>1426.08461346662</v>
      </c>
      <c r="EK42" t="n">
        <v>1.4086269987047</v>
      </c>
      <c r="EL42" t="n">
        <v>4.31302580596529</v>
      </c>
    </row>
    <row r="43">
      <c r="A43" s="2" t="n">
        <v>49461</v>
      </c>
      <c r="B43" t="n">
        <v>451927.006967574</v>
      </c>
      <c r="C43" t="n">
        <v>37631.6165367447</v>
      </c>
      <c r="D43" t="n">
        <v>31069.943219709</v>
      </c>
      <c r="E43" t="n">
        <v>258413.929550394</v>
      </c>
      <c r="F43" t="n">
        <v>71713.4280413171</v>
      </c>
      <c r="G43" t="n">
        <v>16095.5867460212</v>
      </c>
      <c r="H43" t="n">
        <v>82730.3882100201</v>
      </c>
      <c r="I43" t="n">
        <v>94567.9667446241</v>
      </c>
      <c r="J43" t="n">
        <v>103453.418540333</v>
      </c>
      <c r="K43" t="n">
        <v>392.684537071424</v>
      </c>
      <c r="L43" t="n">
        <v>5557.74301134225</v>
      </c>
      <c r="M43" t="n">
        <v>0.665775515517613</v>
      </c>
      <c r="N43" t="n">
        <v>37623.4430982782</v>
      </c>
      <c r="O43" t="n">
        <v>211.28316315863</v>
      </c>
      <c r="P43" t="n">
        <v>2.52001297470838</v>
      </c>
      <c r="Q43" t="n">
        <v>1.92050286347734</v>
      </c>
      <c r="R43" t="n">
        <v>1.25096017335378</v>
      </c>
      <c r="S43" t="n">
        <v>0.111673615536029</v>
      </c>
      <c r="T43" t="n">
        <v>6503.27163712981</v>
      </c>
      <c r="U43" t="n">
        <v>0.361768076609797</v>
      </c>
      <c r="V43" t="n">
        <v>0.462938153004094</v>
      </c>
      <c r="W43" t="n">
        <v>34154059.115309</v>
      </c>
      <c r="X43" t="n">
        <v>103640.993920294</v>
      </c>
      <c r="Y43" t="n">
        <v>4451379.61510934</v>
      </c>
      <c r="Z43" t="n">
        <v>1457.24007850799</v>
      </c>
      <c r="AA43" t="n">
        <v>1.31698250709939</v>
      </c>
      <c r="AB43" t="n">
        <v>1.27496937968066</v>
      </c>
      <c r="AC43" t="n">
        <v>1.51930959504663</v>
      </c>
      <c r="AD43" t="n">
        <v>1.74169111842439</v>
      </c>
      <c r="AE43" t="n">
        <v>148.279371007143</v>
      </c>
      <c r="AF43" t="n">
        <v>106977.379685262</v>
      </c>
      <c r="AG43" t="n">
        <v>1994.57344106318</v>
      </c>
      <c r="AH43" t="n">
        <v>182.486940059531</v>
      </c>
      <c r="AI43" t="n">
        <v>82993.4630269343</v>
      </c>
      <c r="AJ43" t="n">
        <v>113285.626927099</v>
      </c>
      <c r="AK43" t="n">
        <v>669.040671579208</v>
      </c>
      <c r="AL43" t="n">
        <v>32932.1194124975</v>
      </c>
      <c r="AM43" t="n">
        <v>18042.4388322705</v>
      </c>
      <c r="AN43" t="n">
        <v>1.12667287447243</v>
      </c>
      <c r="AO43" t="n">
        <v>1.2108629906878</v>
      </c>
      <c r="AP43" t="n">
        <v>1.38077457070744</v>
      </c>
      <c r="AQ43" t="n">
        <v>1.49011662185387</v>
      </c>
      <c r="AR43" t="n">
        <v>38146.5252846519</v>
      </c>
      <c r="AS43" t="n">
        <v>215091.056181499</v>
      </c>
      <c r="AT43" t="n">
        <v>0.0413825638971479</v>
      </c>
      <c r="AU43" t="n">
        <v>0.0449191450313133</v>
      </c>
      <c r="AV43" t="n">
        <v>0.328575498226669</v>
      </c>
      <c r="AW43" t="n">
        <v>945.004680849059</v>
      </c>
      <c r="AX43" t="n">
        <v>11137.5530456785</v>
      </c>
      <c r="AY43" t="n">
        <v>20618.912174083</v>
      </c>
      <c r="AZ43" t="n">
        <v>188306.294831338</v>
      </c>
      <c r="BA43" t="n">
        <v>673423.946214783</v>
      </c>
      <c r="BB43" t="n">
        <v>281689.421952748</v>
      </c>
      <c r="BC43" t="n">
        <v>310448.902095117</v>
      </c>
      <c r="BD43" t="n">
        <v>125370.334357613</v>
      </c>
      <c r="BE43" t="n">
        <v>23.4068048372416</v>
      </c>
      <c r="BF43" t="n">
        <v>65542.6522940006</v>
      </c>
      <c r="BG43" t="n">
        <v>28066.7781816126</v>
      </c>
      <c r="BH43" t="n">
        <v>40918.5717169281</v>
      </c>
      <c r="BI43" t="n">
        <v>105814.123048458</v>
      </c>
      <c r="BJ43" t="n">
        <v>59233.516905757</v>
      </c>
      <c r="BK43" t="n">
        <v>116558.160440836</v>
      </c>
      <c r="BL43" t="n">
        <v>39598.6798721142</v>
      </c>
      <c r="BM43" t="n">
        <v>21846.9214437447</v>
      </c>
      <c r="BN43" t="n">
        <v>56563.4277531624</v>
      </c>
      <c r="BO43" t="n">
        <v>246156.749509857</v>
      </c>
      <c r="BP43" t="n">
        <v>269070.344927656</v>
      </c>
      <c r="BQ43" t="n">
        <v>1231775.41489649</v>
      </c>
      <c r="BR43" t="n">
        <v>820771.334626896</v>
      </c>
      <c r="BS43" t="n">
        <v>847986.068232007</v>
      </c>
      <c r="BT43" t="n">
        <v>148.024335644857</v>
      </c>
      <c r="BU43" t="n">
        <v>1.50075345394352</v>
      </c>
      <c r="BV43" t="n">
        <v>1.30721466178459</v>
      </c>
      <c r="BW43" t="n">
        <v>104.496904827912</v>
      </c>
      <c r="BX43" t="n">
        <v>96155.32036865</v>
      </c>
      <c r="BY43" t="n">
        <v>2.0137507914449</v>
      </c>
      <c r="BZ43" t="n">
        <v>193632.852494006</v>
      </c>
      <c r="CA43" t="n">
        <v>10926.4435326893</v>
      </c>
      <c r="CB43" t="n">
        <v>16484.1865440316</v>
      </c>
      <c r="CC43" t="n">
        <v>17411.563803072</v>
      </c>
      <c r="CD43" t="n">
        <v>927.377259040455</v>
      </c>
      <c r="CE43" t="n">
        <v>0.0532621385210844</v>
      </c>
      <c r="CF43" t="n">
        <v>12249832.0653448</v>
      </c>
      <c r="CG43" t="n">
        <v>569822.751819487</v>
      </c>
      <c r="CH43" t="n">
        <v>762378.249897676</v>
      </c>
      <c r="CI43" t="n">
        <v>452597.30753018</v>
      </c>
      <c r="CJ43" t="n">
        <v>22272.6740577343</v>
      </c>
      <c r="CK43" t="n">
        <v>1128014.67298153</v>
      </c>
      <c r="CL43" t="n">
        <v>0.102877552854994</v>
      </c>
      <c r="CM43" t="n">
        <v>9.72029341920192</v>
      </c>
      <c r="CN43" t="n">
        <v>1384007.54596635</v>
      </c>
      <c r="CO43" t="n">
        <v>3539935.64049961</v>
      </c>
      <c r="CP43" t="n">
        <v>3485959.34592643</v>
      </c>
      <c r="CQ43" t="n">
        <v>4923943.18646596</v>
      </c>
      <c r="CR43" t="n">
        <v>10466215.0435353</v>
      </c>
      <c r="CS43" t="n">
        <v>-0.00165112718820665</v>
      </c>
      <c r="CT43" t="n">
        <v>0.0018854539459587</v>
      </c>
      <c r="CU43" t="n">
        <v>0.0686399244506743</v>
      </c>
      <c r="CV43" t="n">
        <v>2.04047566527364</v>
      </c>
      <c r="CW43" t="n">
        <v>0.0686399244506745</v>
      </c>
      <c r="CX43" t="n">
        <v>0.039440022763365</v>
      </c>
      <c r="CY43" t="n">
        <v>0.019440022763365</v>
      </c>
      <c r="CZ43" t="n">
        <v>-0.0175545688174063</v>
      </c>
      <c r="DA43" t="n">
        <v>0.445319087506163</v>
      </c>
      <c r="DB43" t="n">
        <v>6.89709514342089</v>
      </c>
      <c r="DC43" t="n">
        <v>0.0591120551471479</v>
      </c>
      <c r="DD43" t="n">
        <v>0.0402247481979263</v>
      </c>
      <c r="DE43" t="n">
        <v>0.00731084360500376</v>
      </c>
      <c r="DF43" t="n">
        <v>0.149491479021155</v>
      </c>
      <c r="DG43" t="n">
        <v>232122.498825393</v>
      </c>
      <c r="DH43" t="n">
        <v>147.411450070296</v>
      </c>
      <c r="DI43" t="n">
        <v>5.03142818783323</v>
      </c>
      <c r="DJ43" t="n">
        <v>4.32157565699809</v>
      </c>
      <c r="DK43" t="n">
        <v>0.0411256875275234</v>
      </c>
      <c r="DL43" t="n">
        <v>0.670223574218165</v>
      </c>
      <c r="DM43" t="n">
        <v>1.57111326061579</v>
      </c>
      <c r="DN43" t="n">
        <v>0.0357615042376472</v>
      </c>
      <c r="DO43" t="n">
        <v>0.0465455822795444</v>
      </c>
      <c r="DP43" t="n">
        <v>31162.5</v>
      </c>
      <c r="DQ43" t="n">
        <v>26152.3041885</v>
      </c>
      <c r="DR43" t="n">
        <v>185406.202179684</v>
      </c>
      <c r="DS43" t="n">
        <v>32734.7627230555</v>
      </c>
      <c r="DT43" t="n">
        <v>13981.5339226539</v>
      </c>
      <c r="DU43" t="n">
        <v>0</v>
      </c>
      <c r="DV43" t="n">
        <v>58.425</v>
      </c>
      <c r="DW43" t="n">
        <v>208288.96</v>
      </c>
      <c r="DX43" t="n">
        <v>2.49786228693448</v>
      </c>
      <c r="DY43" t="n">
        <v>73.306</v>
      </c>
      <c r="DZ43" t="n">
        <v>1.02062376390299</v>
      </c>
      <c r="EA43" t="n">
        <v>1.20449936397015</v>
      </c>
      <c r="EB43" t="n">
        <v>192800381.839582</v>
      </c>
      <c r="EC43" t="n">
        <v>3.16578023222883</v>
      </c>
      <c r="ED43" t="n">
        <v>0.0435</v>
      </c>
      <c r="EE43" t="n">
        <v>0.0304926484848485</v>
      </c>
      <c r="EF43" t="n">
        <v>0.03050813492075</v>
      </c>
      <c r="EG43" t="n">
        <v>0.0441803333333333</v>
      </c>
      <c r="EH43" t="n">
        <v>821299.55060677</v>
      </c>
      <c r="EI43" t="n">
        <v>452141.984319559</v>
      </c>
      <c r="EJ43" t="n">
        <v>1447.90544495869</v>
      </c>
      <c r="EK43" t="n">
        <v>1.39064037679968</v>
      </c>
      <c r="EL43" t="n">
        <v>4.30336910853546</v>
      </c>
    </row>
    <row r="44">
      <c r="A44" s="2" t="n">
        <v>49553</v>
      </c>
      <c r="B44" t="n">
        <v>454164.237983189</v>
      </c>
      <c r="C44" t="n">
        <v>37771.3431251277</v>
      </c>
      <c r="D44" t="n">
        <v>31260.5740787496</v>
      </c>
      <c r="E44" t="n">
        <v>259336.492210107</v>
      </c>
      <c r="F44" t="n">
        <v>72684.6226143254</v>
      </c>
      <c r="G44" t="n">
        <v>16274.8824569152</v>
      </c>
      <c r="H44" t="n">
        <v>83832.2058816568</v>
      </c>
      <c r="I44" t="n">
        <v>99568.5610241173</v>
      </c>
      <c r="J44" t="n">
        <v>103807.483176786</v>
      </c>
      <c r="K44" t="n">
        <v>392.289646662043</v>
      </c>
      <c r="L44" t="n">
        <v>5581.44300011294</v>
      </c>
      <c r="M44" t="n">
        <v>0.665743523968919</v>
      </c>
      <c r="N44" t="n">
        <v>37952.8348153432</v>
      </c>
      <c r="O44" t="n">
        <v>213.504569801471</v>
      </c>
      <c r="P44" t="n">
        <v>2.56460437386094</v>
      </c>
      <c r="Q44" t="n">
        <v>1.93622963206108</v>
      </c>
      <c r="R44" t="n">
        <v>1.25801520207601</v>
      </c>
      <c r="S44" t="n">
        <v>0.111733738121079</v>
      </c>
      <c r="T44" t="n">
        <v>6419.94169157948</v>
      </c>
      <c r="U44" t="n">
        <v>0.361206373085928</v>
      </c>
      <c r="V44" t="n">
        <v>0.460057552124862</v>
      </c>
      <c r="W44" t="n">
        <v>34699283.3913042</v>
      </c>
      <c r="X44" t="n">
        <v>105300.713868358</v>
      </c>
      <c r="Y44" t="n">
        <v>4455096.84216469</v>
      </c>
      <c r="Z44" t="n">
        <v>1479.80804463866</v>
      </c>
      <c r="AA44" t="n">
        <v>1.32540574756201</v>
      </c>
      <c r="AB44" t="n">
        <v>1.28244136570249</v>
      </c>
      <c r="AC44" t="n">
        <v>1.53234977681101</v>
      </c>
      <c r="AD44" t="n">
        <v>1.76242477818255</v>
      </c>
      <c r="AE44" t="n">
        <v>149.50223766133</v>
      </c>
      <c r="AF44" t="n">
        <v>108047.674010269</v>
      </c>
      <c r="AG44" t="n">
        <v>2030.24980598274</v>
      </c>
      <c r="AH44" t="n">
        <v>185.959452252665</v>
      </c>
      <c r="AI44" t="n">
        <v>83263.6007700547</v>
      </c>
      <c r="AJ44" t="n">
        <v>114538.347566857</v>
      </c>
      <c r="AK44" t="n">
        <v>671.356851067868</v>
      </c>
      <c r="AL44" t="n">
        <v>33320.5890337268</v>
      </c>
      <c r="AM44" t="n">
        <v>17990.4928320923</v>
      </c>
      <c r="AN44" t="n">
        <v>1.13259380925674</v>
      </c>
      <c r="AO44" t="n">
        <v>1.21884532765465</v>
      </c>
      <c r="AP44" t="n">
        <v>1.39064541249811</v>
      </c>
      <c r="AQ44" t="n">
        <v>1.50429237354897</v>
      </c>
      <c r="AR44" t="n">
        <v>38289.7967242509</v>
      </c>
      <c r="AS44" t="n">
        <v>216452.534402047</v>
      </c>
      <c r="AT44" t="n">
        <v>0.0409019747207556</v>
      </c>
      <c r="AU44" t="n">
        <v>0.044562316470472</v>
      </c>
      <c r="AV44" t="n">
        <v>0.330285897952147</v>
      </c>
      <c r="AW44" t="n">
        <v>922.56265971277</v>
      </c>
      <c r="AX44" t="n">
        <v>11178.9068973922</v>
      </c>
      <c r="AY44" t="n">
        <v>20685.9048571068</v>
      </c>
      <c r="AZ44" t="n">
        <v>188818.677590237</v>
      </c>
      <c r="BA44" t="n">
        <v>683195.800792048</v>
      </c>
      <c r="BB44" t="n">
        <v>284914.003167164</v>
      </c>
      <c r="BC44" t="n">
        <v>314159.973996893</v>
      </c>
      <c r="BD44" t="n">
        <v>130403.645569485</v>
      </c>
      <c r="BE44" t="n">
        <v>23.9313536513403</v>
      </c>
      <c r="BF44" t="n">
        <v>66569.1510289601</v>
      </c>
      <c r="BG44" t="n">
        <v>28669.4735240363</v>
      </c>
      <c r="BH44" t="n">
        <v>41432.9445560627</v>
      </c>
      <c r="BI44" t="n">
        <v>106780.684899076</v>
      </c>
      <c r="BJ44" t="n">
        <v>59718.4530664695</v>
      </c>
      <c r="BK44" t="n">
        <v>117571.712800552</v>
      </c>
      <c r="BL44" t="n">
        <v>40052.6619503264</v>
      </c>
      <c r="BM44" t="n">
        <v>21927.6281306002</v>
      </c>
      <c r="BN44" t="n">
        <v>57244.1028987299</v>
      </c>
      <c r="BO44" t="n">
        <v>248385.665780208</v>
      </c>
      <c r="BP44" t="n">
        <v>272300.578805656</v>
      </c>
      <c r="BQ44" t="n">
        <v>1247365.59800837</v>
      </c>
      <c r="BR44" t="n">
        <v>823438.093848951</v>
      </c>
      <c r="BS44" t="n">
        <v>851501.923978403</v>
      </c>
      <c r="BT44" t="n">
        <v>149.362037453154</v>
      </c>
      <c r="BU44" t="n">
        <v>1.51482619874522</v>
      </c>
      <c r="BV44" t="n">
        <v>1.31547190643523</v>
      </c>
      <c r="BW44" t="n">
        <v>104.567250400822</v>
      </c>
      <c r="BX44" t="n">
        <v>96631.3301262623</v>
      </c>
      <c r="BY44" t="n">
        <v>2.05207010445954</v>
      </c>
      <c r="BZ44" t="n">
        <v>198294.263706264</v>
      </c>
      <c r="CA44" t="n">
        <v>10946.5759784257</v>
      </c>
      <c r="CB44" t="n">
        <v>16528.0189785387</v>
      </c>
      <c r="CC44" t="n">
        <v>17460.3708944538</v>
      </c>
      <c r="CD44" t="n">
        <v>932.351915915111</v>
      </c>
      <c r="CE44" t="n">
        <v>0.0533981660114532</v>
      </c>
      <c r="CF44" t="n">
        <v>12284620.9987674</v>
      </c>
      <c r="CG44" t="n">
        <v>576339.984990425</v>
      </c>
      <c r="CH44" t="n">
        <v>775677.836513467</v>
      </c>
      <c r="CI44" t="n">
        <v>458606.868354776</v>
      </c>
      <c r="CJ44" t="n">
        <v>22661.2178781225</v>
      </c>
      <c r="CK44" t="n">
        <v>1142291.5899357</v>
      </c>
      <c r="CL44" t="n">
        <v>0.104573668005183</v>
      </c>
      <c r="CM44" t="n">
        <v>9.56263674284079</v>
      </c>
      <c r="CN44" t="n">
        <v>1392991.06284786</v>
      </c>
      <c r="CO44" t="n">
        <v>3564605.29570821</v>
      </c>
      <c r="CP44" t="n">
        <v>3495783.14232629</v>
      </c>
      <c r="CQ44" t="n">
        <v>4957596.35855607</v>
      </c>
      <c r="CR44" t="n">
        <v>10509692.0120253</v>
      </c>
      <c r="CS44" t="n">
        <v>-0.00201388042880252</v>
      </c>
      <c r="CT44" t="n">
        <v>0.00164646132091396</v>
      </c>
      <c r="CU44" t="n">
        <v>0.0688178829715209</v>
      </c>
      <c r="CV44" t="n">
        <v>2.06192898947435</v>
      </c>
      <c r="CW44" t="n">
        <v>0.0688178829715209</v>
      </c>
      <c r="CX44" t="n">
        <v>0.039440022763365</v>
      </c>
      <c r="CY44" t="n">
        <v>0.0194400227633649</v>
      </c>
      <c r="CZ44" t="n">
        <v>-0.0177935614424509</v>
      </c>
      <c r="DA44" t="n">
        <v>0.442173260224348</v>
      </c>
      <c r="DB44" t="n">
        <v>6.9310368673358</v>
      </c>
      <c r="DC44" t="n">
        <v>0.0586314659707556</v>
      </c>
      <c r="DD44" t="n">
        <v>0.0398936059154114</v>
      </c>
      <c r="DE44" t="n">
        <v>0.00728443690004971</v>
      </c>
      <c r="DF44" t="n">
        <v>0.150629549935183</v>
      </c>
      <c r="DG44" t="n">
        <v>232781.715548892</v>
      </c>
      <c r="DH44" t="n">
        <v>148.614576681653</v>
      </c>
      <c r="DI44" t="n">
        <v>5.03971395555479</v>
      </c>
      <c r="DJ44" t="n">
        <v>4.32694022088905</v>
      </c>
      <c r="DK44" t="n">
        <v>0.0411256875275234</v>
      </c>
      <c r="DL44" t="n">
        <v>0.670223574218165</v>
      </c>
      <c r="DM44" t="n">
        <v>1.58720784156556</v>
      </c>
      <c r="DN44" t="n">
        <v>0.0357615042376472</v>
      </c>
      <c r="DO44" t="n">
        <v>0.0465455822795444</v>
      </c>
      <c r="DP44" t="n">
        <v>31251</v>
      </c>
      <c r="DQ44" t="n">
        <v>26226.8730612075</v>
      </c>
      <c r="DR44" t="n">
        <v>185932.746869388</v>
      </c>
      <c r="DS44" t="n">
        <v>32827.7278735084</v>
      </c>
      <c r="DT44" t="n">
        <v>14021.2408059962</v>
      </c>
      <c r="DU44" t="n">
        <v>0</v>
      </c>
      <c r="DV44" t="n">
        <v>58.75</v>
      </c>
      <c r="DW44" t="n">
        <v>208288.96</v>
      </c>
      <c r="DX44" t="n">
        <v>2.51025900654382</v>
      </c>
      <c r="DY44" t="n">
        <v>73.306</v>
      </c>
      <c r="DZ44" t="n">
        <v>1.02062376390299</v>
      </c>
      <c r="EA44" t="n">
        <v>1.20449936397015</v>
      </c>
      <c r="EB44" t="n">
        <v>194128178.545387</v>
      </c>
      <c r="EC44" t="n">
        <v>3.16578023222883</v>
      </c>
      <c r="ED44" t="n">
        <v>0.0435</v>
      </c>
      <c r="EE44" t="n">
        <v>0.0304926484848485</v>
      </c>
      <c r="EF44" t="n">
        <v>0.03050813492075</v>
      </c>
      <c r="EG44" t="n">
        <v>0.0441803333333333</v>
      </c>
      <c r="EH44" t="n">
        <v>824038.906747393</v>
      </c>
      <c r="EI44" t="n">
        <v>454591.77658186</v>
      </c>
      <c r="EJ44" t="n">
        <v>1470.08477512402</v>
      </c>
      <c r="EK44" t="n">
        <v>1.36748707195085</v>
      </c>
      <c r="EL44" t="n">
        <v>4.29158551495581</v>
      </c>
    </row>
    <row r="45">
      <c r="A45" s="2" t="n">
        <v>49644</v>
      </c>
      <c r="B45" t="n">
        <v>456534.452954729</v>
      </c>
      <c r="C45" t="n">
        <v>37909.4823883889</v>
      </c>
      <c r="D45" t="n">
        <v>31445.5487231562</v>
      </c>
      <c r="E45" t="n">
        <v>260253.276512892</v>
      </c>
      <c r="F45" t="n">
        <v>73696.7497589281</v>
      </c>
      <c r="G45" t="n">
        <v>16454.1953458619</v>
      </c>
      <c r="H45" t="n">
        <v>84957.850938203</v>
      </c>
      <c r="I45" t="n">
        <v>99179.7238320595</v>
      </c>
      <c r="J45" t="n">
        <v>104175.018299164</v>
      </c>
      <c r="K45" t="n">
        <v>391.902929462142</v>
      </c>
      <c r="L45" t="n">
        <v>5605.2798413081</v>
      </c>
      <c r="M45" t="n">
        <v>0.665703777863118</v>
      </c>
      <c r="N45" t="n">
        <v>38282.9812985102</v>
      </c>
      <c r="O45" t="n">
        <v>215.743729131753</v>
      </c>
      <c r="P45" t="n">
        <v>2.61001956137063</v>
      </c>
      <c r="Q45" t="n">
        <v>1.95179648888861</v>
      </c>
      <c r="R45" t="n">
        <v>1.26504724404893</v>
      </c>
      <c r="S45" t="n">
        <v>0.11180656567036</v>
      </c>
      <c r="T45" t="n">
        <v>6339.70911778888</v>
      </c>
      <c r="U45" t="n">
        <v>0.360676418360111</v>
      </c>
      <c r="V45" t="n">
        <v>0.457232797844422</v>
      </c>
      <c r="W45" t="n">
        <v>35255818.3439143</v>
      </c>
      <c r="X45" t="n">
        <v>106983.631905721</v>
      </c>
      <c r="Y45" t="n">
        <v>4459005.802412</v>
      </c>
      <c r="Z45" t="n">
        <v>1502.83447030958</v>
      </c>
      <c r="AA45" t="n">
        <v>1.3339080403858</v>
      </c>
      <c r="AB45" t="n">
        <v>1.28993577098408</v>
      </c>
      <c r="AC45" t="n">
        <v>1.54548997455735</v>
      </c>
      <c r="AD45" t="n">
        <v>1.78349182834078</v>
      </c>
      <c r="AE45" t="n">
        <v>150.733408459431</v>
      </c>
      <c r="AF45" t="n">
        <v>109132.229527721</v>
      </c>
      <c r="AG45" t="n">
        <v>2065.99900906114</v>
      </c>
      <c r="AH45" t="n">
        <v>189.474286258205</v>
      </c>
      <c r="AI45" t="n">
        <v>83529.6263381523</v>
      </c>
      <c r="AJ45" t="n">
        <v>115857.972927233</v>
      </c>
      <c r="AK45" t="n">
        <v>673.72147050726</v>
      </c>
      <c r="AL45" t="n">
        <v>33721.8404151205</v>
      </c>
      <c r="AM45" t="n">
        <v>17940.7659320384</v>
      </c>
      <c r="AN45" t="n">
        <v>1.13853110181125</v>
      </c>
      <c r="AO45" t="n">
        <v>1.2267494623179</v>
      </c>
      <c r="AP45" t="n">
        <v>1.40061920407613</v>
      </c>
      <c r="AQ45" t="n">
        <v>1.51859300422399</v>
      </c>
      <c r="AR45" t="n">
        <v>38440.7730817541</v>
      </c>
      <c r="AS45" t="n">
        <v>217879.592655066</v>
      </c>
      <c r="AT45" t="n">
        <v>0.0404621986663455</v>
      </c>
      <c r="AU45" t="n">
        <v>0.0442033715125667</v>
      </c>
      <c r="AV45" t="n">
        <v>0.331538274554338</v>
      </c>
      <c r="AW45" t="n">
        <v>916.784302784479</v>
      </c>
      <c r="AX45" t="n">
        <v>11219.7909601526</v>
      </c>
      <c r="AY45" t="n">
        <v>20755.3619864464</v>
      </c>
      <c r="AZ45" t="n">
        <v>189356.919299403</v>
      </c>
      <c r="BA45" t="n">
        <v>693290.027745839</v>
      </c>
      <c r="BB45" t="n">
        <v>288170.965767642</v>
      </c>
      <c r="BC45" t="n">
        <v>317962.865985835</v>
      </c>
      <c r="BD45" t="n">
        <v>129991.122549474</v>
      </c>
      <c r="BE45" t="n">
        <v>23.88836237744</v>
      </c>
      <c r="BF45" t="n">
        <v>67611.2520563204</v>
      </c>
      <c r="BG45" t="n">
        <v>29283.8738804876</v>
      </c>
      <c r="BH45" t="n">
        <v>41945.4702761615</v>
      </c>
      <c r="BI45" t="n">
        <v>107747.851924556</v>
      </c>
      <c r="BJ45" t="n">
        <v>60226.9940512875</v>
      </c>
      <c r="BK45" t="n">
        <v>118606.498365355</v>
      </c>
      <c r="BL45" t="n">
        <v>40510.2426507581</v>
      </c>
      <c r="BM45" t="n">
        <v>22008.8249606994</v>
      </c>
      <c r="BN45" t="n">
        <v>57943.0875042833</v>
      </c>
      <c r="BO45" t="n">
        <v>250658.213481096</v>
      </c>
      <c r="BP45" t="n">
        <v>275627.978222796</v>
      </c>
      <c r="BQ45" t="n">
        <v>1263306.67096059</v>
      </c>
      <c r="BR45" t="n">
        <v>826202.954548032</v>
      </c>
      <c r="BS45" t="n">
        <v>855155.600188935</v>
      </c>
      <c r="BT45" t="n">
        <v>150.711752421664</v>
      </c>
      <c r="BU45" t="n">
        <v>1.52905126180109</v>
      </c>
      <c r="BV45" t="n">
        <v>1.32373411232343</v>
      </c>
      <c r="BW45" t="n">
        <v>104.639104867472</v>
      </c>
      <c r="BX45" t="n">
        <v>97135.6345303302</v>
      </c>
      <c r="BY45" t="n">
        <v>2.0908564403921</v>
      </c>
      <c r="BZ45" t="n">
        <v>203096.667049314</v>
      </c>
      <c r="CA45" t="n">
        <v>10966.9918538917</v>
      </c>
      <c r="CB45" t="n">
        <v>16572.2716951998</v>
      </c>
      <c r="CC45" t="n">
        <v>17508.9703806867</v>
      </c>
      <c r="CD45" t="n">
        <v>936.698685486943</v>
      </c>
      <c r="CE45" t="n">
        <v>0.0534982085787796</v>
      </c>
      <c r="CF45" t="n">
        <v>12319409.9321901</v>
      </c>
      <c r="CG45" t="n">
        <v>582910.024029117</v>
      </c>
      <c r="CH45" t="n">
        <v>782971.162179587</v>
      </c>
      <c r="CI45" t="n">
        <v>464839.266382191</v>
      </c>
      <c r="CJ45" t="n">
        <v>22874.2904118421</v>
      </c>
      <c r="CK45" t="n">
        <v>1156889.83891495</v>
      </c>
      <c r="CL45" t="n">
        <v>0.106270091890625</v>
      </c>
      <c r="CM45" t="n">
        <v>9.40998527628275</v>
      </c>
      <c r="CN45" t="n">
        <v>1402021.84880947</v>
      </c>
      <c r="CO45" t="n">
        <v>3589138.63261794</v>
      </c>
      <c r="CP45" t="n">
        <v>3505668.299982</v>
      </c>
      <c r="CQ45" t="n">
        <v>4991160.48142741</v>
      </c>
      <c r="CR45" t="n">
        <v>10553141.2925523</v>
      </c>
      <c r="CS45" t="n">
        <v>-0.00233383779003756</v>
      </c>
      <c r="CT45" t="n">
        <v>0.00140733505618361</v>
      </c>
      <c r="CU45" t="n">
        <v>0.0690105292139769</v>
      </c>
      <c r="CV45" t="n">
        <v>2.08355376096966</v>
      </c>
      <c r="CW45" t="n">
        <v>0.0690105292139767</v>
      </c>
      <c r="CX45" t="n">
        <v>0.039440022763365</v>
      </c>
      <c r="CY45" t="n">
        <v>0.019440022763365</v>
      </c>
      <c r="CZ45" t="n">
        <v>-0.0180326877071814</v>
      </c>
      <c r="DA45" t="n">
        <v>0.439099131177605</v>
      </c>
      <c r="DB45" t="n">
        <v>6.96583152779293</v>
      </c>
      <c r="DC45" t="n">
        <v>0.0581916899163455</v>
      </c>
      <c r="DD45" t="n">
        <v>0.0395908451510888</v>
      </c>
      <c r="DE45" t="n">
        <v>0.00725789005476058</v>
      </c>
      <c r="DF45" t="n">
        <v>0.151775646138489</v>
      </c>
      <c r="DG45" t="n">
        <v>233440.932272392</v>
      </c>
      <c r="DH45" t="n">
        <v>149.805718443902</v>
      </c>
      <c r="DI45" t="n">
        <v>5.04785418270867</v>
      </c>
      <c r="DJ45" t="n">
        <v>4.33215924421234</v>
      </c>
      <c r="DK45" t="n">
        <v>0.0411256875275234</v>
      </c>
      <c r="DL45" t="n">
        <v>0.670223574218165</v>
      </c>
      <c r="DM45" t="n">
        <v>1.60346729639326</v>
      </c>
      <c r="DN45" t="n">
        <v>0.0357615042376472</v>
      </c>
      <c r="DO45" t="n">
        <v>0.0465455822795444</v>
      </c>
      <c r="DP45" t="n">
        <v>31339.5</v>
      </c>
      <c r="DQ45" t="n">
        <v>26301.4436193975</v>
      </c>
      <c r="DR45" t="n">
        <v>186459.291559092</v>
      </c>
      <c r="DS45" t="n">
        <v>32920.6930239614</v>
      </c>
      <c r="DT45" t="n">
        <v>14060.9476893385</v>
      </c>
      <c r="DU45" t="n">
        <v>0</v>
      </c>
      <c r="DV45" t="n">
        <v>58.75</v>
      </c>
      <c r="DW45" t="n">
        <v>208288.96</v>
      </c>
      <c r="DX45" t="n">
        <v>2.52271725022432</v>
      </c>
      <c r="DY45" t="n">
        <v>73.306</v>
      </c>
      <c r="DZ45" t="n">
        <v>1.02062376390299</v>
      </c>
      <c r="EA45" t="n">
        <v>1.20449936397015</v>
      </c>
      <c r="EB45" t="n">
        <v>195465119.652647</v>
      </c>
      <c r="EC45" t="n">
        <v>3.16578023222883</v>
      </c>
      <c r="ED45" t="n">
        <v>0.0435</v>
      </c>
      <c r="EE45" t="n">
        <v>0.0304926484848485</v>
      </c>
      <c r="EF45" t="n">
        <v>0.03050813492075</v>
      </c>
      <c r="EG45" t="n">
        <v>0.0441803333333333</v>
      </c>
      <c r="EH45" t="n">
        <v>826769.948072477</v>
      </c>
      <c r="EI45" t="n">
        <v>457016.052394291</v>
      </c>
      <c r="EJ45" t="n">
        <v>1492.65133887997</v>
      </c>
      <c r="EK45" t="n">
        <v>1.34547596084764</v>
      </c>
      <c r="EL45" t="n">
        <v>4.27960364563831</v>
      </c>
    </row>
    <row r="46">
      <c r="A46" s="2" t="n">
        <v>49735</v>
      </c>
      <c r="B46" t="n">
        <v>458968.03457598</v>
      </c>
      <c r="C46" t="n">
        <v>38047.8984314676</v>
      </c>
      <c r="D46" t="n">
        <v>31625.4031754291</v>
      </c>
      <c r="E46" t="n">
        <v>261167.880190518</v>
      </c>
      <c r="F46" t="n">
        <v>74724.9965023897</v>
      </c>
      <c r="G46" t="n">
        <v>16636.0172408943</v>
      </c>
      <c r="H46" t="n">
        <v>86100.3166522954</v>
      </c>
      <c r="I46" t="n">
        <v>99291.8176972228</v>
      </c>
      <c r="J46" t="n">
        <v>104555.648760144</v>
      </c>
      <c r="K46" t="n">
        <v>391.521725318473</v>
      </c>
      <c r="L46" t="n">
        <v>5629.26738899619</v>
      </c>
      <c r="M46" t="n">
        <v>0.665667042298681</v>
      </c>
      <c r="N46" t="n">
        <v>38616.1575680126</v>
      </c>
      <c r="O46" t="n">
        <v>218.000363363015</v>
      </c>
      <c r="P46" t="n">
        <v>2.65628614339312</v>
      </c>
      <c r="Q46" t="n">
        <v>1.96721166183219</v>
      </c>
      <c r="R46" t="n">
        <v>1.27206454154363</v>
      </c>
      <c r="S46" t="n">
        <v>0.111906850158388</v>
      </c>
      <c r="T46" t="n">
        <v>6262.60051978912</v>
      </c>
      <c r="U46" t="n">
        <v>0.360172809431291</v>
      </c>
      <c r="V46" t="n">
        <v>0.45445578006845</v>
      </c>
      <c r="W46" t="n">
        <v>35822329.1441951</v>
      </c>
      <c r="X46" t="n">
        <v>108691.474423907</v>
      </c>
      <c r="Y46" t="n">
        <v>4463098.9763926</v>
      </c>
      <c r="Z46" t="n">
        <v>1526.20079529511</v>
      </c>
      <c r="AA46" t="n">
        <v>1.34247453680284</v>
      </c>
      <c r="AB46" t="n">
        <v>1.29745433371288</v>
      </c>
      <c r="AC46" t="n">
        <v>1.55874396642175</v>
      </c>
      <c r="AD46" t="n">
        <v>1.80488155293625</v>
      </c>
      <c r="AE46" t="n">
        <v>151.973819189852</v>
      </c>
      <c r="AF46" t="n">
        <v>110247.702310817</v>
      </c>
      <c r="AG46" t="n">
        <v>2101.86796119153</v>
      </c>
      <c r="AH46" t="n">
        <v>193.029784515725</v>
      </c>
      <c r="AI46" t="n">
        <v>83794.9272635515</v>
      </c>
      <c r="AJ46" t="n">
        <v>117183.659308591</v>
      </c>
      <c r="AK46" t="n">
        <v>675.841269763442</v>
      </c>
      <c r="AL46" t="n">
        <v>34134.6837768417</v>
      </c>
      <c r="AM46" t="n">
        <v>17891.3744345028</v>
      </c>
      <c r="AN46" t="n">
        <v>1.14449869474041</v>
      </c>
      <c r="AO46" t="n">
        <v>1.23468361492688</v>
      </c>
      <c r="AP46" t="n">
        <v>1.41069473274861</v>
      </c>
      <c r="AQ46" t="n">
        <v>1.53301492360667</v>
      </c>
      <c r="AR46" t="n">
        <v>38593.946865597</v>
      </c>
      <c r="AS46" t="n">
        <v>219368.355269194</v>
      </c>
      <c r="AT46" t="n">
        <v>0.0400503759692404</v>
      </c>
      <c r="AU46" t="n">
        <v>0.0438441437595871</v>
      </c>
      <c r="AV46" t="n">
        <v>0.332481701857736</v>
      </c>
      <c r="AW46" t="n">
        <v>914.603677626321</v>
      </c>
      <c r="AX46" t="n">
        <v>11260.7569394019</v>
      </c>
      <c r="AY46" t="n">
        <v>20825.2160074149</v>
      </c>
      <c r="AZ46" t="n">
        <v>189911.186067659</v>
      </c>
      <c r="BA46" t="n">
        <v>703604.847811378</v>
      </c>
      <c r="BB46" t="n">
        <v>291463.044059135</v>
      </c>
      <c r="BC46" t="n">
        <v>321843.716483238</v>
      </c>
      <c r="BD46" t="n">
        <v>130039.814526743</v>
      </c>
      <c r="BE46" t="n">
        <v>23.8934368339672</v>
      </c>
      <c r="BF46" t="n">
        <v>68671.950006948</v>
      </c>
      <c r="BG46" t="n">
        <v>29911.7926222511</v>
      </c>
      <c r="BH46" t="n">
        <v>42456.2984791374</v>
      </c>
      <c r="BI46" t="n">
        <v>108720.090459383</v>
      </c>
      <c r="BJ46" t="n">
        <v>60743.0700491132</v>
      </c>
      <c r="BK46" t="n">
        <v>119663.803533722</v>
      </c>
      <c r="BL46" t="n">
        <v>40967.607789961</v>
      </c>
      <c r="BM46" t="n">
        <v>22090.1868628022</v>
      </c>
      <c r="BN46" t="n">
        <v>58652.6950277498</v>
      </c>
      <c r="BO46" t="n">
        <v>252963.853214235</v>
      </c>
      <c r="BP46" t="n">
        <v>279050.706274688</v>
      </c>
      <c r="BQ46" t="n">
        <v>1279484.24042689</v>
      </c>
      <c r="BR46" t="n">
        <v>828983.61420137</v>
      </c>
      <c r="BS46" t="n">
        <v>858870.754757173</v>
      </c>
      <c r="BT46" t="n">
        <v>152.073886202238</v>
      </c>
      <c r="BU46" t="n">
        <v>1.54343730943779</v>
      </c>
      <c r="BV46" t="n">
        <v>1.33201133883769</v>
      </c>
      <c r="BW46" t="n">
        <v>104.712559413165</v>
      </c>
      <c r="BX46" t="n">
        <v>97653.4212897559</v>
      </c>
      <c r="BY46" t="n">
        <v>2.13009150799598</v>
      </c>
      <c r="BZ46" t="n">
        <v>208010.723416063</v>
      </c>
      <c r="CA46" t="n">
        <v>10987.7468628527</v>
      </c>
      <c r="CB46" t="n">
        <v>16617.0142518489</v>
      </c>
      <c r="CC46" t="n">
        <v>17557.6444671929</v>
      </c>
      <c r="CD46" t="n">
        <v>940.630215343965</v>
      </c>
      <c r="CE46" t="n">
        <v>0.0535738195143452</v>
      </c>
      <c r="CF46" t="n">
        <v>12354198.8656127</v>
      </c>
      <c r="CG46" t="n">
        <v>589570.544992644</v>
      </c>
      <c r="CH46" t="n">
        <v>790908.488442018</v>
      </c>
      <c r="CI46" t="n">
        <v>471169.826529556</v>
      </c>
      <c r="CJ46" t="n">
        <v>23106.177248536</v>
      </c>
      <c r="CK46" t="n">
        <v>1171704.66271357</v>
      </c>
      <c r="CL46" t="n">
        <v>0.107917033447664</v>
      </c>
      <c r="CM46" t="n">
        <v>9.26637777237421</v>
      </c>
      <c r="CN46" t="n">
        <v>1411093.49330173</v>
      </c>
      <c r="CO46" t="n">
        <v>3613533.78502746</v>
      </c>
      <c r="CP46" t="n">
        <v>3515612.74208402</v>
      </c>
      <c r="CQ46" t="n">
        <v>5024627.27832919</v>
      </c>
      <c r="CR46" t="n">
        <v>10596552.5315561</v>
      </c>
      <c r="CS46" t="n">
        <v>-0.00261840063401832</v>
      </c>
      <c r="CT46" t="n">
        <v>0.00117536715632838</v>
      </c>
      <c r="CU46" t="n">
        <v>0.069238073555129</v>
      </c>
      <c r="CV46" t="n">
        <v>2.10534729702562</v>
      </c>
      <c r="CW46" t="n">
        <v>0.0692380735551288</v>
      </c>
      <c r="CX46" t="n">
        <v>0.039440022763365</v>
      </c>
      <c r="CY46" t="n">
        <v>0.0194400227633649</v>
      </c>
      <c r="CZ46" t="n">
        <v>-0.0182646556070365</v>
      </c>
      <c r="DA46" t="n">
        <v>0.436088656134862</v>
      </c>
      <c r="DB46" t="n">
        <v>7.00090941019983</v>
      </c>
      <c r="DC46" t="n">
        <v>0.0577798672192404</v>
      </c>
      <c r="DD46" t="n">
        <v>0.0393077694035259</v>
      </c>
      <c r="DE46" t="n">
        <v>0.00723133884409034</v>
      </c>
      <c r="DF46" t="n">
        <v>0.152891339902826</v>
      </c>
      <c r="DG46" t="n">
        <v>234100.148995891</v>
      </c>
      <c r="DH46" t="n">
        <v>151.00921249123</v>
      </c>
      <c r="DI46" t="n">
        <v>5.05601298715652</v>
      </c>
      <c r="DJ46" t="n">
        <v>4.3373968448296</v>
      </c>
      <c r="DK46" t="n">
        <v>0.0411256875275234</v>
      </c>
      <c r="DL46" t="n">
        <v>0.670223574218165</v>
      </c>
      <c r="DM46" t="n">
        <v>1.61989331407705</v>
      </c>
      <c r="DN46" t="n">
        <v>0.0357615042376472</v>
      </c>
      <c r="DO46" t="n">
        <v>0.0465455822795444</v>
      </c>
      <c r="DP46" t="n">
        <v>31428</v>
      </c>
      <c r="DQ46" t="n">
        <v>26376.01586307</v>
      </c>
      <c r="DR46" t="n">
        <v>186985.836248796</v>
      </c>
      <c r="DS46" t="n">
        <v>33013.6581744143</v>
      </c>
      <c r="DT46" t="n">
        <v>14100.6545726808</v>
      </c>
      <c r="DU46" t="n">
        <v>0</v>
      </c>
      <c r="DV46" t="n">
        <v>58.75</v>
      </c>
      <c r="DW46" t="n">
        <v>208288.96</v>
      </c>
      <c r="DX46" t="n">
        <v>2.53523732331572</v>
      </c>
      <c r="DY46" t="n">
        <v>73.306</v>
      </c>
      <c r="DZ46" t="n">
        <v>1.02062376390299</v>
      </c>
      <c r="EA46" t="n">
        <v>1.20449936397015</v>
      </c>
      <c r="EB46" t="n">
        <v>196409858.955687</v>
      </c>
      <c r="EC46" t="n">
        <v>3.16578023222883</v>
      </c>
      <c r="ED46" t="n">
        <v>0.0435</v>
      </c>
      <c r="EE46" t="n">
        <v>0.0304926484848485</v>
      </c>
      <c r="EF46" t="n">
        <v>0.03050813492075</v>
      </c>
      <c r="EG46" t="n">
        <v>0.0441803333333333</v>
      </c>
      <c r="EH46" t="n">
        <v>829498.266709146</v>
      </c>
      <c r="EI46" t="n">
        <v>459431.429397885</v>
      </c>
      <c r="EJ46" t="n">
        <v>1515.60592229216</v>
      </c>
      <c r="EK46" t="n">
        <v>1.32357583348894</v>
      </c>
      <c r="EL46" t="n">
        <v>4.26687766032587</v>
      </c>
    </row>
    <row r="47">
      <c r="A47" s="2" t="n">
        <v>49827</v>
      </c>
      <c r="B47" t="n">
        <v>460897.29878781</v>
      </c>
      <c r="C47" t="n">
        <v>38186.8781376323</v>
      </c>
      <c r="D47" t="n">
        <v>31799.6604254928</v>
      </c>
      <c r="E47" t="n">
        <v>262080.603788314</v>
      </c>
      <c r="F47" t="n">
        <v>75566.1039116821</v>
      </c>
      <c r="G47" t="n">
        <v>16812.43874579</v>
      </c>
      <c r="H47" t="n">
        <v>87172.7309336895</v>
      </c>
      <c r="I47" t="n">
        <v>99809.0388624007</v>
      </c>
      <c r="J47" t="n">
        <v>104406.403853695</v>
      </c>
      <c r="K47" t="n">
        <v>391.061444188414</v>
      </c>
      <c r="L47" t="n">
        <v>5652.07491338952</v>
      </c>
      <c r="M47" t="n">
        <v>0.665625618452987</v>
      </c>
      <c r="N47" t="n">
        <v>38960.8497692361</v>
      </c>
      <c r="O47" t="n">
        <v>220.262158618861</v>
      </c>
      <c r="P47" t="n">
        <v>2.70386578559435</v>
      </c>
      <c r="Q47" t="n">
        <v>1.98248278242582</v>
      </c>
      <c r="R47" t="n">
        <v>1.27902943524049</v>
      </c>
      <c r="S47" t="n">
        <v>0.111625152103553</v>
      </c>
      <c r="T47" t="n">
        <v>6176.15689730745</v>
      </c>
      <c r="U47" t="n">
        <v>0.359712662599999</v>
      </c>
      <c r="V47" t="n">
        <v>0.451726724425629</v>
      </c>
      <c r="W47" t="n">
        <v>36392119.3544906</v>
      </c>
      <c r="X47" t="n">
        <v>110409.585107704</v>
      </c>
      <c r="Y47" t="n">
        <v>4464132.81905333</v>
      </c>
      <c r="Z47" t="n">
        <v>1549.74751855822</v>
      </c>
      <c r="AA47" t="n">
        <v>1.35115738438922</v>
      </c>
      <c r="AB47" t="n">
        <v>1.30499938822776</v>
      </c>
      <c r="AC47" t="n">
        <v>1.57237802677678</v>
      </c>
      <c r="AD47" t="n">
        <v>1.82658342210271</v>
      </c>
      <c r="AE47" t="n">
        <v>153.232980132863</v>
      </c>
      <c r="AF47" t="n">
        <v>111284.831560889</v>
      </c>
      <c r="AG47" t="n">
        <v>2137.94561185765</v>
      </c>
      <c r="AH47" t="n">
        <v>196.624531179874</v>
      </c>
      <c r="AI47" t="n">
        <v>84021.4736663439</v>
      </c>
      <c r="AJ47" t="n">
        <v>118375.72347942</v>
      </c>
      <c r="AK47" t="n">
        <v>677.458341560579</v>
      </c>
      <c r="AL47" t="n">
        <v>34526.5768807887</v>
      </c>
      <c r="AM47" t="n">
        <v>17820.4487246356</v>
      </c>
      <c r="AN47" t="n">
        <v>1.15048826056286</v>
      </c>
      <c r="AO47" t="n">
        <v>1.24328107113762</v>
      </c>
      <c r="AP47" t="n">
        <v>1.42077788423591</v>
      </c>
      <c r="AQ47" t="n">
        <v>1.5474740608329</v>
      </c>
      <c r="AR47" t="n">
        <v>38682.959233099</v>
      </c>
      <c r="AS47" t="n">
        <v>220694.62984155</v>
      </c>
      <c r="AT47" t="n">
        <v>0.0390330876817905</v>
      </c>
      <c r="AU47" t="n">
        <v>0.0434480779829274</v>
      </c>
      <c r="AV47" t="n">
        <v>0.337856575857031</v>
      </c>
      <c r="AW47" t="n">
        <v>912.723597795703</v>
      </c>
      <c r="AX47" t="n">
        <v>11301.8897418732</v>
      </c>
      <c r="AY47" t="n">
        <v>20869.2827002444</v>
      </c>
      <c r="AZ47" t="n">
        <v>189824.094511674</v>
      </c>
      <c r="BA47" t="n">
        <v>713226.615902152</v>
      </c>
      <c r="BB47" t="n">
        <v>294840.347536294</v>
      </c>
      <c r="BC47" t="n">
        <v>325362.68203284</v>
      </c>
      <c r="BD47" t="n">
        <v>130943.990600524</v>
      </c>
      <c r="BE47" t="n">
        <v>23.9876659541772</v>
      </c>
      <c r="BF47" t="n">
        <v>69751.5185480557</v>
      </c>
      <c r="BG47" t="n">
        <v>30558.7929856107</v>
      </c>
      <c r="BH47" t="n">
        <v>42966.3460049744</v>
      </c>
      <c r="BI47" t="n">
        <v>109647.970685803</v>
      </c>
      <c r="BJ47" t="n">
        <v>61262.6847091319</v>
      </c>
      <c r="BK47" t="n">
        <v>120118.341961261</v>
      </c>
      <c r="BL47" t="n">
        <v>41372.9936348115</v>
      </c>
      <c r="BM47" t="n">
        <v>22155.8265785179</v>
      </c>
      <c r="BN47" t="n">
        <v>59275.0512364581</v>
      </c>
      <c r="BO47" t="n">
        <v>254511.773411048</v>
      </c>
      <c r="BP47" t="n">
        <v>282274.927766846</v>
      </c>
      <c r="BQ47" t="n">
        <v>1294491.12201623</v>
      </c>
      <c r="BR47" t="n">
        <v>830737.764883198</v>
      </c>
      <c r="BS47" t="n">
        <v>862038.272039485</v>
      </c>
      <c r="BT47" t="n">
        <v>153.450800910952</v>
      </c>
      <c r="BU47" t="n">
        <v>1.55824277534055</v>
      </c>
      <c r="BV47" t="n">
        <v>1.3407769654626</v>
      </c>
      <c r="BW47" t="n">
        <v>104.827686409774</v>
      </c>
      <c r="BX47" t="n">
        <v>98063.9057607085</v>
      </c>
      <c r="BY47" t="n">
        <v>2.16975968336027</v>
      </c>
      <c r="BZ47" t="n">
        <v>212775.109112426</v>
      </c>
      <c r="CA47" t="n">
        <v>11003.2277148389</v>
      </c>
      <c r="CB47" t="n">
        <v>16655.3026282284</v>
      </c>
      <c r="CC47" t="n">
        <v>17606.190188896</v>
      </c>
      <c r="CD47" t="n">
        <v>950.887560667627</v>
      </c>
      <c r="CE47" t="n">
        <v>0.0540086988765067</v>
      </c>
      <c r="CF47" t="n">
        <v>12388987.7990353</v>
      </c>
      <c r="CG47" t="n">
        <v>596203.713390142</v>
      </c>
      <c r="CH47" t="n">
        <v>799212.393440471</v>
      </c>
      <c r="CI47" t="n">
        <v>476565.213983446</v>
      </c>
      <c r="CJ47" t="n">
        <v>23348.773583704</v>
      </c>
      <c r="CK47" t="n">
        <v>1185447.41356226</v>
      </c>
      <c r="CL47" t="n">
        <v>0.109689302397082</v>
      </c>
      <c r="CM47" t="n">
        <v>9.11665931085915</v>
      </c>
      <c r="CN47" t="n">
        <v>1420200.22409929</v>
      </c>
      <c r="CO47" t="n">
        <v>3637792.30501518</v>
      </c>
      <c r="CP47" t="n">
        <v>3525616.27249465</v>
      </c>
      <c r="CQ47" t="n">
        <v>5057992.52911447</v>
      </c>
      <c r="CR47" t="n">
        <v>10639921.3127521</v>
      </c>
      <c r="CS47" t="n">
        <v>-0.00346436136241042</v>
      </c>
      <c r="CT47" t="n">
        <v>0.00095062893872648</v>
      </c>
      <c r="CU47" t="n">
        <v>0.0691277030593519</v>
      </c>
      <c r="CV47" t="n">
        <v>2.12719067588454</v>
      </c>
      <c r="CW47" t="n">
        <v>0.0691277030593519</v>
      </c>
      <c r="CX47" t="n">
        <v>0.039440022763365</v>
      </c>
      <c r="CY47" t="n">
        <v>0.019440022763365</v>
      </c>
      <c r="CZ47" t="n">
        <v>-0.0184893938246385</v>
      </c>
      <c r="DA47" t="n">
        <v>0.433162248034672</v>
      </c>
      <c r="DB47" t="n">
        <v>7.03592268538458</v>
      </c>
      <c r="DC47" t="n">
        <v>0.0567625789317905</v>
      </c>
      <c r="DD47" t="n">
        <v>0.0386150632681464</v>
      </c>
      <c r="DE47" t="n">
        <v>0.00720208405442142</v>
      </c>
      <c r="DF47" t="n">
        <v>0.153985636409195</v>
      </c>
      <c r="DG47" t="n">
        <v>234759.36571939</v>
      </c>
      <c r="DH47" t="n">
        <v>152.385741760669</v>
      </c>
      <c r="DI47" t="n">
        <v>5.06524442703239</v>
      </c>
      <c r="DJ47" t="n">
        <v>4.34370708087487</v>
      </c>
      <c r="DK47" t="n">
        <v>0.0411256875275234</v>
      </c>
      <c r="DL47" t="n">
        <v>0.670223574218165</v>
      </c>
      <c r="DM47" t="n">
        <v>1.63648760089707</v>
      </c>
      <c r="DN47" t="n">
        <v>0.0357615042376472</v>
      </c>
      <c r="DO47" t="n">
        <v>0.0465455822795444</v>
      </c>
      <c r="DP47" t="n">
        <v>31516.5</v>
      </c>
      <c r="DQ47" t="n">
        <v>26450.589792225</v>
      </c>
      <c r="DR47" t="n">
        <v>187512.3809385</v>
      </c>
      <c r="DS47" t="n">
        <v>33106.6233248673</v>
      </c>
      <c r="DT47" t="n">
        <v>14140.3614560231</v>
      </c>
      <c r="DU47" t="n">
        <v>0</v>
      </c>
      <c r="DV47" t="n">
        <v>58.75</v>
      </c>
      <c r="DW47" t="n">
        <v>208288.96</v>
      </c>
      <c r="DX47" t="n">
        <v>2.54781953267317</v>
      </c>
      <c r="DY47" t="n">
        <v>73.306</v>
      </c>
      <c r="DZ47" t="n">
        <v>1.02062376390299</v>
      </c>
      <c r="EA47" t="n">
        <v>1.20449936397015</v>
      </c>
      <c r="EB47" t="n">
        <v>197359164.456278</v>
      </c>
      <c r="EC47" t="n">
        <v>3.16578023222883</v>
      </c>
      <c r="ED47" t="n">
        <v>0.0435</v>
      </c>
      <c r="EE47" t="n">
        <v>0.0304926484848485</v>
      </c>
      <c r="EF47" t="n">
        <v>0.03050813492075</v>
      </c>
      <c r="EG47" t="n">
        <v>0.0441803333333333</v>
      </c>
      <c r="EH47" t="n">
        <v>832019.70592786</v>
      </c>
      <c r="EI47" t="n">
        <v>461738.955238689</v>
      </c>
      <c r="EJ47" t="n">
        <v>1538.91608922311</v>
      </c>
      <c r="EK47" t="n">
        <v>1.21427611270473</v>
      </c>
      <c r="EL47" t="n">
        <v>4.24974490442009</v>
      </c>
    </row>
    <row r="48">
      <c r="A48" s="2" t="n">
        <v>49919</v>
      </c>
      <c r="B48" t="n">
        <v>462990.965352124</v>
      </c>
      <c r="C48" t="n">
        <v>38323.573532922</v>
      </c>
      <c r="D48" t="n">
        <v>31967.3593913176</v>
      </c>
      <c r="E48" t="n">
        <v>262915.937790903</v>
      </c>
      <c r="F48" t="n">
        <v>76631.1168050577</v>
      </c>
      <c r="G48" t="n">
        <v>16989.4473109877</v>
      </c>
      <c r="H48" t="n">
        <v>88322.9905925179</v>
      </c>
      <c r="I48" t="n">
        <v>105135.901209001</v>
      </c>
      <c r="J48" t="n">
        <v>104935.985931904</v>
      </c>
      <c r="K48" t="n">
        <v>390.646796828594</v>
      </c>
      <c r="L48" t="n">
        <v>5675.32825678679</v>
      </c>
      <c r="M48" t="n">
        <v>0.66553159889491</v>
      </c>
      <c r="N48" t="n">
        <v>39288.1770915736</v>
      </c>
      <c r="O48" t="n">
        <v>222.546000641149</v>
      </c>
      <c r="P48" t="n">
        <v>2.7516211485318</v>
      </c>
      <c r="Q48" t="n">
        <v>1.99758530994547</v>
      </c>
      <c r="R48" t="n">
        <v>1.28595192105509</v>
      </c>
      <c r="S48" t="n">
        <v>0.111364753152852</v>
      </c>
      <c r="T48" t="n">
        <v>6089.64382512352</v>
      </c>
      <c r="U48" t="n">
        <v>0.359267839574877</v>
      </c>
      <c r="V48" t="n">
        <v>0.449063928761026</v>
      </c>
      <c r="W48" t="n">
        <v>36976973.5511015</v>
      </c>
      <c r="X48" t="n">
        <v>112146.195599655</v>
      </c>
      <c r="Y48" t="n">
        <v>4466322.48833445</v>
      </c>
      <c r="Z48" t="n">
        <v>1574.28646202282</v>
      </c>
      <c r="AA48" t="n">
        <v>1.35980721400693</v>
      </c>
      <c r="AB48" t="n">
        <v>1.3126276495523</v>
      </c>
      <c r="AC48" t="n">
        <v>1.58580504301923</v>
      </c>
      <c r="AD48" t="n">
        <v>1.84862754687426</v>
      </c>
      <c r="AE48" t="n">
        <v>154.502331348155</v>
      </c>
      <c r="AF48" t="n">
        <v>112336.996559138</v>
      </c>
      <c r="AG48" t="n">
        <v>2174.69426230778</v>
      </c>
      <c r="AH48" t="n">
        <v>200.272137001702</v>
      </c>
      <c r="AI48" t="n">
        <v>84226.7379535735</v>
      </c>
      <c r="AJ48" t="n">
        <v>119937.3934073</v>
      </c>
      <c r="AK48" t="n">
        <v>679.099746211064</v>
      </c>
      <c r="AL48" t="n">
        <v>34931.6876847126</v>
      </c>
      <c r="AM48" t="n">
        <v>17768.3854037411</v>
      </c>
      <c r="AN48" t="n">
        <v>1.15644035008759</v>
      </c>
      <c r="AO48" t="n">
        <v>1.25097140297165</v>
      </c>
      <c r="AP48" t="n">
        <v>1.43097187791454</v>
      </c>
      <c r="AQ48" t="n">
        <v>1.56208146848103</v>
      </c>
      <c r="AR48" t="n">
        <v>38828.7048134946</v>
      </c>
      <c r="AS48" t="n">
        <v>221979.865574255</v>
      </c>
      <c r="AT48" t="n">
        <v>0.0382913248424236</v>
      </c>
      <c r="AU48" t="n">
        <v>0.0430343420435857</v>
      </c>
      <c r="AV48" t="n">
        <v>0.34067414965655</v>
      </c>
      <c r="AW48" t="n">
        <v>835.334002589807</v>
      </c>
      <c r="AX48" t="n">
        <v>11342.346473639</v>
      </c>
      <c r="AY48" t="n">
        <v>20935.3443956741</v>
      </c>
      <c r="AZ48" t="n">
        <v>190513.420544814</v>
      </c>
      <c r="BA48" t="n">
        <v>723229.608400409</v>
      </c>
      <c r="BB48" t="n">
        <v>298193.076545124</v>
      </c>
      <c r="BC48" t="n">
        <v>329212.238952414</v>
      </c>
      <c r="BD48" t="n">
        <v>136308.586362967</v>
      </c>
      <c r="BE48" t="n">
        <v>24.5467397381846</v>
      </c>
      <c r="BF48" t="n">
        <v>70846.013727621</v>
      </c>
      <c r="BG48" t="n">
        <v>31209.8404308401</v>
      </c>
      <c r="BH48" t="n">
        <v>43469.4459130659</v>
      </c>
      <c r="BI48" t="n">
        <v>110558.343972309</v>
      </c>
      <c r="BJ48" t="n">
        <v>61691.5248360221</v>
      </c>
      <c r="BK48" t="n">
        <v>121352.208307877</v>
      </c>
      <c r="BL48" t="n">
        <v>41820.1364234478</v>
      </c>
      <c r="BM48" t="n">
        <v>22227.7420170589</v>
      </c>
      <c r="BN48" t="n">
        <v>59991.2541691426</v>
      </c>
      <c r="BO48" t="n">
        <v>256980.900917526</v>
      </c>
      <c r="BP48" t="n">
        <v>285455.434570762</v>
      </c>
      <c r="BQ48" t="n">
        <v>1310723.32017215</v>
      </c>
      <c r="BR48" t="n">
        <v>833367.464496681</v>
      </c>
      <c r="BS48" t="n">
        <v>865263.880092127</v>
      </c>
      <c r="BT48" t="n">
        <v>154.837338109722</v>
      </c>
      <c r="BU48" t="n">
        <v>1.57280356406921</v>
      </c>
      <c r="BV48" t="n">
        <v>1.34888607943018</v>
      </c>
      <c r="BW48" t="n">
        <v>104.89397444373</v>
      </c>
      <c r="BX48" t="n">
        <v>98509.3696876987</v>
      </c>
      <c r="BY48" t="n">
        <v>2.21001116167531</v>
      </c>
      <c r="BZ48" t="n">
        <v>217706.806539414</v>
      </c>
      <c r="CA48" t="n">
        <v>11020.309800803</v>
      </c>
      <c r="CB48" t="n">
        <v>16695.6380575897</v>
      </c>
      <c r="CC48" t="n">
        <v>17653.1354467146</v>
      </c>
      <c r="CD48" t="n">
        <v>957.497389124837</v>
      </c>
      <c r="CE48" t="n">
        <v>0.0542395005412845</v>
      </c>
      <c r="CF48" t="n">
        <v>12423776.732458</v>
      </c>
      <c r="CG48" t="n">
        <v>602668.687420295</v>
      </c>
      <c r="CH48" t="n">
        <v>813195.231546216</v>
      </c>
      <c r="CI48" t="n">
        <v>483075.259016132</v>
      </c>
      <c r="CJ48" t="n">
        <v>23757.278411292</v>
      </c>
      <c r="CK48" t="n">
        <v>1200312.26430794</v>
      </c>
      <c r="CL48" t="n">
        <v>0.111517153664942</v>
      </c>
      <c r="CM48" t="n">
        <v>8.96723030615131</v>
      </c>
      <c r="CN48" t="n">
        <v>1429335.88408166</v>
      </c>
      <c r="CO48" t="n">
        <v>3661877.68920765</v>
      </c>
      <c r="CP48" t="n">
        <v>3535678.98352409</v>
      </c>
      <c r="CQ48" t="n">
        <v>5091213.57328931</v>
      </c>
      <c r="CR48" t="n">
        <v>10683205.0679563</v>
      </c>
      <c r="CS48" t="n">
        <v>-0.00405639093754852</v>
      </c>
      <c r="CT48" t="n">
        <v>0.000686626263613585</v>
      </c>
      <c r="CU48" t="n">
        <v>0.0690170373728804</v>
      </c>
      <c r="CV48" t="n">
        <v>2.1492469722791</v>
      </c>
      <c r="CW48" t="n">
        <v>0.0690170373728802</v>
      </c>
      <c r="CX48" t="n">
        <v>0.039440022763365</v>
      </c>
      <c r="CY48" t="n">
        <v>0.019440022763365</v>
      </c>
      <c r="CZ48" t="n">
        <v>-0.0187533964997514</v>
      </c>
      <c r="DA48" t="n">
        <v>0.430309153610824</v>
      </c>
      <c r="DB48" t="n">
        <v>7.07398226653073</v>
      </c>
      <c r="DC48" t="n">
        <v>0.0560208160924236</v>
      </c>
      <c r="DD48" t="n">
        <v>0.0381094586651181</v>
      </c>
      <c r="DE48" t="n">
        <v>0.00717154557800113</v>
      </c>
      <c r="DF48" t="n">
        <v>0.155171515848735</v>
      </c>
      <c r="DG48" t="n">
        <v>235418.58244289</v>
      </c>
      <c r="DH48" t="n">
        <v>153.552077349225</v>
      </c>
      <c r="DI48" t="n">
        <v>5.07302632559637</v>
      </c>
      <c r="DJ48" t="n">
        <v>4.34856777560824</v>
      </c>
      <c r="DK48" t="n">
        <v>0.0411256875275234</v>
      </c>
      <c r="DL48" t="n">
        <v>0.670223574218165</v>
      </c>
      <c r="DM48" t="n">
        <v>1.65325188061272</v>
      </c>
      <c r="DN48" t="n">
        <v>0.0357615042376472</v>
      </c>
      <c r="DO48" t="n">
        <v>0.0465455822795444</v>
      </c>
      <c r="DP48" t="n">
        <v>31605</v>
      </c>
      <c r="DQ48" t="n">
        <v>26524.86444825</v>
      </c>
      <c r="DR48" t="n">
        <v>188038.925628204</v>
      </c>
      <c r="DS48" t="n">
        <v>33199.5884753203</v>
      </c>
      <c r="DT48" t="n">
        <v>14180.0683393654</v>
      </c>
      <c r="DU48" t="n">
        <v>0</v>
      </c>
      <c r="DV48" t="n">
        <v>58.75</v>
      </c>
      <c r="DW48" t="n">
        <v>208288.96</v>
      </c>
      <c r="DX48" t="n">
        <v>2.5604641866747</v>
      </c>
      <c r="DY48" t="n">
        <v>73.306</v>
      </c>
      <c r="DZ48" t="n">
        <v>1.02062376390299</v>
      </c>
      <c r="EA48" t="n">
        <v>1.20449936397015</v>
      </c>
      <c r="EB48" t="n">
        <v>198313058.224171</v>
      </c>
      <c r="EC48" t="n">
        <v>3.16578023222883</v>
      </c>
      <c r="ED48" t="n">
        <v>0.0435</v>
      </c>
      <c r="EE48" t="n">
        <v>0.0304926484848485</v>
      </c>
      <c r="EF48" t="n">
        <v>0.03050813492075</v>
      </c>
      <c r="EG48" t="n">
        <v>0.0441803333333333</v>
      </c>
      <c r="EH48" t="n">
        <v>834534.202334954</v>
      </c>
      <c r="EI48" t="n">
        <v>463984.776805171</v>
      </c>
      <c r="EJ48" t="n">
        <v>1562.71480883779</v>
      </c>
      <c r="EK48" t="n">
        <v>1.20584300409488</v>
      </c>
      <c r="EL48" t="n">
        <v>4.23477157799721</v>
      </c>
    </row>
    <row r="49">
      <c r="A49" s="2" t="n">
        <v>50010</v>
      </c>
      <c r="B49" t="n">
        <v>465173.583542319</v>
      </c>
      <c r="C49" t="n">
        <v>38460.0462689424</v>
      </c>
      <c r="D49" t="n">
        <v>32130.2518402526</v>
      </c>
      <c r="E49" t="n">
        <v>263782.425840903</v>
      </c>
      <c r="F49" t="n">
        <v>77624.1451210201</v>
      </c>
      <c r="G49" t="n">
        <v>17158.9931491155</v>
      </c>
      <c r="H49" t="n">
        <v>89460.7239121607</v>
      </c>
      <c r="I49" t="n">
        <v>104785.102140741</v>
      </c>
      <c r="J49" t="n">
        <v>105003.860353626</v>
      </c>
      <c r="K49" t="n">
        <v>390.216784595544</v>
      </c>
      <c r="L49" t="n">
        <v>5698.44723950882</v>
      </c>
      <c r="M49" t="n">
        <v>0.66545176922196</v>
      </c>
      <c r="N49" t="n">
        <v>39626.5356062706</v>
      </c>
      <c r="O49" t="n">
        <v>224.839944632737</v>
      </c>
      <c r="P49" t="n">
        <v>2.80069048802838</v>
      </c>
      <c r="Q49" t="n">
        <v>2.01256117188933</v>
      </c>
      <c r="R49" t="n">
        <v>1.29287306547796</v>
      </c>
      <c r="S49" t="n">
        <v>0.1110730920691</v>
      </c>
      <c r="T49" t="n">
        <v>6009.07033212893</v>
      </c>
      <c r="U49" t="n">
        <v>0.358845236197844</v>
      </c>
      <c r="V49" t="n">
        <v>0.446422921857105</v>
      </c>
      <c r="W49" t="n">
        <v>37573286.4629173</v>
      </c>
      <c r="X49" t="n">
        <v>113901.230545236</v>
      </c>
      <c r="Y49" t="n">
        <v>4467979.46322197</v>
      </c>
      <c r="Z49" t="n">
        <v>1598.99552344546</v>
      </c>
      <c r="AA49" t="n">
        <v>1.36863416644243</v>
      </c>
      <c r="AB49" t="n">
        <v>1.32020463123869</v>
      </c>
      <c r="AC49" t="n">
        <v>1.59956478519502</v>
      </c>
      <c r="AD49" t="n">
        <v>1.87097983557186</v>
      </c>
      <c r="AE49" t="n">
        <v>155.776885575277</v>
      </c>
      <c r="AF49" t="n">
        <v>113402.191087203</v>
      </c>
      <c r="AG49" t="n">
        <v>2211.53668192622</v>
      </c>
      <c r="AH49" t="n">
        <v>203.951890274952</v>
      </c>
      <c r="AI49" t="n">
        <v>84436.2955841333</v>
      </c>
      <c r="AJ49" t="n">
        <v>121458.066788335</v>
      </c>
      <c r="AK49" t="n">
        <v>681.026832666666</v>
      </c>
      <c r="AL49" t="n">
        <v>35345.8290568588</v>
      </c>
      <c r="AM49" t="n">
        <v>17707.7635246366</v>
      </c>
      <c r="AN49" t="n">
        <v>1.16247444134136</v>
      </c>
      <c r="AO49" t="n">
        <v>1.25910292137665</v>
      </c>
      <c r="AP49" t="n">
        <v>1.44122087139357</v>
      </c>
      <c r="AQ49" t="n">
        <v>1.57675597746076</v>
      </c>
      <c r="AR49" t="n">
        <v>38950.5815045091</v>
      </c>
      <c r="AS49" t="n">
        <v>223368.211627249</v>
      </c>
      <c r="AT49" t="n">
        <v>0.0373997546624957</v>
      </c>
      <c r="AU49" t="n">
        <v>0.0425950972006611</v>
      </c>
      <c r="AV49" t="n">
        <v>0.344352765650624</v>
      </c>
      <c r="AW49" t="n">
        <v>866.488049999578</v>
      </c>
      <c r="AX49" t="n">
        <v>11382.7373065768</v>
      </c>
      <c r="AY49" t="n">
        <v>20991.0843660592</v>
      </c>
      <c r="AZ49" t="n">
        <v>190698.289748831</v>
      </c>
      <c r="BA49" t="n">
        <v>733465.229734611</v>
      </c>
      <c r="BB49" t="n">
        <v>301622.686024263</v>
      </c>
      <c r="BC49" t="n">
        <v>332991.882326359</v>
      </c>
      <c r="BD49" t="n">
        <v>136141.902425345</v>
      </c>
      <c r="BE49" t="n">
        <v>24.5293686959168</v>
      </c>
      <c r="BF49" t="n">
        <v>71957.9710443519</v>
      </c>
      <c r="BG49" t="n">
        <v>31879.5241022553</v>
      </c>
      <c r="BH49" t="n">
        <v>43974.5604449694</v>
      </c>
      <c r="BI49" t="n">
        <v>111473.187407334</v>
      </c>
      <c r="BJ49" t="n">
        <v>62258.4585446744</v>
      </c>
      <c r="BK49" t="n">
        <v>122064.303903267</v>
      </c>
      <c r="BL49" t="n">
        <v>42245.8413509839</v>
      </c>
      <c r="BM49" t="n">
        <v>22295.8967849168</v>
      </c>
      <c r="BN49" t="n">
        <v>60676.0027811842</v>
      </c>
      <c r="BO49" t="n">
        <v>258871.604820352</v>
      </c>
      <c r="BP49" t="n">
        <v>288786.744496853</v>
      </c>
      <c r="BQ49" t="n">
        <v>1326716.47762596</v>
      </c>
      <c r="BR49" t="n">
        <v>835586.290105598</v>
      </c>
      <c r="BS49" t="n">
        <v>868686.183366863</v>
      </c>
      <c r="BT49" t="n">
        <v>156.234643548106</v>
      </c>
      <c r="BU49" t="n">
        <v>1.5877671652509</v>
      </c>
      <c r="BV49" t="n">
        <v>1.35749305964575</v>
      </c>
      <c r="BW49" t="n">
        <v>104.99817003643</v>
      </c>
      <c r="BX49" t="n">
        <v>98973.7596181188</v>
      </c>
      <c r="BY49" t="n">
        <v>2.2506173884218</v>
      </c>
      <c r="BZ49" t="n">
        <v>222752.064394017</v>
      </c>
      <c r="CA49" t="n">
        <v>11036.546958475</v>
      </c>
      <c r="CB49" t="n">
        <v>16734.9941979838</v>
      </c>
      <c r="CC49" t="n">
        <v>17700.4441767208</v>
      </c>
      <c r="CD49" t="n">
        <v>965.449978737008</v>
      </c>
      <c r="CE49" t="n">
        <v>0.0545438200964858</v>
      </c>
      <c r="CF49" t="n">
        <v>12458565.6658806</v>
      </c>
      <c r="CG49" t="n">
        <v>609291.892419248</v>
      </c>
      <c r="CH49" t="n">
        <v>820842.765370454</v>
      </c>
      <c r="CI49" t="n">
        <v>489248.318531377</v>
      </c>
      <c r="CJ49" t="n">
        <v>23980.6990404031</v>
      </c>
      <c r="CK49" t="n">
        <v>1214958.2103603</v>
      </c>
      <c r="CL49" t="n">
        <v>0.11333314390171</v>
      </c>
      <c r="CM49" t="n">
        <v>8.8235441599261</v>
      </c>
      <c r="CN49" t="n">
        <v>1438493.45330361</v>
      </c>
      <c r="CO49" t="n">
        <v>3685771.50806628</v>
      </c>
      <c r="CP49" t="n">
        <v>3545798.11877218</v>
      </c>
      <c r="CQ49" t="n">
        <v>5124264.96136988</v>
      </c>
      <c r="CR49" t="n">
        <v>10726375.591285</v>
      </c>
      <c r="CS49" t="n">
        <v>-0.00476237694425517</v>
      </c>
      <c r="CT49" t="n">
        <v>0.000432965593910241</v>
      </c>
      <c r="CU49" t="n">
        <v>0.0689109604623492</v>
      </c>
      <c r="CV49" t="n">
        <v>2.17140082884941</v>
      </c>
      <c r="CW49" t="n">
        <v>0.0689109604623492</v>
      </c>
      <c r="CX49" t="n">
        <v>0.039440022763365</v>
      </c>
      <c r="CY49" t="n">
        <v>0.019440022763365</v>
      </c>
      <c r="CZ49" t="n">
        <v>-0.0190070571694548</v>
      </c>
      <c r="DA49" t="n">
        <v>0.427503394380748</v>
      </c>
      <c r="DB49" t="n">
        <v>7.11170573386027</v>
      </c>
      <c r="DC49" t="n">
        <v>0.0551292459124957</v>
      </c>
      <c r="DD49" t="n">
        <v>0.0375033122574962</v>
      </c>
      <c r="DE49" t="n">
        <v>0.00713914828520063</v>
      </c>
      <c r="DF49" t="n">
        <v>0.156321366746196</v>
      </c>
      <c r="DG49" t="n">
        <v>236077.799166389</v>
      </c>
      <c r="DH49" t="n">
        <v>154.827357885291</v>
      </c>
      <c r="DI49" t="n">
        <v>5.08145442988448</v>
      </c>
      <c r="DJ49" t="n">
        <v>4.35407467606576</v>
      </c>
      <c r="DK49" t="n">
        <v>0.0411256875275234</v>
      </c>
      <c r="DL49" t="n">
        <v>0.670223574218165</v>
      </c>
      <c r="DM49" t="n">
        <v>1.67018789464168</v>
      </c>
      <c r="DN49" t="n">
        <v>0.0357615042376472</v>
      </c>
      <c r="DO49" t="n">
        <v>0.0465455822795444</v>
      </c>
      <c r="DP49" t="n">
        <v>31693.5</v>
      </c>
      <c r="DQ49" t="n">
        <v>26599.139104275</v>
      </c>
      <c r="DR49" t="n">
        <v>188565.470317908</v>
      </c>
      <c r="DS49" t="n">
        <v>33292.5536257732</v>
      </c>
      <c r="DT49" t="n">
        <v>14219.7752227078</v>
      </c>
      <c r="DU49" t="n">
        <v>0</v>
      </c>
      <c r="DV49" t="n">
        <v>58.75</v>
      </c>
      <c r="DW49" t="n">
        <v>208288.96</v>
      </c>
      <c r="DX49" t="n">
        <v>2.5731715952288</v>
      </c>
      <c r="DY49" t="n">
        <v>73.306</v>
      </c>
      <c r="DZ49" t="n">
        <v>1.02062376390299</v>
      </c>
      <c r="EA49" t="n">
        <v>1.20449936397015</v>
      </c>
      <c r="EB49" t="n">
        <v>199271562.435784</v>
      </c>
      <c r="EC49" t="n">
        <v>3.16578023222883</v>
      </c>
      <c r="ED49" t="n">
        <v>0.0435</v>
      </c>
      <c r="EE49" t="n">
        <v>0.0304926484848485</v>
      </c>
      <c r="EF49" t="n">
        <v>0.03050813492075</v>
      </c>
      <c r="EG49" t="n">
        <v>0.0441803333333333</v>
      </c>
      <c r="EH49" t="n">
        <v>836963.320145716</v>
      </c>
      <c r="EI49" t="n">
        <v>466195.70796882</v>
      </c>
      <c r="EJ49" t="n">
        <v>1586.95476322719</v>
      </c>
      <c r="EK49" t="n">
        <v>1.13571798623004</v>
      </c>
      <c r="EL49" t="n">
        <v>4.21621316067509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</cols>
  <sheetData>
    <row r="1">
      <c r="A1" s="1" t="s">
        <v>165</v>
      </c>
      <c r="B1" t="s">
        <v>166</v>
      </c>
      <c r="C1" t="s">
        <v>167</v>
      </c>
      <c r="D1" t="s">
        <v>168</v>
      </c>
    </row>
    <row r="2">
      <c r="A2" t="s">
        <v>180</v>
      </c>
      <c r="B2" t="s">
        <v>181</v>
      </c>
      <c r="C2" t="n">
        <v>-0.0149479735560322</v>
      </c>
      <c r="D2" t="n">
        <v>0.0110216400453701</v>
      </c>
    </row>
    <row r="3">
      <c r="A3" t="s">
        <v>180</v>
      </c>
      <c r="B3" t="s">
        <v>182</v>
      </c>
      <c r="C3" t="n">
        <v>-0.0385443421283567</v>
      </c>
      <c r="D3" t="n">
        <v>0.0130393206959608</v>
      </c>
    </row>
    <row r="4">
      <c r="A4" t="s">
        <v>180</v>
      </c>
      <c r="B4" t="s">
        <v>183</v>
      </c>
      <c r="C4" t="n">
        <v>0.913224262019918</v>
      </c>
      <c r="D4" t="n">
        <v>0.0591789352848302</v>
      </c>
    </row>
    <row r="5">
      <c r="A5" t="s">
        <v>180</v>
      </c>
      <c r="B5" t="s">
        <v>184</v>
      </c>
      <c r="C5" t="n">
        <v>0.0857937113769552</v>
      </c>
      <c r="D5" t="n">
        <v>0.0257601089301402</v>
      </c>
    </row>
    <row r="6">
      <c r="A6" t="s">
        <v>180</v>
      </c>
      <c r="B6" t="s">
        <v>185</v>
      </c>
      <c r="C6" t="n">
        <v>0.0182942893894511</v>
      </c>
      <c r="D6" t="n">
        <v>0.0310060278808891</v>
      </c>
    </row>
    <row r="7">
      <c r="A7" t="s">
        <v>180</v>
      </c>
      <c r="B7" t="s">
        <v>186</v>
      </c>
      <c r="C7" t="n">
        <v>0.0325125893695019</v>
      </c>
      <c r="D7" t="n">
        <v>0.031353656173574</v>
      </c>
    </row>
    <row r="8">
      <c r="A8" t="s">
        <v>180</v>
      </c>
      <c r="B8" t="s">
        <v>187</v>
      </c>
      <c r="C8" t="n">
        <v>0.0744507150521355</v>
      </c>
      <c r="D8" t="n">
        <v>0.0300429728351585</v>
      </c>
    </row>
    <row r="9">
      <c r="A9" t="s">
        <v>180</v>
      </c>
      <c r="B9" t="s">
        <v>188</v>
      </c>
      <c r="C9" t="n">
        <v>-0.275109701209172</v>
      </c>
      <c r="D9" t="n">
        <v>0.0396875292479397</v>
      </c>
    </row>
    <row r="10">
      <c r="A10" t="s">
        <v>180</v>
      </c>
      <c r="B10" t="s">
        <v>189</v>
      </c>
      <c r="C10" t="n">
        <v>1.15342899985988</v>
      </c>
      <c r="D10" t="n">
        <v>0.040927445137315</v>
      </c>
    </row>
    <row r="11">
      <c r="A11" t="s">
        <v>190</v>
      </c>
      <c r="B11" t="s">
        <v>181</v>
      </c>
      <c r="C11" t="n">
        <v>-0.185072888730158</v>
      </c>
      <c r="D11" t="n">
        <v>0.0788720460852278</v>
      </c>
    </row>
    <row r="12">
      <c r="A12" t="s">
        <v>190</v>
      </c>
      <c r="B12" t="s">
        <v>182</v>
      </c>
      <c r="C12" t="n">
        <v>-0.0817986723257395</v>
      </c>
      <c r="D12" t="n">
        <v>0.0342810733643152</v>
      </c>
    </row>
    <row r="13">
      <c r="A13" t="s">
        <v>190</v>
      </c>
      <c r="B13" t="s">
        <v>191</v>
      </c>
      <c r="C13" t="n">
        <v>-0.71674326576653</v>
      </c>
      <c r="D13" t="n">
        <v>0.551776257891821</v>
      </c>
    </row>
    <row r="14">
      <c r="A14" t="s">
        <v>190</v>
      </c>
      <c r="B14" t="s">
        <v>192</v>
      </c>
      <c r="C14" t="n">
        <v>-1.39804051183973</v>
      </c>
      <c r="D14" t="n">
        <v>3.55025991464245</v>
      </c>
    </row>
    <row r="15">
      <c r="A15" t="s">
        <v>190</v>
      </c>
      <c r="B15" t="s">
        <v>193</v>
      </c>
      <c r="C15" t="n">
        <v>0.103298964258971</v>
      </c>
      <c r="D15" t="n">
        <v>0.136819881331287</v>
      </c>
    </row>
    <row r="16">
      <c r="A16" t="s">
        <v>190</v>
      </c>
      <c r="B16" t="s">
        <v>185</v>
      </c>
      <c r="C16" t="n">
        <v>0.214722639864503</v>
      </c>
      <c r="D16" t="n">
        <v>0.136340437810041</v>
      </c>
    </row>
    <row r="17">
      <c r="A17" t="s">
        <v>190</v>
      </c>
      <c r="B17" t="s">
        <v>186</v>
      </c>
      <c r="C17" t="n">
        <v>0.125385584181726</v>
      </c>
      <c r="D17" t="n">
        <v>0.137903580514695</v>
      </c>
    </row>
    <row r="18">
      <c r="A18" t="s">
        <v>190</v>
      </c>
      <c r="B18" t="s">
        <v>187</v>
      </c>
      <c r="C18" t="n">
        <v>0.0645873640238516</v>
      </c>
      <c r="D18" t="n">
        <v>0.137878731803427</v>
      </c>
    </row>
    <row r="19">
      <c r="A19" t="s">
        <v>190</v>
      </c>
      <c r="B19" t="s">
        <v>188</v>
      </c>
      <c r="C19" t="n">
        <v>-0.069305584783288</v>
      </c>
      <c r="D19" t="n">
        <v>0.0267669617545726</v>
      </c>
    </row>
    <row r="20">
      <c r="A20" t="s">
        <v>190</v>
      </c>
      <c r="B20" t="s">
        <v>194</v>
      </c>
      <c r="C20" t="n">
        <v>0.0426650953295569</v>
      </c>
      <c r="D20" t="n">
        <v>0.0265244514645393</v>
      </c>
    </row>
    <row r="21">
      <c r="A21" t="s">
        <v>190</v>
      </c>
      <c r="B21" t="s">
        <v>195</v>
      </c>
      <c r="C21" t="n">
        <v>0.0578535675887478</v>
      </c>
      <c r="D21" t="n">
        <v>0.0264398912524509</v>
      </c>
    </row>
    <row r="22">
      <c r="A22" t="s">
        <v>196</v>
      </c>
      <c r="B22" t="s">
        <v>181</v>
      </c>
      <c r="C22" t="n">
        <v>-0.0405005073481063</v>
      </c>
      <c r="D22" t="n">
        <v>0.0590823559032179</v>
      </c>
    </row>
    <row r="23">
      <c r="A23" t="s">
        <v>196</v>
      </c>
      <c r="B23" t="s">
        <v>182</v>
      </c>
      <c r="C23" t="n">
        <v>-0.0169613530815812</v>
      </c>
      <c r="D23" t="n">
        <v>0.0185207602768938</v>
      </c>
    </row>
    <row r="24">
      <c r="A24" t="s">
        <v>196</v>
      </c>
      <c r="B24" t="s">
        <v>183</v>
      </c>
      <c r="C24" t="n">
        <v>2.27137456270222</v>
      </c>
      <c r="D24" t="n">
        <v>2.50618215909109</v>
      </c>
    </row>
    <row r="25">
      <c r="A25" t="s">
        <v>196</v>
      </c>
      <c r="B25" t="s">
        <v>191</v>
      </c>
      <c r="C25" t="n">
        <v>0.235746747368015</v>
      </c>
      <c r="D25" t="n">
        <v>0.0936287973713619</v>
      </c>
    </row>
    <row r="26">
      <c r="A26" t="s">
        <v>196</v>
      </c>
      <c r="B26" t="s">
        <v>192</v>
      </c>
      <c r="C26" t="n">
        <v>-0.0598511120271365</v>
      </c>
      <c r="D26" t="n">
        <v>0.101382521038005</v>
      </c>
    </row>
    <row r="27">
      <c r="A27" t="s">
        <v>196</v>
      </c>
      <c r="B27" t="s">
        <v>184</v>
      </c>
      <c r="C27" t="n">
        <v>0.221063298618002</v>
      </c>
      <c r="D27" t="n">
        <v>0.0940148844554006</v>
      </c>
    </row>
    <row r="28">
      <c r="A28" t="s">
        <v>196</v>
      </c>
      <c r="B28" t="s">
        <v>193</v>
      </c>
      <c r="C28" t="n">
        <v>-0.2188321009582</v>
      </c>
      <c r="D28" t="n">
        <v>0.0578731909664079</v>
      </c>
    </row>
    <row r="29">
      <c r="A29" t="s">
        <v>197</v>
      </c>
      <c r="B29" t="s">
        <v>181</v>
      </c>
      <c r="C29" t="n">
        <v>-0.0759492819612302</v>
      </c>
      <c r="D29" t="n">
        <v>0.0280688708947098</v>
      </c>
    </row>
    <row r="30">
      <c r="A30" t="s">
        <v>197</v>
      </c>
      <c r="B30" t="s">
        <v>182</v>
      </c>
      <c r="C30" t="n">
        <v>-0.0580112647430023</v>
      </c>
      <c r="D30" t="n">
        <v>0.0223410189295657</v>
      </c>
    </row>
    <row r="31">
      <c r="A31" t="s">
        <v>197</v>
      </c>
      <c r="B31" t="s">
        <v>183</v>
      </c>
      <c r="C31" t="n">
        <v>-0.0191880816209429</v>
      </c>
      <c r="D31" t="n">
        <v>0.0114454682193649</v>
      </c>
    </row>
    <row r="32">
      <c r="A32" t="s">
        <v>197</v>
      </c>
      <c r="B32" t="s">
        <v>191</v>
      </c>
      <c r="C32" t="n">
        <v>0.000183258846474617</v>
      </c>
      <c r="D32" t="n">
        <v>0.000100331147604342</v>
      </c>
    </row>
    <row r="33">
      <c r="A33" t="s">
        <v>197</v>
      </c>
      <c r="B33" t="s">
        <v>192</v>
      </c>
      <c r="C33" t="n">
        <v>-0.000000458638089471713</v>
      </c>
      <c r="D33" t="n">
        <v>0.000000271774086966559</v>
      </c>
    </row>
    <row r="34">
      <c r="A34" t="s">
        <v>197</v>
      </c>
      <c r="B34" t="s">
        <v>184</v>
      </c>
      <c r="C34" t="n">
        <v>0.226719725843104</v>
      </c>
      <c r="D34" t="n">
        <v>0.082949154749437</v>
      </c>
    </row>
    <row r="35">
      <c r="A35" t="s">
        <v>197</v>
      </c>
      <c r="B35" t="s">
        <v>193</v>
      </c>
      <c r="C35" t="n">
        <v>0.215403043884944</v>
      </c>
      <c r="D35" t="n">
        <v>0.0792866380516952</v>
      </c>
    </row>
    <row r="36">
      <c r="A36" t="s">
        <v>197</v>
      </c>
      <c r="B36" t="s">
        <v>185</v>
      </c>
      <c r="C36" t="n">
        <v>0.174777517343472</v>
      </c>
      <c r="D36" t="n">
        <v>0.105842718973507</v>
      </c>
    </row>
    <row r="37">
      <c r="A37" t="s">
        <v>198</v>
      </c>
      <c r="B37" t="s">
        <v>181</v>
      </c>
      <c r="C37" t="n">
        <v>-0.450544957288925</v>
      </c>
      <c r="D37" t="n">
        <v>0.151485676859203</v>
      </c>
    </row>
    <row r="38">
      <c r="A38" t="s">
        <v>198</v>
      </c>
      <c r="B38" t="s">
        <v>182</v>
      </c>
      <c r="C38" t="n">
        <v>-0.116721363083899</v>
      </c>
      <c r="D38" t="n">
        <v>0.0315159390291798</v>
      </c>
    </row>
    <row r="39">
      <c r="A39" t="s">
        <v>198</v>
      </c>
      <c r="B39" t="s">
        <v>192</v>
      </c>
      <c r="C39" t="n">
        <v>0.432896374960644</v>
      </c>
      <c r="D39" t="n">
        <v>0.175113223948407</v>
      </c>
    </row>
    <row r="40">
      <c r="A40" t="s">
        <v>198</v>
      </c>
      <c r="B40" t="s">
        <v>184</v>
      </c>
      <c r="C40" t="n">
        <v>1.22329634158635</v>
      </c>
      <c r="D40" t="n">
        <v>0.188829409787646</v>
      </c>
    </row>
    <row r="41">
      <c r="A41" t="s">
        <v>198</v>
      </c>
      <c r="B41" t="s">
        <v>193</v>
      </c>
      <c r="C41" t="n">
        <v>0.22410299007813</v>
      </c>
      <c r="D41" t="n">
        <v>0.060304537524777</v>
      </c>
    </row>
    <row r="42">
      <c r="A42" t="s">
        <v>199</v>
      </c>
      <c r="B42" t="s">
        <v>181</v>
      </c>
      <c r="C42" t="n">
        <v>-0.7693276112821</v>
      </c>
      <c r="D42" t="n">
        <v>0.14090877333128</v>
      </c>
    </row>
    <row r="43">
      <c r="A43" t="s">
        <v>199</v>
      </c>
      <c r="B43" t="s">
        <v>182</v>
      </c>
      <c r="C43" t="n">
        <v>-0.224859948369444</v>
      </c>
      <c r="D43" t="n">
        <v>0.0402511491170539</v>
      </c>
    </row>
    <row r="44">
      <c r="A44" t="s">
        <v>199</v>
      </c>
      <c r="B44" t="s">
        <v>191</v>
      </c>
      <c r="C44" t="n">
        <v>-1.22731592146676</v>
      </c>
      <c r="D44" t="n">
        <v>0.363780361741472</v>
      </c>
    </row>
    <row r="45">
      <c r="A45" t="s">
        <v>199</v>
      </c>
      <c r="B45" t="s">
        <v>192</v>
      </c>
      <c r="C45" t="n">
        <v>-0.17775754845054</v>
      </c>
      <c r="D45" t="n">
        <v>0.0947636877862754</v>
      </c>
    </row>
    <row r="46">
      <c r="A46" t="s">
        <v>200</v>
      </c>
      <c r="B46" t="s">
        <v>181</v>
      </c>
      <c r="C46" t="n">
        <v>-0.0138361353899677</v>
      </c>
      <c r="D46" t="n">
        <v>0.0281681977269054</v>
      </c>
    </row>
    <row r="47">
      <c r="A47" t="s">
        <v>200</v>
      </c>
      <c r="B47" t="s">
        <v>182</v>
      </c>
      <c r="C47" t="n">
        <v>-0.00575088271948153</v>
      </c>
      <c r="D47" t="n">
        <v>0.0111771510659535</v>
      </c>
    </row>
    <row r="48">
      <c r="A48" t="s">
        <v>200</v>
      </c>
      <c r="B48" t="s">
        <v>183</v>
      </c>
      <c r="C48" t="n">
        <v>-0.121844884805406</v>
      </c>
      <c r="D48" t="n">
        <v>0.305941712553626</v>
      </c>
    </row>
    <row r="49">
      <c r="A49" t="s">
        <v>200</v>
      </c>
      <c r="B49" t="s">
        <v>191</v>
      </c>
      <c r="C49" t="n">
        <v>0.917165885575757</v>
      </c>
      <c r="D49" t="n">
        <v>0.154973187130865</v>
      </c>
    </row>
    <row r="50">
      <c r="A50" t="s">
        <v>201</v>
      </c>
      <c r="B50" t="s">
        <v>181</v>
      </c>
      <c r="C50" t="n">
        <v>-0.729262038698188</v>
      </c>
      <c r="D50" t="n">
        <v>0.12969533791071</v>
      </c>
    </row>
    <row r="51">
      <c r="A51" t="s">
        <v>201</v>
      </c>
      <c r="B51" t="s">
        <v>182</v>
      </c>
      <c r="C51" t="n">
        <v>-0.29373598253065</v>
      </c>
      <c r="D51" t="n">
        <v>0.0499368970514408</v>
      </c>
    </row>
    <row r="52">
      <c r="A52" t="s">
        <v>201</v>
      </c>
      <c r="B52" t="s">
        <v>183</v>
      </c>
      <c r="C52" t="n">
        <v>0.928191785022968</v>
      </c>
      <c r="D52" t="n">
        <v>0.0434056933759118</v>
      </c>
    </row>
    <row r="53">
      <c r="A53" t="s">
        <v>201</v>
      </c>
      <c r="B53" t="s">
        <v>191</v>
      </c>
      <c r="C53" t="n">
        <v>-1.30131214729473</v>
      </c>
      <c r="D53" t="n">
        <v>0.908121671838582</v>
      </c>
    </row>
    <row r="54">
      <c r="A54" t="s">
        <v>201</v>
      </c>
      <c r="B54" t="s">
        <v>192</v>
      </c>
      <c r="C54" t="n">
        <v>1.41691892682964</v>
      </c>
      <c r="D54" t="n">
        <v>0.870302012072449</v>
      </c>
    </row>
    <row r="55">
      <c r="A55" t="s">
        <v>201</v>
      </c>
      <c r="B55" t="s">
        <v>184</v>
      </c>
      <c r="C55" t="n">
        <v>0.0442364436942282</v>
      </c>
      <c r="D55" t="n">
        <v>0.0117300800417106</v>
      </c>
    </row>
    <row r="56">
      <c r="A56" t="s">
        <v>201</v>
      </c>
      <c r="B56" t="s">
        <v>193</v>
      </c>
      <c r="C56" t="n">
        <v>0.715840436831152</v>
      </c>
      <c r="D56" t="n">
        <v>0.140735481880468</v>
      </c>
    </row>
    <row r="57">
      <c r="A57" t="s">
        <v>202</v>
      </c>
      <c r="B57" t="s">
        <v>181</v>
      </c>
      <c r="C57" t="n">
        <v>-0.133594736763982</v>
      </c>
      <c r="D57" t="n">
        <v>0.0513490179018697</v>
      </c>
    </row>
    <row r="58">
      <c r="A58" t="s">
        <v>202</v>
      </c>
      <c r="B58" t="s">
        <v>182</v>
      </c>
      <c r="C58" t="n">
        <v>-0.0490213489267991</v>
      </c>
      <c r="D58" t="n">
        <v>0.0187807592077902</v>
      </c>
    </row>
    <row r="59">
      <c r="A59" t="s">
        <v>202</v>
      </c>
      <c r="B59" t="s">
        <v>183</v>
      </c>
      <c r="C59" t="n">
        <v>-0.261015473721386</v>
      </c>
      <c r="D59" t="n">
        <v>0.0745285649918048</v>
      </c>
    </row>
    <row r="60">
      <c r="A60" t="s">
        <v>202</v>
      </c>
      <c r="B60" t="s">
        <v>191</v>
      </c>
      <c r="C60" t="n">
        <v>2.53887053765542</v>
      </c>
      <c r="D60" t="n">
        <v>1.02472619951622</v>
      </c>
    </row>
    <row r="61">
      <c r="A61" t="s">
        <v>202</v>
      </c>
      <c r="B61" t="s">
        <v>192</v>
      </c>
      <c r="C61" t="n">
        <v>-2.34015203811137</v>
      </c>
      <c r="D61" t="n">
        <v>1.35948235533839</v>
      </c>
    </row>
    <row r="62">
      <c r="A62" t="s">
        <v>202</v>
      </c>
      <c r="B62" t="s">
        <v>184</v>
      </c>
      <c r="C62" t="n">
        <v>1.36445653265754</v>
      </c>
      <c r="D62" t="n">
        <v>1.03301056438178</v>
      </c>
    </row>
    <row r="63">
      <c r="A63" t="s">
        <v>202</v>
      </c>
      <c r="B63" t="s">
        <v>193</v>
      </c>
      <c r="C63" t="n">
        <v>1.05819265290749</v>
      </c>
      <c r="D63" t="n">
        <v>0.824654890463932</v>
      </c>
    </row>
    <row r="64">
      <c r="A64" t="s">
        <v>202</v>
      </c>
      <c r="B64" t="s">
        <v>185</v>
      </c>
      <c r="C64" t="n">
        <v>-1.9169516847614</v>
      </c>
      <c r="D64" t="n">
        <v>1.09454624209654</v>
      </c>
    </row>
    <row r="65">
      <c r="A65" t="s">
        <v>202</v>
      </c>
      <c r="B65" t="s">
        <v>186</v>
      </c>
      <c r="C65" t="n">
        <v>0.736271990580938</v>
      </c>
      <c r="D65" t="n">
        <v>0.796837673594143</v>
      </c>
    </row>
    <row r="66">
      <c r="A66" t="s">
        <v>202</v>
      </c>
      <c r="B66" t="s">
        <v>187</v>
      </c>
      <c r="C66" t="n">
        <v>0.0368586798651176</v>
      </c>
      <c r="D66" t="n">
        <v>0.0331092732906809</v>
      </c>
    </row>
    <row r="67">
      <c r="A67" t="s">
        <v>202</v>
      </c>
      <c r="B67" t="s">
        <v>188</v>
      </c>
      <c r="C67" t="n">
        <v>-0.00308296780887598</v>
      </c>
      <c r="D67" t="n">
        <v>0.0352139189445387</v>
      </c>
    </row>
    <row r="68">
      <c r="A68" t="s">
        <v>202</v>
      </c>
      <c r="B68" t="s">
        <v>189</v>
      </c>
      <c r="C68" t="n">
        <v>-0.00456692608395023</v>
      </c>
      <c r="D68" t="n">
        <v>0.032923626416613</v>
      </c>
    </row>
    <row r="69">
      <c r="A69" t="s">
        <v>203</v>
      </c>
      <c r="B69" t="s">
        <v>204</v>
      </c>
      <c r="C69" t="n">
        <v>0.654903184200785</v>
      </c>
      <c r="D69" t="n">
        <v>0.0619310670087041</v>
      </c>
    </row>
    <row r="70">
      <c r="A70" t="s">
        <v>203</v>
      </c>
      <c r="B70" t="s">
        <v>181</v>
      </c>
      <c r="C70" t="n">
        <v>453.20317527801</v>
      </c>
      <c r="D70" t="n">
        <v>0.766501578015088</v>
      </c>
    </row>
    <row r="71">
      <c r="A71" t="s">
        <v>203</v>
      </c>
      <c r="B71" t="s">
        <v>182</v>
      </c>
      <c r="C71" t="n">
        <v>-17.8445092104157</v>
      </c>
      <c r="D71" t="n">
        <v>3.74490353947539</v>
      </c>
    </row>
    <row r="72">
      <c r="A72" t="s">
        <v>203</v>
      </c>
      <c r="B72" t="s">
        <v>183</v>
      </c>
      <c r="C72" t="n">
        <v>-1.00993473412843</v>
      </c>
      <c r="D72" t="n">
        <v>0.0763151565416636</v>
      </c>
    </row>
    <row r="73">
      <c r="A73" t="s">
        <v>203</v>
      </c>
      <c r="B73" t="s">
        <v>191</v>
      </c>
      <c r="C73" t="n">
        <v>-0.364369131999311</v>
      </c>
      <c r="D73" t="n">
        <v>0.0144933418721683</v>
      </c>
    </row>
    <row r="74">
      <c r="A74" t="s">
        <v>205</v>
      </c>
      <c r="B74" t="s">
        <v>181</v>
      </c>
      <c r="C74" t="n">
        <v>-2.09237822376903</v>
      </c>
      <c r="D74" t="n">
        <v>0.228901315131764</v>
      </c>
    </row>
    <row r="75">
      <c r="A75" t="s">
        <v>205</v>
      </c>
      <c r="B75" t="s">
        <v>182</v>
      </c>
      <c r="C75" t="n">
        <v>0.461842873391066</v>
      </c>
      <c r="D75" t="n">
        <v>0.0647223830731575</v>
      </c>
    </row>
    <row r="76">
      <c r="A76" t="s">
        <v>205</v>
      </c>
      <c r="B76" t="s">
        <v>183</v>
      </c>
      <c r="C76" t="n">
        <v>0.00199446803418236</v>
      </c>
      <c r="D76" t="n">
        <v>0.000213041977252812</v>
      </c>
    </row>
    <row r="77">
      <c r="A77" t="s">
        <v>205</v>
      </c>
      <c r="B77" t="s">
        <v>191</v>
      </c>
      <c r="C77" t="n">
        <v>0.497404217039166</v>
      </c>
      <c r="D77" t="n">
        <v>0.04049548428681</v>
      </c>
    </row>
    <row r="78">
      <c r="A78" t="s">
        <v>206</v>
      </c>
      <c r="B78" t="s">
        <v>181</v>
      </c>
      <c r="C78" t="n">
        <v>0.000460107476700935</v>
      </c>
      <c r="D78" t="n">
        <v>0.000143603781800778</v>
      </c>
    </row>
    <row r="79">
      <c r="A79" t="s">
        <v>206</v>
      </c>
      <c r="B79" t="s">
        <v>182</v>
      </c>
      <c r="C79" t="n">
        <v>-0.366561202466348</v>
      </c>
      <c r="D79" t="n">
        <v>0.057322197225339</v>
      </c>
    </row>
    <row r="80">
      <c r="A80" t="s">
        <v>206</v>
      </c>
      <c r="B80" t="s">
        <v>183</v>
      </c>
      <c r="C80" t="n">
        <v>-0.127036063448562</v>
      </c>
      <c r="D80" t="n">
        <v>0.0274358002762719</v>
      </c>
    </row>
    <row r="81">
      <c r="A81" t="s">
        <v>206</v>
      </c>
      <c r="B81" t="s">
        <v>191</v>
      </c>
      <c r="C81" t="n">
        <v>0.103240769368788</v>
      </c>
      <c r="D81" t="n">
        <v>0.0556759317920485</v>
      </c>
    </row>
    <row r="82">
      <c r="A82" t="s">
        <v>206</v>
      </c>
      <c r="B82" t="s">
        <v>192</v>
      </c>
      <c r="C82" t="n">
        <v>-0.0385686635357298</v>
      </c>
      <c r="D82" t="n">
        <v>0.0620801301756917</v>
      </c>
    </row>
    <row r="83">
      <c r="A83" t="s">
        <v>206</v>
      </c>
      <c r="B83" t="s">
        <v>184</v>
      </c>
      <c r="C83" t="n">
        <v>-0.0000848701419116798</v>
      </c>
      <c r="D83" t="n">
        <v>0.0000411223404727635</v>
      </c>
    </row>
    <row r="84">
      <c r="A84" t="s">
        <v>206</v>
      </c>
      <c r="B84" t="s">
        <v>193</v>
      </c>
      <c r="C84" t="n">
        <v>-0.024946358039925</v>
      </c>
      <c r="D84" t="n">
        <v>0.00213977180384256</v>
      </c>
    </row>
    <row r="85">
      <c r="A85" t="s">
        <v>206</v>
      </c>
      <c r="B85" t="s">
        <v>185</v>
      </c>
      <c r="C85" t="n">
        <v>0.00955332430575894</v>
      </c>
      <c r="D85" t="n">
        <v>0.00251650131431475</v>
      </c>
    </row>
    <row r="86">
      <c r="A86" t="s">
        <v>206</v>
      </c>
      <c r="B86" t="s">
        <v>186</v>
      </c>
      <c r="C86" t="n">
        <v>0.00944848935100499</v>
      </c>
      <c r="D86" t="n">
        <v>0.00193088441953089</v>
      </c>
    </row>
    <row r="87">
      <c r="A87" t="s">
        <v>207</v>
      </c>
      <c r="B87" t="s">
        <v>181</v>
      </c>
      <c r="C87" t="n">
        <v>0.00205199341260396</v>
      </c>
      <c r="D87" t="n">
        <v>0.000685600088268598</v>
      </c>
    </row>
    <row r="88">
      <c r="A88" t="s">
        <v>207</v>
      </c>
      <c r="B88" t="s">
        <v>182</v>
      </c>
      <c r="C88" t="n">
        <v>0.206430529583519</v>
      </c>
      <c r="D88" t="n">
        <v>0.187689423920998</v>
      </c>
    </row>
    <row r="89">
      <c r="A89" t="s">
        <v>207</v>
      </c>
      <c r="B89" t="s">
        <v>183</v>
      </c>
      <c r="C89" t="n">
        <v>-0.0101884813954953</v>
      </c>
      <c r="D89" t="n">
        <v>0.00741993771964711</v>
      </c>
    </row>
    <row r="90">
      <c r="A90" t="s">
        <v>207</v>
      </c>
      <c r="B90" t="s">
        <v>191</v>
      </c>
      <c r="C90" t="n">
        <v>0.706032017220122</v>
      </c>
      <c r="D90" t="n">
        <v>0.241742961794233</v>
      </c>
    </row>
    <row r="91">
      <c r="A91" t="s">
        <v>207</v>
      </c>
      <c r="B91" t="s">
        <v>192</v>
      </c>
      <c r="C91" t="n">
        <v>-0.963113432804578</v>
      </c>
      <c r="D91" t="n">
        <v>0.26154811712595</v>
      </c>
    </row>
    <row r="92">
      <c r="A92" t="s">
        <v>208</v>
      </c>
      <c r="B92" t="s">
        <v>181</v>
      </c>
      <c r="C92" t="n">
        <v>0.0203442339472774</v>
      </c>
      <c r="D92" t="n">
        <v>0.00516498939608925</v>
      </c>
    </row>
    <row r="93">
      <c r="A93" t="s">
        <v>208</v>
      </c>
      <c r="B93" t="s">
        <v>182</v>
      </c>
      <c r="C93" t="n">
        <v>-0.121355393694199</v>
      </c>
      <c r="D93" t="n">
        <v>0.0312469171657309</v>
      </c>
    </row>
    <row r="94">
      <c r="A94" t="s">
        <v>208</v>
      </c>
      <c r="B94" t="s">
        <v>183</v>
      </c>
      <c r="C94" t="n">
        <v>0.000767373956108729</v>
      </c>
      <c r="D94" t="n">
        <v>0.0000545418443709154</v>
      </c>
    </row>
    <row r="95">
      <c r="A95" t="s">
        <v>208</v>
      </c>
      <c r="B95" t="s">
        <v>191</v>
      </c>
      <c r="C95" t="n">
        <v>1.04982983099123</v>
      </c>
      <c r="D95" t="n">
        <v>0.047153097091274</v>
      </c>
    </row>
    <row r="96">
      <c r="A96" t="s">
        <v>208</v>
      </c>
      <c r="B96" t="s">
        <v>184</v>
      </c>
      <c r="C96" t="n">
        <v>-0.0261242290265015</v>
      </c>
      <c r="D96" t="n">
        <v>0.0041565806823049</v>
      </c>
    </row>
    <row r="97">
      <c r="A97" t="s">
        <v>208</v>
      </c>
      <c r="B97" t="s">
        <v>193</v>
      </c>
      <c r="C97" t="n">
        <v>0.0262095861533573</v>
      </c>
      <c r="D97" t="n">
        <v>0.00411013788893965</v>
      </c>
    </row>
    <row r="98">
      <c r="A98" t="s">
        <v>208</v>
      </c>
      <c r="B98" t="s">
        <v>185</v>
      </c>
      <c r="C98" t="n">
        <v>-0.0170388443821377</v>
      </c>
      <c r="D98" t="n">
        <v>0.00407801107757338</v>
      </c>
    </row>
    <row r="99">
      <c r="A99" t="s">
        <v>209</v>
      </c>
      <c r="B99" t="s">
        <v>181</v>
      </c>
      <c r="C99" t="n">
        <v>-1.5415972174211</v>
      </c>
      <c r="D99" t="n">
        <v>0.0292056698774964</v>
      </c>
    </row>
    <row r="100">
      <c r="A100" t="s">
        <v>209</v>
      </c>
      <c r="B100" t="s">
        <v>183</v>
      </c>
      <c r="C100" t="n">
        <v>0.00820674893546617</v>
      </c>
      <c r="D100" t="n">
        <v>0.000211266747814897</v>
      </c>
    </row>
    <row r="101">
      <c r="A101" t="s">
        <v>210</v>
      </c>
      <c r="B101" t="s">
        <v>181</v>
      </c>
      <c r="C101" t="n">
        <v>-0.012094291217706</v>
      </c>
      <c r="D101" t="n">
        <v>0.00588648533484338</v>
      </c>
    </row>
    <row r="102">
      <c r="A102" t="s">
        <v>210</v>
      </c>
      <c r="B102" t="s">
        <v>182</v>
      </c>
      <c r="C102" t="n">
        <v>-0.0563742710209106</v>
      </c>
      <c r="D102" t="n">
        <v>0.0181178096125173</v>
      </c>
    </row>
    <row r="103">
      <c r="A103" t="s">
        <v>210</v>
      </c>
      <c r="B103" t="s">
        <v>183</v>
      </c>
      <c r="C103" t="n">
        <v>0.307117439130905</v>
      </c>
      <c r="D103" t="n">
        <v>0.0381753541055575</v>
      </c>
    </row>
    <row r="104">
      <c r="A104" t="s">
        <v>210</v>
      </c>
      <c r="B104" t="s">
        <v>191</v>
      </c>
      <c r="C104" t="n">
        <v>0.192390240792389</v>
      </c>
      <c r="D104" t="n">
        <v>0.0390507915407699</v>
      </c>
    </row>
    <row r="105">
      <c r="A105" t="s">
        <v>210</v>
      </c>
      <c r="B105" t="s">
        <v>192</v>
      </c>
      <c r="C105" t="n">
        <v>-0.173355203316951</v>
      </c>
      <c r="D105" t="n">
        <v>0.0299528046892634</v>
      </c>
    </row>
    <row r="106">
      <c r="A106" t="s">
        <v>210</v>
      </c>
      <c r="B106" t="s">
        <v>184</v>
      </c>
      <c r="C106" t="n">
        <v>-0.0657789425315314</v>
      </c>
      <c r="D106" t="n">
        <v>0.0152073969403611</v>
      </c>
    </row>
    <row r="107">
      <c r="A107" t="s">
        <v>211</v>
      </c>
      <c r="B107" t="s">
        <v>181</v>
      </c>
      <c r="C107" t="n">
        <v>-0.0536944226709071</v>
      </c>
      <c r="D107" t="n">
        <v>0.0215974160556978</v>
      </c>
    </row>
    <row r="108">
      <c r="A108" t="s">
        <v>211</v>
      </c>
      <c r="B108" t="s">
        <v>182</v>
      </c>
      <c r="C108" t="n">
        <v>-0.0365177452364614</v>
      </c>
      <c r="D108" t="n">
        <v>0.0234882426136263</v>
      </c>
    </row>
    <row r="109">
      <c r="A109" t="s">
        <v>211</v>
      </c>
      <c r="B109" t="s">
        <v>183</v>
      </c>
      <c r="C109" t="n">
        <v>0.704605746523325</v>
      </c>
      <c r="D109" t="n">
        <v>0.173564863536997</v>
      </c>
    </row>
    <row r="110">
      <c r="A110" t="s">
        <v>211</v>
      </c>
      <c r="B110" t="s">
        <v>191</v>
      </c>
      <c r="C110" t="n">
        <v>-0.00429951216681102</v>
      </c>
      <c r="D110" t="n">
        <v>0.0013661533954804</v>
      </c>
    </row>
    <row r="111">
      <c r="A111" t="s">
        <v>211</v>
      </c>
      <c r="B111" t="s">
        <v>192</v>
      </c>
      <c r="C111" t="n">
        <v>0.549529763001572</v>
      </c>
      <c r="D111" t="n">
        <v>0.0370585312025495</v>
      </c>
    </row>
    <row r="112">
      <c r="A112" t="s">
        <v>211</v>
      </c>
      <c r="B112" t="s">
        <v>184</v>
      </c>
      <c r="C112" t="n">
        <v>0.0295118280108596</v>
      </c>
      <c r="D112" t="n">
        <v>0.00972414438287095</v>
      </c>
    </row>
    <row r="113">
      <c r="A113" t="s">
        <v>212</v>
      </c>
      <c r="B113" t="s">
        <v>181</v>
      </c>
      <c r="C113" t="n">
        <v>-0.0917347880650243</v>
      </c>
      <c r="D113" t="n">
        <v>0.0243518801248195</v>
      </c>
    </row>
    <row r="114">
      <c r="A114" t="s">
        <v>212</v>
      </c>
      <c r="B114" t="s">
        <v>182</v>
      </c>
      <c r="C114" t="n">
        <v>0.018516852811008</v>
      </c>
      <c r="D114" t="n">
        <v>0.00169606219338901</v>
      </c>
    </row>
    <row r="115">
      <c r="A115" t="s">
        <v>212</v>
      </c>
      <c r="B115" t="s">
        <v>183</v>
      </c>
      <c r="C115" t="n">
        <v>0.000516743707317843</v>
      </c>
      <c r="D115" t="n">
        <v>0.0000648836460782267</v>
      </c>
    </row>
    <row r="116">
      <c r="A116" t="s">
        <v>212</v>
      </c>
      <c r="B116" t="s">
        <v>191</v>
      </c>
      <c r="C116" t="n">
        <v>0.641924672696214</v>
      </c>
      <c r="D116" t="n">
        <v>0.0323434686938589</v>
      </c>
    </row>
    <row r="117">
      <c r="A117" t="s">
        <v>212</v>
      </c>
      <c r="B117" t="s">
        <v>192</v>
      </c>
      <c r="C117" t="n">
        <v>0.22378090760126</v>
      </c>
      <c r="D117" t="n">
        <v>0.0332702908599869</v>
      </c>
    </row>
    <row r="118">
      <c r="A118" t="s">
        <v>213</v>
      </c>
      <c r="B118" t="s">
        <v>181</v>
      </c>
      <c r="C118" t="n">
        <v>0.0383730692653588</v>
      </c>
      <c r="D118" t="n">
        <v>0.0158433169743017</v>
      </c>
    </row>
    <row r="119">
      <c r="A119" t="s">
        <v>213</v>
      </c>
      <c r="B119" t="s">
        <v>182</v>
      </c>
      <c r="C119" t="n">
        <v>0.955736643472143</v>
      </c>
      <c r="D119" t="n">
        <v>0.789721397859604</v>
      </c>
    </row>
    <row r="120">
      <c r="A120" t="s">
        <v>213</v>
      </c>
      <c r="B120" t="s">
        <v>183</v>
      </c>
      <c r="C120" t="n">
        <v>-5.03503526705015</v>
      </c>
      <c r="D120" t="n">
        <v>1.84723356267292</v>
      </c>
    </row>
    <row r="121">
      <c r="A121" t="s">
        <v>213</v>
      </c>
      <c r="B121" t="s">
        <v>191</v>
      </c>
      <c r="C121" t="n">
        <v>3.45356769068546</v>
      </c>
      <c r="D121" t="n">
        <v>2.2757822632892</v>
      </c>
    </row>
    <row r="122">
      <c r="A122" t="s">
        <v>213</v>
      </c>
      <c r="B122" t="s">
        <v>192</v>
      </c>
      <c r="C122" t="n">
        <v>0.27815336451659</v>
      </c>
      <c r="D122" t="n">
        <v>0.0878130324796099</v>
      </c>
    </row>
    <row r="123">
      <c r="A123" t="s">
        <v>213</v>
      </c>
      <c r="B123" t="s">
        <v>184</v>
      </c>
      <c r="C123" t="n">
        <v>-0.163622940573518</v>
      </c>
      <c r="D123" t="n">
        <v>0.0858476806899393</v>
      </c>
    </row>
    <row r="124">
      <c r="A124" t="s">
        <v>214</v>
      </c>
      <c r="B124" t="s">
        <v>181</v>
      </c>
      <c r="C124" t="n">
        <v>-0.465436507202925</v>
      </c>
      <c r="D124" t="n">
        <v>0.149854976833206</v>
      </c>
    </row>
    <row r="125">
      <c r="A125" t="s">
        <v>214</v>
      </c>
      <c r="B125" t="s">
        <v>182</v>
      </c>
      <c r="C125" t="n">
        <v>-0.141790616514079</v>
      </c>
      <c r="D125" t="n">
        <v>0.0428594154730172</v>
      </c>
    </row>
    <row r="126">
      <c r="A126" t="s">
        <v>214</v>
      </c>
      <c r="B126" t="s">
        <v>183</v>
      </c>
      <c r="C126" t="n">
        <v>-0.49073187711984</v>
      </c>
      <c r="D126" t="n">
        <v>0.080618811757</v>
      </c>
    </row>
    <row r="127">
      <c r="A127" t="s">
        <v>214</v>
      </c>
      <c r="B127" t="s">
        <v>191</v>
      </c>
      <c r="C127" t="n">
        <v>-5.4145182422678</v>
      </c>
      <c r="D127" t="n">
        <v>2.80611878361323</v>
      </c>
    </row>
    <row r="128">
      <c r="A128" t="s">
        <v>214</v>
      </c>
      <c r="B128" t="s">
        <v>192</v>
      </c>
      <c r="C128" t="n">
        <v>-0.0731319999298893</v>
      </c>
      <c r="D128" t="n">
        <v>0.0767888180531355</v>
      </c>
    </row>
    <row r="129">
      <c r="A129" t="s">
        <v>214</v>
      </c>
      <c r="B129" t="s">
        <v>184</v>
      </c>
      <c r="C129" t="n">
        <v>0.134600254701101</v>
      </c>
      <c r="D129" t="n">
        <v>0.0957954621653996</v>
      </c>
    </row>
    <row r="130">
      <c r="A130" t="s">
        <v>214</v>
      </c>
      <c r="B130" t="s">
        <v>193</v>
      </c>
      <c r="C130" t="n">
        <v>-0.474989301040741</v>
      </c>
      <c r="D130" t="n">
        <v>0.814305997328987</v>
      </c>
    </row>
    <row r="131">
      <c r="A131" t="s">
        <v>215</v>
      </c>
      <c r="B131" t="s">
        <v>181</v>
      </c>
      <c r="C131" t="n">
        <v>-0.00342869661877347</v>
      </c>
      <c r="D131" t="n">
        <v>0.00183705202755303</v>
      </c>
    </row>
    <row r="132">
      <c r="A132" t="s">
        <v>215</v>
      </c>
      <c r="B132" t="s">
        <v>182</v>
      </c>
      <c r="C132" t="n">
        <v>1.01279766478653</v>
      </c>
      <c r="D132" t="n">
        <v>0.0434613947918442</v>
      </c>
    </row>
    <row r="133">
      <c r="A133" t="s">
        <v>215</v>
      </c>
      <c r="B133" t="s">
        <v>183</v>
      </c>
      <c r="C133" t="n">
        <v>0.282793824836907</v>
      </c>
      <c r="D133" t="n">
        <v>0.16088021722926</v>
      </c>
    </row>
    <row r="134">
      <c r="A134" t="s">
        <v>216</v>
      </c>
      <c r="B134" t="s">
        <v>181</v>
      </c>
      <c r="C134" t="n">
        <v>0.00944438578386663</v>
      </c>
      <c r="D134" t="n">
        <v>0.00127155116684003</v>
      </c>
    </row>
    <row r="135">
      <c r="A135" t="s">
        <v>216</v>
      </c>
      <c r="B135" t="s">
        <v>182</v>
      </c>
      <c r="C135" t="n">
        <v>0.507144963217396</v>
      </c>
      <c r="D135" t="n">
        <v>0.0512049161105309</v>
      </c>
    </row>
    <row r="136">
      <c r="A136" t="s">
        <v>216</v>
      </c>
      <c r="B136" t="s">
        <v>183</v>
      </c>
      <c r="C136" t="n">
        <v>0.148476687295841</v>
      </c>
      <c r="D136" t="n">
        <v>0.0148694169538177</v>
      </c>
    </row>
    <row r="137">
      <c r="A137" t="s">
        <v>216</v>
      </c>
      <c r="B137" t="s">
        <v>191</v>
      </c>
      <c r="C137" t="n">
        <v>-0.0432055289835315</v>
      </c>
      <c r="D137" t="n">
        <v>0.0181733675563179</v>
      </c>
    </row>
    <row r="138">
      <c r="A138" t="s">
        <v>217</v>
      </c>
      <c r="B138" t="s">
        <v>181</v>
      </c>
      <c r="C138" t="n">
        <v>-0.12300002845208</v>
      </c>
      <c r="D138" t="n">
        <v>0.0339986765516832</v>
      </c>
    </row>
    <row r="139">
      <c r="A139" t="s">
        <v>217</v>
      </c>
      <c r="B139" t="s">
        <v>182</v>
      </c>
      <c r="C139" t="n">
        <v>-0.06044644175655</v>
      </c>
      <c r="D139" t="n">
        <v>0.0149820021220022</v>
      </c>
    </row>
    <row r="140">
      <c r="A140" t="s">
        <v>217</v>
      </c>
      <c r="B140" t="s">
        <v>183</v>
      </c>
      <c r="C140" t="n">
        <v>0.00124379938259809</v>
      </c>
      <c r="D140" t="n">
        <v>0.000456977820473791</v>
      </c>
    </row>
    <row r="141">
      <c r="A141" t="s">
        <v>217</v>
      </c>
      <c r="B141" t="s">
        <v>191</v>
      </c>
      <c r="C141" t="n">
        <v>0.496884114802257</v>
      </c>
      <c r="D141" t="n">
        <v>0.170701189666911</v>
      </c>
    </row>
    <row r="142">
      <c r="A142" t="s">
        <v>218</v>
      </c>
      <c r="B142" t="s">
        <v>181</v>
      </c>
      <c r="C142" t="n">
        <v>0.291040095746414</v>
      </c>
      <c r="D142" t="n">
        <v>0.0472487915306103</v>
      </c>
    </row>
    <row r="143">
      <c r="A143" t="s">
        <v>218</v>
      </c>
      <c r="B143" t="s">
        <v>182</v>
      </c>
      <c r="C143" t="n">
        <v>9.89542014548536</v>
      </c>
      <c r="D143" t="n">
        <v>0.892214169076473</v>
      </c>
    </row>
    <row r="144">
      <c r="A144" t="s">
        <v>218</v>
      </c>
      <c r="B144" t="s">
        <v>191</v>
      </c>
      <c r="C144" t="n">
        <v>-0.00285095047174133</v>
      </c>
      <c r="D144" t="n">
        <v>0.000152404262669021</v>
      </c>
    </row>
    <row r="145">
      <c r="A145" t="s">
        <v>218</v>
      </c>
      <c r="B145" t="s">
        <v>192</v>
      </c>
      <c r="C145" t="n">
        <v>1.19363417346764</v>
      </c>
      <c r="D145" t="n">
        <v>0.439585649194567</v>
      </c>
    </row>
    <row r="146">
      <c r="A146" t="s">
        <v>218</v>
      </c>
      <c r="B146" t="s">
        <v>184</v>
      </c>
      <c r="C146" t="n">
        <v>-0.861870075771277</v>
      </c>
      <c r="D146" t="n">
        <v>0.26904894951681</v>
      </c>
    </row>
    <row r="147">
      <c r="A147" t="s">
        <v>218</v>
      </c>
      <c r="B147" t="s">
        <v>193</v>
      </c>
      <c r="C147" t="n">
        <v>0.119505487013805</v>
      </c>
      <c r="D147" t="n">
        <v>0.255172487751756</v>
      </c>
    </row>
    <row r="148">
      <c r="A148" t="s">
        <v>218</v>
      </c>
      <c r="B148" t="s">
        <v>185</v>
      </c>
      <c r="C148" t="n">
        <v>-0.0536174637080387</v>
      </c>
      <c r="D148" t="n">
        <v>0.0120511203800099</v>
      </c>
    </row>
    <row r="149">
      <c r="A149" t="s">
        <v>218</v>
      </c>
      <c r="B149" t="s">
        <v>186</v>
      </c>
      <c r="C149" t="n">
        <v>0.0547659944221096</v>
      </c>
      <c r="D149" t="n">
        <v>0.0097931483243253</v>
      </c>
    </row>
    <row r="150">
      <c r="A150" t="s">
        <v>219</v>
      </c>
      <c r="B150" t="s">
        <v>181</v>
      </c>
      <c r="C150" t="n">
        <v>0.345043024574955</v>
      </c>
      <c r="D150" t="n">
        <v>0.42520735852538</v>
      </c>
    </row>
    <row r="151">
      <c r="A151" t="s">
        <v>219</v>
      </c>
      <c r="B151" t="s">
        <v>182</v>
      </c>
      <c r="C151" t="n">
        <v>-0.297020497656239</v>
      </c>
      <c r="D151" t="n">
        <v>0.0816040942414277</v>
      </c>
    </row>
    <row r="152">
      <c r="A152" t="s">
        <v>219</v>
      </c>
      <c r="B152" t="s">
        <v>183</v>
      </c>
      <c r="C152" t="n">
        <v>0.00493667733299684</v>
      </c>
      <c r="D152" t="n">
        <v>0.00047374728882062</v>
      </c>
    </row>
    <row r="153">
      <c r="A153" t="s">
        <v>219</v>
      </c>
      <c r="B153" t="s">
        <v>191</v>
      </c>
      <c r="C153" t="n">
        <v>-0.356418370638324</v>
      </c>
      <c r="D153" t="n">
        <v>1.01542131867111</v>
      </c>
    </row>
    <row r="154">
      <c r="A154" t="s">
        <v>219</v>
      </c>
      <c r="B154" t="s">
        <v>192</v>
      </c>
      <c r="C154" t="n">
        <v>0.96074803467665</v>
      </c>
      <c r="D154" t="n">
        <v>0.461398700113188</v>
      </c>
    </row>
    <row r="155">
      <c r="A155" t="s">
        <v>219</v>
      </c>
      <c r="B155" t="s">
        <v>184</v>
      </c>
      <c r="C155" t="n">
        <v>-1.1937862601714</v>
      </c>
      <c r="D155" t="n">
        <v>0.659303879079146</v>
      </c>
    </row>
    <row r="156">
      <c r="A156" t="s">
        <v>219</v>
      </c>
      <c r="B156" t="s">
        <v>193</v>
      </c>
      <c r="C156" t="n">
        <v>0.28898880248414</v>
      </c>
      <c r="D156" t="n">
        <v>0.111753738620906</v>
      </c>
    </row>
    <row r="157">
      <c r="A157" t="s">
        <v>219</v>
      </c>
      <c r="B157" t="s">
        <v>185</v>
      </c>
      <c r="C157" t="n">
        <v>0.317245991319626</v>
      </c>
      <c r="D157" t="n">
        <v>0.115865186954661</v>
      </c>
    </row>
    <row r="158">
      <c r="A158" t="s">
        <v>220</v>
      </c>
      <c r="B158" t="s">
        <v>181</v>
      </c>
      <c r="C158" t="n">
        <v>-0.0530213588703497</v>
      </c>
      <c r="D158" t="n">
        <v>0.113926687105799</v>
      </c>
    </row>
    <row r="159">
      <c r="A159" t="s">
        <v>220</v>
      </c>
      <c r="B159" t="s">
        <v>182</v>
      </c>
      <c r="C159" t="n">
        <v>-0.0237178205474654</v>
      </c>
      <c r="D159" t="n">
        <v>0.0277846053145206</v>
      </c>
    </row>
    <row r="160">
      <c r="A160" t="s">
        <v>220</v>
      </c>
      <c r="B160" t="s">
        <v>183</v>
      </c>
      <c r="C160" t="n">
        <v>0.514920233635421</v>
      </c>
      <c r="D160" t="n">
        <v>0.446609798624269</v>
      </c>
    </row>
    <row r="161">
      <c r="A161" t="s">
        <v>220</v>
      </c>
      <c r="B161" t="s">
        <v>191</v>
      </c>
      <c r="C161" t="n">
        <v>0.0895928654851043</v>
      </c>
      <c r="D161" t="n">
        <v>0.0210494770596576</v>
      </c>
    </row>
    <row r="162">
      <c r="A162" t="s">
        <v>220</v>
      </c>
      <c r="B162" t="s">
        <v>184</v>
      </c>
      <c r="C162" t="n">
        <v>0.0504484119289286</v>
      </c>
      <c r="D162" t="n">
        <v>0.0203093467677569</v>
      </c>
    </row>
    <row r="163">
      <c r="A163" t="s">
        <v>220</v>
      </c>
      <c r="B163" t="s">
        <v>193</v>
      </c>
      <c r="C163" t="n">
        <v>0.0529883204795304</v>
      </c>
      <c r="D163" t="n">
        <v>0.0348251130381064</v>
      </c>
    </row>
    <row r="164">
      <c r="A164" t="s">
        <v>220</v>
      </c>
      <c r="B164" t="s">
        <v>186</v>
      </c>
      <c r="C164" t="n">
        <v>0.0509345065917948</v>
      </c>
      <c r="D164" t="n">
        <v>0.0335791141721362</v>
      </c>
    </row>
    <row r="165">
      <c r="A165" t="s">
        <v>220</v>
      </c>
      <c r="B165" t="s">
        <v>187</v>
      </c>
      <c r="C165" t="n">
        <v>0.0317153895299472</v>
      </c>
      <c r="D165" t="n">
        <v>0.0324501870466684</v>
      </c>
    </row>
    <row r="166">
      <c r="A166" t="s">
        <v>220</v>
      </c>
      <c r="B166" t="s">
        <v>188</v>
      </c>
      <c r="C166" t="n">
        <v>0.0139053263808359</v>
      </c>
      <c r="D166" t="n">
        <v>0.00279150315250254</v>
      </c>
    </row>
    <row r="167">
      <c r="A167" t="s">
        <v>220</v>
      </c>
      <c r="B167" t="s">
        <v>189</v>
      </c>
      <c r="C167" t="n">
        <v>0.00419803389365674</v>
      </c>
      <c r="D167" t="n">
        <v>0.00267081560442122</v>
      </c>
    </row>
    <row r="168">
      <c r="A168" t="s">
        <v>221</v>
      </c>
      <c r="B168" t="s">
        <v>181</v>
      </c>
      <c r="C168" t="n">
        <v>-0.0185043251210426</v>
      </c>
      <c r="D168" t="n">
        <v>0.0138068669490855</v>
      </c>
    </row>
    <row r="169">
      <c r="A169" t="s">
        <v>221</v>
      </c>
      <c r="B169" t="s">
        <v>182</v>
      </c>
      <c r="C169" t="n">
        <v>-0.0365009852346538</v>
      </c>
      <c r="D169" t="n">
        <v>0.0107745079202025</v>
      </c>
    </row>
    <row r="170">
      <c r="A170" t="s">
        <v>221</v>
      </c>
      <c r="B170" t="s">
        <v>183</v>
      </c>
      <c r="C170" t="n">
        <v>0.131916835172975</v>
      </c>
      <c r="D170" t="n">
        <v>0.0850076254694257</v>
      </c>
    </row>
    <row r="171">
      <c r="A171" t="s">
        <v>221</v>
      </c>
      <c r="B171" t="s">
        <v>184</v>
      </c>
      <c r="C171" t="n">
        <v>0.143461866222605</v>
      </c>
      <c r="D171" t="n">
        <v>0.0167531236583957</v>
      </c>
    </row>
    <row r="172">
      <c r="A172" t="s">
        <v>221</v>
      </c>
      <c r="B172" t="s">
        <v>193</v>
      </c>
      <c r="C172" t="n">
        <v>0.0380021205175324</v>
      </c>
      <c r="D172" t="n">
        <v>0.0257400976076324</v>
      </c>
    </row>
    <row r="173">
      <c r="A173" t="s">
        <v>221</v>
      </c>
      <c r="B173" t="s">
        <v>185</v>
      </c>
      <c r="C173" t="n">
        <v>0.066970532588673</v>
      </c>
      <c r="D173" t="n">
        <v>0.017444353207443</v>
      </c>
    </row>
    <row r="174">
      <c r="A174" t="s">
        <v>221</v>
      </c>
      <c r="B174" t="s">
        <v>186</v>
      </c>
      <c r="C174" t="n">
        <v>0.0670567140468606</v>
      </c>
      <c r="D174" t="n">
        <v>0.0170463956102806</v>
      </c>
    </row>
    <row r="175">
      <c r="A175" t="s">
        <v>221</v>
      </c>
      <c r="B175" t="s">
        <v>187</v>
      </c>
      <c r="C175" t="n">
        <v>0.00245855179870997</v>
      </c>
      <c r="D175" t="n">
        <v>0.00247696703807224</v>
      </c>
    </row>
    <row r="176">
      <c r="A176" t="s">
        <v>221</v>
      </c>
      <c r="B176" t="s">
        <v>188</v>
      </c>
      <c r="C176" t="n">
        <v>0.00349779452211607</v>
      </c>
      <c r="D176" t="n">
        <v>0.00241327675554855</v>
      </c>
    </row>
    <row r="177">
      <c r="A177" t="s">
        <v>222</v>
      </c>
      <c r="B177" t="s">
        <v>181</v>
      </c>
      <c r="C177" t="n">
        <v>-0.402543914594687</v>
      </c>
      <c r="D177" t="n">
        <v>0.13398954313524</v>
      </c>
    </row>
    <row r="178">
      <c r="A178" t="s">
        <v>222</v>
      </c>
      <c r="B178" t="s">
        <v>182</v>
      </c>
      <c r="C178" t="n">
        <v>-0.0785916147081356</v>
      </c>
      <c r="D178" t="n">
        <v>0.0241541138869214</v>
      </c>
    </row>
    <row r="179">
      <c r="A179" t="s">
        <v>222</v>
      </c>
      <c r="B179" t="s">
        <v>183</v>
      </c>
      <c r="C179" t="n">
        <v>1.13204056735319</v>
      </c>
      <c r="D179" t="n">
        <v>0.0411491715865741</v>
      </c>
    </row>
    <row r="180">
      <c r="A180" t="s">
        <v>222</v>
      </c>
      <c r="B180" t="s">
        <v>191</v>
      </c>
      <c r="C180" t="n">
        <v>0.160643011207769</v>
      </c>
      <c r="D180" t="n">
        <v>0.0478451939818044</v>
      </c>
    </row>
    <row r="181">
      <c r="A181" t="s">
        <v>222</v>
      </c>
      <c r="B181" t="s">
        <v>192</v>
      </c>
      <c r="C181" t="n">
        <v>-0.313335060243884</v>
      </c>
      <c r="D181" t="n">
        <v>0.0729247447755594</v>
      </c>
    </row>
    <row r="182">
      <c r="A182" t="s">
        <v>223</v>
      </c>
      <c r="B182" t="s">
        <v>181</v>
      </c>
      <c r="C182" t="n">
        <v>-0.123625928722028</v>
      </c>
      <c r="D182" t="n">
        <v>0.070584766963096</v>
      </c>
    </row>
    <row r="183">
      <c r="A183" t="s">
        <v>223</v>
      </c>
      <c r="B183" t="s">
        <v>182</v>
      </c>
      <c r="C183" t="n">
        <v>-0.0319845996904696</v>
      </c>
      <c r="D183" t="n">
        <v>0.0147728755019116</v>
      </c>
    </row>
    <row r="184">
      <c r="A184" t="s">
        <v>223</v>
      </c>
      <c r="B184" t="s">
        <v>183</v>
      </c>
      <c r="C184" t="n">
        <v>0.652650899402141</v>
      </c>
      <c r="D184" t="n">
        <v>0.154424806295035</v>
      </c>
    </row>
    <row r="185">
      <c r="A185" t="s">
        <v>223</v>
      </c>
      <c r="B185" t="s">
        <v>191</v>
      </c>
      <c r="C185" t="n">
        <v>0.00464026724144333</v>
      </c>
      <c r="D185" t="n">
        <v>0.000925217601736419</v>
      </c>
    </row>
    <row r="186">
      <c r="A186" t="s">
        <v>223</v>
      </c>
      <c r="B186" t="s">
        <v>192</v>
      </c>
      <c r="C186" t="n">
        <v>0.0647317785178744</v>
      </c>
      <c r="D186" t="n">
        <v>0.00435994716803954</v>
      </c>
    </row>
    <row r="187">
      <c r="A187" t="s">
        <v>223</v>
      </c>
      <c r="B187" t="s">
        <v>184</v>
      </c>
      <c r="C187" t="n">
        <v>0.804348033324361</v>
      </c>
      <c r="D187" t="n">
        <v>0.0535143872099839</v>
      </c>
    </row>
    <row r="188">
      <c r="A188" t="s">
        <v>223</v>
      </c>
      <c r="B188" t="s">
        <v>193</v>
      </c>
      <c r="C188" t="n">
        <v>-0.0746453941182445</v>
      </c>
      <c r="D188" t="n">
        <v>0.00551251955906168</v>
      </c>
    </row>
    <row r="189">
      <c r="A189" t="s">
        <v>224</v>
      </c>
      <c r="B189" t="s">
        <v>181</v>
      </c>
      <c r="C189" t="n">
        <v>0.00633814373815231</v>
      </c>
      <c r="D189" t="n">
        <v>0.00260371384366758</v>
      </c>
    </row>
    <row r="190">
      <c r="A190" t="s">
        <v>224</v>
      </c>
      <c r="B190" t="s">
        <v>182</v>
      </c>
      <c r="C190" t="n">
        <v>-0.0362804650918684</v>
      </c>
      <c r="D190" t="n">
        <v>0.0130912850707186</v>
      </c>
    </row>
    <row r="191">
      <c r="A191" t="s">
        <v>224</v>
      </c>
      <c r="B191" t="s">
        <v>191</v>
      </c>
      <c r="C191" t="n">
        <v>0.0029346620368812</v>
      </c>
      <c r="D191" t="n">
        <v>0.000429493107060439</v>
      </c>
    </row>
    <row r="192">
      <c r="A192" t="s">
        <v>224</v>
      </c>
      <c r="B192" t="s">
        <v>192</v>
      </c>
      <c r="C192" t="n">
        <v>0.0521484314220456</v>
      </c>
      <c r="D192" t="n">
        <v>0.0236746798764483</v>
      </c>
    </row>
    <row r="193">
      <c r="A193" t="s">
        <v>224</v>
      </c>
      <c r="B193" t="s">
        <v>184</v>
      </c>
      <c r="C193" t="n">
        <v>0.0354011265094034</v>
      </c>
      <c r="D193" t="n">
        <v>0.0245487737585087</v>
      </c>
    </row>
    <row r="194">
      <c r="A194" t="s">
        <v>225</v>
      </c>
      <c r="B194" t="s">
        <v>181</v>
      </c>
      <c r="C194" t="n">
        <v>0.000388048055347812</v>
      </c>
      <c r="D194" t="n">
        <v>0.0054842544749663</v>
      </c>
    </row>
    <row r="195">
      <c r="A195" t="s">
        <v>225</v>
      </c>
      <c r="B195" t="s">
        <v>182</v>
      </c>
      <c r="C195" t="n">
        <v>-0.0609629945132244</v>
      </c>
      <c r="D195" t="n">
        <v>0.0223334971438778</v>
      </c>
    </row>
    <row r="196">
      <c r="A196" t="s">
        <v>225</v>
      </c>
      <c r="B196" t="s">
        <v>191</v>
      </c>
      <c r="C196" t="n">
        <v>-0.134407462554407</v>
      </c>
      <c r="D196" t="n">
        <v>0.0676490332222893</v>
      </c>
    </row>
    <row r="197">
      <c r="A197" t="s">
        <v>225</v>
      </c>
      <c r="B197" t="s">
        <v>192</v>
      </c>
      <c r="C197" t="n">
        <v>-0.152649830263001</v>
      </c>
      <c r="D197" t="n">
        <v>0.0684357641667877</v>
      </c>
    </row>
    <row r="198">
      <c r="A198" t="s">
        <v>225</v>
      </c>
      <c r="B198" t="s">
        <v>184</v>
      </c>
      <c r="C198" t="n">
        <v>1.12951230278418</v>
      </c>
      <c r="D198" t="n">
        <v>0.291916896711293</v>
      </c>
    </row>
    <row r="199">
      <c r="A199" t="s">
        <v>225</v>
      </c>
      <c r="B199" t="s">
        <v>193</v>
      </c>
      <c r="C199" t="n">
        <v>-0.317585247853667</v>
      </c>
      <c r="D199" t="n">
        <v>0.0604537391731463</v>
      </c>
    </row>
    <row r="200">
      <c r="A200" t="s">
        <v>225</v>
      </c>
      <c r="B200" t="s">
        <v>185</v>
      </c>
      <c r="C200" t="n">
        <v>-0.248603327484939</v>
      </c>
      <c r="D200" t="n">
        <v>0.0428626380391231</v>
      </c>
    </row>
    <row r="201">
      <c r="A201" t="s">
        <v>226</v>
      </c>
      <c r="B201" t="s">
        <v>227</v>
      </c>
      <c r="C201" t="n">
        <v>0.127057325201708</v>
      </c>
      <c r="D201" t="n">
        <v>0.125247842972247</v>
      </c>
    </row>
    <row r="202">
      <c r="A202" t="s">
        <v>228</v>
      </c>
      <c r="B202" t="s">
        <v>181</v>
      </c>
      <c r="C202" t="n">
        <v>-0.0459507234513311</v>
      </c>
      <c r="D202" t="n">
        <v>0.0252820703304637</v>
      </c>
    </row>
    <row r="203">
      <c r="A203" t="s">
        <v>228</v>
      </c>
      <c r="B203" t="s">
        <v>182</v>
      </c>
      <c r="C203" t="n">
        <v>-0.0178987649385321</v>
      </c>
      <c r="D203" t="n">
        <v>0.0106089724995745</v>
      </c>
    </row>
    <row r="204">
      <c r="A204" t="s">
        <v>228</v>
      </c>
      <c r="B204" t="s">
        <v>191</v>
      </c>
      <c r="C204" t="n">
        <v>18.330654303078</v>
      </c>
      <c r="D204" t="n">
        <v>3.60874898648429</v>
      </c>
    </row>
    <row r="205">
      <c r="A205" t="s">
        <v>228</v>
      </c>
      <c r="B205" t="s">
        <v>192</v>
      </c>
      <c r="C205" t="n">
        <v>0.0396953694995635</v>
      </c>
      <c r="D205" t="n">
        <v>0.0129186356875717</v>
      </c>
    </row>
    <row r="206">
      <c r="A206" t="s">
        <v>228</v>
      </c>
      <c r="B206" t="s">
        <v>184</v>
      </c>
      <c r="C206" t="n">
        <v>-0.0541725204288707</v>
      </c>
      <c r="D206" t="n">
        <v>0.0477953563546087</v>
      </c>
    </row>
    <row r="207">
      <c r="A207" t="s">
        <v>228</v>
      </c>
      <c r="B207" t="s">
        <v>193</v>
      </c>
      <c r="C207" t="n">
        <v>0.144642197921881</v>
      </c>
      <c r="D207" t="n">
        <v>0.0469723719082272</v>
      </c>
    </row>
    <row r="208">
      <c r="A208" t="s">
        <v>228</v>
      </c>
      <c r="B208" t="s">
        <v>185</v>
      </c>
      <c r="C208" t="n">
        <v>0.592423709374583</v>
      </c>
      <c r="D208" t="n">
        <v>0.103017026258271</v>
      </c>
    </row>
    <row r="209">
      <c r="A209" t="s">
        <v>229</v>
      </c>
      <c r="B209" t="s">
        <v>181</v>
      </c>
      <c r="C209" t="n">
        <v>-0.419697000385745</v>
      </c>
      <c r="D209" t="n">
        <v>0.224113400788582</v>
      </c>
    </row>
    <row r="210">
      <c r="A210" t="s">
        <v>229</v>
      </c>
      <c r="B210" t="s">
        <v>182</v>
      </c>
      <c r="C210" t="n">
        <v>-0.0506494254553245</v>
      </c>
      <c r="D210" t="n">
        <v>0.0271200863704892</v>
      </c>
    </row>
    <row r="211">
      <c r="A211" t="s">
        <v>229</v>
      </c>
      <c r="B211" t="s">
        <v>192</v>
      </c>
      <c r="C211" t="n">
        <v>0.877643553690824</v>
      </c>
      <c r="D211" t="n">
        <v>0.25112361912044</v>
      </c>
    </row>
    <row r="212">
      <c r="A212" t="s">
        <v>229</v>
      </c>
      <c r="B212" t="s">
        <v>184</v>
      </c>
      <c r="C212" t="n">
        <v>0.760106645728705</v>
      </c>
      <c r="D212" t="n">
        <v>0.261402288277027</v>
      </c>
    </row>
    <row r="213">
      <c r="A213" t="s">
        <v>229</v>
      </c>
      <c r="B213" t="s">
        <v>193</v>
      </c>
      <c r="C213" t="n">
        <v>0.463836388706326</v>
      </c>
      <c r="D213" t="n">
        <v>0.252247026623387</v>
      </c>
    </row>
    <row r="214">
      <c r="A214" t="s">
        <v>229</v>
      </c>
      <c r="B214" t="s">
        <v>185</v>
      </c>
      <c r="C214" t="n">
        <v>0.332457664081061</v>
      </c>
      <c r="D214" t="n">
        <v>0.25683548597659</v>
      </c>
    </row>
    <row r="215">
      <c r="A215" t="s">
        <v>229</v>
      </c>
      <c r="B215" t="s">
        <v>186</v>
      </c>
      <c r="C215" t="n">
        <v>-0.288735751709214</v>
      </c>
      <c r="D215" t="n">
        <v>0.0916642898324491</v>
      </c>
    </row>
    <row r="216">
      <c r="A216" t="s">
        <v>229</v>
      </c>
      <c r="B216" t="s">
        <v>187</v>
      </c>
      <c r="C216" t="n">
        <v>-0.17590410230519</v>
      </c>
      <c r="D216" t="n">
        <v>0.0346845615993068</v>
      </c>
    </row>
    <row r="217">
      <c r="A217" t="s">
        <v>229</v>
      </c>
      <c r="B217" t="s">
        <v>188</v>
      </c>
      <c r="C217" t="n">
        <v>-0.485138549044073</v>
      </c>
      <c r="D217" t="n">
        <v>0.488241546333182</v>
      </c>
    </row>
    <row r="218">
      <c r="A218" t="s">
        <v>230</v>
      </c>
      <c r="B218" t="s">
        <v>181</v>
      </c>
      <c r="C218" t="n">
        <v>0.117409867336902</v>
      </c>
      <c r="D218" t="n">
        <v>0.0297859713279876</v>
      </c>
    </row>
    <row r="219">
      <c r="A219" t="s">
        <v>230</v>
      </c>
      <c r="B219" t="s">
        <v>231</v>
      </c>
      <c r="C219" t="n">
        <v>-0.489152075010871</v>
      </c>
      <c r="D219" t="n">
        <v>0.138922251187899</v>
      </c>
    </row>
    <row r="220">
      <c r="A220" t="s">
        <v>230</v>
      </c>
      <c r="B220" t="s">
        <v>232</v>
      </c>
      <c r="C220" t="n">
        <v>-0.0277252005151064</v>
      </c>
      <c r="D220" t="n">
        <v>0.21138920219739</v>
      </c>
    </row>
    <row r="221">
      <c r="A221" t="s">
        <v>230</v>
      </c>
      <c r="B221" t="s">
        <v>233</v>
      </c>
      <c r="C221" t="n">
        <v>0.193827246327542</v>
      </c>
      <c r="D221" t="n">
        <v>0.339987481649685</v>
      </c>
    </row>
    <row r="222">
      <c r="A222" t="s">
        <v>230</v>
      </c>
      <c r="B222" t="s">
        <v>234</v>
      </c>
      <c r="C222" t="n">
        <v>-0.450042666268074</v>
      </c>
      <c r="D222" t="n">
        <v>0.339640547702663</v>
      </c>
    </row>
    <row r="223">
      <c r="A223" t="s">
        <v>230</v>
      </c>
      <c r="B223" t="s">
        <v>235</v>
      </c>
      <c r="C223" t="n">
        <v>0.241181274151784</v>
      </c>
      <c r="D223" t="n">
        <v>0.211531544300953</v>
      </c>
    </row>
    <row r="224">
      <c r="A224" t="s">
        <v>230</v>
      </c>
      <c r="B224" t="s">
        <v>236</v>
      </c>
      <c r="C224" t="n">
        <v>0.710666390029421</v>
      </c>
      <c r="D224" t="n">
        <v>0.0676758294805386</v>
      </c>
    </row>
    <row r="225">
      <c r="A225" t="s">
        <v>237</v>
      </c>
      <c r="B225" t="s">
        <v>181</v>
      </c>
      <c r="C225" t="n">
        <v>-1.09346912111766</v>
      </c>
      <c r="D225" t="n">
        <v>0.293525431351426</v>
      </c>
    </row>
    <row r="226">
      <c r="A226" t="s">
        <v>237</v>
      </c>
      <c r="B226" t="s">
        <v>182</v>
      </c>
      <c r="C226" t="n">
        <v>-0.312527322966272</v>
      </c>
      <c r="D226" t="n">
        <v>0.077424337812655</v>
      </c>
    </row>
    <row r="227">
      <c r="A227" t="s">
        <v>237</v>
      </c>
      <c r="B227" t="s">
        <v>183</v>
      </c>
      <c r="C227" t="n">
        <v>0.524226558083094</v>
      </c>
      <c r="D227" t="n">
        <v>0.194969629260484</v>
      </c>
    </row>
    <row r="228">
      <c r="A228" t="s">
        <v>237</v>
      </c>
      <c r="B228" t="s">
        <v>191</v>
      </c>
      <c r="C228" t="n">
        <v>-1.3775984006698</v>
      </c>
      <c r="D228" t="n">
        <v>0.436732750080539</v>
      </c>
    </row>
    <row r="229">
      <c r="A229" t="s">
        <v>237</v>
      </c>
      <c r="B229" t="s">
        <v>192</v>
      </c>
      <c r="C229" t="n">
        <v>-0.00915208251683542</v>
      </c>
      <c r="D229" t="n">
        <v>0.00147442268083951</v>
      </c>
    </row>
    <row r="230">
      <c r="A230" t="s">
        <v>237</v>
      </c>
      <c r="B230" t="s">
        <v>193</v>
      </c>
      <c r="C230" t="n">
        <v>0.067417035085994</v>
      </c>
      <c r="D230" t="n">
        <v>0.0974362717418333</v>
      </c>
    </row>
    <row r="231">
      <c r="A231" t="s">
        <v>237</v>
      </c>
      <c r="B231" t="s">
        <v>185</v>
      </c>
      <c r="C231" t="n">
        <v>-0.762939791881913</v>
      </c>
      <c r="D231" t="n">
        <v>0.288783345172818</v>
      </c>
    </row>
    <row r="232">
      <c r="A232" t="s">
        <v>237</v>
      </c>
      <c r="B232" t="s">
        <v>186</v>
      </c>
      <c r="C232" t="n">
        <v>0.221509605555066</v>
      </c>
      <c r="D232" t="n">
        <v>0.33967853757669</v>
      </c>
    </row>
    <row r="233">
      <c r="A233" t="s">
        <v>237</v>
      </c>
      <c r="B233" t="s">
        <v>187</v>
      </c>
      <c r="C233" t="n">
        <v>0.154975646834407</v>
      </c>
      <c r="D233" t="n">
        <v>0.350505977796002</v>
      </c>
    </row>
    <row r="234">
      <c r="A234" t="s">
        <v>237</v>
      </c>
      <c r="B234" t="s">
        <v>188</v>
      </c>
      <c r="C234" t="n">
        <v>0.0633960644483437</v>
      </c>
      <c r="D234" t="n">
        <v>0.368881205091889</v>
      </c>
    </row>
    <row r="235">
      <c r="A235" t="s">
        <v>237</v>
      </c>
      <c r="B235" t="s">
        <v>189</v>
      </c>
      <c r="C235" t="n">
        <v>0.490462007993258</v>
      </c>
      <c r="D235" t="n">
        <v>0.354848278194656</v>
      </c>
    </row>
    <row r="236">
      <c r="A236" t="s">
        <v>237</v>
      </c>
      <c r="B236" t="s">
        <v>194</v>
      </c>
      <c r="C236" t="n">
        <v>0.575240271173106</v>
      </c>
      <c r="D236" t="n">
        <v>0.352448082203046</v>
      </c>
    </row>
    <row r="237">
      <c r="A237" t="s">
        <v>238</v>
      </c>
      <c r="B237" t="s">
        <v>181</v>
      </c>
      <c r="C237" t="n">
        <v>-0.170876728023149</v>
      </c>
      <c r="D237" t="n">
        <v>0.120226872098535</v>
      </c>
    </row>
    <row r="238">
      <c r="A238" t="s">
        <v>238</v>
      </c>
      <c r="B238" t="s">
        <v>182</v>
      </c>
      <c r="C238" t="n">
        <v>-0.0755708647956413</v>
      </c>
      <c r="D238" t="n">
        <v>0.0454497632215965</v>
      </c>
    </row>
    <row r="239">
      <c r="A239" t="s">
        <v>238</v>
      </c>
      <c r="B239" t="s">
        <v>183</v>
      </c>
      <c r="C239" t="n">
        <v>0.0477617495366563</v>
      </c>
      <c r="D239" t="n">
        <v>0.0216494214058893</v>
      </c>
    </row>
    <row r="240">
      <c r="A240" t="s">
        <v>238</v>
      </c>
      <c r="B240" t="s">
        <v>191</v>
      </c>
      <c r="C240" t="n">
        <v>-0.00257479417687779</v>
      </c>
      <c r="D240" t="n">
        <v>0.00129567035970719</v>
      </c>
    </row>
    <row r="241">
      <c r="A241" t="s">
        <v>238</v>
      </c>
      <c r="B241" t="s">
        <v>192</v>
      </c>
      <c r="C241" t="n">
        <v>0.72095582876821</v>
      </c>
      <c r="D241" t="n">
        <v>0.0811713941426452</v>
      </c>
    </row>
    <row r="242">
      <c r="A242" t="s">
        <v>238</v>
      </c>
      <c r="B242" t="s">
        <v>184</v>
      </c>
      <c r="C242" t="n">
        <v>-0.0834746106908187</v>
      </c>
      <c r="D242" t="n">
        <v>0.0789200154859938</v>
      </c>
    </row>
    <row r="243">
      <c r="A243" t="s">
        <v>238</v>
      </c>
      <c r="B243" t="s">
        <v>193</v>
      </c>
      <c r="C243" t="n">
        <v>-0.12282884114374</v>
      </c>
      <c r="D243" t="n">
        <v>0.0796382874219298</v>
      </c>
    </row>
    <row r="244">
      <c r="A244" t="s">
        <v>238</v>
      </c>
      <c r="B244" t="s">
        <v>185</v>
      </c>
      <c r="C244" t="n">
        <v>-0.181651641952986</v>
      </c>
      <c r="D244" t="n">
        <v>0.0782069054040431</v>
      </c>
    </row>
    <row r="245">
      <c r="A245" t="s">
        <v>238</v>
      </c>
      <c r="B245" t="s">
        <v>186</v>
      </c>
      <c r="C245" t="n">
        <v>-0.171140927329529</v>
      </c>
      <c r="D245" t="n">
        <v>0.0767073340560159</v>
      </c>
    </row>
    <row r="246">
      <c r="A246" t="s">
        <v>239</v>
      </c>
      <c r="B246" t="s">
        <v>181</v>
      </c>
      <c r="C246" t="n">
        <v>-0.140763101014305</v>
      </c>
      <c r="D246" t="n">
        <v>0.0624010122217255</v>
      </c>
    </row>
    <row r="247">
      <c r="A247" t="s">
        <v>239</v>
      </c>
      <c r="B247" t="s">
        <v>182</v>
      </c>
      <c r="C247" t="n">
        <v>-0.0474921271558658</v>
      </c>
      <c r="D247" t="n">
        <v>0.0171810841898531</v>
      </c>
    </row>
    <row r="248">
      <c r="A248" t="s">
        <v>239</v>
      </c>
      <c r="B248" t="s">
        <v>183</v>
      </c>
      <c r="C248" t="n">
        <v>-0.153293748796145</v>
      </c>
      <c r="D248" t="n">
        <v>0.80603374998901</v>
      </c>
    </row>
    <row r="249">
      <c r="A249" t="s">
        <v>239</v>
      </c>
      <c r="B249" t="s">
        <v>191</v>
      </c>
      <c r="C249" t="n">
        <v>0.714582980094044</v>
      </c>
      <c r="D249" t="n">
        <v>0.464146679918111</v>
      </c>
    </row>
    <row r="250">
      <c r="A250" t="s">
        <v>239</v>
      </c>
      <c r="B250" t="s">
        <v>192</v>
      </c>
      <c r="C250" t="n">
        <v>-0.00646058972558634</v>
      </c>
      <c r="D250" t="n">
        <v>0.00357037050366151</v>
      </c>
    </row>
    <row r="251">
      <c r="A251" t="s">
        <v>239</v>
      </c>
      <c r="B251" t="s">
        <v>184</v>
      </c>
      <c r="C251" t="n">
        <v>-0.137580314652621</v>
      </c>
      <c r="D251" t="n">
        <v>0.0754356809372643</v>
      </c>
    </row>
    <row r="252">
      <c r="A252" t="s">
        <v>239</v>
      </c>
      <c r="B252" t="s">
        <v>193</v>
      </c>
      <c r="C252" t="n">
        <v>0.947731198911194</v>
      </c>
      <c r="D252" t="n">
        <v>0.281787314643434</v>
      </c>
    </row>
    <row r="253">
      <c r="A253" t="s">
        <v>240</v>
      </c>
      <c r="B253" t="s">
        <v>181</v>
      </c>
      <c r="C253" t="n">
        <v>-0.0544409521749936</v>
      </c>
      <c r="D253" t="n">
        <v>0.0206808223600685</v>
      </c>
    </row>
    <row r="254">
      <c r="A254" t="s">
        <v>240</v>
      </c>
      <c r="B254" t="s">
        <v>182</v>
      </c>
      <c r="C254" t="n">
        <v>-0.0786331977014844</v>
      </c>
      <c r="D254" t="n">
        <v>0.0261953336102509</v>
      </c>
    </row>
    <row r="255">
      <c r="A255" t="s">
        <v>240</v>
      </c>
      <c r="B255" t="s">
        <v>183</v>
      </c>
      <c r="C255" t="n">
        <v>0.412289921914963</v>
      </c>
      <c r="D255" t="n">
        <v>0.0624645114779038</v>
      </c>
    </row>
    <row r="256">
      <c r="A256" t="s">
        <v>240</v>
      </c>
      <c r="B256" t="s">
        <v>191</v>
      </c>
      <c r="C256" t="n">
        <v>-1.1047048399867</v>
      </c>
      <c r="D256" t="n">
        <v>0.131858501535839</v>
      </c>
    </row>
    <row r="257">
      <c r="A257" t="s">
        <v>241</v>
      </c>
      <c r="B257" t="s">
        <v>181</v>
      </c>
      <c r="C257" t="n">
        <v>-0.326663116933836</v>
      </c>
      <c r="D257" t="n">
        <v>0.107267156673681</v>
      </c>
    </row>
    <row r="258">
      <c r="A258" t="s">
        <v>241</v>
      </c>
      <c r="B258" t="s">
        <v>182</v>
      </c>
      <c r="C258" t="n">
        <v>-0.145134891623487</v>
      </c>
      <c r="D258" t="n">
        <v>0.0421260098334369</v>
      </c>
    </row>
    <row r="259">
      <c r="A259" t="s">
        <v>241</v>
      </c>
      <c r="B259" t="s">
        <v>183</v>
      </c>
      <c r="C259" t="n">
        <v>0.476209759477317</v>
      </c>
      <c r="D259" t="n">
        <v>0.143772646744558</v>
      </c>
    </row>
    <row r="260">
      <c r="A260" t="s">
        <v>241</v>
      </c>
      <c r="B260" t="s">
        <v>191</v>
      </c>
      <c r="C260" t="n">
        <v>0.00109084171202984</v>
      </c>
      <c r="D260" t="n">
        <v>0.000454528787480206</v>
      </c>
    </row>
    <row r="261">
      <c r="A261" t="s">
        <v>241</v>
      </c>
      <c r="B261" t="s">
        <v>192</v>
      </c>
      <c r="C261" t="n">
        <v>0.503032373923423</v>
      </c>
      <c r="D261" t="n">
        <v>0.130157913940454</v>
      </c>
    </row>
    <row r="262">
      <c r="A262" t="s">
        <v>241</v>
      </c>
      <c r="B262" t="s">
        <v>184</v>
      </c>
      <c r="C262" t="n">
        <v>0.733801294600122</v>
      </c>
      <c r="D262" t="n">
        <v>0.075467374700172</v>
      </c>
    </row>
    <row r="263">
      <c r="A263" t="s">
        <v>242</v>
      </c>
      <c r="B263" t="s">
        <v>181</v>
      </c>
      <c r="C263" t="n">
        <v>-0.237175868872103</v>
      </c>
      <c r="D263" t="n">
        <v>0.0578362130171869</v>
      </c>
    </row>
    <row r="264">
      <c r="A264" t="s">
        <v>242</v>
      </c>
      <c r="B264" t="s">
        <v>182</v>
      </c>
      <c r="C264" t="n">
        <v>-0.0705183409616178</v>
      </c>
      <c r="D264" t="n">
        <v>0.016976968712143</v>
      </c>
    </row>
    <row r="265">
      <c r="A265" t="s">
        <v>242</v>
      </c>
      <c r="B265" t="s">
        <v>183</v>
      </c>
      <c r="C265" t="n">
        <v>0.747839445717194</v>
      </c>
      <c r="D265" t="n">
        <v>0.0234116977105087</v>
      </c>
    </row>
    <row r="266">
      <c r="A266" t="s">
        <v>242</v>
      </c>
      <c r="B266" t="s">
        <v>191</v>
      </c>
      <c r="C266" t="n">
        <v>-0.00846910664099427</v>
      </c>
      <c r="D266" t="n">
        <v>0.00479590363863229</v>
      </c>
    </row>
    <row r="267">
      <c r="A267" t="s">
        <v>242</v>
      </c>
      <c r="B267" t="s">
        <v>192</v>
      </c>
      <c r="C267" t="n">
        <v>0.0495250622897597</v>
      </c>
      <c r="D267" t="n">
        <v>0.0235368822372498</v>
      </c>
    </row>
    <row r="268">
      <c r="A268" t="s">
        <v>242</v>
      </c>
      <c r="B268" t="s">
        <v>184</v>
      </c>
      <c r="C268" t="n">
        <v>0.0259563188249411</v>
      </c>
      <c r="D268" t="n">
        <v>0.0124435856079677</v>
      </c>
    </row>
    <row r="269">
      <c r="A269" t="s">
        <v>242</v>
      </c>
      <c r="B269" t="s">
        <v>186</v>
      </c>
      <c r="C269" t="n">
        <v>0.0206386113231897</v>
      </c>
      <c r="D269" t="n">
        <v>0.00355308825756284</v>
      </c>
    </row>
    <row r="270">
      <c r="A270" t="s">
        <v>242</v>
      </c>
      <c r="B270" t="s">
        <v>187</v>
      </c>
      <c r="C270" t="n">
        <v>-0.0111746992268682</v>
      </c>
      <c r="D270" t="n">
        <v>0.00803240729698565</v>
      </c>
    </row>
    <row r="271">
      <c r="A271" t="s">
        <v>243</v>
      </c>
      <c r="B271" t="s">
        <v>181</v>
      </c>
      <c r="C271" t="n">
        <v>0.800039725866337</v>
      </c>
      <c r="D271" t="n">
        <v>0.0048155153153414</v>
      </c>
    </row>
    <row r="272">
      <c r="A272" t="s">
        <v>244</v>
      </c>
      <c r="B272" t="s">
        <v>181</v>
      </c>
      <c r="C272" t="n">
        <v>-0.885777868854203</v>
      </c>
      <c r="D272" t="n">
        <v>0.350538719801897</v>
      </c>
    </row>
    <row r="273">
      <c r="A273" t="s">
        <v>244</v>
      </c>
      <c r="B273" t="s">
        <v>182</v>
      </c>
      <c r="C273" t="n">
        <v>-0.0871206710746647</v>
      </c>
      <c r="D273" t="n">
        <v>0.0363775266689701</v>
      </c>
    </row>
    <row r="274">
      <c r="A274" t="s">
        <v>244</v>
      </c>
      <c r="B274" t="s">
        <v>183</v>
      </c>
      <c r="C274" t="n">
        <v>-0.00767807441707942</v>
      </c>
      <c r="D274" t="n">
        <v>0.0127222426537585</v>
      </c>
    </row>
    <row r="275">
      <c r="A275" t="s">
        <v>244</v>
      </c>
      <c r="B275" t="s">
        <v>191</v>
      </c>
      <c r="C275" t="n">
        <v>0.640586482786634</v>
      </c>
      <c r="D275" t="n">
        <v>0.16435083675379</v>
      </c>
    </row>
    <row r="276">
      <c r="A276" t="s">
        <v>244</v>
      </c>
      <c r="B276" t="s">
        <v>192</v>
      </c>
      <c r="C276" t="n">
        <v>-0.00265517890473069</v>
      </c>
      <c r="D276" t="n">
        <v>0.00279666995098122</v>
      </c>
    </row>
    <row r="277">
      <c r="A277" t="s">
        <v>244</v>
      </c>
      <c r="B277" t="s">
        <v>184</v>
      </c>
      <c r="C277" t="n">
        <v>1.38749252856311</v>
      </c>
      <c r="D277" t="n">
        <v>0.445232362647087</v>
      </c>
    </row>
    <row r="278">
      <c r="A278" t="s">
        <v>244</v>
      </c>
      <c r="B278" t="s">
        <v>193</v>
      </c>
      <c r="C278" t="n">
        <v>0.258934645608867</v>
      </c>
      <c r="D278" t="n">
        <v>0.0300349320855349</v>
      </c>
    </row>
    <row r="279">
      <c r="A279" t="s">
        <v>244</v>
      </c>
      <c r="B279" t="s">
        <v>185</v>
      </c>
      <c r="C279" t="n">
        <v>-0.120920326000098</v>
      </c>
      <c r="D279" t="n">
        <v>0.02469600952438</v>
      </c>
    </row>
    <row r="280">
      <c r="A280" t="s">
        <v>244</v>
      </c>
      <c r="B280" t="s">
        <v>186</v>
      </c>
      <c r="C280" t="n">
        <v>-0.156150052557339</v>
      </c>
      <c r="D280" t="n">
        <v>0.0426655551153641</v>
      </c>
    </row>
    <row r="281">
      <c r="A281" t="s">
        <v>244</v>
      </c>
      <c r="B281" t="s">
        <v>187</v>
      </c>
      <c r="C281" t="n">
        <v>-0.119785064236841</v>
      </c>
      <c r="D281" t="n">
        <v>0.0270332641828213</v>
      </c>
    </row>
    <row r="282">
      <c r="A282" t="s">
        <v>245</v>
      </c>
      <c r="B282" t="s">
        <v>181</v>
      </c>
      <c r="C282" t="n">
        <v>-0.0418097149733937</v>
      </c>
      <c r="D282" t="n">
        <v>0.0137805624158975</v>
      </c>
    </row>
    <row r="283">
      <c r="A283" t="s">
        <v>245</v>
      </c>
      <c r="B283" t="s">
        <v>182</v>
      </c>
      <c r="C283" t="n">
        <v>-0.0885210103328543</v>
      </c>
      <c r="D283" t="n">
        <v>0.0229884608978412</v>
      </c>
    </row>
    <row r="284">
      <c r="A284" t="s">
        <v>245</v>
      </c>
      <c r="B284" t="s">
        <v>183</v>
      </c>
      <c r="C284" t="n">
        <v>-1.0958513146467</v>
      </c>
      <c r="D284" t="n">
        <v>0.0624709940441146</v>
      </c>
    </row>
    <row r="285">
      <c r="A285" t="s">
        <v>245</v>
      </c>
      <c r="B285" t="s">
        <v>191</v>
      </c>
      <c r="C285" t="n">
        <v>1.36001433294212</v>
      </c>
      <c r="D285" t="n">
        <v>0.144014432828633</v>
      </c>
    </row>
    <row r="286">
      <c r="A286" t="s">
        <v>245</v>
      </c>
      <c r="B286" t="s">
        <v>192</v>
      </c>
      <c r="C286" t="n">
        <v>0.580694011901158</v>
      </c>
      <c r="D286" t="n">
        <v>0.142275142637712</v>
      </c>
    </row>
    <row r="287">
      <c r="A287" t="s">
        <v>245</v>
      </c>
      <c r="B287" t="s">
        <v>184</v>
      </c>
      <c r="C287" t="n">
        <v>-21.4875516107823</v>
      </c>
      <c r="D287" t="n">
        <v>4.81563776151436</v>
      </c>
    </row>
    <row r="288">
      <c r="A288" t="s">
        <v>246</v>
      </c>
      <c r="B288" t="s">
        <v>181</v>
      </c>
      <c r="C288" t="n">
        <v>0.3</v>
      </c>
      <c r="D288"/>
    </row>
    <row r="289">
      <c r="A289" t="s">
        <v>246</v>
      </c>
      <c r="B289" t="s">
        <v>182</v>
      </c>
      <c r="C289" t="n">
        <v>-2</v>
      </c>
      <c r="D289"/>
    </row>
    <row r="290">
      <c r="A290" t="s">
        <v>246</v>
      </c>
      <c r="B290" t="s">
        <v>183</v>
      </c>
      <c r="C290" t="n">
        <v>1</v>
      </c>
      <c r="D290"/>
    </row>
    <row r="291">
      <c r="A291" t="s">
        <v>246</v>
      </c>
      <c r="B291" t="s">
        <v>191</v>
      </c>
      <c r="C291" t="n">
        <v>-1</v>
      </c>
      <c r="D291"/>
    </row>
    <row r="292">
      <c r="A292" t="s">
        <v>246</v>
      </c>
      <c r="B292" t="s">
        <v>247</v>
      </c>
      <c r="C292" t="n">
        <v>-4.17104263780414</v>
      </c>
      <c r="D292" t="n">
        <v>0.178425972424122</v>
      </c>
    </row>
    <row r="293">
      <c r="A293" t="s">
        <v>246</v>
      </c>
      <c r="B293" t="s">
        <v>248</v>
      </c>
      <c r="C293" t="n">
        <v>-4.84291079188519</v>
      </c>
      <c r="D293" t="n">
        <v>0.0844201962302074</v>
      </c>
    </row>
    <row r="294">
      <c r="A294" t="s">
        <v>249</v>
      </c>
      <c r="B294" t="s">
        <v>181</v>
      </c>
      <c r="C294" t="n">
        <v>-0.000244378923766072</v>
      </c>
      <c r="D294" t="n">
        <v>0.000427175583878507</v>
      </c>
    </row>
    <row r="295">
      <c r="A295" t="s">
        <v>249</v>
      </c>
      <c r="B295" t="s">
        <v>250</v>
      </c>
      <c r="C295" t="n">
        <v>0.00811102616767781</v>
      </c>
      <c r="D295" t="n">
        <v>0.016814191639103</v>
      </c>
    </row>
    <row r="296">
      <c r="A296" t="s">
        <v>249</v>
      </c>
      <c r="B296" t="s">
        <v>251</v>
      </c>
      <c r="C296" t="n">
        <v>0.0604074052498754</v>
      </c>
      <c r="D296" t="n">
        <v>0.0270320320909647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opLeftCell="A3" workbookViewId="0">
      <selection activeCell="B30" sqref="B30"/>
    </sheetView>
  </sheetViews>
  <sheetFormatPr defaultRowHeight="15.0" baseColWidth="10"/>
  <cols>
    <col min="1" max="1" width="28.7109375" hidden="0" customWidth="1"/>
    <col min="2" max="2" width="18.7109375" hidden="0" customWidth="1"/>
  </cols>
  <sheetData>
    <row r="1" ht="26.25" customHeight="1">
      <c r="A1" s="3" t="s">
        <v>169</v>
      </c>
    </row>
    <row r="4">
      <c r="A4" s="4" t="s">
        <v>170</v>
      </c>
      <c r="B4" s="4" t="s">
        <v>171</v>
      </c>
    </row>
    <row r="5">
      <c r="A5" t="s">
        <v>172</v>
      </c>
      <c r="B5" s="2" t="n">
        <v>45717</v>
      </c>
    </row>
    <row r="6">
      <c r="A6" t="s">
        <v>173</v>
      </c>
      <c r="B6" s="2" t="n">
        <v>50010</v>
      </c>
    </row>
    <row r="7">
      <c r="A7" t="s">
        <v>174</v>
      </c>
      <c r="B7" s="5" t="n">
        <v>0.0392687294678991</v>
      </c>
    </row>
    <row r="8">
      <c r="A8" t="s">
        <v>175</v>
      </c>
      <c r="B8" s="5" t="n">
        <v>0.0437782648188369</v>
      </c>
    </row>
    <row r="9">
      <c r="A9" t="s">
        <v>176</v>
      </c>
      <c r="B9" s="5" t="n">
        <v>0.0545438200964858</v>
      </c>
    </row>
    <row r="10">
      <c r="A10" t="s">
        <v>177</v>
      </c>
      <c r="B10" s="5" t="n">
        <v>0.0373997546624957</v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Quekett, Reid</cp:lastModifiedBy>
  <dcterms:created xsi:type="dcterms:W3CDTF">2026-08-18T03:17:00Z</dcterms:created>
  <dcterms:modified xsi:type="dcterms:W3CDTF">2026-08-18T03:26:10Z</dcterms:modified>
</cp:coreProperties>
</file>